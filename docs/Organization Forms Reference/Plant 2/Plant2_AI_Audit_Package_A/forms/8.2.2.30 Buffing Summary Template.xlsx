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14728808-0D7B-45A3-A5C2-184AA9BA5F8C}" xr6:coauthVersionLast="47" xr6:coauthVersionMax="47" xr10:uidLastSave="{00000000-0000-0000-0000-000000000000}"/>
  <bookViews>
    <workbookView xWindow="-28920" yWindow="-3600" windowWidth="23280" windowHeight="12480" activeTab="10" xr2:uid="{890C7ED9-4F38-49AB-B1F3-26508430ABDE}"/>
  </bookViews>
  <sheets>
    <sheet name="Jan" sheetId="22" r:id="rId1"/>
    <sheet name="Feb" sheetId="21" r:id="rId2"/>
    <sheet name="Mar" sheetId="20" r:id="rId3"/>
    <sheet name="Apr" sheetId="19" r:id="rId4"/>
    <sheet name="May" sheetId="18" r:id="rId5"/>
    <sheet name="June" sheetId="17" r:id="rId6"/>
    <sheet name="July" sheetId="16" r:id="rId7"/>
    <sheet name="Aug" sheetId="15" r:id="rId8"/>
    <sheet name="Sept" sheetId="1" r:id="rId9"/>
    <sheet name="Oct" sheetId="2" r:id="rId10"/>
    <sheet name="Daily Summary" sheetId="11" r:id="rId11"/>
    <sheet name="Nov" sheetId="3" r:id="rId12"/>
    <sheet name="Dec" sheetId="4" r:id="rId13"/>
    <sheet name="Montly Summary" sheetId="24" r:id="rId14"/>
    <sheet name="Charts Info" sheetId="23" r:id="rId15"/>
  </sheets>
  <definedNames>
    <definedName name="_xlnm.Print_Area" localSheetId="10">'Daily Summary'!$A$1:$B$15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0" i="22" l="1"/>
  <c r="E3" i="22"/>
  <c r="AJ2" i="22"/>
  <c r="E2" i="22"/>
  <c r="F2" i="22" s="1"/>
  <c r="H2" i="22" s="1"/>
  <c r="D21" i="4"/>
  <c r="AE21" i="4"/>
  <c r="AF19" i="4"/>
  <c r="AF18" i="4"/>
  <c r="AD21" i="4"/>
  <c r="E20" i="4"/>
  <c r="F20" i="4" s="1"/>
  <c r="H20" i="4" s="1"/>
  <c r="E19" i="4"/>
  <c r="F19" i="4" s="1"/>
  <c r="H19" i="4" s="1"/>
  <c r="E18" i="4"/>
  <c r="F18" i="4" s="1"/>
  <c r="H18" i="4" s="1"/>
  <c r="E14" i="4"/>
  <c r="E13" i="2"/>
  <c r="AE24" i="2"/>
  <c r="B8" i="24" s="1"/>
  <c r="AD24" i="2"/>
  <c r="B7" i="24" s="1"/>
  <c r="B24" i="2"/>
  <c r="B2" i="24" s="1"/>
  <c r="C22" i="1"/>
  <c r="C25" i="15" l="1"/>
  <c r="B25" i="15" l="1"/>
  <c r="R21" i="4" l="1"/>
  <c r="Q21" i="4"/>
  <c r="P21" i="4"/>
  <c r="O21" i="4"/>
  <c r="N21" i="4"/>
  <c r="M21" i="4"/>
  <c r="L21" i="4"/>
  <c r="K21" i="4"/>
  <c r="R24" i="3"/>
  <c r="Q24" i="3"/>
  <c r="P24" i="3"/>
  <c r="O24" i="3"/>
  <c r="N24" i="3"/>
  <c r="M24" i="3"/>
  <c r="L24" i="3"/>
  <c r="K24" i="3"/>
  <c r="R23" i="2"/>
  <c r="Q23" i="2"/>
  <c r="P23" i="2"/>
  <c r="O23" i="2"/>
  <c r="N23" i="2"/>
  <c r="M23" i="2"/>
  <c r="L23" i="2"/>
  <c r="K23" i="2"/>
  <c r="R22" i="1"/>
  <c r="Q22" i="1"/>
  <c r="P22" i="1"/>
  <c r="O22" i="1"/>
  <c r="N22" i="1"/>
  <c r="M22" i="1"/>
  <c r="L22" i="1"/>
  <c r="K22" i="1"/>
  <c r="R25" i="15"/>
  <c r="Q25" i="15"/>
  <c r="P25" i="15"/>
  <c r="O25" i="15"/>
  <c r="N25" i="15"/>
  <c r="M25" i="15"/>
  <c r="L25" i="15"/>
  <c r="K25" i="15"/>
  <c r="O22" i="16"/>
  <c r="N22" i="16"/>
  <c r="M22" i="16"/>
  <c r="S22" i="16"/>
  <c r="R22" i="16"/>
  <c r="Q22" i="16"/>
  <c r="P22" i="16"/>
  <c r="L22" i="16"/>
  <c r="L18" i="17" l="1"/>
  <c r="W18" i="17" l="1"/>
  <c r="L25" i="18" l="1"/>
  <c r="M25" i="18"/>
  <c r="N25" i="18"/>
  <c r="O25" i="18"/>
  <c r="P25" i="18"/>
  <c r="Q25" i="18"/>
  <c r="R25" i="18"/>
  <c r="S25" i="18"/>
  <c r="T25" i="18"/>
  <c r="U25" i="18"/>
  <c r="K25" i="18"/>
  <c r="B18" i="17"/>
  <c r="R18" i="17"/>
  <c r="S18" i="17"/>
  <c r="T18" i="17"/>
  <c r="U18" i="17"/>
  <c r="N24" i="18" l="1"/>
  <c r="O24" i="18"/>
  <c r="P24" i="18"/>
  <c r="Q24" i="18"/>
  <c r="R24" i="18"/>
  <c r="S24" i="18"/>
  <c r="T24" i="18"/>
  <c r="K24" i="18"/>
  <c r="W24" i="18"/>
  <c r="V24" i="18"/>
  <c r="AA25" i="18" l="1"/>
  <c r="Z25" i="18"/>
  <c r="B25" i="18" l="1"/>
  <c r="D22" i="20" l="1"/>
  <c r="E22" i="20" s="1"/>
  <c r="F22" i="20" s="1"/>
  <c r="H22" i="20" s="1"/>
  <c r="AK22" i="20" l="1"/>
  <c r="D11" i="20" l="1"/>
  <c r="E11" i="20" s="1"/>
  <c r="F11" i="20" s="1"/>
  <c r="H11" i="20" s="1"/>
  <c r="AK11" i="20" l="1"/>
  <c r="D5" i="20" l="1"/>
  <c r="E5" i="20" s="1"/>
  <c r="F5" i="20" s="1"/>
  <c r="H5" i="20" s="1"/>
  <c r="AK5" i="20" l="1"/>
  <c r="AD28" i="20" l="1"/>
  <c r="AC28" i="20"/>
  <c r="AB28" i="20"/>
  <c r="AA28" i="20"/>
  <c r="Z28" i="20"/>
  <c r="Y28" i="20"/>
  <c r="X28" i="20"/>
  <c r="W28" i="20"/>
  <c r="V28" i="20"/>
  <c r="U28" i="20"/>
  <c r="B28" i="20"/>
  <c r="C26" i="21" l="1"/>
  <c r="D23" i="21" l="1"/>
  <c r="E23" i="21" s="1"/>
  <c r="F23" i="21" s="1"/>
  <c r="H23" i="21" s="1"/>
  <c r="AU23" i="21" l="1"/>
  <c r="D20" i="21" l="1"/>
  <c r="T26" i="21" l="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K26" i="21"/>
  <c r="AN26" i="21"/>
  <c r="AO26" i="21"/>
  <c r="AP26" i="21"/>
  <c r="D17" i="21"/>
  <c r="E17" i="21" s="1"/>
  <c r="F17" i="21" s="1"/>
  <c r="D18" i="21"/>
  <c r="E18" i="21" s="1"/>
  <c r="F18" i="21" s="1"/>
  <c r="H18" i="21" s="1"/>
  <c r="AU18" i="21" l="1"/>
  <c r="H17" i="21"/>
  <c r="AU17" i="21"/>
  <c r="AM26" i="21" l="1"/>
  <c r="AL26" i="21"/>
  <c r="D11" i="21" l="1"/>
  <c r="E11" i="21" s="1"/>
  <c r="F11" i="21" s="1"/>
  <c r="H11" i="21" s="1"/>
  <c r="AU11" i="21" l="1"/>
  <c r="L26" i="21" l="1"/>
  <c r="D5" i="21" l="1"/>
  <c r="E5" i="21" s="1"/>
  <c r="F5" i="21" l="1"/>
  <c r="H5" i="21" s="1"/>
  <c r="AU5" i="21"/>
  <c r="AT27" i="21" l="1"/>
  <c r="AS27" i="21"/>
  <c r="B27" i="21" l="1"/>
  <c r="B26" i="21"/>
  <c r="S26" i="21" l="1"/>
  <c r="Z24" i="22" l="1"/>
  <c r="M24" i="22" l="1"/>
  <c r="R24" i="22" l="1"/>
  <c r="L24" i="22" l="1"/>
  <c r="N24" i="22"/>
  <c r="O24" i="22"/>
  <c r="Q24" i="22"/>
  <c r="S24" i="22"/>
  <c r="T24" i="22"/>
  <c r="U24" i="22"/>
  <c r="V24" i="22"/>
  <c r="W24" i="22"/>
  <c r="X24" i="22"/>
  <c r="Y24" i="22"/>
  <c r="AA24" i="22"/>
  <c r="AB24" i="22"/>
  <c r="AC24" i="22"/>
  <c r="AD24" i="22"/>
  <c r="AE24" i="22"/>
  <c r="P24" i="22" l="1"/>
  <c r="AF15" i="4" l="1"/>
  <c r="G270" i="23" s="1"/>
  <c r="AF14" i="4"/>
  <c r="G269" i="23" s="1"/>
  <c r="AF12" i="4"/>
  <c r="G267" i="23" s="1"/>
  <c r="AF11" i="4"/>
  <c r="G266" i="23" s="1"/>
  <c r="C265" i="23"/>
  <c r="AF7" i="4"/>
  <c r="G262" i="23" s="1"/>
  <c r="AF6" i="4"/>
  <c r="G261" i="23" s="1"/>
  <c r="AF4" i="4"/>
  <c r="G259" i="23" s="1"/>
  <c r="AF3" i="4"/>
  <c r="G258" i="23" s="1"/>
  <c r="C257" i="23"/>
  <c r="C252" i="23"/>
  <c r="E20" i="3"/>
  <c r="F20" i="3" s="1"/>
  <c r="H20" i="3" s="1"/>
  <c r="AF17" i="3"/>
  <c r="G248" i="23" s="1"/>
  <c r="AF16" i="3"/>
  <c r="G247" i="23" s="1"/>
  <c r="AF12" i="3"/>
  <c r="G243" i="23" s="1"/>
  <c r="AF9" i="3"/>
  <c r="G240" i="23" s="1"/>
  <c r="AF8" i="3"/>
  <c r="G239" i="23" s="1"/>
  <c r="AF5" i="3"/>
  <c r="G236" i="23" s="1"/>
  <c r="AF4" i="3"/>
  <c r="G235" i="23" s="1"/>
  <c r="AF22" i="2"/>
  <c r="G230" i="23" s="1"/>
  <c r="E21" i="2"/>
  <c r="F21" i="2" s="1"/>
  <c r="AF19" i="2"/>
  <c r="G227" i="23" s="1"/>
  <c r="C226" i="23"/>
  <c r="AF17" i="2"/>
  <c r="G225" i="23" s="1"/>
  <c r="AF15" i="2"/>
  <c r="G223" i="23" s="1"/>
  <c r="C222" i="23"/>
  <c r="AF13" i="2"/>
  <c r="G221" i="23" s="1"/>
  <c r="AF11" i="2"/>
  <c r="G219" i="23" s="1"/>
  <c r="AF10" i="2"/>
  <c r="G218" i="23" s="1"/>
  <c r="AF9" i="2"/>
  <c r="G217" i="23" s="1"/>
  <c r="AF7" i="2"/>
  <c r="G215" i="23" s="1"/>
  <c r="C214" i="23"/>
  <c r="AF3" i="2"/>
  <c r="G211" i="23" s="1"/>
  <c r="C210" i="23"/>
  <c r="AF21" i="1"/>
  <c r="G207" i="23" s="1"/>
  <c r="C204" i="23"/>
  <c r="AF17" i="1"/>
  <c r="G203" i="23" s="1"/>
  <c r="C200" i="23"/>
  <c r="AF13" i="1"/>
  <c r="G199" i="23" s="1"/>
  <c r="C196" i="23"/>
  <c r="AF9" i="1"/>
  <c r="G195" i="23" s="1"/>
  <c r="C192" i="23"/>
  <c r="AF5" i="1"/>
  <c r="G191" i="23" s="1"/>
  <c r="C188" i="23"/>
  <c r="AF24" i="15"/>
  <c r="G185" i="23" s="1"/>
  <c r="AF22" i="15"/>
  <c r="G183" i="23" s="1"/>
  <c r="AF21" i="15"/>
  <c r="G182" i="23" s="1"/>
  <c r="AF20" i="15"/>
  <c r="G181" i="23" s="1"/>
  <c r="AF18" i="15"/>
  <c r="G179" i="23" s="1"/>
  <c r="AF17" i="15"/>
  <c r="G178" i="23" s="1"/>
  <c r="AF16" i="15"/>
  <c r="G177" i="23" s="1"/>
  <c r="AF14" i="15"/>
  <c r="G175" i="23" s="1"/>
  <c r="AF13" i="15"/>
  <c r="G174" i="23" s="1"/>
  <c r="AF12" i="15"/>
  <c r="G173" i="23" s="1"/>
  <c r="AF11" i="15"/>
  <c r="G172" i="23" s="1"/>
  <c r="AF10" i="15"/>
  <c r="G171" i="23" s="1"/>
  <c r="AF9" i="15"/>
  <c r="G170" i="23" s="1"/>
  <c r="AF8" i="15"/>
  <c r="G169" i="23" s="1"/>
  <c r="AF7" i="15"/>
  <c r="G168" i="23" s="1"/>
  <c r="AF6" i="15"/>
  <c r="G167" i="23" s="1"/>
  <c r="AF5" i="15"/>
  <c r="G166" i="23" s="1"/>
  <c r="AF4" i="15"/>
  <c r="G165" i="23" s="1"/>
  <c r="AF2" i="15"/>
  <c r="D21" i="16"/>
  <c r="AF21" i="16" s="1"/>
  <c r="G160" i="23" s="1"/>
  <c r="D20" i="16"/>
  <c r="AF20" i="16" s="1"/>
  <c r="G159" i="23" s="1"/>
  <c r="D19" i="16"/>
  <c r="AF19" i="16" s="1"/>
  <c r="G158" i="23" s="1"/>
  <c r="D18" i="16"/>
  <c r="AF18" i="16" s="1"/>
  <c r="G157" i="23" s="1"/>
  <c r="D17" i="16"/>
  <c r="AF17" i="16" s="1"/>
  <c r="G156" i="23" s="1"/>
  <c r="D16" i="16"/>
  <c r="AF16" i="16" s="1"/>
  <c r="G155" i="23" s="1"/>
  <c r="D15" i="16"/>
  <c r="AF15" i="16" s="1"/>
  <c r="G154" i="23" s="1"/>
  <c r="D14" i="16"/>
  <c r="AF14" i="16" s="1"/>
  <c r="G153" i="23" s="1"/>
  <c r="D13" i="16"/>
  <c r="AF13" i="16" s="1"/>
  <c r="G152" i="23" s="1"/>
  <c r="D12" i="16"/>
  <c r="AF12" i="16" s="1"/>
  <c r="G151" i="23" s="1"/>
  <c r="D11" i="16"/>
  <c r="AF11" i="16" s="1"/>
  <c r="G150" i="23" s="1"/>
  <c r="D10" i="16"/>
  <c r="AF10" i="16" s="1"/>
  <c r="G149" i="23" s="1"/>
  <c r="D9" i="16"/>
  <c r="AF9" i="16" s="1"/>
  <c r="G148" i="23" s="1"/>
  <c r="D8" i="16"/>
  <c r="AF8" i="16" s="1"/>
  <c r="G147" i="23" s="1"/>
  <c r="D7" i="16"/>
  <c r="AF7" i="16" s="1"/>
  <c r="G146" i="23" s="1"/>
  <c r="D6" i="16"/>
  <c r="AF6" i="16" s="1"/>
  <c r="G145" i="23" s="1"/>
  <c r="D5" i="16"/>
  <c r="AF5" i="16" s="1"/>
  <c r="G144" i="23" s="1"/>
  <c r="D4" i="16"/>
  <c r="AF4" i="16" s="1"/>
  <c r="G143" i="23" s="1"/>
  <c r="D3" i="16"/>
  <c r="AF3" i="16" s="1"/>
  <c r="G142" i="23" s="1"/>
  <c r="D2" i="16"/>
  <c r="AF2" i="16" s="1"/>
  <c r="G141" i="23" s="1"/>
  <c r="D17" i="17"/>
  <c r="AE17" i="17" s="1"/>
  <c r="G137" i="23" s="1"/>
  <c r="D16" i="17"/>
  <c r="C135" i="23" s="1"/>
  <c r="D15" i="17"/>
  <c r="AE15" i="17" s="1"/>
  <c r="G134" i="23" s="1"/>
  <c r="D14" i="17"/>
  <c r="AE14" i="17" s="1"/>
  <c r="G133" i="23" s="1"/>
  <c r="D13" i="17"/>
  <c r="AE13" i="17" s="1"/>
  <c r="G132" i="23" s="1"/>
  <c r="D12" i="17"/>
  <c r="C131" i="23" s="1"/>
  <c r="D11" i="17"/>
  <c r="AE11" i="17" s="1"/>
  <c r="G130" i="23" s="1"/>
  <c r="G129" i="23"/>
  <c r="C127" i="23"/>
  <c r="G126" i="23"/>
  <c r="G125" i="23"/>
  <c r="D10" i="17"/>
  <c r="AE10" i="17" s="1"/>
  <c r="G124" i="23" s="1"/>
  <c r="D9" i="17"/>
  <c r="C123" i="23" s="1"/>
  <c r="D8" i="17"/>
  <c r="AE8" i="17" s="1"/>
  <c r="G122" i="23" s="1"/>
  <c r="D7" i="17"/>
  <c r="AE7" i="17" s="1"/>
  <c r="G121" i="23" s="1"/>
  <c r="D6" i="17"/>
  <c r="AE6" i="17" s="1"/>
  <c r="G120" i="23" s="1"/>
  <c r="D5" i="17"/>
  <c r="C119" i="23" s="1"/>
  <c r="D4" i="17"/>
  <c r="AE4" i="17" s="1"/>
  <c r="G118" i="23" s="1"/>
  <c r="D3" i="17"/>
  <c r="AE3" i="17" s="1"/>
  <c r="G117" i="23" s="1"/>
  <c r="D2" i="17"/>
  <c r="AE2" i="17" s="1"/>
  <c r="D23" i="18"/>
  <c r="AB23" i="18" s="1"/>
  <c r="G113" i="23" s="1"/>
  <c r="D22" i="18"/>
  <c r="AB22" i="18" s="1"/>
  <c r="G112" i="23" s="1"/>
  <c r="D21" i="18"/>
  <c r="AB21" i="18" s="1"/>
  <c r="G111" i="23" s="1"/>
  <c r="D20" i="18"/>
  <c r="AB20" i="18" s="1"/>
  <c r="G110" i="23" s="1"/>
  <c r="D19" i="18"/>
  <c r="AB19" i="18" s="1"/>
  <c r="G109" i="23" s="1"/>
  <c r="D18" i="18"/>
  <c r="AB18" i="18" s="1"/>
  <c r="G108" i="23" s="1"/>
  <c r="D17" i="18"/>
  <c r="AB17" i="18" s="1"/>
  <c r="G107" i="23" s="1"/>
  <c r="D16" i="18"/>
  <c r="AB16" i="18" s="1"/>
  <c r="G106" i="23" s="1"/>
  <c r="D15" i="18"/>
  <c r="AB15" i="18" s="1"/>
  <c r="G105" i="23" s="1"/>
  <c r="D14" i="18"/>
  <c r="AB14" i="18" s="1"/>
  <c r="G104" i="23" s="1"/>
  <c r="D13" i="18"/>
  <c r="AB13" i="18" s="1"/>
  <c r="G103" i="23" s="1"/>
  <c r="D12" i="18"/>
  <c r="AB12" i="18" s="1"/>
  <c r="G102" i="23" s="1"/>
  <c r="D11" i="18"/>
  <c r="AB11" i="18" s="1"/>
  <c r="G101" i="23" s="1"/>
  <c r="D10" i="18"/>
  <c r="AB10" i="18" s="1"/>
  <c r="G100" i="23" s="1"/>
  <c r="D9" i="18"/>
  <c r="C99" i="23" s="1"/>
  <c r="D8" i="18"/>
  <c r="AB8" i="18" s="1"/>
  <c r="G98" i="23" s="1"/>
  <c r="D7" i="18"/>
  <c r="AB7" i="18" s="1"/>
  <c r="G97" i="23" s="1"/>
  <c r="D6" i="18"/>
  <c r="AB6" i="18" s="1"/>
  <c r="G96" i="23" s="1"/>
  <c r="D5" i="18"/>
  <c r="AB5" i="18" s="1"/>
  <c r="G95" i="23" s="1"/>
  <c r="D4" i="18"/>
  <c r="AB4" i="18" s="1"/>
  <c r="G94" i="23" s="1"/>
  <c r="D3" i="18"/>
  <c r="AB3" i="18" s="1"/>
  <c r="G93" i="23" s="1"/>
  <c r="D2" i="18"/>
  <c r="D20" i="19"/>
  <c r="X20" i="19" s="1"/>
  <c r="G89" i="23" s="1"/>
  <c r="D19" i="19"/>
  <c r="C88" i="23" s="1"/>
  <c r="D18" i="19"/>
  <c r="X18" i="19" s="1"/>
  <c r="G87" i="23" s="1"/>
  <c r="D17" i="19"/>
  <c r="X17" i="19" s="1"/>
  <c r="G86" i="23" s="1"/>
  <c r="D16" i="19"/>
  <c r="X16" i="19" s="1"/>
  <c r="G85" i="23" s="1"/>
  <c r="D15" i="19"/>
  <c r="E15" i="19" s="1"/>
  <c r="F15" i="19" s="1"/>
  <c r="D14" i="19"/>
  <c r="X14" i="19" s="1"/>
  <c r="G83" i="23" s="1"/>
  <c r="D13" i="19"/>
  <c r="X13" i="19" s="1"/>
  <c r="G82" i="23" s="1"/>
  <c r="D12" i="19"/>
  <c r="X12" i="19" s="1"/>
  <c r="G81" i="23" s="1"/>
  <c r="D11" i="19"/>
  <c r="C80" i="23" s="1"/>
  <c r="D10" i="19"/>
  <c r="X10" i="19" s="1"/>
  <c r="G79" i="23" s="1"/>
  <c r="D9" i="19"/>
  <c r="X9" i="19" s="1"/>
  <c r="G78" i="23" s="1"/>
  <c r="D8" i="19"/>
  <c r="X8" i="19" s="1"/>
  <c r="G77" i="23" s="1"/>
  <c r="D7" i="19"/>
  <c r="C76" i="23" s="1"/>
  <c r="D6" i="19"/>
  <c r="X6" i="19" s="1"/>
  <c r="G75" i="23" s="1"/>
  <c r="D5" i="19"/>
  <c r="X5" i="19" s="1"/>
  <c r="G74" i="23" s="1"/>
  <c r="D4" i="19"/>
  <c r="X4" i="19" s="1"/>
  <c r="G73" i="23" s="1"/>
  <c r="D3" i="19"/>
  <c r="C72" i="23" s="1"/>
  <c r="D2" i="19"/>
  <c r="X2" i="19" s="1"/>
  <c r="D27" i="20"/>
  <c r="AK27" i="20" s="1"/>
  <c r="G68" i="23" s="1"/>
  <c r="D26" i="20"/>
  <c r="AK26" i="20" s="1"/>
  <c r="G67" i="23" s="1"/>
  <c r="D25" i="20"/>
  <c r="AK25" i="20" s="1"/>
  <c r="G66" i="23" s="1"/>
  <c r="D24" i="20"/>
  <c r="AK24" i="20" s="1"/>
  <c r="G65" i="23" s="1"/>
  <c r="D23" i="20"/>
  <c r="C64" i="23" s="1"/>
  <c r="D21" i="20"/>
  <c r="AK21" i="20" s="1"/>
  <c r="G63" i="23" s="1"/>
  <c r="D20" i="20"/>
  <c r="AK20" i="20" s="1"/>
  <c r="G62" i="23" s="1"/>
  <c r="D19" i="20"/>
  <c r="AK19" i="20" s="1"/>
  <c r="G61" i="23" s="1"/>
  <c r="D18" i="20"/>
  <c r="AK18" i="20" s="1"/>
  <c r="G60" i="23" s="1"/>
  <c r="D17" i="20"/>
  <c r="AK17" i="20" s="1"/>
  <c r="G59" i="23" s="1"/>
  <c r="D16" i="20"/>
  <c r="AK16" i="20" s="1"/>
  <c r="G58" i="23" s="1"/>
  <c r="D15" i="20"/>
  <c r="AK15" i="20" s="1"/>
  <c r="G57" i="23" s="1"/>
  <c r="D14" i="20"/>
  <c r="C56" i="23" s="1"/>
  <c r="D13" i="20"/>
  <c r="AK13" i="20" s="1"/>
  <c r="G55" i="23" s="1"/>
  <c r="D12" i="20"/>
  <c r="AK12" i="20" s="1"/>
  <c r="G54" i="23" s="1"/>
  <c r="D10" i="20"/>
  <c r="AK10" i="20" s="1"/>
  <c r="G53" i="23" s="1"/>
  <c r="D9" i="20"/>
  <c r="C52" i="23" s="1"/>
  <c r="D8" i="20"/>
  <c r="AK8" i="20" s="1"/>
  <c r="G51" i="23" s="1"/>
  <c r="D7" i="20"/>
  <c r="C50" i="23" s="1"/>
  <c r="D6" i="20"/>
  <c r="AK6" i="20" s="1"/>
  <c r="G49" i="23" s="1"/>
  <c r="D4" i="20"/>
  <c r="C48" i="23" s="1"/>
  <c r="D3" i="20"/>
  <c r="AK3" i="20" s="1"/>
  <c r="G47" i="23" s="1"/>
  <c r="D2" i="20"/>
  <c r="C46" i="23" s="1"/>
  <c r="D25" i="21"/>
  <c r="AU25" i="21" s="1"/>
  <c r="G43" i="23" s="1"/>
  <c r="D24" i="21"/>
  <c r="AU24" i="21" s="1"/>
  <c r="G42" i="23" s="1"/>
  <c r="D22" i="21"/>
  <c r="AU22" i="21" s="1"/>
  <c r="G41" i="23" s="1"/>
  <c r="D21" i="21"/>
  <c r="AU21" i="21" s="1"/>
  <c r="G40" i="23" s="1"/>
  <c r="AU20" i="21"/>
  <c r="G39" i="23" s="1"/>
  <c r="D19" i="21"/>
  <c r="C38" i="23" s="1"/>
  <c r="D16" i="21"/>
  <c r="AU16" i="21" s="1"/>
  <c r="G37" i="23" s="1"/>
  <c r="D15" i="21"/>
  <c r="AU15" i="21" s="1"/>
  <c r="G36" i="23" s="1"/>
  <c r="D14" i="21"/>
  <c r="AU14" i="21" s="1"/>
  <c r="G35" i="23" s="1"/>
  <c r="D13" i="21"/>
  <c r="C34" i="23" s="1"/>
  <c r="D12" i="21"/>
  <c r="AU12" i="21" s="1"/>
  <c r="G33" i="23" s="1"/>
  <c r="D10" i="21"/>
  <c r="AU10" i="21" s="1"/>
  <c r="G32" i="23" s="1"/>
  <c r="D9" i="21"/>
  <c r="AU9" i="21" s="1"/>
  <c r="G31" i="23" s="1"/>
  <c r="D8" i="21"/>
  <c r="C30" i="23" s="1"/>
  <c r="D7" i="21"/>
  <c r="AU7" i="21" s="1"/>
  <c r="G29" i="23" s="1"/>
  <c r="D6" i="21"/>
  <c r="AU6" i="21" s="1"/>
  <c r="G28" i="23" s="1"/>
  <c r="D4" i="21"/>
  <c r="AU4" i="21" s="1"/>
  <c r="G27" i="23" s="1"/>
  <c r="D3" i="21"/>
  <c r="C26" i="23" s="1"/>
  <c r="D2" i="21"/>
  <c r="D23" i="22"/>
  <c r="E23" i="22" s="1"/>
  <c r="D22" i="22"/>
  <c r="AJ22" i="22" s="1"/>
  <c r="G21" i="23" s="1"/>
  <c r="D21" i="22"/>
  <c r="D20" i="22"/>
  <c r="D19" i="22"/>
  <c r="D18" i="22"/>
  <c r="AJ18" i="22" s="1"/>
  <c r="G17" i="23" s="1"/>
  <c r="D17" i="22"/>
  <c r="AJ17" i="22" s="1"/>
  <c r="G16" i="23" s="1"/>
  <c r="D16" i="22"/>
  <c r="AJ16" i="22" s="1"/>
  <c r="G15" i="23" s="1"/>
  <c r="C14" i="23"/>
  <c r="C13" i="23"/>
  <c r="AJ13" i="22"/>
  <c r="G12" i="23" s="1"/>
  <c r="AJ12" i="22"/>
  <c r="G11" i="23" s="1"/>
  <c r="AJ11" i="22"/>
  <c r="G10" i="23" s="1"/>
  <c r="E10" i="22"/>
  <c r="E9" i="22"/>
  <c r="AJ8" i="22"/>
  <c r="G7" i="23" s="1"/>
  <c r="E7" i="22"/>
  <c r="E6" i="22"/>
  <c r="F6" i="22" s="1"/>
  <c r="D5" i="23" s="1"/>
  <c r="AJ5" i="22"/>
  <c r="G4" i="23" s="1"/>
  <c r="E4" i="22"/>
  <c r="F4" i="22" s="1"/>
  <c r="D3" i="23" s="1"/>
  <c r="F272" i="23"/>
  <c r="E272" i="23"/>
  <c r="B272" i="23"/>
  <c r="F271" i="23"/>
  <c r="E271" i="23"/>
  <c r="B271" i="23"/>
  <c r="F270" i="23"/>
  <c r="E270" i="23"/>
  <c r="B270" i="23"/>
  <c r="F269" i="23"/>
  <c r="E269" i="23"/>
  <c r="B269" i="23"/>
  <c r="F268" i="23"/>
  <c r="E268" i="23"/>
  <c r="B268" i="23"/>
  <c r="F267" i="23"/>
  <c r="E267" i="23"/>
  <c r="B267" i="23"/>
  <c r="F266" i="23"/>
  <c r="E266" i="23"/>
  <c r="B266" i="23"/>
  <c r="F265" i="23"/>
  <c r="E265" i="23"/>
  <c r="B265" i="23"/>
  <c r="F264" i="23"/>
  <c r="E264" i="23"/>
  <c r="B264" i="23"/>
  <c r="F263" i="23"/>
  <c r="E263" i="23"/>
  <c r="B263" i="23"/>
  <c r="F262" i="23"/>
  <c r="E262" i="23"/>
  <c r="B262" i="23"/>
  <c r="F261" i="23"/>
  <c r="E261" i="23"/>
  <c r="B261" i="23"/>
  <c r="F260" i="23"/>
  <c r="E260" i="23"/>
  <c r="B260" i="23"/>
  <c r="F259" i="23"/>
  <c r="E259" i="23"/>
  <c r="B259" i="23"/>
  <c r="F258" i="23"/>
  <c r="E258" i="23"/>
  <c r="B258" i="23"/>
  <c r="F257" i="23"/>
  <c r="E257" i="23"/>
  <c r="B257" i="23"/>
  <c r="F254" i="23"/>
  <c r="E254" i="23"/>
  <c r="B254" i="23"/>
  <c r="F253" i="23"/>
  <c r="E253" i="23"/>
  <c r="B253" i="23"/>
  <c r="F252" i="23"/>
  <c r="E252" i="23"/>
  <c r="B252" i="23"/>
  <c r="F251" i="23"/>
  <c r="E251" i="23"/>
  <c r="B251" i="23"/>
  <c r="F250" i="23"/>
  <c r="E250" i="23"/>
  <c r="B250" i="23"/>
  <c r="F249" i="23"/>
  <c r="E249" i="23"/>
  <c r="B249" i="23"/>
  <c r="F248" i="23"/>
  <c r="E248" i="23"/>
  <c r="B248" i="23"/>
  <c r="F247" i="23"/>
  <c r="E247" i="23"/>
  <c r="B247" i="23"/>
  <c r="F246" i="23"/>
  <c r="E246" i="23"/>
  <c r="B246" i="23"/>
  <c r="F245" i="23"/>
  <c r="E245" i="23"/>
  <c r="B245" i="23"/>
  <c r="F244" i="23"/>
  <c r="E244" i="23"/>
  <c r="B244" i="23"/>
  <c r="F243" i="23"/>
  <c r="E243" i="23"/>
  <c r="B243" i="23"/>
  <c r="F242" i="23"/>
  <c r="E242" i="23"/>
  <c r="B242" i="23"/>
  <c r="F241" i="23"/>
  <c r="E241" i="23"/>
  <c r="B241" i="23"/>
  <c r="F240" i="23"/>
  <c r="E240" i="23"/>
  <c r="B240" i="23"/>
  <c r="F239" i="23"/>
  <c r="E239" i="23"/>
  <c r="B239" i="23"/>
  <c r="F238" i="23"/>
  <c r="E238" i="23"/>
  <c r="B238" i="23"/>
  <c r="F237" i="23"/>
  <c r="E237" i="23"/>
  <c r="B237" i="23"/>
  <c r="F236" i="23"/>
  <c r="E236" i="23"/>
  <c r="B236" i="23"/>
  <c r="F235" i="23"/>
  <c r="E235" i="23"/>
  <c r="B235" i="23"/>
  <c r="F234" i="23"/>
  <c r="E234" i="23"/>
  <c r="B234" i="23"/>
  <c r="F233" i="23"/>
  <c r="E233" i="23"/>
  <c r="B233" i="23"/>
  <c r="F230" i="23"/>
  <c r="E230" i="23"/>
  <c r="B230" i="23"/>
  <c r="F229" i="23"/>
  <c r="E229" i="23"/>
  <c r="B229" i="23"/>
  <c r="F228" i="23"/>
  <c r="E228" i="23"/>
  <c r="B228" i="23"/>
  <c r="F227" i="23"/>
  <c r="E227" i="23"/>
  <c r="B227" i="23"/>
  <c r="F226" i="23"/>
  <c r="E226" i="23"/>
  <c r="B226" i="23"/>
  <c r="F225" i="23"/>
  <c r="E225" i="23"/>
  <c r="B225" i="23"/>
  <c r="F224" i="23"/>
  <c r="E224" i="23"/>
  <c r="B224" i="23"/>
  <c r="F223" i="23"/>
  <c r="E223" i="23"/>
  <c r="B223" i="23"/>
  <c r="F222" i="23"/>
  <c r="E222" i="23"/>
  <c r="B222" i="23"/>
  <c r="F221" i="23"/>
  <c r="E221" i="23"/>
  <c r="B221" i="23"/>
  <c r="F220" i="23"/>
  <c r="E220" i="23"/>
  <c r="B220" i="23"/>
  <c r="F219" i="23"/>
  <c r="E219" i="23"/>
  <c r="B219" i="23"/>
  <c r="F218" i="23"/>
  <c r="E218" i="23"/>
  <c r="C218" i="23"/>
  <c r="B218" i="23"/>
  <c r="F217" i="23"/>
  <c r="E217" i="23"/>
  <c r="B217" i="23"/>
  <c r="F216" i="23"/>
  <c r="E216" i="23"/>
  <c r="B216" i="23"/>
  <c r="F215" i="23"/>
  <c r="E215" i="23"/>
  <c r="B215" i="23"/>
  <c r="F214" i="23"/>
  <c r="E214" i="23"/>
  <c r="B214" i="23"/>
  <c r="F213" i="23"/>
  <c r="E213" i="23"/>
  <c r="B213" i="23"/>
  <c r="F212" i="23"/>
  <c r="E212" i="23"/>
  <c r="B212" i="23"/>
  <c r="F211" i="23"/>
  <c r="E211" i="23"/>
  <c r="B211" i="23"/>
  <c r="F210" i="23"/>
  <c r="E210" i="23"/>
  <c r="B210" i="23"/>
  <c r="F207" i="23"/>
  <c r="E207" i="23"/>
  <c r="B207" i="23"/>
  <c r="F206" i="23"/>
  <c r="E206" i="23"/>
  <c r="C206" i="23"/>
  <c r="B206" i="23"/>
  <c r="F205" i="23"/>
  <c r="E205" i="23"/>
  <c r="B205" i="23"/>
  <c r="F204" i="23"/>
  <c r="E204" i="23"/>
  <c r="B204" i="23"/>
  <c r="F203" i="23"/>
  <c r="E203" i="23"/>
  <c r="B203" i="23"/>
  <c r="F202" i="23"/>
  <c r="E202" i="23"/>
  <c r="C202" i="23"/>
  <c r="B202" i="23"/>
  <c r="F201" i="23"/>
  <c r="E201" i="23"/>
  <c r="B201" i="23"/>
  <c r="F200" i="23"/>
  <c r="E200" i="23"/>
  <c r="B200" i="23"/>
  <c r="F199" i="23"/>
  <c r="E199" i="23"/>
  <c r="B199" i="23"/>
  <c r="F198" i="23"/>
  <c r="E198" i="23"/>
  <c r="C198" i="23"/>
  <c r="B198" i="23"/>
  <c r="F197" i="23"/>
  <c r="E197" i="23"/>
  <c r="B197" i="23"/>
  <c r="F196" i="23"/>
  <c r="E196" i="23"/>
  <c r="B196" i="23"/>
  <c r="F195" i="23"/>
  <c r="E195" i="23"/>
  <c r="B195" i="23"/>
  <c r="F194" i="23"/>
  <c r="E194" i="23"/>
  <c r="C194" i="23"/>
  <c r="B194" i="23"/>
  <c r="F193" i="23"/>
  <c r="E193" i="23"/>
  <c r="B193" i="23"/>
  <c r="F192" i="23"/>
  <c r="E192" i="23"/>
  <c r="B192" i="23"/>
  <c r="F191" i="23"/>
  <c r="E191" i="23"/>
  <c r="B191" i="23"/>
  <c r="F190" i="23"/>
  <c r="E190" i="23"/>
  <c r="C190" i="23"/>
  <c r="B190" i="23"/>
  <c r="F189" i="23"/>
  <c r="E189" i="23"/>
  <c r="B189" i="23"/>
  <c r="F188" i="23"/>
  <c r="E188" i="23"/>
  <c r="B188" i="23"/>
  <c r="F185" i="23"/>
  <c r="E185" i="23"/>
  <c r="B185" i="23"/>
  <c r="F184" i="23"/>
  <c r="E184" i="23"/>
  <c r="C184" i="23"/>
  <c r="B184" i="23"/>
  <c r="F183" i="23"/>
  <c r="E183" i="23"/>
  <c r="B183" i="23"/>
  <c r="F182" i="23"/>
  <c r="E182" i="23"/>
  <c r="B182" i="23"/>
  <c r="F181" i="23"/>
  <c r="E181" i="23"/>
  <c r="B181" i="23"/>
  <c r="F180" i="23"/>
  <c r="E180" i="23"/>
  <c r="B180" i="23"/>
  <c r="F179" i="23"/>
  <c r="E179" i="23"/>
  <c r="B179" i="23"/>
  <c r="F178" i="23"/>
  <c r="E178" i="23"/>
  <c r="C178" i="23"/>
  <c r="B178" i="23"/>
  <c r="F177" i="23"/>
  <c r="E177" i="23"/>
  <c r="B177" i="23"/>
  <c r="F176" i="23"/>
  <c r="E176" i="23"/>
  <c r="B176" i="23"/>
  <c r="F175" i="23"/>
  <c r="E175" i="23"/>
  <c r="B175" i="23"/>
  <c r="F174" i="23"/>
  <c r="E174" i="23"/>
  <c r="B174" i="23"/>
  <c r="F173" i="23"/>
  <c r="E173" i="23"/>
  <c r="B173" i="23"/>
  <c r="F172" i="23"/>
  <c r="E172" i="23"/>
  <c r="B172" i="23"/>
  <c r="F171" i="23"/>
  <c r="E171" i="23"/>
  <c r="B171" i="23"/>
  <c r="F170" i="23"/>
  <c r="E170" i="23"/>
  <c r="C170" i="23"/>
  <c r="B170" i="23"/>
  <c r="F169" i="23"/>
  <c r="E169" i="23"/>
  <c r="B169" i="23"/>
  <c r="F168" i="23"/>
  <c r="E168" i="23"/>
  <c r="B168" i="23"/>
  <c r="F167" i="23"/>
  <c r="E167" i="23"/>
  <c r="B167" i="23"/>
  <c r="F166" i="23"/>
  <c r="E166" i="23"/>
  <c r="B166" i="23"/>
  <c r="F165" i="23"/>
  <c r="E165" i="23"/>
  <c r="B165" i="23"/>
  <c r="F164" i="23"/>
  <c r="E164" i="23"/>
  <c r="B164" i="23"/>
  <c r="F163" i="23"/>
  <c r="E163" i="23"/>
  <c r="B163" i="23"/>
  <c r="F160" i="23"/>
  <c r="E160" i="23"/>
  <c r="B160" i="23"/>
  <c r="F159" i="23"/>
  <c r="E159" i="23"/>
  <c r="B159" i="23"/>
  <c r="F158" i="23"/>
  <c r="E158" i="23"/>
  <c r="C158" i="23"/>
  <c r="B158" i="23"/>
  <c r="F157" i="23"/>
  <c r="E157" i="23"/>
  <c r="B157" i="23"/>
  <c r="F156" i="23"/>
  <c r="E156" i="23"/>
  <c r="B156" i="23"/>
  <c r="F155" i="23"/>
  <c r="E155" i="23"/>
  <c r="B155" i="23"/>
  <c r="F154" i="23"/>
  <c r="E154" i="23"/>
  <c r="B154" i="23"/>
  <c r="F153" i="23"/>
  <c r="E153" i="23"/>
  <c r="B153" i="23"/>
  <c r="F152" i="23"/>
  <c r="E152" i="23"/>
  <c r="B152" i="23"/>
  <c r="F151" i="23"/>
  <c r="E151" i="23"/>
  <c r="B151" i="23"/>
  <c r="F150" i="23"/>
  <c r="E150" i="23"/>
  <c r="B150" i="23"/>
  <c r="F149" i="23"/>
  <c r="E149" i="23"/>
  <c r="B149" i="23"/>
  <c r="F148" i="23"/>
  <c r="E148" i="23"/>
  <c r="B148" i="23"/>
  <c r="F147" i="23"/>
  <c r="E147" i="23"/>
  <c r="B147" i="23"/>
  <c r="F146" i="23"/>
  <c r="E146" i="23"/>
  <c r="B146" i="23"/>
  <c r="F145" i="23"/>
  <c r="E145" i="23"/>
  <c r="B145" i="23"/>
  <c r="F144" i="23"/>
  <c r="E144" i="23"/>
  <c r="B144" i="23"/>
  <c r="F143" i="23"/>
  <c r="E143" i="23"/>
  <c r="B143" i="23"/>
  <c r="F142" i="23"/>
  <c r="E142" i="23"/>
  <c r="B142" i="23"/>
  <c r="F141" i="23"/>
  <c r="E141" i="23"/>
  <c r="B141" i="23"/>
  <c r="F140" i="23"/>
  <c r="E140" i="23"/>
  <c r="B140" i="23"/>
  <c r="F137" i="23"/>
  <c r="E137" i="23"/>
  <c r="B137" i="23"/>
  <c r="F136" i="23"/>
  <c r="E136" i="23"/>
  <c r="B136" i="23"/>
  <c r="F135" i="23"/>
  <c r="E135" i="23"/>
  <c r="B135" i="23"/>
  <c r="F134" i="23"/>
  <c r="E134" i="23"/>
  <c r="B134" i="23"/>
  <c r="F133" i="23"/>
  <c r="E133" i="23"/>
  <c r="B133" i="23"/>
  <c r="F132" i="23"/>
  <c r="E132" i="23"/>
  <c r="B132" i="23"/>
  <c r="F131" i="23"/>
  <c r="E131" i="23"/>
  <c r="B131" i="23"/>
  <c r="F130" i="23"/>
  <c r="E130" i="23"/>
  <c r="B130" i="23"/>
  <c r="F129" i="23"/>
  <c r="E129" i="23"/>
  <c r="B129" i="23"/>
  <c r="F128" i="23"/>
  <c r="E128" i="23"/>
  <c r="B128" i="23"/>
  <c r="F127" i="23"/>
  <c r="E127" i="23"/>
  <c r="B127" i="23"/>
  <c r="F126" i="23"/>
  <c r="E126" i="23"/>
  <c r="B126" i="23"/>
  <c r="F125" i="23"/>
  <c r="E125" i="23"/>
  <c r="B125" i="23"/>
  <c r="F124" i="23"/>
  <c r="E124" i="23"/>
  <c r="B124" i="23"/>
  <c r="F123" i="23"/>
  <c r="E123" i="23"/>
  <c r="B123" i="23"/>
  <c r="F122" i="23"/>
  <c r="E122" i="23"/>
  <c r="B122" i="23"/>
  <c r="F121" i="23"/>
  <c r="E121" i="23"/>
  <c r="B121" i="23"/>
  <c r="F120" i="23"/>
  <c r="E120" i="23"/>
  <c r="B120" i="23"/>
  <c r="F119" i="23"/>
  <c r="E119" i="23"/>
  <c r="B119" i="23"/>
  <c r="F118" i="23"/>
  <c r="E118" i="23"/>
  <c r="B118" i="23"/>
  <c r="F117" i="23"/>
  <c r="E117" i="23"/>
  <c r="B117" i="23"/>
  <c r="F116" i="23"/>
  <c r="E116" i="23"/>
  <c r="B116" i="23"/>
  <c r="B92" i="23"/>
  <c r="F113" i="23"/>
  <c r="E113" i="23"/>
  <c r="B113" i="23"/>
  <c r="F112" i="23"/>
  <c r="E112" i="23"/>
  <c r="B112" i="23"/>
  <c r="F111" i="23"/>
  <c r="E111" i="23"/>
  <c r="B111" i="23"/>
  <c r="F110" i="23"/>
  <c r="E110" i="23"/>
  <c r="B110" i="23"/>
  <c r="F109" i="23"/>
  <c r="E109" i="23"/>
  <c r="B109" i="23"/>
  <c r="F108" i="23"/>
  <c r="E108" i="23"/>
  <c r="B108" i="23"/>
  <c r="F107" i="23"/>
  <c r="E107" i="23"/>
  <c r="B107" i="23"/>
  <c r="F106" i="23"/>
  <c r="E106" i="23"/>
  <c r="B106" i="23"/>
  <c r="F105" i="23"/>
  <c r="E105" i="23"/>
  <c r="B105" i="23"/>
  <c r="F104" i="23"/>
  <c r="E104" i="23"/>
  <c r="B104" i="23"/>
  <c r="F103" i="23"/>
  <c r="E103" i="23"/>
  <c r="B103" i="23"/>
  <c r="F102" i="23"/>
  <c r="E102" i="23"/>
  <c r="B102" i="23"/>
  <c r="F101" i="23"/>
  <c r="E101" i="23"/>
  <c r="B101" i="23"/>
  <c r="F100" i="23"/>
  <c r="E100" i="23"/>
  <c r="B100" i="23"/>
  <c r="F99" i="23"/>
  <c r="E99" i="23"/>
  <c r="B99" i="23"/>
  <c r="F98" i="23"/>
  <c r="E98" i="23"/>
  <c r="B98" i="23"/>
  <c r="F97" i="23"/>
  <c r="E97" i="23"/>
  <c r="B97" i="23"/>
  <c r="F96" i="23"/>
  <c r="E96" i="23"/>
  <c r="B96" i="23"/>
  <c r="F95" i="23"/>
  <c r="E95" i="23"/>
  <c r="B95" i="23"/>
  <c r="F94" i="23"/>
  <c r="E94" i="23"/>
  <c r="B94" i="23"/>
  <c r="F93" i="23"/>
  <c r="E93" i="23"/>
  <c r="B93" i="23"/>
  <c r="F92" i="23"/>
  <c r="E92" i="23"/>
  <c r="F89" i="23"/>
  <c r="E89" i="23"/>
  <c r="B89" i="23"/>
  <c r="F88" i="23"/>
  <c r="E88" i="23"/>
  <c r="B88" i="23"/>
  <c r="F87" i="23"/>
  <c r="E87" i="23"/>
  <c r="B87" i="23"/>
  <c r="F86" i="23"/>
  <c r="E86" i="23"/>
  <c r="B86" i="23"/>
  <c r="F85" i="23"/>
  <c r="E85" i="23"/>
  <c r="B85" i="23"/>
  <c r="F84" i="23"/>
  <c r="E84" i="23"/>
  <c r="B84" i="23"/>
  <c r="F83" i="23"/>
  <c r="E83" i="23"/>
  <c r="B83" i="23"/>
  <c r="F82" i="23"/>
  <c r="E82" i="23"/>
  <c r="B82" i="23"/>
  <c r="F81" i="23"/>
  <c r="E81" i="23"/>
  <c r="B81" i="23"/>
  <c r="F80" i="23"/>
  <c r="E80" i="23"/>
  <c r="B80" i="23"/>
  <c r="F79" i="23"/>
  <c r="E79" i="23"/>
  <c r="B79" i="23"/>
  <c r="F78" i="23"/>
  <c r="E78" i="23"/>
  <c r="B78" i="23"/>
  <c r="F77" i="23"/>
  <c r="E77" i="23"/>
  <c r="B77" i="23"/>
  <c r="F76" i="23"/>
  <c r="E76" i="23"/>
  <c r="B76" i="23"/>
  <c r="F75" i="23"/>
  <c r="E75" i="23"/>
  <c r="B75" i="23"/>
  <c r="F74" i="23"/>
  <c r="E74" i="23"/>
  <c r="B74" i="23"/>
  <c r="F73" i="23"/>
  <c r="E73" i="23"/>
  <c r="B73" i="23"/>
  <c r="F72" i="23"/>
  <c r="E72" i="23"/>
  <c r="B72" i="23"/>
  <c r="F71" i="23"/>
  <c r="E71" i="23"/>
  <c r="B71" i="23"/>
  <c r="F68" i="23"/>
  <c r="E68" i="23"/>
  <c r="B68" i="23"/>
  <c r="F67" i="23"/>
  <c r="E67" i="23"/>
  <c r="B67" i="23"/>
  <c r="F66" i="23"/>
  <c r="E66" i="23"/>
  <c r="B66" i="23"/>
  <c r="F65" i="23"/>
  <c r="E65" i="23"/>
  <c r="B65" i="23"/>
  <c r="F64" i="23"/>
  <c r="E64" i="23"/>
  <c r="B64" i="23"/>
  <c r="F63" i="23"/>
  <c r="E63" i="23"/>
  <c r="B63" i="23"/>
  <c r="F62" i="23"/>
  <c r="E62" i="23"/>
  <c r="B62" i="23"/>
  <c r="F61" i="23"/>
  <c r="E61" i="23"/>
  <c r="B61" i="23"/>
  <c r="F60" i="23"/>
  <c r="E60" i="23"/>
  <c r="B60" i="23"/>
  <c r="F59" i="23"/>
  <c r="E59" i="23"/>
  <c r="B59" i="23"/>
  <c r="F58" i="23"/>
  <c r="E58" i="23"/>
  <c r="B58" i="23"/>
  <c r="F57" i="23"/>
  <c r="E57" i="23"/>
  <c r="B57" i="23"/>
  <c r="F56" i="23"/>
  <c r="E56" i="23"/>
  <c r="B56" i="23"/>
  <c r="F55" i="23"/>
  <c r="E55" i="23"/>
  <c r="B55" i="23"/>
  <c r="F54" i="23"/>
  <c r="E54" i="23"/>
  <c r="B54" i="23"/>
  <c r="F53" i="23"/>
  <c r="E53" i="23"/>
  <c r="B53" i="23"/>
  <c r="F52" i="23"/>
  <c r="E52" i="23"/>
  <c r="B52" i="23"/>
  <c r="F51" i="23"/>
  <c r="E51" i="23"/>
  <c r="B51" i="23"/>
  <c r="F50" i="23"/>
  <c r="E50" i="23"/>
  <c r="B50" i="23"/>
  <c r="F49" i="23"/>
  <c r="E49" i="23"/>
  <c r="B49" i="23"/>
  <c r="F48" i="23"/>
  <c r="E48" i="23"/>
  <c r="B48" i="23"/>
  <c r="F47" i="23"/>
  <c r="F46" i="23"/>
  <c r="E47" i="23"/>
  <c r="E46" i="23"/>
  <c r="B47" i="23"/>
  <c r="B46" i="23"/>
  <c r="F43" i="23"/>
  <c r="E43" i="23"/>
  <c r="B43" i="23"/>
  <c r="F42" i="23"/>
  <c r="E42" i="23"/>
  <c r="B42" i="23"/>
  <c r="F41" i="23"/>
  <c r="E41" i="23"/>
  <c r="B41" i="23"/>
  <c r="F40" i="23"/>
  <c r="E40" i="23"/>
  <c r="B40" i="23"/>
  <c r="F39" i="23"/>
  <c r="E39" i="23"/>
  <c r="B39" i="23"/>
  <c r="F38" i="23"/>
  <c r="E38" i="23"/>
  <c r="B38" i="23"/>
  <c r="F37" i="23"/>
  <c r="E37" i="23"/>
  <c r="B37" i="23"/>
  <c r="F36" i="23"/>
  <c r="E36" i="23"/>
  <c r="B36" i="23"/>
  <c r="F35" i="23"/>
  <c r="E35" i="23"/>
  <c r="B35" i="23"/>
  <c r="F34" i="23"/>
  <c r="E34" i="23"/>
  <c r="B34" i="23"/>
  <c r="F33" i="23"/>
  <c r="E33" i="23"/>
  <c r="B33" i="23"/>
  <c r="F32" i="23"/>
  <c r="E32" i="23"/>
  <c r="B32" i="23"/>
  <c r="F31" i="23"/>
  <c r="E31" i="23"/>
  <c r="B31" i="23"/>
  <c r="F30" i="23"/>
  <c r="E30" i="23"/>
  <c r="B30" i="23"/>
  <c r="F29" i="23"/>
  <c r="E29" i="23"/>
  <c r="B29" i="23"/>
  <c r="F28" i="23"/>
  <c r="E28" i="23"/>
  <c r="B28" i="23"/>
  <c r="F27" i="23"/>
  <c r="E27" i="23"/>
  <c r="B27" i="23"/>
  <c r="F26" i="23"/>
  <c r="F25" i="23"/>
  <c r="E26" i="23"/>
  <c r="E25" i="23"/>
  <c r="B26" i="23"/>
  <c r="B25" i="23"/>
  <c r="E3" i="23"/>
  <c r="F3" i="23"/>
  <c r="E4" i="23"/>
  <c r="F4" i="23"/>
  <c r="E5" i="23"/>
  <c r="F5" i="23"/>
  <c r="E6" i="23"/>
  <c r="F6" i="23"/>
  <c r="E7" i="23"/>
  <c r="F7" i="23"/>
  <c r="E8" i="23"/>
  <c r="F8" i="23"/>
  <c r="E9" i="23"/>
  <c r="F9" i="23"/>
  <c r="E10" i="23"/>
  <c r="F10" i="23"/>
  <c r="E11" i="23"/>
  <c r="F11" i="23"/>
  <c r="E12" i="23"/>
  <c r="F12" i="23"/>
  <c r="E13" i="23"/>
  <c r="F13" i="23"/>
  <c r="E14" i="23"/>
  <c r="F14" i="23"/>
  <c r="E15" i="23"/>
  <c r="F15" i="23"/>
  <c r="E16" i="23"/>
  <c r="F16" i="23"/>
  <c r="E17" i="23"/>
  <c r="F17" i="23"/>
  <c r="E18" i="23"/>
  <c r="F18" i="23"/>
  <c r="E19" i="23"/>
  <c r="F19" i="23"/>
  <c r="E20" i="23"/>
  <c r="F20" i="23"/>
  <c r="E21" i="23"/>
  <c r="F21" i="23"/>
  <c r="E22" i="23"/>
  <c r="F22" i="23"/>
  <c r="F2" i="23"/>
  <c r="E2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" i="23"/>
  <c r="AA21" i="4"/>
  <c r="Z21" i="4"/>
  <c r="Y21" i="4"/>
  <c r="X21" i="4"/>
  <c r="W21" i="4"/>
  <c r="V21" i="4"/>
  <c r="U21" i="4"/>
  <c r="T21" i="4"/>
  <c r="S21" i="4"/>
  <c r="AF17" i="4"/>
  <c r="G272" i="23" s="1"/>
  <c r="AF16" i="4"/>
  <c r="G271" i="23" s="1"/>
  <c r="AF13" i="4"/>
  <c r="G268" i="23" s="1"/>
  <c r="AF9" i="4"/>
  <c r="G264" i="23" s="1"/>
  <c r="AF8" i="4"/>
  <c r="G263" i="23" s="1"/>
  <c r="AF5" i="4"/>
  <c r="G260" i="23" s="1"/>
  <c r="AE24" i="3"/>
  <c r="AD24" i="3"/>
  <c r="AA24" i="3"/>
  <c r="Z24" i="3"/>
  <c r="Y24" i="3"/>
  <c r="X24" i="3"/>
  <c r="W24" i="3"/>
  <c r="V24" i="3"/>
  <c r="U24" i="3"/>
  <c r="T24" i="3"/>
  <c r="S24" i="3"/>
  <c r="AF23" i="3"/>
  <c r="G254" i="23" s="1"/>
  <c r="AF22" i="3"/>
  <c r="G253" i="23" s="1"/>
  <c r="AF19" i="3"/>
  <c r="G250" i="23" s="1"/>
  <c r="AF18" i="3"/>
  <c r="G249" i="23" s="1"/>
  <c r="AF15" i="3"/>
  <c r="G246" i="23" s="1"/>
  <c r="AF14" i="3"/>
  <c r="G245" i="23" s="1"/>
  <c r="AF13" i="3"/>
  <c r="G244" i="23" s="1"/>
  <c r="AF11" i="3"/>
  <c r="G242" i="23" s="1"/>
  <c r="AF10" i="3"/>
  <c r="G241" i="23" s="1"/>
  <c r="AF7" i="3"/>
  <c r="G238" i="23" s="1"/>
  <c r="AF6" i="3"/>
  <c r="G237" i="23" s="1"/>
  <c r="AF3" i="3"/>
  <c r="G234" i="23" s="1"/>
  <c r="AF2" i="3"/>
  <c r="AE23" i="2"/>
  <c r="AD23" i="2"/>
  <c r="AA23" i="2"/>
  <c r="Z23" i="2"/>
  <c r="Y23" i="2"/>
  <c r="X23" i="2"/>
  <c r="W23" i="2"/>
  <c r="V23" i="2"/>
  <c r="U23" i="2"/>
  <c r="T23" i="2"/>
  <c r="S23" i="2"/>
  <c r="AF20" i="2"/>
  <c r="G228" i="23" s="1"/>
  <c r="AF16" i="2"/>
  <c r="G224" i="23" s="1"/>
  <c r="AF14" i="2"/>
  <c r="G222" i="23" s="1"/>
  <c r="AF12" i="2"/>
  <c r="G220" i="23" s="1"/>
  <c r="AF8" i="2"/>
  <c r="G216" i="23" s="1"/>
  <c r="AF4" i="2"/>
  <c r="G212" i="23" s="1"/>
  <c r="AE22" i="1"/>
  <c r="AD22" i="1"/>
  <c r="AA22" i="1"/>
  <c r="Z22" i="1"/>
  <c r="Y22" i="1"/>
  <c r="X22" i="1"/>
  <c r="W22" i="1"/>
  <c r="V22" i="1"/>
  <c r="U22" i="1"/>
  <c r="T22" i="1"/>
  <c r="S22" i="1"/>
  <c r="AF20" i="1"/>
  <c r="G206" i="23" s="1"/>
  <c r="AF19" i="1"/>
  <c r="G205" i="23" s="1"/>
  <c r="AF16" i="1"/>
  <c r="G202" i="23" s="1"/>
  <c r="AF15" i="1"/>
  <c r="G201" i="23" s="1"/>
  <c r="AF12" i="1"/>
  <c r="G198" i="23" s="1"/>
  <c r="AF11" i="1"/>
  <c r="G197" i="23" s="1"/>
  <c r="AF8" i="1"/>
  <c r="G194" i="23" s="1"/>
  <c r="AF7" i="1"/>
  <c r="G193" i="23" s="1"/>
  <c r="AF4" i="1"/>
  <c r="G190" i="23" s="1"/>
  <c r="AF3" i="1"/>
  <c r="G189" i="23" s="1"/>
  <c r="AE25" i="15"/>
  <c r="AD25" i="15"/>
  <c r="AA25" i="15"/>
  <c r="Z25" i="15"/>
  <c r="Y25" i="15"/>
  <c r="X25" i="15"/>
  <c r="W25" i="15"/>
  <c r="V25" i="15"/>
  <c r="U25" i="15"/>
  <c r="T25" i="15"/>
  <c r="S25" i="15"/>
  <c r="AF23" i="15"/>
  <c r="G184" i="23" s="1"/>
  <c r="AF19" i="15"/>
  <c r="G180" i="23" s="1"/>
  <c r="AF15" i="15"/>
  <c r="G176" i="23" s="1"/>
  <c r="AF3" i="15"/>
  <c r="G164" i="23" s="1"/>
  <c r="AE22" i="16"/>
  <c r="AD22" i="16"/>
  <c r="AA22" i="16"/>
  <c r="Z22" i="16"/>
  <c r="Y22" i="16"/>
  <c r="X22" i="16"/>
  <c r="W22" i="16"/>
  <c r="V22" i="16"/>
  <c r="U22" i="16"/>
  <c r="T22" i="16"/>
  <c r="K22" i="16"/>
  <c r="AD18" i="17"/>
  <c r="AC18" i="17"/>
  <c r="Z18" i="17"/>
  <c r="Y18" i="17"/>
  <c r="X18" i="17"/>
  <c r="Q18" i="17"/>
  <c r="P18" i="17"/>
  <c r="O18" i="17"/>
  <c r="N18" i="17"/>
  <c r="M18" i="17"/>
  <c r="K18" i="17"/>
  <c r="G136" i="23"/>
  <c r="G128" i="23"/>
  <c r="AA24" i="18"/>
  <c r="Z24" i="18"/>
  <c r="U24" i="18"/>
  <c r="M24" i="18"/>
  <c r="L24" i="18"/>
  <c r="W21" i="19"/>
  <c r="V21" i="19"/>
  <c r="S21" i="19"/>
  <c r="R21" i="19"/>
  <c r="Q21" i="19"/>
  <c r="P21" i="19"/>
  <c r="O21" i="19"/>
  <c r="N21" i="19"/>
  <c r="M21" i="19"/>
  <c r="L21" i="19"/>
  <c r="K21" i="19"/>
  <c r="AJ28" i="20"/>
  <c r="AI28" i="20"/>
  <c r="AF28" i="20"/>
  <c r="AE28" i="20"/>
  <c r="T28" i="20"/>
  <c r="S28" i="20"/>
  <c r="R28" i="20"/>
  <c r="Q28" i="20"/>
  <c r="P28" i="20"/>
  <c r="O28" i="20"/>
  <c r="N28" i="20"/>
  <c r="M28" i="20"/>
  <c r="L28" i="20"/>
  <c r="K28" i="20"/>
  <c r="AT26" i="21"/>
  <c r="AS26" i="21"/>
  <c r="R26" i="21"/>
  <c r="Q26" i="21"/>
  <c r="P26" i="21"/>
  <c r="O26" i="21"/>
  <c r="N26" i="21"/>
  <c r="M26" i="21"/>
  <c r="K26" i="21"/>
  <c r="K24" i="22"/>
  <c r="AH24" i="22"/>
  <c r="AI24" i="22"/>
  <c r="AF5" i="2" l="1"/>
  <c r="G213" i="23" s="1"/>
  <c r="D24" i="2"/>
  <c r="B3" i="24" s="1"/>
  <c r="AF6" i="2"/>
  <c r="G214" i="23" s="1"/>
  <c r="C58" i="23"/>
  <c r="C84" i="23"/>
  <c r="AK2" i="20"/>
  <c r="G46" i="23" s="1"/>
  <c r="X7" i="19"/>
  <c r="G76" i="23" s="1"/>
  <c r="C153" i="23"/>
  <c r="X19" i="19"/>
  <c r="G88" i="23" s="1"/>
  <c r="X11" i="19"/>
  <c r="G80" i="23" s="1"/>
  <c r="C66" i="23"/>
  <c r="X3" i="19"/>
  <c r="G72" i="23" s="1"/>
  <c r="C142" i="23"/>
  <c r="D25" i="18"/>
  <c r="AK7" i="20"/>
  <c r="G50" i="23" s="1"/>
  <c r="AF22" i="16"/>
  <c r="X15" i="19"/>
  <c r="G84" i="23" s="1"/>
  <c r="AF2" i="2"/>
  <c r="G210" i="23" s="1"/>
  <c r="AF18" i="2"/>
  <c r="G226" i="23" s="1"/>
  <c r="C54" i="23"/>
  <c r="C103" i="23"/>
  <c r="AF25" i="15"/>
  <c r="AK4" i="20"/>
  <c r="G48" i="23" s="1"/>
  <c r="AB2" i="18"/>
  <c r="G92" i="23" s="1"/>
  <c r="C42" i="23"/>
  <c r="C154" i="23"/>
  <c r="C145" i="23"/>
  <c r="C146" i="23"/>
  <c r="C150" i="23"/>
  <c r="AE9" i="17"/>
  <c r="G123" i="23" s="1"/>
  <c r="AE12" i="17"/>
  <c r="G131" i="23" s="1"/>
  <c r="AE5" i="17"/>
  <c r="G119" i="23" s="1"/>
  <c r="G127" i="23"/>
  <c r="AE16" i="17"/>
  <c r="G135" i="23" s="1"/>
  <c r="C25" i="23"/>
  <c r="D27" i="21"/>
  <c r="AU27" i="21" s="1"/>
  <c r="C261" i="23"/>
  <c r="C269" i="23"/>
  <c r="AF21" i="2"/>
  <c r="G229" i="23" s="1"/>
  <c r="C107" i="23"/>
  <c r="AB9" i="18"/>
  <c r="G99" i="23" s="1"/>
  <c r="C95" i="23"/>
  <c r="C111" i="23"/>
  <c r="C62" i="23"/>
  <c r="C60" i="23"/>
  <c r="AK9" i="20"/>
  <c r="G52" i="23" s="1"/>
  <c r="AK23" i="20"/>
  <c r="G64" i="23" s="1"/>
  <c r="C67" i="23"/>
  <c r="E26" i="20"/>
  <c r="F26" i="20" s="1"/>
  <c r="D67" i="23" s="1"/>
  <c r="AK14" i="20"/>
  <c r="G56" i="23" s="1"/>
  <c r="AU13" i="21"/>
  <c r="G34" i="23" s="1"/>
  <c r="AU2" i="21"/>
  <c r="AU8" i="21"/>
  <c r="G30" i="23" s="1"/>
  <c r="AU3" i="21"/>
  <c r="G26" i="23" s="1"/>
  <c r="AU19" i="21"/>
  <c r="G38" i="23" s="1"/>
  <c r="F9" i="22"/>
  <c r="D8" i="23" s="1"/>
  <c r="F10" i="22"/>
  <c r="D9" i="23" s="1"/>
  <c r="F23" i="22"/>
  <c r="D22" i="23" s="1"/>
  <c r="F7" i="22"/>
  <c r="D6" i="23" s="1"/>
  <c r="C141" i="23"/>
  <c r="C149" i="23"/>
  <c r="C157" i="23"/>
  <c r="AF2" i="4"/>
  <c r="AF21" i="4" s="1"/>
  <c r="AF10" i="4"/>
  <c r="G265" i="23" s="1"/>
  <c r="H21" i="2"/>
  <c r="D229" i="23"/>
  <c r="AF2" i="1"/>
  <c r="AF6" i="1"/>
  <c r="G192" i="23" s="1"/>
  <c r="AF10" i="1"/>
  <c r="G196" i="23" s="1"/>
  <c r="AF14" i="1"/>
  <c r="G200" i="23" s="1"/>
  <c r="AF18" i="1"/>
  <c r="G204" i="23" s="1"/>
  <c r="C166" i="23"/>
  <c r="C174" i="23"/>
  <c r="C263" i="23"/>
  <c r="C271" i="23"/>
  <c r="C258" i="23"/>
  <c r="C260" i="23"/>
  <c r="C262" i="23"/>
  <c r="C264" i="23"/>
  <c r="C266" i="23"/>
  <c r="C268" i="23"/>
  <c r="C270" i="23"/>
  <c r="C272" i="23"/>
  <c r="C259" i="23"/>
  <c r="C267" i="23"/>
  <c r="AF20" i="3"/>
  <c r="G251" i="23" s="1"/>
  <c r="C233" i="23"/>
  <c r="G233" i="23"/>
  <c r="C235" i="23"/>
  <c r="C237" i="23"/>
  <c r="C239" i="23"/>
  <c r="C241" i="23"/>
  <c r="C243" i="23"/>
  <c r="C245" i="23"/>
  <c r="C247" i="23"/>
  <c r="C249" i="23"/>
  <c r="C251" i="23"/>
  <c r="C253" i="23"/>
  <c r="AF21" i="3"/>
  <c r="G252" i="23" s="1"/>
  <c r="D251" i="23"/>
  <c r="C234" i="23"/>
  <c r="C236" i="23"/>
  <c r="C238" i="23"/>
  <c r="C240" i="23"/>
  <c r="C242" i="23"/>
  <c r="C244" i="23"/>
  <c r="C246" i="23"/>
  <c r="C248" i="23"/>
  <c r="C250" i="23"/>
  <c r="C254" i="23"/>
  <c r="C212" i="23"/>
  <c r="C216" i="23"/>
  <c r="C220" i="23"/>
  <c r="C224" i="23"/>
  <c r="C228" i="23"/>
  <c r="C230" i="23"/>
  <c r="C211" i="23"/>
  <c r="C213" i="23"/>
  <c r="C215" i="23"/>
  <c r="C217" i="23"/>
  <c r="C219" i="23"/>
  <c r="C221" i="23"/>
  <c r="C223" i="23"/>
  <c r="C225" i="23"/>
  <c r="C227" i="23"/>
  <c r="C229" i="23"/>
  <c r="C189" i="23"/>
  <c r="C191" i="23"/>
  <c r="C193" i="23"/>
  <c r="C195" i="23"/>
  <c r="C197" i="23"/>
  <c r="C199" i="23"/>
  <c r="C201" i="23"/>
  <c r="C203" i="23"/>
  <c r="C205" i="23"/>
  <c r="C207" i="23"/>
  <c r="C163" i="23"/>
  <c r="G163" i="23"/>
  <c r="C165" i="23"/>
  <c r="C167" i="23"/>
  <c r="C169" i="23"/>
  <c r="C171" i="23"/>
  <c r="C173" i="23"/>
  <c r="C175" i="23"/>
  <c r="C177" i="23"/>
  <c r="C179" i="23"/>
  <c r="C181" i="23"/>
  <c r="C183" i="23"/>
  <c r="C185" i="23"/>
  <c r="C164" i="23"/>
  <c r="C168" i="23"/>
  <c r="C172" i="23"/>
  <c r="C176" i="23"/>
  <c r="C180" i="23"/>
  <c r="C182" i="23"/>
  <c r="C155" i="23"/>
  <c r="C143" i="23"/>
  <c r="C147" i="23"/>
  <c r="C151" i="23"/>
  <c r="C159" i="23"/>
  <c r="C140" i="23"/>
  <c r="G140" i="23"/>
  <c r="C144" i="23"/>
  <c r="C148" i="23"/>
  <c r="C152" i="23"/>
  <c r="C156" i="23"/>
  <c r="C160" i="23"/>
  <c r="C117" i="23"/>
  <c r="C121" i="23"/>
  <c r="C129" i="23"/>
  <c r="C133" i="23"/>
  <c r="C125" i="23"/>
  <c r="C137" i="23"/>
  <c r="C116" i="23"/>
  <c r="G116" i="23"/>
  <c r="C118" i="23"/>
  <c r="C120" i="23"/>
  <c r="C122" i="23"/>
  <c r="C124" i="23"/>
  <c r="C126" i="23"/>
  <c r="C128" i="23"/>
  <c r="C130" i="23"/>
  <c r="C132" i="23"/>
  <c r="C134" i="23"/>
  <c r="C136" i="23"/>
  <c r="C93" i="23"/>
  <c r="C97" i="23"/>
  <c r="C101" i="23"/>
  <c r="C105" i="23"/>
  <c r="C109" i="23"/>
  <c r="C113" i="23"/>
  <c r="C92" i="23"/>
  <c r="C94" i="23"/>
  <c r="C96" i="23"/>
  <c r="C98" i="23"/>
  <c r="C100" i="23"/>
  <c r="C102" i="23"/>
  <c r="C104" i="23"/>
  <c r="C106" i="23"/>
  <c r="C108" i="23"/>
  <c r="C110" i="23"/>
  <c r="C112" i="23"/>
  <c r="C82" i="23"/>
  <c r="C86" i="23"/>
  <c r="C71" i="23"/>
  <c r="G71" i="23"/>
  <c r="C73" i="23"/>
  <c r="C75" i="23"/>
  <c r="C77" i="23"/>
  <c r="C79" i="23"/>
  <c r="C81" i="23"/>
  <c r="C83" i="23"/>
  <c r="C85" i="23"/>
  <c r="C87" i="23"/>
  <c r="C89" i="23"/>
  <c r="C74" i="23"/>
  <c r="C78" i="23"/>
  <c r="C68" i="23"/>
  <c r="C47" i="23"/>
  <c r="C49" i="23"/>
  <c r="C51" i="23"/>
  <c r="C53" i="23"/>
  <c r="C55" i="23"/>
  <c r="C57" i="23"/>
  <c r="C59" i="23"/>
  <c r="C61" i="23"/>
  <c r="C63" i="23"/>
  <c r="C65" i="23"/>
  <c r="C28" i="23"/>
  <c r="C32" i="23"/>
  <c r="C36" i="23"/>
  <c r="C40" i="23"/>
  <c r="C27" i="23"/>
  <c r="C29" i="23"/>
  <c r="C31" i="23"/>
  <c r="C33" i="23"/>
  <c r="C35" i="23"/>
  <c r="C37" i="23"/>
  <c r="C39" i="23"/>
  <c r="C41" i="23"/>
  <c r="C43" i="23"/>
  <c r="H4" i="22"/>
  <c r="H6" i="22"/>
  <c r="C10" i="23"/>
  <c r="C6" i="23"/>
  <c r="C22" i="23"/>
  <c r="C21" i="23"/>
  <c r="C17" i="23"/>
  <c r="C9" i="23"/>
  <c r="C5" i="23"/>
  <c r="C16" i="23"/>
  <c r="C12" i="23"/>
  <c r="C8" i="23"/>
  <c r="C4" i="23"/>
  <c r="C15" i="23"/>
  <c r="C11" i="23"/>
  <c r="C7" i="23"/>
  <c r="C3" i="23"/>
  <c r="E2" i="4"/>
  <c r="E3" i="4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F14" i="4"/>
  <c r="E15" i="4"/>
  <c r="F15" i="4" s="1"/>
  <c r="E16" i="4"/>
  <c r="F16" i="4" s="1"/>
  <c r="E17" i="4"/>
  <c r="F17" i="4" s="1"/>
  <c r="E2" i="3"/>
  <c r="E3" i="3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1" i="3"/>
  <c r="F21" i="3" s="1"/>
  <c r="E22" i="3"/>
  <c r="F22" i="3" s="1"/>
  <c r="E23" i="3"/>
  <c r="F23" i="3" s="1"/>
  <c r="D24" i="3"/>
  <c r="E2" i="2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F13" i="2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2" i="2"/>
  <c r="F22" i="2" s="1"/>
  <c r="D23" i="2"/>
  <c r="D22" i="1"/>
  <c r="E3" i="1"/>
  <c r="F3" i="1" s="1"/>
  <c r="E5" i="1"/>
  <c r="F5" i="1" s="1"/>
  <c r="E7" i="1"/>
  <c r="F7" i="1" s="1"/>
  <c r="E9" i="1"/>
  <c r="F9" i="1" s="1"/>
  <c r="H9" i="1" s="1"/>
  <c r="E11" i="1"/>
  <c r="F11" i="1" s="1"/>
  <c r="E13" i="1"/>
  <c r="F13" i="1" s="1"/>
  <c r="E15" i="1"/>
  <c r="F15" i="1" s="1"/>
  <c r="E17" i="1"/>
  <c r="F17" i="1" s="1"/>
  <c r="E20" i="1"/>
  <c r="F20" i="1" s="1"/>
  <c r="E21" i="1"/>
  <c r="F21" i="1" s="1"/>
  <c r="E2" i="1"/>
  <c r="F2" i="1" s="1"/>
  <c r="E4" i="1"/>
  <c r="F4" i="1" s="1"/>
  <c r="E6" i="1"/>
  <c r="F6" i="1" s="1"/>
  <c r="E8" i="1"/>
  <c r="F8" i="1" s="1"/>
  <c r="E10" i="1"/>
  <c r="F10" i="1" s="1"/>
  <c r="E12" i="1"/>
  <c r="F12" i="1" s="1"/>
  <c r="E14" i="1"/>
  <c r="F14" i="1" s="1"/>
  <c r="E16" i="1"/>
  <c r="F16" i="1" s="1"/>
  <c r="E18" i="1"/>
  <c r="F18" i="1" s="1"/>
  <c r="E19" i="1"/>
  <c r="F19" i="1" s="1"/>
  <c r="E21" i="15"/>
  <c r="F21" i="15" s="1"/>
  <c r="E22" i="15"/>
  <c r="F22" i="15" s="1"/>
  <c r="E3" i="15"/>
  <c r="F3" i="15" s="1"/>
  <c r="E5" i="15"/>
  <c r="F5" i="15" s="1"/>
  <c r="E7" i="15"/>
  <c r="F7" i="15" s="1"/>
  <c r="E9" i="15"/>
  <c r="F9" i="15" s="1"/>
  <c r="E11" i="15"/>
  <c r="F11" i="15" s="1"/>
  <c r="E14" i="15"/>
  <c r="F14" i="15" s="1"/>
  <c r="E16" i="15"/>
  <c r="F16" i="15" s="1"/>
  <c r="E18" i="15"/>
  <c r="F18" i="15" s="1"/>
  <c r="E19" i="15"/>
  <c r="F19" i="15" s="1"/>
  <c r="E23" i="15"/>
  <c r="F23" i="15" s="1"/>
  <c r="E24" i="15"/>
  <c r="F24" i="15" s="1"/>
  <c r="D25" i="15"/>
  <c r="E2" i="15"/>
  <c r="E4" i="15"/>
  <c r="F4" i="15" s="1"/>
  <c r="E6" i="15"/>
  <c r="F6" i="15" s="1"/>
  <c r="E8" i="15"/>
  <c r="F8" i="15" s="1"/>
  <c r="E10" i="15"/>
  <c r="F10" i="15" s="1"/>
  <c r="E12" i="15"/>
  <c r="F12" i="15" s="1"/>
  <c r="E13" i="15"/>
  <c r="F13" i="15" s="1"/>
  <c r="E15" i="15"/>
  <c r="F15" i="15" s="1"/>
  <c r="E17" i="15"/>
  <c r="F17" i="15" s="1"/>
  <c r="E20" i="15"/>
  <c r="F20" i="15" s="1"/>
  <c r="D22" i="16"/>
  <c r="E2" i="16"/>
  <c r="F2" i="16" s="1"/>
  <c r="E3" i="16"/>
  <c r="F3" i="16" s="1"/>
  <c r="E4" i="16"/>
  <c r="F4" i="16" s="1"/>
  <c r="E5" i="16"/>
  <c r="F5" i="16" s="1"/>
  <c r="E6" i="16"/>
  <c r="F6" i="16" s="1"/>
  <c r="E7" i="16"/>
  <c r="F7" i="16" s="1"/>
  <c r="E8" i="16"/>
  <c r="F8" i="16" s="1"/>
  <c r="E9" i="16"/>
  <c r="F9" i="16" s="1"/>
  <c r="E10" i="16"/>
  <c r="F10" i="16" s="1"/>
  <c r="E11" i="16"/>
  <c r="F11" i="16" s="1"/>
  <c r="E12" i="16"/>
  <c r="F12" i="16" s="1"/>
  <c r="E13" i="16"/>
  <c r="F13" i="16" s="1"/>
  <c r="E14" i="16"/>
  <c r="F14" i="16" s="1"/>
  <c r="E15" i="16"/>
  <c r="F15" i="16" s="1"/>
  <c r="E16" i="16"/>
  <c r="F16" i="16" s="1"/>
  <c r="E17" i="16"/>
  <c r="F17" i="16" s="1"/>
  <c r="E18" i="16"/>
  <c r="F18" i="16" s="1"/>
  <c r="E19" i="16"/>
  <c r="F19" i="16" s="1"/>
  <c r="E20" i="16"/>
  <c r="F20" i="16" s="1"/>
  <c r="E21" i="16"/>
  <c r="F21" i="16" s="1"/>
  <c r="E2" i="17"/>
  <c r="F2" i="17" s="1"/>
  <c r="E3" i="17"/>
  <c r="F3" i="17" s="1"/>
  <c r="E4" i="17"/>
  <c r="F4" i="17" s="1"/>
  <c r="E5" i="17"/>
  <c r="F5" i="17" s="1"/>
  <c r="E6" i="17"/>
  <c r="F6" i="17" s="1"/>
  <c r="E7" i="17"/>
  <c r="F7" i="17" s="1"/>
  <c r="E8" i="17"/>
  <c r="F8" i="17" s="1"/>
  <c r="E9" i="17"/>
  <c r="F9" i="17" s="1"/>
  <c r="E10" i="17"/>
  <c r="F10" i="17" s="1"/>
  <c r="E11" i="17"/>
  <c r="F11" i="17" s="1"/>
  <c r="E12" i="17"/>
  <c r="F12" i="17" s="1"/>
  <c r="E13" i="17"/>
  <c r="F13" i="17" s="1"/>
  <c r="E14" i="17"/>
  <c r="F14" i="17" s="1"/>
  <c r="E15" i="17"/>
  <c r="F15" i="17" s="1"/>
  <c r="E16" i="17"/>
  <c r="F16" i="17" s="1"/>
  <c r="E17" i="17"/>
  <c r="F17" i="17" s="1"/>
  <c r="D18" i="17"/>
  <c r="D24" i="18"/>
  <c r="E3" i="18"/>
  <c r="F3" i="18" s="1"/>
  <c r="E5" i="18"/>
  <c r="F5" i="18" s="1"/>
  <c r="E7" i="18"/>
  <c r="F7" i="18" s="1"/>
  <c r="E9" i="18"/>
  <c r="F9" i="18" s="1"/>
  <c r="E11" i="18"/>
  <c r="F11" i="18" s="1"/>
  <c r="E13" i="18"/>
  <c r="F13" i="18" s="1"/>
  <c r="E15" i="18"/>
  <c r="F15" i="18" s="1"/>
  <c r="E17" i="18"/>
  <c r="F17" i="18" s="1"/>
  <c r="E19" i="18"/>
  <c r="F19" i="18" s="1"/>
  <c r="E21" i="18"/>
  <c r="F21" i="18" s="1"/>
  <c r="E23" i="18"/>
  <c r="F23" i="18" s="1"/>
  <c r="E2" i="18"/>
  <c r="F2" i="18" s="1"/>
  <c r="E4" i="18"/>
  <c r="F4" i="18" s="1"/>
  <c r="E6" i="18"/>
  <c r="F6" i="18" s="1"/>
  <c r="E8" i="18"/>
  <c r="F8" i="18" s="1"/>
  <c r="E10" i="18"/>
  <c r="F10" i="18" s="1"/>
  <c r="E12" i="18"/>
  <c r="F12" i="18" s="1"/>
  <c r="E14" i="18"/>
  <c r="F14" i="18" s="1"/>
  <c r="E16" i="18"/>
  <c r="F16" i="18" s="1"/>
  <c r="E18" i="18"/>
  <c r="F18" i="18" s="1"/>
  <c r="E20" i="18"/>
  <c r="F20" i="18" s="1"/>
  <c r="E22" i="18"/>
  <c r="F22" i="18" s="1"/>
  <c r="D21" i="19"/>
  <c r="E2" i="19"/>
  <c r="E3" i="19"/>
  <c r="F3" i="19" s="1"/>
  <c r="E4" i="19"/>
  <c r="F4" i="19" s="1"/>
  <c r="E5" i="19"/>
  <c r="F5" i="19" s="1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6" i="19"/>
  <c r="F16" i="19" s="1"/>
  <c r="E17" i="19"/>
  <c r="F17" i="19" s="1"/>
  <c r="E18" i="19"/>
  <c r="F18" i="19" s="1"/>
  <c r="E19" i="19"/>
  <c r="F19" i="19" s="1"/>
  <c r="E20" i="19"/>
  <c r="F20" i="19" s="1"/>
  <c r="E2" i="20"/>
  <c r="E3" i="20"/>
  <c r="F3" i="20" s="1"/>
  <c r="E4" i="20"/>
  <c r="F4" i="20" s="1"/>
  <c r="E6" i="20"/>
  <c r="F6" i="20" s="1"/>
  <c r="E7" i="20"/>
  <c r="F7" i="20" s="1"/>
  <c r="E8" i="20"/>
  <c r="F8" i="20" s="1"/>
  <c r="E9" i="20"/>
  <c r="F9" i="20" s="1"/>
  <c r="E10" i="20"/>
  <c r="F10" i="20" s="1"/>
  <c r="E12" i="20"/>
  <c r="F12" i="20" s="1"/>
  <c r="E13" i="20"/>
  <c r="F13" i="20" s="1"/>
  <c r="E14" i="20"/>
  <c r="F14" i="20" s="1"/>
  <c r="E15" i="20"/>
  <c r="F15" i="20" s="1"/>
  <c r="E16" i="20"/>
  <c r="F16" i="20" s="1"/>
  <c r="E17" i="20"/>
  <c r="F17" i="20" s="1"/>
  <c r="E18" i="20"/>
  <c r="F18" i="20" s="1"/>
  <c r="E19" i="20"/>
  <c r="F19" i="20" s="1"/>
  <c r="E20" i="20"/>
  <c r="F20" i="20" s="1"/>
  <c r="E21" i="20"/>
  <c r="F21" i="20" s="1"/>
  <c r="E23" i="20"/>
  <c r="F23" i="20" s="1"/>
  <c r="E24" i="20"/>
  <c r="F24" i="20" s="1"/>
  <c r="E25" i="20"/>
  <c r="F25" i="20" s="1"/>
  <c r="E27" i="20"/>
  <c r="F27" i="20" s="1"/>
  <c r="D28" i="20"/>
  <c r="D26" i="21"/>
  <c r="E2" i="21"/>
  <c r="F2" i="21" s="1"/>
  <c r="E4" i="21"/>
  <c r="F4" i="21" s="1"/>
  <c r="E7" i="21"/>
  <c r="F7" i="21" s="1"/>
  <c r="H7" i="21" s="1"/>
  <c r="E9" i="21"/>
  <c r="F9" i="21" s="1"/>
  <c r="E12" i="21"/>
  <c r="F12" i="21" s="1"/>
  <c r="E14" i="21"/>
  <c r="F14" i="21" s="1"/>
  <c r="E16" i="21"/>
  <c r="F16" i="21" s="1"/>
  <c r="E20" i="21"/>
  <c r="F20" i="21" s="1"/>
  <c r="E22" i="21"/>
  <c r="F22" i="21" s="1"/>
  <c r="E25" i="21"/>
  <c r="F25" i="21" s="1"/>
  <c r="E3" i="21"/>
  <c r="E6" i="21"/>
  <c r="E8" i="21"/>
  <c r="E10" i="21"/>
  <c r="E13" i="21"/>
  <c r="F13" i="21" s="1"/>
  <c r="E15" i="21"/>
  <c r="F15" i="21" s="1"/>
  <c r="E19" i="21"/>
  <c r="F19" i="21" s="1"/>
  <c r="E21" i="21"/>
  <c r="F21" i="21" s="1"/>
  <c r="E24" i="21"/>
  <c r="F24" i="21" s="1"/>
  <c r="AJ7" i="22"/>
  <c r="G6" i="23" s="1"/>
  <c r="E8" i="22"/>
  <c r="F8" i="22" s="1"/>
  <c r="E14" i="22"/>
  <c r="F14" i="22" s="1"/>
  <c r="AJ14" i="22"/>
  <c r="G13" i="23" s="1"/>
  <c r="AJ15" i="22"/>
  <c r="G14" i="23" s="1"/>
  <c r="E15" i="22"/>
  <c r="F15" i="22" s="1"/>
  <c r="E13" i="22"/>
  <c r="F13" i="22" s="1"/>
  <c r="E17" i="22"/>
  <c r="F17" i="22" s="1"/>
  <c r="E12" i="22"/>
  <c r="F12" i="22" s="1"/>
  <c r="E16" i="22"/>
  <c r="F16" i="22" s="1"/>
  <c r="AJ9" i="22"/>
  <c r="G8" i="23" s="1"/>
  <c r="E5" i="22"/>
  <c r="F5" i="22" s="1"/>
  <c r="AJ6" i="22"/>
  <c r="G5" i="23" s="1"/>
  <c r="AJ4" i="22"/>
  <c r="G3" i="23" s="1"/>
  <c r="G9" i="23"/>
  <c r="E18" i="22"/>
  <c r="F18" i="22" s="1"/>
  <c r="C20" i="23"/>
  <c r="E22" i="22"/>
  <c r="F22" i="22" s="1"/>
  <c r="AJ23" i="22"/>
  <c r="G22" i="23" s="1"/>
  <c r="E11" i="22"/>
  <c r="F11" i="22" s="1"/>
  <c r="AF24" i="3" l="1"/>
  <c r="AF23" i="2"/>
  <c r="F2" i="2"/>
  <c r="E23" i="2"/>
  <c r="F2" i="15"/>
  <c r="E25" i="15"/>
  <c r="X21" i="19"/>
  <c r="AE18" i="17"/>
  <c r="AB24" i="18"/>
  <c r="H10" i="22"/>
  <c r="AK28" i="20"/>
  <c r="H26" i="20"/>
  <c r="F10" i="21"/>
  <c r="H10" i="21" s="1"/>
  <c r="H25" i="21"/>
  <c r="H19" i="21"/>
  <c r="F8" i="21"/>
  <c r="H8" i="21" s="1"/>
  <c r="H24" i="21"/>
  <c r="H13" i="21"/>
  <c r="F3" i="21"/>
  <c r="H3" i="21" s="1"/>
  <c r="H21" i="21"/>
  <c r="H15" i="21"/>
  <c r="F6" i="21"/>
  <c r="H6" i="21" s="1"/>
  <c r="AU26" i="21"/>
  <c r="G25" i="23"/>
  <c r="H9" i="22"/>
  <c r="H23" i="22"/>
  <c r="H7" i="22"/>
  <c r="G257" i="23"/>
  <c r="AF22" i="1"/>
  <c r="G188" i="23"/>
  <c r="D68" i="23"/>
  <c r="H27" i="20"/>
  <c r="D66" i="23"/>
  <c r="H25" i="20"/>
  <c r="D270" i="23"/>
  <c r="H15" i="4"/>
  <c r="D262" i="23"/>
  <c r="H7" i="4"/>
  <c r="D258" i="23"/>
  <c r="H3" i="4"/>
  <c r="H14" i="4"/>
  <c r="D269" i="23"/>
  <c r="D265" i="23"/>
  <c r="H10" i="4"/>
  <c r="H6" i="4"/>
  <c r="D261" i="23"/>
  <c r="H17" i="4"/>
  <c r="D272" i="23"/>
  <c r="H5" i="4"/>
  <c r="D260" i="23"/>
  <c r="D266" i="23"/>
  <c r="H11" i="4"/>
  <c r="H13" i="4"/>
  <c r="D268" i="23"/>
  <c r="H9" i="4"/>
  <c r="D264" i="23"/>
  <c r="H16" i="4"/>
  <c r="D271" i="23"/>
  <c r="H12" i="4"/>
  <c r="D267" i="23"/>
  <c r="H8" i="4"/>
  <c r="D263" i="23"/>
  <c r="H4" i="4"/>
  <c r="D259" i="23"/>
  <c r="H15" i="3"/>
  <c r="D246" i="23"/>
  <c r="D238" i="23"/>
  <c r="H7" i="3"/>
  <c r="H18" i="3"/>
  <c r="D249" i="23"/>
  <c r="D241" i="23"/>
  <c r="H10" i="3"/>
  <c r="H17" i="3"/>
  <c r="D248" i="23"/>
  <c r="H13" i="3"/>
  <c r="D244" i="23"/>
  <c r="H9" i="3"/>
  <c r="D240" i="23"/>
  <c r="H5" i="3"/>
  <c r="D236" i="23"/>
  <c r="D250" i="23"/>
  <c r="H19" i="3"/>
  <c r="D242" i="23"/>
  <c r="H11" i="3"/>
  <c r="D234" i="23"/>
  <c r="H3" i="3"/>
  <c r="H23" i="3"/>
  <c r="D254" i="23"/>
  <c r="D245" i="23"/>
  <c r="H14" i="3"/>
  <c r="H6" i="3"/>
  <c r="D237" i="23"/>
  <c r="D253" i="23"/>
  <c r="H22" i="3"/>
  <c r="H21" i="3"/>
  <c r="D252" i="23"/>
  <c r="H16" i="3"/>
  <c r="D247" i="23"/>
  <c r="H12" i="3"/>
  <c r="D243" i="23"/>
  <c r="H8" i="3"/>
  <c r="D239" i="23"/>
  <c r="H4" i="3"/>
  <c r="D235" i="23"/>
  <c r="H18" i="2"/>
  <c r="D226" i="23"/>
  <c r="H10" i="2"/>
  <c r="D218" i="23"/>
  <c r="H22" i="2"/>
  <c r="D230" i="23"/>
  <c r="H17" i="2"/>
  <c r="D225" i="23"/>
  <c r="H9" i="2"/>
  <c r="D217" i="23"/>
  <c r="H20" i="2"/>
  <c r="D228" i="23"/>
  <c r="H12" i="2"/>
  <c r="D220" i="23"/>
  <c r="H8" i="2"/>
  <c r="D216" i="23"/>
  <c r="H4" i="2"/>
  <c r="D212" i="23"/>
  <c r="H14" i="2"/>
  <c r="D222" i="23"/>
  <c r="H6" i="2"/>
  <c r="D214" i="23"/>
  <c r="H13" i="2"/>
  <c r="D221" i="23"/>
  <c r="H5" i="2"/>
  <c r="D213" i="23"/>
  <c r="H16" i="2"/>
  <c r="D224" i="23"/>
  <c r="D227" i="23"/>
  <c r="H19" i="2"/>
  <c r="D223" i="23"/>
  <c r="H15" i="2"/>
  <c r="D219" i="23"/>
  <c r="H11" i="2"/>
  <c r="D215" i="23"/>
  <c r="H7" i="2"/>
  <c r="D211" i="23"/>
  <c r="H3" i="2"/>
  <c r="D196" i="23"/>
  <c r="H10" i="1"/>
  <c r="D201" i="23"/>
  <c r="H15" i="1"/>
  <c r="H21" i="1"/>
  <c r="D207" i="23"/>
  <c r="H5" i="1"/>
  <c r="D191" i="23"/>
  <c r="H14" i="1"/>
  <c r="D200" i="23"/>
  <c r="H6" i="1"/>
  <c r="D192" i="23"/>
  <c r="H20" i="1"/>
  <c r="D206" i="23"/>
  <c r="D197" i="23"/>
  <c r="H11" i="1"/>
  <c r="D189" i="23"/>
  <c r="H3" i="1"/>
  <c r="H18" i="1"/>
  <c r="D204" i="23"/>
  <c r="D193" i="23"/>
  <c r="H7" i="1"/>
  <c r="H16" i="1"/>
  <c r="D202" i="23"/>
  <c r="H8" i="1"/>
  <c r="D194" i="23"/>
  <c r="H13" i="1"/>
  <c r="D199" i="23"/>
  <c r="D205" i="23"/>
  <c r="H19" i="1"/>
  <c r="H12" i="1"/>
  <c r="D198" i="23"/>
  <c r="H4" i="1"/>
  <c r="D190" i="23"/>
  <c r="H17" i="1"/>
  <c r="D203" i="23"/>
  <c r="D195" i="23"/>
  <c r="H13" i="15"/>
  <c r="D174" i="23"/>
  <c r="D167" i="23"/>
  <c r="H6" i="15"/>
  <c r="D185" i="23"/>
  <c r="H24" i="15"/>
  <c r="D177" i="23"/>
  <c r="H16" i="15"/>
  <c r="H7" i="15"/>
  <c r="D168" i="23"/>
  <c r="H21" i="15"/>
  <c r="D182" i="23"/>
  <c r="D181" i="23"/>
  <c r="H20" i="15"/>
  <c r="D173" i="23"/>
  <c r="H12" i="15"/>
  <c r="D165" i="23"/>
  <c r="H4" i="15"/>
  <c r="H23" i="15"/>
  <c r="D184" i="23"/>
  <c r="D175" i="23"/>
  <c r="H14" i="15"/>
  <c r="H5" i="15"/>
  <c r="D166" i="23"/>
  <c r="H17" i="15"/>
  <c r="D178" i="23"/>
  <c r="D171" i="23"/>
  <c r="H10" i="15"/>
  <c r="D180" i="23"/>
  <c r="H19" i="15"/>
  <c r="H11" i="15"/>
  <c r="D172" i="23"/>
  <c r="H3" i="15"/>
  <c r="D164" i="23"/>
  <c r="H15" i="15"/>
  <c r="D176" i="23"/>
  <c r="D169" i="23"/>
  <c r="H8" i="15"/>
  <c r="D179" i="23"/>
  <c r="H18" i="15"/>
  <c r="H9" i="15"/>
  <c r="D170" i="23"/>
  <c r="D183" i="23"/>
  <c r="H22" i="15"/>
  <c r="D158" i="23"/>
  <c r="H19" i="16"/>
  <c r="D154" i="23"/>
  <c r="H15" i="16"/>
  <c r="D150" i="23"/>
  <c r="H11" i="16"/>
  <c r="D146" i="23"/>
  <c r="H7" i="16"/>
  <c r="D142" i="23"/>
  <c r="H3" i="16"/>
  <c r="H18" i="16"/>
  <c r="D157" i="23"/>
  <c r="H14" i="16"/>
  <c r="D153" i="23"/>
  <c r="H10" i="16"/>
  <c r="D149" i="23"/>
  <c r="H6" i="16"/>
  <c r="D145" i="23"/>
  <c r="H2" i="16"/>
  <c r="D141" i="23"/>
  <c r="D160" i="23"/>
  <c r="H21" i="16"/>
  <c r="D156" i="23"/>
  <c r="H17" i="16"/>
  <c r="D152" i="23"/>
  <c r="H13" i="16"/>
  <c r="D148" i="23"/>
  <c r="H9" i="16"/>
  <c r="D144" i="23"/>
  <c r="H5" i="16"/>
  <c r="H20" i="16"/>
  <c r="D159" i="23"/>
  <c r="H16" i="16"/>
  <c r="D155" i="23"/>
  <c r="H12" i="16"/>
  <c r="D151" i="23"/>
  <c r="H8" i="16"/>
  <c r="D147" i="23"/>
  <c r="H4" i="16"/>
  <c r="D143" i="23"/>
  <c r="D133" i="23"/>
  <c r="H14" i="17"/>
  <c r="D129" i="23"/>
  <c r="D121" i="23"/>
  <c r="H7" i="17"/>
  <c r="D136" i="23"/>
  <c r="D128" i="23"/>
  <c r="H6" i="17"/>
  <c r="D120" i="23"/>
  <c r="H5" i="17"/>
  <c r="D119" i="23"/>
  <c r="H17" i="17"/>
  <c r="D137" i="23"/>
  <c r="D125" i="23"/>
  <c r="D117" i="23"/>
  <c r="H3" i="17"/>
  <c r="H13" i="17"/>
  <c r="D132" i="23"/>
  <c r="H10" i="17"/>
  <c r="D124" i="23"/>
  <c r="H16" i="17"/>
  <c r="D135" i="23"/>
  <c r="H12" i="17"/>
  <c r="D131" i="23"/>
  <c r="D127" i="23"/>
  <c r="H9" i="17"/>
  <c r="D123" i="23"/>
  <c r="D134" i="23"/>
  <c r="H15" i="17"/>
  <c r="D130" i="23"/>
  <c r="H11" i="17"/>
  <c r="D126" i="23"/>
  <c r="D122" i="23"/>
  <c r="H8" i="17"/>
  <c r="D118" i="23"/>
  <c r="H4" i="17"/>
  <c r="H18" i="18"/>
  <c r="D108" i="23"/>
  <c r="H17" i="18"/>
  <c r="D107" i="23"/>
  <c r="D98" i="23"/>
  <c r="H8" i="18"/>
  <c r="H23" i="18"/>
  <c r="D113" i="23"/>
  <c r="H7" i="18"/>
  <c r="D97" i="23"/>
  <c r="H22" i="18"/>
  <c r="D112" i="23"/>
  <c r="H5" i="18"/>
  <c r="D95" i="23"/>
  <c r="H10" i="18"/>
  <c r="D100" i="23"/>
  <c r="H9" i="18"/>
  <c r="D99" i="23"/>
  <c r="D106" i="23"/>
  <c r="H16" i="18"/>
  <c r="H15" i="18"/>
  <c r="D105" i="23"/>
  <c r="H14" i="18"/>
  <c r="D104" i="23"/>
  <c r="H6" i="18"/>
  <c r="D96" i="23"/>
  <c r="H21" i="18"/>
  <c r="D111" i="23"/>
  <c r="H13" i="18"/>
  <c r="D103" i="23"/>
  <c r="D110" i="23"/>
  <c r="H20" i="18"/>
  <c r="D102" i="23"/>
  <c r="H12" i="18"/>
  <c r="D94" i="23"/>
  <c r="H4" i="18"/>
  <c r="H19" i="18"/>
  <c r="D109" i="23"/>
  <c r="H11" i="18"/>
  <c r="D101" i="23"/>
  <c r="H3" i="18"/>
  <c r="D93" i="23"/>
  <c r="D85" i="23"/>
  <c r="H16" i="19"/>
  <c r="D77" i="23"/>
  <c r="H8" i="19"/>
  <c r="H19" i="19"/>
  <c r="D88" i="23"/>
  <c r="H15" i="19"/>
  <c r="D84" i="23"/>
  <c r="H11" i="19"/>
  <c r="D80" i="23"/>
  <c r="H7" i="19"/>
  <c r="D76" i="23"/>
  <c r="H3" i="19"/>
  <c r="D72" i="23"/>
  <c r="D89" i="23"/>
  <c r="H20" i="19"/>
  <c r="D73" i="23"/>
  <c r="H4" i="19"/>
  <c r="D87" i="23"/>
  <c r="H18" i="19"/>
  <c r="D83" i="23"/>
  <c r="H14" i="19"/>
  <c r="D79" i="23"/>
  <c r="H10" i="19"/>
  <c r="D75" i="23"/>
  <c r="H6" i="19"/>
  <c r="D81" i="23"/>
  <c r="H12" i="19"/>
  <c r="H17" i="19"/>
  <c r="D86" i="23"/>
  <c r="H13" i="19"/>
  <c r="D82" i="23"/>
  <c r="H9" i="19"/>
  <c r="D78" i="23"/>
  <c r="H5" i="19"/>
  <c r="D74" i="23"/>
  <c r="D60" i="23"/>
  <c r="H18" i="20"/>
  <c r="D48" i="23"/>
  <c r="H4" i="20"/>
  <c r="D63" i="23"/>
  <c r="D42" i="23"/>
  <c r="H21" i="20"/>
  <c r="D59" i="23"/>
  <c r="D38" i="23"/>
  <c r="H17" i="20"/>
  <c r="D55" i="23"/>
  <c r="D34" i="23"/>
  <c r="H13" i="20"/>
  <c r="D51" i="23"/>
  <c r="D30" i="23"/>
  <c r="H8" i="20"/>
  <c r="D47" i="23"/>
  <c r="D26" i="23"/>
  <c r="H3" i="20"/>
  <c r="D64" i="23"/>
  <c r="D43" i="23"/>
  <c r="H23" i="20"/>
  <c r="D52" i="23"/>
  <c r="H9" i="20"/>
  <c r="H20" i="20"/>
  <c r="D62" i="23"/>
  <c r="D58" i="23"/>
  <c r="H16" i="20"/>
  <c r="H12" i="20"/>
  <c r="D54" i="23"/>
  <c r="D50" i="23"/>
  <c r="H7" i="20"/>
  <c r="D56" i="23"/>
  <c r="H14" i="20"/>
  <c r="H24" i="20"/>
  <c r="D65" i="23"/>
  <c r="H19" i="20"/>
  <c r="D61" i="23"/>
  <c r="D40" i="23"/>
  <c r="H15" i="20"/>
  <c r="D57" i="23"/>
  <c r="D36" i="23"/>
  <c r="H10" i="20"/>
  <c r="D53" i="23"/>
  <c r="D32" i="23"/>
  <c r="H6" i="20"/>
  <c r="D49" i="23"/>
  <c r="D28" i="23"/>
  <c r="H4" i="21"/>
  <c r="D27" i="23"/>
  <c r="H22" i="21"/>
  <c r="D41" i="23"/>
  <c r="D33" i="23"/>
  <c r="H12" i="21"/>
  <c r="H20" i="21"/>
  <c r="D39" i="23"/>
  <c r="H9" i="21"/>
  <c r="D31" i="23"/>
  <c r="H14" i="21"/>
  <c r="D35" i="23"/>
  <c r="H16" i="21"/>
  <c r="D37" i="23"/>
  <c r="D29" i="23"/>
  <c r="D17" i="23"/>
  <c r="H18" i="22"/>
  <c r="D15" i="23"/>
  <c r="H16" i="22"/>
  <c r="D11" i="23"/>
  <c r="H12" i="22"/>
  <c r="D14" i="23"/>
  <c r="H15" i="22"/>
  <c r="D21" i="23"/>
  <c r="H22" i="22"/>
  <c r="D16" i="23"/>
  <c r="H17" i="22"/>
  <c r="D10" i="23"/>
  <c r="H11" i="22"/>
  <c r="D4" i="23"/>
  <c r="H5" i="22"/>
  <c r="D13" i="23"/>
  <c r="H14" i="22"/>
  <c r="D7" i="23"/>
  <c r="H8" i="22"/>
  <c r="D12" i="23"/>
  <c r="H13" i="22"/>
  <c r="AJ20" i="22"/>
  <c r="G19" i="23" s="1"/>
  <c r="C19" i="23"/>
  <c r="AJ3" i="22"/>
  <c r="G2" i="23" s="1"/>
  <c r="C2" i="23"/>
  <c r="E19" i="22"/>
  <c r="F19" i="22" s="1"/>
  <c r="C18" i="23"/>
  <c r="F2" i="4"/>
  <c r="E21" i="4"/>
  <c r="F21" i="4" s="1"/>
  <c r="H21" i="4" s="1"/>
  <c r="F2" i="3"/>
  <c r="E24" i="3"/>
  <c r="F24" i="3" s="1"/>
  <c r="H24" i="3" s="1"/>
  <c r="E22" i="1"/>
  <c r="E22" i="16"/>
  <c r="E18" i="17"/>
  <c r="E24" i="18"/>
  <c r="F2" i="19"/>
  <c r="E21" i="19"/>
  <c r="F2" i="20"/>
  <c r="E28" i="20"/>
  <c r="F28" i="20" s="1"/>
  <c r="H28" i="20" s="1"/>
  <c r="E26" i="21"/>
  <c r="F26" i="21" s="1"/>
  <c r="E20" i="22"/>
  <c r="F20" i="22" s="1"/>
  <c r="F3" i="22"/>
  <c r="AJ19" i="22"/>
  <c r="G18" i="23" s="1"/>
  <c r="AJ21" i="22"/>
  <c r="G20" i="23" s="1"/>
  <c r="E21" i="22"/>
  <c r="F21" i="22" s="1"/>
  <c r="D24" i="22"/>
  <c r="F23" i="2" l="1"/>
  <c r="F22" i="1"/>
  <c r="H22" i="1" s="1"/>
  <c r="F25" i="15"/>
  <c r="H25" i="15" s="1"/>
  <c r="F22" i="16"/>
  <c r="H22" i="16" s="1"/>
  <c r="F18" i="17"/>
  <c r="H18" i="17" s="1"/>
  <c r="F24" i="18"/>
  <c r="H24" i="18" s="1"/>
  <c r="F21" i="19"/>
  <c r="H21" i="19" s="1"/>
  <c r="H26" i="21"/>
  <c r="D257" i="23"/>
  <c r="H2" i="4"/>
  <c r="D233" i="23"/>
  <c r="H2" i="3"/>
  <c r="H2" i="2"/>
  <c r="D210" i="23"/>
  <c r="D188" i="23"/>
  <c r="H2" i="1"/>
  <c r="D163" i="23"/>
  <c r="H2" i="15"/>
  <c r="D140" i="23"/>
  <c r="H2" i="17"/>
  <c r="D116" i="23"/>
  <c r="H2" i="18"/>
  <c r="D92" i="23"/>
  <c r="D71" i="23"/>
  <c r="H2" i="19"/>
  <c r="D46" i="23"/>
  <c r="H2" i="20"/>
  <c r="D25" i="23"/>
  <c r="H2" i="21"/>
  <c r="D2" i="23"/>
  <c r="H3" i="22"/>
  <c r="D20" i="23"/>
  <c r="H21" i="22"/>
  <c r="D19" i="23"/>
  <c r="H20" i="22"/>
  <c r="D18" i="23"/>
  <c r="H19" i="22"/>
  <c r="E24" i="22"/>
  <c r="AJ24" i="22"/>
  <c r="H23" i="2" l="1"/>
  <c r="F24" i="22"/>
  <c r="H24" i="22" s="1"/>
</calcChain>
</file>

<file path=xl/sharedStrings.xml><?xml version="1.0" encoding="utf-8"?>
<sst xmlns="http://schemas.openxmlformats.org/spreadsheetml/2006/main" count="407" uniqueCount="65">
  <si>
    <t>Date</t>
  </si>
  <si>
    <t># Buffers</t>
  </si>
  <si>
    <t>Ttl Buffed</t>
  </si>
  <si>
    <t>Ave per person</t>
  </si>
  <si>
    <t>Brian</t>
  </si>
  <si>
    <t>Tania</t>
  </si>
  <si>
    <t>Steph</t>
  </si>
  <si>
    <t>Tiarra</t>
  </si>
  <si>
    <t>Anna</t>
  </si>
  <si>
    <t>Average</t>
  </si>
  <si>
    <t>Returned to Buff</t>
  </si>
  <si>
    <t>RW after buff</t>
  </si>
  <si>
    <t>FTQ for buff</t>
  </si>
  <si>
    <t xml:space="preserve">BUFFING SUMMARY </t>
  </si>
  <si>
    <t>AVERAGE PER PERSON</t>
  </si>
  <si>
    <t>RETURNED TO BUFF</t>
  </si>
  <si>
    <t>REWORK FROM BUFF</t>
  </si>
  <si>
    <t>FTQ FOR BUFFING</t>
  </si>
  <si>
    <t>Renee</t>
  </si>
  <si>
    <t>PARTS INTO BUFF FROM LINE</t>
  </si>
  <si>
    <t>TOTAL PARTS BUFFED</t>
  </si>
  <si>
    <t>Jeff</t>
  </si>
  <si>
    <t>Into Buff from Line</t>
  </si>
  <si>
    <t># OF DAYS IN STREAK 
(MORE OUT OF BUFF THAN INTO BUFF)</t>
  </si>
  <si>
    <t>Tara</t>
  </si>
  <si>
    <t>Anshad</t>
  </si>
  <si>
    <t>Arathi</t>
  </si>
  <si>
    <t>Sarfraz</t>
  </si>
  <si>
    <t>Justine</t>
  </si>
  <si>
    <t>Ave/hr</t>
  </si>
  <si>
    <t>% Efficiency</t>
  </si>
  <si>
    <t>Target/ Hr</t>
  </si>
  <si>
    <t>% EFFICIENCY</t>
  </si>
  <si>
    <t>Akash</t>
  </si>
  <si>
    <t>Joe</t>
  </si>
  <si>
    <t>Sony</t>
  </si>
  <si>
    <t>Reny</t>
  </si>
  <si>
    <t>AVERAGE PER HOUR</t>
  </si>
  <si>
    <t>Michaela</t>
  </si>
  <si>
    <t>Robyn</t>
  </si>
  <si>
    <t>Felicia</t>
  </si>
  <si>
    <t>Janice</t>
  </si>
  <si>
    <t>Amy</t>
  </si>
  <si>
    <t>Sam</t>
  </si>
  <si>
    <t>Kevin</t>
  </si>
  <si>
    <t>Jenda</t>
  </si>
  <si>
    <t>Nithin</t>
  </si>
  <si>
    <t>Jimmy</t>
  </si>
  <si>
    <t>Gibi</t>
  </si>
  <si>
    <t>Hrithik</t>
  </si>
  <si>
    <t>Renjan</t>
  </si>
  <si>
    <t>Alex</t>
  </si>
  <si>
    <t>Joseph</t>
  </si>
  <si>
    <t>Total</t>
  </si>
  <si>
    <t>Raven</t>
  </si>
  <si>
    <t>Hannah</t>
  </si>
  <si>
    <t>TTL</t>
  </si>
  <si>
    <t>RETURN TO BUFF</t>
  </si>
  <si>
    <t>Sara</t>
  </si>
  <si>
    <t>OCT</t>
  </si>
  <si>
    <t xml:space="preserve">Anna D </t>
  </si>
  <si>
    <t xml:space="preserve">Hannah </t>
  </si>
  <si>
    <t xml:space="preserve">Stephanie </t>
  </si>
  <si>
    <t xml:space="preserve">Raven </t>
  </si>
  <si>
    <t xml:space="preserve">Rachel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</si>
</sst>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24"/>
      <color theme="1"/>
      <name val="Arial Black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b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16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/>
    <xf numFmtId="16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" fontId="9" fillId="0" borderId="1" xfId="0" applyNumberFormat="1" applyFont="1" applyBorder="1" applyAlignment="1">
      <alignment horizontal="center" wrapText="1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/>
    <xf numFmtId="0" fontId="9" fillId="0" borderId="1" xfId="0" applyFont="1" applyBorder="1" applyAlignment="1">
      <alignment wrapText="1"/>
    </xf>
    <xf numFmtId="9" fontId="8" fillId="0" borderId="1" xfId="0" applyNumberFormat="1" applyFont="1" applyBorder="1"/>
    <xf numFmtId="0" fontId="10" fillId="0" borderId="0" xfId="0" applyFont="1"/>
    <xf numFmtId="0" fontId="12" fillId="0" borderId="0" xfId="0" applyFont="1"/>
    <xf numFmtId="9" fontId="12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2" fillId="2" borderId="0" xfId="0" applyFont="1" applyFill="1"/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1" fontId="9" fillId="0" borderId="2" xfId="0" applyNumberFormat="1" applyFont="1" applyBorder="1" applyAlignment="1">
      <alignment horizontal="center" wrapText="1"/>
    </xf>
    <xf numFmtId="0" fontId="9" fillId="0" borderId="3" xfId="0" applyFont="1" applyBorder="1" applyAlignment="1">
      <alignment wrapText="1"/>
    </xf>
    <xf numFmtId="16" fontId="8" fillId="0" borderId="4" xfId="0" applyNumberFormat="1" applyFont="1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9" fontId="8" fillId="0" borderId="7" xfId="0" applyNumberFormat="1" applyFont="1" applyBorder="1"/>
    <xf numFmtId="1" fontId="8" fillId="0" borderId="8" xfId="0" applyNumberFormat="1" applyFont="1" applyBorder="1"/>
    <xf numFmtId="9" fontId="8" fillId="0" borderId="9" xfId="0" applyNumberFormat="1" applyFont="1" applyBorder="1"/>
    <xf numFmtId="0" fontId="9" fillId="0" borderId="6" xfId="0" applyFont="1" applyBorder="1"/>
    <xf numFmtId="1" fontId="8" fillId="0" borderId="0" xfId="0" applyNumberFormat="1" applyFont="1"/>
    <xf numFmtId="9" fontId="8" fillId="0" borderId="0" xfId="0" applyNumberFormat="1" applyFont="1"/>
    <xf numFmtId="16" fontId="8" fillId="0" borderId="10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 wrapText="1"/>
    </xf>
    <xf numFmtId="9" fontId="8" fillId="0" borderId="0" xfId="0" applyNumberFormat="1" applyFont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" fontId="11" fillId="0" borderId="0" xfId="0" applyNumberFormat="1" applyFont="1" applyAlignment="1">
      <alignment shrinkToFit="1"/>
    </xf>
    <xf numFmtId="0" fontId="9" fillId="0" borderId="1" xfId="0" applyFont="1" applyBorder="1" applyAlignment="1">
      <alignment textRotation="90"/>
    </xf>
    <xf numFmtId="0" fontId="9" fillId="0" borderId="1" xfId="0" applyFont="1" applyBorder="1" applyAlignment="1">
      <alignment textRotation="90" wrapText="1"/>
    </xf>
    <xf numFmtId="0" fontId="9" fillId="0" borderId="1" xfId="0" applyFont="1" applyBorder="1" applyAlignment="1">
      <alignment horizontal="center" textRotation="90" wrapText="1"/>
    </xf>
    <xf numFmtId="1" fontId="9" fillId="0" borderId="1" xfId="0" applyNumberFormat="1" applyFont="1" applyBorder="1" applyAlignment="1">
      <alignment horizontal="center" textRotation="90" wrapText="1"/>
    </xf>
    <xf numFmtId="1" fontId="9" fillId="0" borderId="0" xfId="0" applyNumberFormat="1" applyFont="1" applyAlignment="1">
      <alignment horizontal="center" textRotation="90" wrapText="1"/>
    </xf>
    <xf numFmtId="16" fontId="11" fillId="0" borderId="0" xfId="0" applyNumberFormat="1" applyFont="1" applyAlignment="1">
      <alignment horizontal="center" shrinkToFit="1"/>
    </xf>
    <xf numFmtId="1" fontId="7" fillId="0" borderId="1" xfId="0" applyNumberFormat="1" applyFont="1" applyBorder="1"/>
    <xf numFmtId="1" fontId="6" fillId="0" borderId="1" xfId="0" applyNumberFormat="1" applyFont="1" applyBorder="1"/>
    <xf numFmtId="16" fontId="5" fillId="0" borderId="0" xfId="0" applyNumberFormat="1" applyFont="1" applyAlignment="1">
      <alignment horizontal="center"/>
    </xf>
    <xf numFmtId="1" fontId="4" fillId="0" borderId="1" xfId="0" applyNumberFormat="1" applyFont="1" applyBorder="1"/>
    <xf numFmtId="1" fontId="3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8" fillId="0" borderId="0" xfId="0" applyFont="1" applyAlignment="1">
      <alignment textRotation="90"/>
    </xf>
    <xf numFmtId="16" fontId="1" fillId="0" borderId="0" xfId="0" applyNumberFormat="1" applyFont="1" applyAlignment="1">
      <alignment horizontal="center"/>
    </xf>
    <xf numFmtId="3" fontId="12" fillId="0" borderId="0" xfId="0" applyNumberFormat="1" applyFont="1"/>
    <xf numFmtId="1" fontId="12" fillId="0" borderId="0" xfId="0" applyNumberFormat="1" applyFont="1"/>
    <xf numFmtId="0" fontId="1" fillId="0" borderId="0" xfId="0" applyFont="1"/>
    <xf numFmtId="0" fontId="14" fillId="0" borderId="0" xfId="0" applyFont="1" applyAlignment="1">
      <alignment horizontal="center" vertical="center"/>
    </xf>
    <xf numFmtId="16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textRotation="90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7524"/>
      <color rgb="FFF5A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October</a:t>
            </a:r>
            <a:r>
              <a:rPr lang="en-US" baseline="0">
                <a:latin typeface="Arial Black" panose="020B0A04020102020204" pitchFamily="34" charset="0"/>
              </a:rPr>
              <a:t> </a:t>
            </a:r>
            <a:r>
              <a:rPr lang="en-US">
                <a:latin typeface="Arial Black" panose="020B0A04020102020204" pitchFamily="34" charset="0"/>
              </a:rPr>
              <a:t> 2023 Buffing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Oct!$B$1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Oct!$A$2:$A$22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Oct!$B$2:$B$22</c:f>
              <c:numCache>
                <c:formatCode>0</c:formatCode>
                <c:ptCount val="21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2EE-478E-A9D5-7FEFE3FD6434}"/>
            </c:ext>
          </c:extLst>
        </c:ser>
        <c:ser>
          <c:idx val="3"/>
          <c:order val="1"/>
          <c:tx>
            <c:strRef>
              <c:f>Oct!$C$1</c:f>
              <c:strCache>
                <c:ptCount val="1"/>
                <c:pt idx="0">
                  <c:v># Buffers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Oct!$A$2:$A$22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Oct!$C$2:$C$22</c:f>
              <c:numCache>
                <c:formatCode>0</c:formatCode>
                <c:ptCount val="21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B2EE-478E-A9D5-7FEFE3FD6434}"/>
            </c:ext>
          </c:extLst>
        </c:ser>
        <c:ser>
          <c:idx val="4"/>
          <c:order val="2"/>
          <c:tx>
            <c:strRef>
              <c:f>Oct!$D$1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9F-4F78-8BBC-FCAD0740BB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Oct!$A$2:$A$22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Oct!$D$2:$D$22</c:f>
              <c:numCache>
                <c:formatCode>0</c:formatCode>
                <c:ptCount val="21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2EE-478E-A9D5-7FEFE3FD6434}"/>
            </c:ext>
          </c:extLst>
        </c:ser>
        <c:ser>
          <c:idx val="0"/>
          <c:order val="3"/>
          <c:tx>
            <c:strRef>
              <c:f>Oct!$E$1</c:f>
              <c:strCache>
                <c:ptCount val="1"/>
                <c:pt idx="0">
                  <c:v>Ave per person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Oct!$A$2:$A$22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Oct!$E$2:$E$22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3-4907-80FE-3FE40F27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  <c:extLst/>
      </c:barChart>
      <c:lineChart>
        <c:grouping val="standard"/>
        <c:varyColors val="0"/>
        <c:ser>
          <c:idx val="1"/>
          <c:order val="4"/>
          <c:tx>
            <c:strRef>
              <c:f>Oct!$F$1</c:f>
              <c:strCache>
                <c:ptCount val="1"/>
                <c:pt idx="0">
                  <c:v>Ave/hr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Oct!$A$2:$A$22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Oct!$F$2:$F$22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3-4907-80FE-3FE40F27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441544"/>
        <c:axId val="404442624"/>
      </c:lineChart>
      <c:dateAx>
        <c:axId val="541071080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40444262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41544"/>
        <c:crosses val="max"/>
        <c:crossBetween val="between"/>
      </c:valAx>
      <c:dateAx>
        <c:axId val="40444154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40444262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Oct 2023 Buffing Results</a:t>
            </a:r>
          </a:p>
        </c:rich>
      </c:tx>
      <c:layout>
        <c:manualLayout>
          <c:xMode val="edge"/>
          <c:yMode val="edge"/>
          <c:x val="0.30594198963510372"/>
          <c:y val="2.6172297985007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Info'!$B$209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Info'!$B$210:$B$230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D5C-403E-95F7-1772A39A0D9A}"/>
            </c:ext>
          </c:extLst>
        </c:ser>
        <c:ser>
          <c:idx val="1"/>
          <c:order val="1"/>
          <c:tx>
            <c:strRef>
              <c:f>'Charts Info'!$C$209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Info'!$C$210:$C$230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D5C-403E-95F7-1772A39A0D9A}"/>
            </c:ext>
          </c:extLst>
        </c:ser>
        <c:ser>
          <c:idx val="3"/>
          <c:order val="3"/>
          <c:tx>
            <c:strRef>
              <c:f>'Charts Info'!$E$209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Info'!$E$210:$E$230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5C-403E-95F7-1772A39A0D9A}"/>
            </c:ext>
          </c:extLst>
        </c:ser>
        <c:ser>
          <c:idx val="4"/>
          <c:order val="4"/>
          <c:tx>
            <c:strRef>
              <c:f>'Charts Info'!$F$209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Info'!$F$210:$F$230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D5C-403E-95F7-1772A39A0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071080"/>
        <c:axId val="54106747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'Charts Info'!$D$91</c15:sqref>
                        </c15:formulaRef>
                      </c:ext>
                    </c:extLst>
                    <c:strCache>
                      <c:ptCount val="1"/>
                      <c:pt idx="0">
                        <c:v>Ave/hr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'Charts Info'!$A$210:$A$230</c15:sqref>
                        </c15:formulaRef>
                      </c:ext>
                    </c:extLst>
                    <c:numCache>
                      <c:formatCode>d\-mmm</c:formatCode>
                      <c:ptCount val="21"/>
                      <c:pt idx="0">
                        <c:v>45201</c:v>
                      </c:pt>
                      <c:pt idx="1">
                        <c:v>45202</c:v>
                      </c:pt>
                      <c:pt idx="2">
                        <c:v>45203</c:v>
                      </c:pt>
                      <c:pt idx="3">
                        <c:v>45204</c:v>
                      </c:pt>
                      <c:pt idx="4">
                        <c:v>45205</c:v>
                      </c:pt>
                      <c:pt idx="5">
                        <c:v>45209</c:v>
                      </c:pt>
                      <c:pt idx="6">
                        <c:v>45210</c:v>
                      </c:pt>
                      <c:pt idx="7">
                        <c:v>45211</c:v>
                      </c:pt>
                      <c:pt idx="8">
                        <c:v>45212</c:v>
                      </c:pt>
                      <c:pt idx="9">
                        <c:v>45215</c:v>
                      </c:pt>
                      <c:pt idx="10">
                        <c:v>45216</c:v>
                      </c:pt>
                      <c:pt idx="11">
                        <c:v>45217</c:v>
                      </c:pt>
                      <c:pt idx="12">
                        <c:v>45218</c:v>
                      </c:pt>
                      <c:pt idx="13">
                        <c:v>45219</c:v>
                      </c:pt>
                      <c:pt idx="14">
                        <c:v>45222</c:v>
                      </c:pt>
                      <c:pt idx="15">
                        <c:v>45223</c:v>
                      </c:pt>
                      <c:pt idx="16">
                        <c:v>45224</c:v>
                      </c:pt>
                      <c:pt idx="17">
                        <c:v>45225</c:v>
                      </c:pt>
                      <c:pt idx="18">
                        <c:v>45226</c:v>
                      </c:pt>
                      <c:pt idx="19">
                        <c:v>45229</c:v>
                      </c:pt>
                      <c:pt idx="20">
                        <c:v>45230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'Charts Info'!$D$92:$D$113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 formatCode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D5C-403E-95F7-1772A39A0D9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'Charts Info'!$G$209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Info'!$G$210:$G$230</c:f>
              <c:numCache>
                <c:formatCode>General</c:formatCode>
                <c:ptCount val="21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AD5C-403E-95F7-1772A39A0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024416"/>
        <c:axId val="485023336"/>
        <c:extLst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4850233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4416"/>
        <c:crosses val="max"/>
        <c:crossBetween val="between"/>
      </c:valAx>
      <c:dateAx>
        <c:axId val="48502441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4850233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Jan 2023 Buffing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Info'!$B$1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Info'!$A$2:$A$22</c:f>
              <c:numCache>
                <c:formatCode>d\-mmm</c:formatCode>
                <c:ptCount val="21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</c:numCache>
            </c:numRef>
          </c:cat>
          <c:val>
            <c:numRef>
              <c:f>'Charts Info'!$B$2:$B$22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4-4B54-8E0F-BB85396D8EEE}"/>
            </c:ext>
          </c:extLst>
        </c:ser>
        <c:ser>
          <c:idx val="1"/>
          <c:order val="1"/>
          <c:tx>
            <c:strRef>
              <c:f>'Charts Info'!$C$1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Info'!$A$2:$A$22</c:f>
              <c:numCache>
                <c:formatCode>d\-mmm</c:formatCode>
                <c:ptCount val="21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</c:numCache>
            </c:numRef>
          </c:cat>
          <c:val>
            <c:numRef>
              <c:f>'Charts Info'!$C$2:$C$22</c:f>
              <c:numCache>
                <c:formatCode>General</c:formatCode>
                <c:ptCount val="21"/>
                <c:pt idx="0">
                  <c:v>560</c:v>
                </c:pt>
                <c:pt idx="1">
                  <c:v>419</c:v>
                </c:pt>
                <c:pt idx="2">
                  <c:v>402</c:v>
                </c:pt>
                <c:pt idx="3">
                  <c:v>369</c:v>
                </c:pt>
                <c:pt idx="4">
                  <c:v>532</c:v>
                </c:pt>
                <c:pt idx="5">
                  <c:v>525</c:v>
                </c:pt>
                <c:pt idx="6">
                  <c:v>855</c:v>
                </c:pt>
                <c:pt idx="7">
                  <c:v>565</c:v>
                </c:pt>
                <c:pt idx="8">
                  <c:v>603</c:v>
                </c:pt>
                <c:pt idx="9">
                  <c:v>570</c:v>
                </c:pt>
                <c:pt idx="10">
                  <c:v>562</c:v>
                </c:pt>
                <c:pt idx="11">
                  <c:v>598</c:v>
                </c:pt>
                <c:pt idx="12">
                  <c:v>472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4-4B54-8E0F-BB85396D8EEE}"/>
            </c:ext>
          </c:extLst>
        </c:ser>
        <c:ser>
          <c:idx val="2"/>
          <c:order val="2"/>
          <c:tx>
            <c:strRef>
              <c:f>'Charts Info'!$D$1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Info'!$A$2:$A$22</c:f>
              <c:numCache>
                <c:formatCode>d\-mmm</c:formatCode>
                <c:ptCount val="21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</c:numCache>
            </c:numRef>
          </c:cat>
          <c:val>
            <c:numRef>
              <c:f>'Charts Info'!$D$2:$D$22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4-4B54-8E0F-BB85396D8EEE}"/>
            </c:ext>
          </c:extLst>
        </c:ser>
        <c:ser>
          <c:idx val="3"/>
          <c:order val="3"/>
          <c:tx>
            <c:strRef>
              <c:f>'Charts Info'!$E$1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Info'!$A$2:$A$22</c:f>
              <c:numCache>
                <c:formatCode>d\-mmm</c:formatCode>
                <c:ptCount val="21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</c:numCache>
            </c:numRef>
          </c:cat>
          <c:val>
            <c:numRef>
              <c:f>'Charts Info'!$E$2:$E$22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F4-4B54-8E0F-BB85396D8EEE}"/>
            </c:ext>
          </c:extLst>
        </c:ser>
        <c:ser>
          <c:idx val="4"/>
          <c:order val="4"/>
          <c:tx>
            <c:strRef>
              <c:f>'Charts Info'!$F$1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Info'!$A$2:$A$22</c:f>
              <c:numCache>
                <c:formatCode>d\-mmm</c:formatCode>
                <c:ptCount val="21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</c:numCache>
            </c:numRef>
          </c:cat>
          <c:val>
            <c:numRef>
              <c:f>'Charts Info'!$F$2:$F$22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F4-4B54-8E0F-BB85396D8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Info'!$G$1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Info'!$A$2:$A$22</c:f>
              <c:numCache>
                <c:formatCode>d\-mmm</c:formatCode>
                <c:ptCount val="21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</c:numCache>
            </c:numRef>
          </c:cat>
          <c:val>
            <c:numRef>
              <c:f>'Charts Info'!$G$2:$G$22</c:f>
              <c:numCache>
                <c:formatCode>0%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F4-4B54-8E0F-BB85396D8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Feb 2023 Buffing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Info'!$B$24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Info'!$A$25:$A$43</c:f>
              <c:numCache>
                <c:formatCode>d\-mmm</c:formatCode>
                <c:ptCount val="1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44963</c:v>
                </c:pt>
                <c:pt idx="4">
                  <c:v>44964</c:v>
                </c:pt>
                <c:pt idx="5">
                  <c:v>44965</c:v>
                </c:pt>
                <c:pt idx="6">
                  <c:v>44966</c:v>
                </c:pt>
                <c:pt idx="7">
                  <c:v>44967</c:v>
                </c:pt>
                <c:pt idx="8">
                  <c:v>44970</c:v>
                </c:pt>
                <c:pt idx="9">
                  <c:v>44971</c:v>
                </c:pt>
                <c:pt idx="10">
                  <c:v>44972</c:v>
                </c:pt>
                <c:pt idx="11">
                  <c:v>44973</c:v>
                </c:pt>
                <c:pt idx="12">
                  <c:v>44974</c:v>
                </c:pt>
                <c:pt idx="13">
                  <c:v>44978</c:v>
                </c:pt>
                <c:pt idx="14">
                  <c:v>44979</c:v>
                </c:pt>
                <c:pt idx="15">
                  <c:v>44980</c:v>
                </c:pt>
                <c:pt idx="16">
                  <c:v>44981</c:v>
                </c:pt>
                <c:pt idx="17">
                  <c:v>44984</c:v>
                </c:pt>
                <c:pt idx="18">
                  <c:v>44985</c:v>
                </c:pt>
              </c:numCache>
            </c:numRef>
          </c:cat>
          <c:val>
            <c:numRef>
              <c:f>'Charts Info'!$B$25:$B$43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C-4EB7-9A08-5BC59CA6C45C}"/>
            </c:ext>
          </c:extLst>
        </c:ser>
        <c:ser>
          <c:idx val="1"/>
          <c:order val="1"/>
          <c:tx>
            <c:strRef>
              <c:f>'Charts Info'!$C$24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Info'!$A$25:$A$43</c:f>
              <c:numCache>
                <c:formatCode>d\-mmm</c:formatCode>
                <c:ptCount val="1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44963</c:v>
                </c:pt>
                <c:pt idx="4">
                  <c:v>44964</c:v>
                </c:pt>
                <c:pt idx="5">
                  <c:v>44965</c:v>
                </c:pt>
                <c:pt idx="6">
                  <c:v>44966</c:v>
                </c:pt>
                <c:pt idx="7">
                  <c:v>44967</c:v>
                </c:pt>
                <c:pt idx="8">
                  <c:v>44970</c:v>
                </c:pt>
                <c:pt idx="9">
                  <c:v>44971</c:v>
                </c:pt>
                <c:pt idx="10">
                  <c:v>44972</c:v>
                </c:pt>
                <c:pt idx="11">
                  <c:v>44973</c:v>
                </c:pt>
                <c:pt idx="12">
                  <c:v>44974</c:v>
                </c:pt>
                <c:pt idx="13">
                  <c:v>44978</c:v>
                </c:pt>
                <c:pt idx="14">
                  <c:v>44979</c:v>
                </c:pt>
                <c:pt idx="15">
                  <c:v>44980</c:v>
                </c:pt>
                <c:pt idx="16">
                  <c:v>44981</c:v>
                </c:pt>
                <c:pt idx="17">
                  <c:v>44984</c:v>
                </c:pt>
                <c:pt idx="18">
                  <c:v>44985</c:v>
                </c:pt>
              </c:numCache>
            </c:numRef>
          </c:cat>
          <c:val>
            <c:numRef>
              <c:f>'Charts Info'!$C$25:$C$43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C-4EB7-9A08-5BC59CA6C45C}"/>
            </c:ext>
          </c:extLst>
        </c:ser>
        <c:ser>
          <c:idx val="2"/>
          <c:order val="2"/>
          <c:tx>
            <c:strRef>
              <c:f>'Charts Info'!$D$24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Info'!$A$25:$A$43</c:f>
              <c:numCache>
                <c:formatCode>d\-mmm</c:formatCode>
                <c:ptCount val="1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44963</c:v>
                </c:pt>
                <c:pt idx="4">
                  <c:v>44964</c:v>
                </c:pt>
                <c:pt idx="5">
                  <c:v>44965</c:v>
                </c:pt>
                <c:pt idx="6">
                  <c:v>44966</c:v>
                </c:pt>
                <c:pt idx="7">
                  <c:v>44967</c:v>
                </c:pt>
                <c:pt idx="8">
                  <c:v>44970</c:v>
                </c:pt>
                <c:pt idx="9">
                  <c:v>44971</c:v>
                </c:pt>
                <c:pt idx="10">
                  <c:v>44972</c:v>
                </c:pt>
                <c:pt idx="11">
                  <c:v>44973</c:v>
                </c:pt>
                <c:pt idx="12">
                  <c:v>44974</c:v>
                </c:pt>
                <c:pt idx="13">
                  <c:v>44978</c:v>
                </c:pt>
                <c:pt idx="14">
                  <c:v>44979</c:v>
                </c:pt>
                <c:pt idx="15">
                  <c:v>44980</c:v>
                </c:pt>
                <c:pt idx="16">
                  <c:v>44981</c:v>
                </c:pt>
                <c:pt idx="17">
                  <c:v>44984</c:v>
                </c:pt>
                <c:pt idx="18">
                  <c:v>44985</c:v>
                </c:pt>
              </c:numCache>
            </c:numRef>
          </c:cat>
          <c:val>
            <c:numRef>
              <c:f>'Charts Info'!$D$25:$D$43</c:f>
              <c:numCache>
                <c:formatCode>0</c:formatCode>
                <c:ptCount val="19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EC-4EB7-9A08-5BC59CA6C45C}"/>
            </c:ext>
          </c:extLst>
        </c:ser>
        <c:ser>
          <c:idx val="3"/>
          <c:order val="3"/>
          <c:tx>
            <c:strRef>
              <c:f>'Charts Info'!$E$24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Info'!$A$25:$A$43</c:f>
              <c:numCache>
                <c:formatCode>d\-mmm</c:formatCode>
                <c:ptCount val="1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44963</c:v>
                </c:pt>
                <c:pt idx="4">
                  <c:v>44964</c:v>
                </c:pt>
                <c:pt idx="5">
                  <c:v>44965</c:v>
                </c:pt>
                <c:pt idx="6">
                  <c:v>44966</c:v>
                </c:pt>
                <c:pt idx="7">
                  <c:v>44967</c:v>
                </c:pt>
                <c:pt idx="8">
                  <c:v>44970</c:v>
                </c:pt>
                <c:pt idx="9">
                  <c:v>44971</c:v>
                </c:pt>
                <c:pt idx="10">
                  <c:v>44972</c:v>
                </c:pt>
                <c:pt idx="11">
                  <c:v>44973</c:v>
                </c:pt>
                <c:pt idx="12">
                  <c:v>44974</c:v>
                </c:pt>
                <c:pt idx="13">
                  <c:v>44978</c:v>
                </c:pt>
                <c:pt idx="14">
                  <c:v>44979</c:v>
                </c:pt>
                <c:pt idx="15">
                  <c:v>44980</c:v>
                </c:pt>
                <c:pt idx="16">
                  <c:v>44981</c:v>
                </c:pt>
                <c:pt idx="17">
                  <c:v>44984</c:v>
                </c:pt>
                <c:pt idx="18">
                  <c:v>44985</c:v>
                </c:pt>
              </c:numCache>
            </c:numRef>
          </c:cat>
          <c:val>
            <c:numRef>
              <c:f>'Charts Info'!$E$25:$E$43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EC-4EB7-9A08-5BC59CA6C45C}"/>
            </c:ext>
          </c:extLst>
        </c:ser>
        <c:ser>
          <c:idx val="4"/>
          <c:order val="4"/>
          <c:tx>
            <c:strRef>
              <c:f>'Charts Info'!$F$24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Info'!$A$25:$A$43</c:f>
              <c:numCache>
                <c:formatCode>d\-mmm</c:formatCode>
                <c:ptCount val="1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44963</c:v>
                </c:pt>
                <c:pt idx="4">
                  <c:v>44964</c:v>
                </c:pt>
                <c:pt idx="5">
                  <c:v>44965</c:v>
                </c:pt>
                <c:pt idx="6">
                  <c:v>44966</c:v>
                </c:pt>
                <c:pt idx="7">
                  <c:v>44967</c:v>
                </c:pt>
                <c:pt idx="8">
                  <c:v>44970</c:v>
                </c:pt>
                <c:pt idx="9">
                  <c:v>44971</c:v>
                </c:pt>
                <c:pt idx="10">
                  <c:v>44972</c:v>
                </c:pt>
                <c:pt idx="11">
                  <c:v>44973</c:v>
                </c:pt>
                <c:pt idx="12">
                  <c:v>44974</c:v>
                </c:pt>
                <c:pt idx="13">
                  <c:v>44978</c:v>
                </c:pt>
                <c:pt idx="14">
                  <c:v>44979</c:v>
                </c:pt>
                <c:pt idx="15">
                  <c:v>44980</c:v>
                </c:pt>
                <c:pt idx="16">
                  <c:v>44981</c:v>
                </c:pt>
                <c:pt idx="17">
                  <c:v>44984</c:v>
                </c:pt>
                <c:pt idx="18">
                  <c:v>44985</c:v>
                </c:pt>
              </c:numCache>
            </c:numRef>
          </c:cat>
          <c:val>
            <c:numRef>
              <c:f>'Charts Info'!$F$25:$F$43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EC-4EB7-9A08-5BC59CA6C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Info'!$G$24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Info'!$A$25:$A$43</c:f>
              <c:numCache>
                <c:formatCode>d\-mmm</c:formatCode>
                <c:ptCount val="1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44963</c:v>
                </c:pt>
                <c:pt idx="4">
                  <c:v>44964</c:v>
                </c:pt>
                <c:pt idx="5">
                  <c:v>44965</c:v>
                </c:pt>
                <c:pt idx="6">
                  <c:v>44966</c:v>
                </c:pt>
                <c:pt idx="7">
                  <c:v>44967</c:v>
                </c:pt>
                <c:pt idx="8">
                  <c:v>44970</c:v>
                </c:pt>
                <c:pt idx="9">
                  <c:v>44971</c:v>
                </c:pt>
                <c:pt idx="10">
                  <c:v>44972</c:v>
                </c:pt>
                <c:pt idx="11">
                  <c:v>44973</c:v>
                </c:pt>
                <c:pt idx="12">
                  <c:v>44974</c:v>
                </c:pt>
                <c:pt idx="13">
                  <c:v>44978</c:v>
                </c:pt>
                <c:pt idx="14">
                  <c:v>44979</c:v>
                </c:pt>
                <c:pt idx="15">
                  <c:v>44980</c:v>
                </c:pt>
                <c:pt idx="16">
                  <c:v>44981</c:v>
                </c:pt>
                <c:pt idx="17">
                  <c:v>44984</c:v>
                </c:pt>
                <c:pt idx="18">
                  <c:v>44985</c:v>
                </c:pt>
              </c:numCache>
            </c:numRef>
          </c:cat>
          <c:val>
            <c:numRef>
              <c:f>'Charts Info'!$G$25:$G$43</c:f>
              <c:numCache>
                <c:formatCode>0%</c:formatCode>
                <c:ptCount val="19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EC-4EB7-9A08-5BC59CA6C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Mar 2023 Buffing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Info'!$B$45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Info'!$A$46:$A$68</c:f>
              <c:numCache>
                <c:formatCode>d\-mmm</c:formatCode>
                <c:ptCount val="23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44991</c:v>
                </c:pt>
                <c:pt idx="4">
                  <c:v>44992</c:v>
                </c:pt>
                <c:pt idx="5">
                  <c:v>44993</c:v>
                </c:pt>
                <c:pt idx="6">
                  <c:v>44994</c:v>
                </c:pt>
                <c:pt idx="7">
                  <c:v>44995</c:v>
                </c:pt>
                <c:pt idx="8">
                  <c:v>44998</c:v>
                </c:pt>
                <c:pt idx="9">
                  <c:v>44999</c:v>
                </c:pt>
                <c:pt idx="10">
                  <c:v>45000</c:v>
                </c:pt>
                <c:pt idx="11">
                  <c:v>45001</c:v>
                </c:pt>
                <c:pt idx="12">
                  <c:v>45002</c:v>
                </c:pt>
                <c:pt idx="13">
                  <c:v>45005</c:v>
                </c:pt>
                <c:pt idx="14">
                  <c:v>45006</c:v>
                </c:pt>
                <c:pt idx="15">
                  <c:v>45007</c:v>
                </c:pt>
                <c:pt idx="16">
                  <c:v>45008</c:v>
                </c:pt>
                <c:pt idx="17">
                  <c:v>45009</c:v>
                </c:pt>
                <c:pt idx="18">
                  <c:v>45012</c:v>
                </c:pt>
                <c:pt idx="19">
                  <c:v>45013</c:v>
                </c:pt>
                <c:pt idx="20">
                  <c:v>45014</c:v>
                </c:pt>
                <c:pt idx="21">
                  <c:v>45015</c:v>
                </c:pt>
                <c:pt idx="22">
                  <c:v>45016</c:v>
                </c:pt>
              </c:numCache>
            </c:numRef>
          </c:cat>
          <c:val>
            <c:numRef>
              <c:f>'Charts Info'!$B$46:$B$68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C-4FAF-BE3F-5452FC89DE40}"/>
            </c:ext>
          </c:extLst>
        </c:ser>
        <c:ser>
          <c:idx val="1"/>
          <c:order val="1"/>
          <c:tx>
            <c:strRef>
              <c:f>'Charts Info'!$C$45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Info'!$A$46:$A$68</c:f>
              <c:numCache>
                <c:formatCode>d\-mmm</c:formatCode>
                <c:ptCount val="23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44991</c:v>
                </c:pt>
                <c:pt idx="4">
                  <c:v>44992</c:v>
                </c:pt>
                <c:pt idx="5">
                  <c:v>44993</c:v>
                </c:pt>
                <c:pt idx="6">
                  <c:v>44994</c:v>
                </c:pt>
                <c:pt idx="7">
                  <c:v>44995</c:v>
                </c:pt>
                <c:pt idx="8">
                  <c:v>44998</c:v>
                </c:pt>
                <c:pt idx="9">
                  <c:v>44999</c:v>
                </c:pt>
                <c:pt idx="10">
                  <c:v>45000</c:v>
                </c:pt>
                <c:pt idx="11">
                  <c:v>45001</c:v>
                </c:pt>
                <c:pt idx="12">
                  <c:v>45002</c:v>
                </c:pt>
                <c:pt idx="13">
                  <c:v>45005</c:v>
                </c:pt>
                <c:pt idx="14">
                  <c:v>45006</c:v>
                </c:pt>
                <c:pt idx="15">
                  <c:v>45007</c:v>
                </c:pt>
                <c:pt idx="16">
                  <c:v>45008</c:v>
                </c:pt>
                <c:pt idx="17">
                  <c:v>45009</c:v>
                </c:pt>
                <c:pt idx="18">
                  <c:v>45012</c:v>
                </c:pt>
                <c:pt idx="19">
                  <c:v>45013</c:v>
                </c:pt>
                <c:pt idx="20">
                  <c:v>45014</c:v>
                </c:pt>
                <c:pt idx="21">
                  <c:v>45015</c:v>
                </c:pt>
                <c:pt idx="22">
                  <c:v>45016</c:v>
                </c:pt>
              </c:numCache>
            </c:numRef>
          </c:cat>
          <c:val>
            <c:numRef>
              <c:f>'Charts Info'!$C$46:$C$68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C-4FAF-BE3F-5452FC89DE40}"/>
            </c:ext>
          </c:extLst>
        </c:ser>
        <c:ser>
          <c:idx val="2"/>
          <c:order val="2"/>
          <c:tx>
            <c:strRef>
              <c:f>'Charts Info'!$D$45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Info'!$A$46:$A$68</c:f>
              <c:numCache>
                <c:formatCode>d\-mmm</c:formatCode>
                <c:ptCount val="23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44991</c:v>
                </c:pt>
                <c:pt idx="4">
                  <c:v>44992</c:v>
                </c:pt>
                <c:pt idx="5">
                  <c:v>44993</c:v>
                </c:pt>
                <c:pt idx="6">
                  <c:v>44994</c:v>
                </c:pt>
                <c:pt idx="7">
                  <c:v>44995</c:v>
                </c:pt>
                <c:pt idx="8">
                  <c:v>44998</c:v>
                </c:pt>
                <c:pt idx="9">
                  <c:v>44999</c:v>
                </c:pt>
                <c:pt idx="10">
                  <c:v>45000</c:v>
                </c:pt>
                <c:pt idx="11">
                  <c:v>45001</c:v>
                </c:pt>
                <c:pt idx="12">
                  <c:v>45002</c:v>
                </c:pt>
                <c:pt idx="13">
                  <c:v>45005</c:v>
                </c:pt>
                <c:pt idx="14">
                  <c:v>45006</c:v>
                </c:pt>
                <c:pt idx="15">
                  <c:v>45007</c:v>
                </c:pt>
                <c:pt idx="16">
                  <c:v>45008</c:v>
                </c:pt>
                <c:pt idx="17">
                  <c:v>45009</c:v>
                </c:pt>
                <c:pt idx="18">
                  <c:v>45012</c:v>
                </c:pt>
                <c:pt idx="19">
                  <c:v>45013</c:v>
                </c:pt>
                <c:pt idx="20">
                  <c:v>45014</c:v>
                </c:pt>
                <c:pt idx="21">
                  <c:v>45015</c:v>
                </c:pt>
                <c:pt idx="22">
                  <c:v>45016</c:v>
                </c:pt>
              </c:numCache>
            </c:numRef>
          </c:cat>
          <c:val>
            <c:numRef>
              <c:f>'Charts Info'!$D$46:$D$68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CC-4FAF-BE3F-5452FC89DE40}"/>
            </c:ext>
          </c:extLst>
        </c:ser>
        <c:ser>
          <c:idx val="3"/>
          <c:order val="3"/>
          <c:tx>
            <c:strRef>
              <c:f>'Charts Info'!$E$45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Info'!$A$46:$A$68</c:f>
              <c:numCache>
                <c:formatCode>d\-mmm</c:formatCode>
                <c:ptCount val="23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44991</c:v>
                </c:pt>
                <c:pt idx="4">
                  <c:v>44992</c:v>
                </c:pt>
                <c:pt idx="5">
                  <c:v>44993</c:v>
                </c:pt>
                <c:pt idx="6">
                  <c:v>44994</c:v>
                </c:pt>
                <c:pt idx="7">
                  <c:v>44995</c:v>
                </c:pt>
                <c:pt idx="8">
                  <c:v>44998</c:v>
                </c:pt>
                <c:pt idx="9">
                  <c:v>44999</c:v>
                </c:pt>
                <c:pt idx="10">
                  <c:v>45000</c:v>
                </c:pt>
                <c:pt idx="11">
                  <c:v>45001</c:v>
                </c:pt>
                <c:pt idx="12">
                  <c:v>45002</c:v>
                </c:pt>
                <c:pt idx="13">
                  <c:v>45005</c:v>
                </c:pt>
                <c:pt idx="14">
                  <c:v>45006</c:v>
                </c:pt>
                <c:pt idx="15">
                  <c:v>45007</c:v>
                </c:pt>
                <c:pt idx="16">
                  <c:v>45008</c:v>
                </c:pt>
                <c:pt idx="17">
                  <c:v>45009</c:v>
                </c:pt>
                <c:pt idx="18">
                  <c:v>45012</c:v>
                </c:pt>
                <c:pt idx="19">
                  <c:v>45013</c:v>
                </c:pt>
                <c:pt idx="20">
                  <c:v>45014</c:v>
                </c:pt>
                <c:pt idx="21">
                  <c:v>45015</c:v>
                </c:pt>
                <c:pt idx="22">
                  <c:v>45016</c:v>
                </c:pt>
              </c:numCache>
            </c:numRef>
          </c:cat>
          <c:val>
            <c:numRef>
              <c:f>'Charts Info'!$E$46:$E$68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CC-4FAF-BE3F-5452FC89DE40}"/>
            </c:ext>
          </c:extLst>
        </c:ser>
        <c:ser>
          <c:idx val="4"/>
          <c:order val="4"/>
          <c:tx>
            <c:strRef>
              <c:f>'Charts Info'!$F$45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Info'!$A$46:$A$68</c:f>
              <c:numCache>
                <c:formatCode>d\-mmm</c:formatCode>
                <c:ptCount val="23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44991</c:v>
                </c:pt>
                <c:pt idx="4">
                  <c:v>44992</c:v>
                </c:pt>
                <c:pt idx="5">
                  <c:v>44993</c:v>
                </c:pt>
                <c:pt idx="6">
                  <c:v>44994</c:v>
                </c:pt>
                <c:pt idx="7">
                  <c:v>44995</c:v>
                </c:pt>
                <c:pt idx="8">
                  <c:v>44998</c:v>
                </c:pt>
                <c:pt idx="9">
                  <c:v>44999</c:v>
                </c:pt>
                <c:pt idx="10">
                  <c:v>45000</c:v>
                </c:pt>
                <c:pt idx="11">
                  <c:v>45001</c:v>
                </c:pt>
                <c:pt idx="12">
                  <c:v>45002</c:v>
                </c:pt>
                <c:pt idx="13">
                  <c:v>45005</c:v>
                </c:pt>
                <c:pt idx="14">
                  <c:v>45006</c:v>
                </c:pt>
                <c:pt idx="15">
                  <c:v>45007</c:v>
                </c:pt>
                <c:pt idx="16">
                  <c:v>45008</c:v>
                </c:pt>
                <c:pt idx="17">
                  <c:v>45009</c:v>
                </c:pt>
                <c:pt idx="18">
                  <c:v>45012</c:v>
                </c:pt>
                <c:pt idx="19">
                  <c:v>45013</c:v>
                </c:pt>
                <c:pt idx="20">
                  <c:v>45014</c:v>
                </c:pt>
                <c:pt idx="21">
                  <c:v>45015</c:v>
                </c:pt>
                <c:pt idx="22">
                  <c:v>45016</c:v>
                </c:pt>
              </c:numCache>
            </c:numRef>
          </c:cat>
          <c:val>
            <c:numRef>
              <c:f>'Charts Info'!$F$46:$F$68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CC-4FAF-BE3F-5452FC89D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Info'!$G$45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Info'!$A$46:$A$68</c:f>
              <c:numCache>
                <c:formatCode>d\-mmm</c:formatCode>
                <c:ptCount val="23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44991</c:v>
                </c:pt>
                <c:pt idx="4">
                  <c:v>44992</c:v>
                </c:pt>
                <c:pt idx="5">
                  <c:v>44993</c:v>
                </c:pt>
                <c:pt idx="6">
                  <c:v>44994</c:v>
                </c:pt>
                <c:pt idx="7">
                  <c:v>44995</c:v>
                </c:pt>
                <c:pt idx="8">
                  <c:v>44998</c:v>
                </c:pt>
                <c:pt idx="9">
                  <c:v>44999</c:v>
                </c:pt>
                <c:pt idx="10">
                  <c:v>45000</c:v>
                </c:pt>
                <c:pt idx="11">
                  <c:v>45001</c:v>
                </c:pt>
                <c:pt idx="12">
                  <c:v>45002</c:v>
                </c:pt>
                <c:pt idx="13">
                  <c:v>45005</c:v>
                </c:pt>
                <c:pt idx="14">
                  <c:v>45006</c:v>
                </c:pt>
                <c:pt idx="15">
                  <c:v>45007</c:v>
                </c:pt>
                <c:pt idx="16">
                  <c:v>45008</c:v>
                </c:pt>
                <c:pt idx="17">
                  <c:v>45009</c:v>
                </c:pt>
                <c:pt idx="18">
                  <c:v>45012</c:v>
                </c:pt>
                <c:pt idx="19">
                  <c:v>45013</c:v>
                </c:pt>
                <c:pt idx="20">
                  <c:v>45014</c:v>
                </c:pt>
                <c:pt idx="21">
                  <c:v>45015</c:v>
                </c:pt>
                <c:pt idx="22">
                  <c:v>45016</c:v>
                </c:pt>
              </c:numCache>
            </c:numRef>
          </c:cat>
          <c:val>
            <c:numRef>
              <c:f>'Charts Info'!$G$46:$G$68</c:f>
              <c:numCache>
                <c:formatCode>0%</c:formatCode>
                <c:ptCount val="23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CC-4FAF-BE3F-5452FC89D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Apr 2023 Buffing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Info'!$B$70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Info'!$A$71:$A$89</c:f>
              <c:numCache>
                <c:formatCode>d\-mmm</c:formatCode>
                <c:ptCount val="19"/>
                <c:pt idx="0">
                  <c:v>45019</c:v>
                </c:pt>
                <c:pt idx="1">
                  <c:v>45020</c:v>
                </c:pt>
                <c:pt idx="2">
                  <c:v>45021</c:v>
                </c:pt>
                <c:pt idx="3">
                  <c:v>45022</c:v>
                </c:pt>
                <c:pt idx="4">
                  <c:v>45026</c:v>
                </c:pt>
                <c:pt idx="5">
                  <c:v>45027</c:v>
                </c:pt>
                <c:pt idx="6">
                  <c:v>45028</c:v>
                </c:pt>
                <c:pt idx="7">
                  <c:v>45029</c:v>
                </c:pt>
                <c:pt idx="8">
                  <c:v>45030</c:v>
                </c:pt>
                <c:pt idx="9">
                  <c:v>45033</c:v>
                </c:pt>
                <c:pt idx="10">
                  <c:v>45034</c:v>
                </c:pt>
                <c:pt idx="11">
                  <c:v>45035</c:v>
                </c:pt>
                <c:pt idx="12">
                  <c:v>45036</c:v>
                </c:pt>
                <c:pt idx="13">
                  <c:v>45037</c:v>
                </c:pt>
                <c:pt idx="14">
                  <c:v>45040</c:v>
                </c:pt>
                <c:pt idx="15">
                  <c:v>45041</c:v>
                </c:pt>
                <c:pt idx="16">
                  <c:v>45042</c:v>
                </c:pt>
                <c:pt idx="17">
                  <c:v>45043</c:v>
                </c:pt>
                <c:pt idx="18">
                  <c:v>45044</c:v>
                </c:pt>
              </c:numCache>
            </c:numRef>
          </c:cat>
          <c:val>
            <c:numRef>
              <c:f>'Charts Info'!$B$71:$B$89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7-4DCD-8658-D5727452E0ED}"/>
            </c:ext>
          </c:extLst>
        </c:ser>
        <c:ser>
          <c:idx val="1"/>
          <c:order val="1"/>
          <c:tx>
            <c:strRef>
              <c:f>'Charts Info'!$C$70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Info'!$A$71:$A$89</c:f>
              <c:numCache>
                <c:formatCode>d\-mmm</c:formatCode>
                <c:ptCount val="19"/>
                <c:pt idx="0">
                  <c:v>45019</c:v>
                </c:pt>
                <c:pt idx="1">
                  <c:v>45020</c:v>
                </c:pt>
                <c:pt idx="2">
                  <c:v>45021</c:v>
                </c:pt>
                <c:pt idx="3">
                  <c:v>45022</c:v>
                </c:pt>
                <c:pt idx="4">
                  <c:v>45026</c:v>
                </c:pt>
                <c:pt idx="5">
                  <c:v>45027</c:v>
                </c:pt>
                <c:pt idx="6">
                  <c:v>45028</c:v>
                </c:pt>
                <c:pt idx="7">
                  <c:v>45029</c:v>
                </c:pt>
                <c:pt idx="8">
                  <c:v>45030</c:v>
                </c:pt>
                <c:pt idx="9">
                  <c:v>45033</c:v>
                </c:pt>
                <c:pt idx="10">
                  <c:v>45034</c:v>
                </c:pt>
                <c:pt idx="11">
                  <c:v>45035</c:v>
                </c:pt>
                <c:pt idx="12">
                  <c:v>45036</c:v>
                </c:pt>
                <c:pt idx="13">
                  <c:v>45037</c:v>
                </c:pt>
                <c:pt idx="14">
                  <c:v>45040</c:v>
                </c:pt>
                <c:pt idx="15">
                  <c:v>45041</c:v>
                </c:pt>
                <c:pt idx="16">
                  <c:v>45042</c:v>
                </c:pt>
                <c:pt idx="17">
                  <c:v>45043</c:v>
                </c:pt>
                <c:pt idx="18">
                  <c:v>45044</c:v>
                </c:pt>
              </c:numCache>
            </c:numRef>
          </c:cat>
          <c:val>
            <c:numRef>
              <c:f>'Charts Info'!$C$71:$C$89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7-4DCD-8658-D5727452E0ED}"/>
            </c:ext>
          </c:extLst>
        </c:ser>
        <c:ser>
          <c:idx val="2"/>
          <c:order val="2"/>
          <c:tx>
            <c:strRef>
              <c:f>'Charts Info'!$D$70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Info'!$A$71:$A$89</c:f>
              <c:numCache>
                <c:formatCode>d\-mmm</c:formatCode>
                <c:ptCount val="19"/>
                <c:pt idx="0">
                  <c:v>45019</c:v>
                </c:pt>
                <c:pt idx="1">
                  <c:v>45020</c:v>
                </c:pt>
                <c:pt idx="2">
                  <c:v>45021</c:v>
                </c:pt>
                <c:pt idx="3">
                  <c:v>45022</c:v>
                </c:pt>
                <c:pt idx="4">
                  <c:v>45026</c:v>
                </c:pt>
                <c:pt idx="5">
                  <c:v>45027</c:v>
                </c:pt>
                <c:pt idx="6">
                  <c:v>45028</c:v>
                </c:pt>
                <c:pt idx="7">
                  <c:v>45029</c:v>
                </c:pt>
                <c:pt idx="8">
                  <c:v>45030</c:v>
                </c:pt>
                <c:pt idx="9">
                  <c:v>45033</c:v>
                </c:pt>
                <c:pt idx="10">
                  <c:v>45034</c:v>
                </c:pt>
                <c:pt idx="11">
                  <c:v>45035</c:v>
                </c:pt>
                <c:pt idx="12">
                  <c:v>45036</c:v>
                </c:pt>
                <c:pt idx="13">
                  <c:v>45037</c:v>
                </c:pt>
                <c:pt idx="14">
                  <c:v>45040</c:v>
                </c:pt>
                <c:pt idx="15">
                  <c:v>45041</c:v>
                </c:pt>
                <c:pt idx="16">
                  <c:v>45042</c:v>
                </c:pt>
                <c:pt idx="17">
                  <c:v>45043</c:v>
                </c:pt>
                <c:pt idx="18">
                  <c:v>45044</c:v>
                </c:pt>
              </c:numCache>
            </c:numRef>
          </c:cat>
          <c:val>
            <c:numRef>
              <c:f>'Charts Info'!$D$71:$D$89</c:f>
              <c:numCache>
                <c:formatCode>General</c:formatCode>
                <c:ptCount val="1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7-4DCD-8658-D5727452E0ED}"/>
            </c:ext>
          </c:extLst>
        </c:ser>
        <c:ser>
          <c:idx val="3"/>
          <c:order val="3"/>
          <c:tx>
            <c:strRef>
              <c:f>'Charts Info'!$E$70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Info'!$A$71:$A$89</c:f>
              <c:numCache>
                <c:formatCode>d\-mmm</c:formatCode>
                <c:ptCount val="19"/>
                <c:pt idx="0">
                  <c:v>45019</c:v>
                </c:pt>
                <c:pt idx="1">
                  <c:v>45020</c:v>
                </c:pt>
                <c:pt idx="2">
                  <c:v>45021</c:v>
                </c:pt>
                <c:pt idx="3">
                  <c:v>45022</c:v>
                </c:pt>
                <c:pt idx="4">
                  <c:v>45026</c:v>
                </c:pt>
                <c:pt idx="5">
                  <c:v>45027</c:v>
                </c:pt>
                <c:pt idx="6">
                  <c:v>45028</c:v>
                </c:pt>
                <c:pt idx="7">
                  <c:v>45029</c:v>
                </c:pt>
                <c:pt idx="8">
                  <c:v>45030</c:v>
                </c:pt>
                <c:pt idx="9">
                  <c:v>45033</c:v>
                </c:pt>
                <c:pt idx="10">
                  <c:v>45034</c:v>
                </c:pt>
                <c:pt idx="11">
                  <c:v>45035</c:v>
                </c:pt>
                <c:pt idx="12">
                  <c:v>45036</c:v>
                </c:pt>
                <c:pt idx="13">
                  <c:v>45037</c:v>
                </c:pt>
                <c:pt idx="14">
                  <c:v>45040</c:v>
                </c:pt>
                <c:pt idx="15">
                  <c:v>45041</c:v>
                </c:pt>
                <c:pt idx="16">
                  <c:v>45042</c:v>
                </c:pt>
                <c:pt idx="17">
                  <c:v>45043</c:v>
                </c:pt>
                <c:pt idx="18">
                  <c:v>45044</c:v>
                </c:pt>
              </c:numCache>
            </c:numRef>
          </c:cat>
          <c:val>
            <c:numRef>
              <c:f>'Charts Info'!$E$71:$E$89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27-4DCD-8658-D5727452E0ED}"/>
            </c:ext>
          </c:extLst>
        </c:ser>
        <c:ser>
          <c:idx val="4"/>
          <c:order val="4"/>
          <c:tx>
            <c:strRef>
              <c:f>'Charts Info'!$F$70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solidFill>
                <a:srgbClr val="EC7524"/>
              </a:solidFill>
            </a:ln>
            <a:effectLst/>
          </c:spPr>
          <c:invertIfNegative val="0"/>
          <c:cat>
            <c:numRef>
              <c:f>'Charts Info'!$A$71:$A$89</c:f>
              <c:numCache>
                <c:formatCode>d\-mmm</c:formatCode>
                <c:ptCount val="19"/>
                <c:pt idx="0">
                  <c:v>45019</c:v>
                </c:pt>
                <c:pt idx="1">
                  <c:v>45020</c:v>
                </c:pt>
                <c:pt idx="2">
                  <c:v>45021</c:v>
                </c:pt>
                <c:pt idx="3">
                  <c:v>45022</c:v>
                </c:pt>
                <c:pt idx="4">
                  <c:v>45026</c:v>
                </c:pt>
                <c:pt idx="5">
                  <c:v>45027</c:v>
                </c:pt>
                <c:pt idx="6">
                  <c:v>45028</c:v>
                </c:pt>
                <c:pt idx="7">
                  <c:v>45029</c:v>
                </c:pt>
                <c:pt idx="8">
                  <c:v>45030</c:v>
                </c:pt>
                <c:pt idx="9">
                  <c:v>45033</c:v>
                </c:pt>
                <c:pt idx="10">
                  <c:v>45034</c:v>
                </c:pt>
                <c:pt idx="11">
                  <c:v>45035</c:v>
                </c:pt>
                <c:pt idx="12">
                  <c:v>45036</c:v>
                </c:pt>
                <c:pt idx="13">
                  <c:v>45037</c:v>
                </c:pt>
                <c:pt idx="14">
                  <c:v>45040</c:v>
                </c:pt>
                <c:pt idx="15">
                  <c:v>45041</c:v>
                </c:pt>
                <c:pt idx="16">
                  <c:v>45042</c:v>
                </c:pt>
                <c:pt idx="17">
                  <c:v>45043</c:v>
                </c:pt>
                <c:pt idx="18">
                  <c:v>45044</c:v>
                </c:pt>
              </c:numCache>
            </c:numRef>
          </c:cat>
          <c:val>
            <c:numRef>
              <c:f>'Charts Info'!$F$71:$F$89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27-4DCD-8658-D5727452E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Info'!$G$70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Info'!$A$71:$A$89</c:f>
              <c:numCache>
                <c:formatCode>d\-mmm</c:formatCode>
                <c:ptCount val="19"/>
                <c:pt idx="0">
                  <c:v>45019</c:v>
                </c:pt>
                <c:pt idx="1">
                  <c:v>45020</c:v>
                </c:pt>
                <c:pt idx="2">
                  <c:v>45021</c:v>
                </c:pt>
                <c:pt idx="3">
                  <c:v>45022</c:v>
                </c:pt>
                <c:pt idx="4">
                  <c:v>45026</c:v>
                </c:pt>
                <c:pt idx="5">
                  <c:v>45027</c:v>
                </c:pt>
                <c:pt idx="6">
                  <c:v>45028</c:v>
                </c:pt>
                <c:pt idx="7">
                  <c:v>45029</c:v>
                </c:pt>
                <c:pt idx="8">
                  <c:v>45030</c:v>
                </c:pt>
                <c:pt idx="9">
                  <c:v>45033</c:v>
                </c:pt>
                <c:pt idx="10">
                  <c:v>45034</c:v>
                </c:pt>
                <c:pt idx="11">
                  <c:v>45035</c:v>
                </c:pt>
                <c:pt idx="12">
                  <c:v>45036</c:v>
                </c:pt>
                <c:pt idx="13">
                  <c:v>45037</c:v>
                </c:pt>
                <c:pt idx="14">
                  <c:v>45040</c:v>
                </c:pt>
                <c:pt idx="15">
                  <c:v>45041</c:v>
                </c:pt>
                <c:pt idx="16">
                  <c:v>45042</c:v>
                </c:pt>
                <c:pt idx="17">
                  <c:v>45043</c:v>
                </c:pt>
                <c:pt idx="18">
                  <c:v>45044</c:v>
                </c:pt>
              </c:numCache>
            </c:numRef>
          </c:cat>
          <c:val>
            <c:numRef>
              <c:f>'Charts Info'!$G$71:$G$89</c:f>
              <c:numCache>
                <c:formatCode>General</c:formatCode>
                <c:ptCount val="19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27-4DCD-8658-D5727452E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May 2023 Buffing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Info'!$B$91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Info'!$A$92:$A$113</c:f>
              <c:numCache>
                <c:formatCode>d\-mmm</c:formatCode>
                <c:ptCount val="22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45054</c:v>
                </c:pt>
                <c:pt idx="6">
                  <c:v>45055</c:v>
                </c:pt>
                <c:pt idx="7">
                  <c:v>45056</c:v>
                </c:pt>
                <c:pt idx="8">
                  <c:v>45057</c:v>
                </c:pt>
                <c:pt idx="9">
                  <c:v>45058</c:v>
                </c:pt>
                <c:pt idx="10">
                  <c:v>45061</c:v>
                </c:pt>
                <c:pt idx="11">
                  <c:v>45062</c:v>
                </c:pt>
                <c:pt idx="12">
                  <c:v>45063</c:v>
                </c:pt>
                <c:pt idx="13">
                  <c:v>45064</c:v>
                </c:pt>
                <c:pt idx="14">
                  <c:v>45065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45073</c:v>
                </c:pt>
                <c:pt idx="20">
                  <c:v>45076</c:v>
                </c:pt>
                <c:pt idx="21">
                  <c:v>45077</c:v>
                </c:pt>
              </c:numCache>
            </c:numRef>
          </c:cat>
          <c:val>
            <c:numRef>
              <c:f>'Charts Info'!$B$92:$B$113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4-4B1C-AAFE-D9B7A6288808}"/>
            </c:ext>
          </c:extLst>
        </c:ser>
        <c:ser>
          <c:idx val="1"/>
          <c:order val="1"/>
          <c:tx>
            <c:strRef>
              <c:f>'Charts Info'!$C$91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Info'!$A$92:$A$113</c:f>
              <c:numCache>
                <c:formatCode>d\-mmm</c:formatCode>
                <c:ptCount val="22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45054</c:v>
                </c:pt>
                <c:pt idx="6">
                  <c:v>45055</c:v>
                </c:pt>
                <c:pt idx="7">
                  <c:v>45056</c:v>
                </c:pt>
                <c:pt idx="8">
                  <c:v>45057</c:v>
                </c:pt>
                <c:pt idx="9">
                  <c:v>45058</c:v>
                </c:pt>
                <c:pt idx="10">
                  <c:v>45061</c:v>
                </c:pt>
                <c:pt idx="11">
                  <c:v>45062</c:v>
                </c:pt>
                <c:pt idx="12">
                  <c:v>45063</c:v>
                </c:pt>
                <c:pt idx="13">
                  <c:v>45064</c:v>
                </c:pt>
                <c:pt idx="14">
                  <c:v>45065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45073</c:v>
                </c:pt>
                <c:pt idx="20">
                  <c:v>45076</c:v>
                </c:pt>
                <c:pt idx="21">
                  <c:v>45077</c:v>
                </c:pt>
              </c:numCache>
            </c:numRef>
          </c:cat>
          <c:val>
            <c:numRef>
              <c:f>'Charts Info'!$C$92:$C$113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4-4B1C-AAFE-D9B7A6288808}"/>
            </c:ext>
          </c:extLst>
        </c:ser>
        <c:ser>
          <c:idx val="2"/>
          <c:order val="2"/>
          <c:tx>
            <c:strRef>
              <c:f>'Charts Info'!$D$91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Info'!$A$92:$A$113</c:f>
              <c:numCache>
                <c:formatCode>d\-mmm</c:formatCode>
                <c:ptCount val="22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45054</c:v>
                </c:pt>
                <c:pt idx="6">
                  <c:v>45055</c:v>
                </c:pt>
                <c:pt idx="7">
                  <c:v>45056</c:v>
                </c:pt>
                <c:pt idx="8">
                  <c:v>45057</c:v>
                </c:pt>
                <c:pt idx="9">
                  <c:v>45058</c:v>
                </c:pt>
                <c:pt idx="10">
                  <c:v>45061</c:v>
                </c:pt>
                <c:pt idx="11">
                  <c:v>45062</c:v>
                </c:pt>
                <c:pt idx="12">
                  <c:v>45063</c:v>
                </c:pt>
                <c:pt idx="13">
                  <c:v>45064</c:v>
                </c:pt>
                <c:pt idx="14">
                  <c:v>45065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45073</c:v>
                </c:pt>
                <c:pt idx="20">
                  <c:v>45076</c:v>
                </c:pt>
                <c:pt idx="21">
                  <c:v>45077</c:v>
                </c:pt>
              </c:numCache>
            </c:numRef>
          </c:cat>
          <c:val>
            <c:numRef>
              <c:f>'Charts Info'!$D$92:$D$113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4-4B1C-AAFE-D9B7A6288808}"/>
            </c:ext>
          </c:extLst>
        </c:ser>
        <c:ser>
          <c:idx val="3"/>
          <c:order val="3"/>
          <c:tx>
            <c:strRef>
              <c:f>'Charts Info'!$E$91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Info'!$A$92:$A$113</c:f>
              <c:numCache>
                <c:formatCode>d\-mmm</c:formatCode>
                <c:ptCount val="22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45054</c:v>
                </c:pt>
                <c:pt idx="6">
                  <c:v>45055</c:v>
                </c:pt>
                <c:pt idx="7">
                  <c:v>45056</c:v>
                </c:pt>
                <c:pt idx="8">
                  <c:v>45057</c:v>
                </c:pt>
                <c:pt idx="9">
                  <c:v>45058</c:v>
                </c:pt>
                <c:pt idx="10">
                  <c:v>45061</c:v>
                </c:pt>
                <c:pt idx="11">
                  <c:v>45062</c:v>
                </c:pt>
                <c:pt idx="12">
                  <c:v>45063</c:v>
                </c:pt>
                <c:pt idx="13">
                  <c:v>45064</c:v>
                </c:pt>
                <c:pt idx="14">
                  <c:v>45065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45073</c:v>
                </c:pt>
                <c:pt idx="20">
                  <c:v>45076</c:v>
                </c:pt>
                <c:pt idx="21">
                  <c:v>45077</c:v>
                </c:pt>
              </c:numCache>
            </c:numRef>
          </c:cat>
          <c:val>
            <c:numRef>
              <c:f>'Charts Info'!$E$92:$E$113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F4-4B1C-AAFE-D9B7A6288808}"/>
            </c:ext>
          </c:extLst>
        </c:ser>
        <c:ser>
          <c:idx val="4"/>
          <c:order val="4"/>
          <c:tx>
            <c:strRef>
              <c:f>'Charts Info'!$F$91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Info'!$A$92:$A$113</c:f>
              <c:numCache>
                <c:formatCode>d\-mmm</c:formatCode>
                <c:ptCount val="22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45054</c:v>
                </c:pt>
                <c:pt idx="6">
                  <c:v>45055</c:v>
                </c:pt>
                <c:pt idx="7">
                  <c:v>45056</c:v>
                </c:pt>
                <c:pt idx="8">
                  <c:v>45057</c:v>
                </c:pt>
                <c:pt idx="9">
                  <c:v>45058</c:v>
                </c:pt>
                <c:pt idx="10">
                  <c:v>45061</c:v>
                </c:pt>
                <c:pt idx="11">
                  <c:v>45062</c:v>
                </c:pt>
                <c:pt idx="12">
                  <c:v>45063</c:v>
                </c:pt>
                <c:pt idx="13">
                  <c:v>45064</c:v>
                </c:pt>
                <c:pt idx="14">
                  <c:v>45065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45073</c:v>
                </c:pt>
                <c:pt idx="20">
                  <c:v>45076</c:v>
                </c:pt>
                <c:pt idx="21">
                  <c:v>45077</c:v>
                </c:pt>
              </c:numCache>
            </c:numRef>
          </c:cat>
          <c:val>
            <c:numRef>
              <c:f>'Charts Info'!$F$92:$F$113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F4-4B1C-AAFE-D9B7A6288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Info'!$G$91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Info'!$A$92:$A$113</c:f>
              <c:numCache>
                <c:formatCode>d\-mmm</c:formatCode>
                <c:ptCount val="22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45054</c:v>
                </c:pt>
                <c:pt idx="6">
                  <c:v>45055</c:v>
                </c:pt>
                <c:pt idx="7">
                  <c:v>45056</c:v>
                </c:pt>
                <c:pt idx="8">
                  <c:v>45057</c:v>
                </c:pt>
                <c:pt idx="9">
                  <c:v>45058</c:v>
                </c:pt>
                <c:pt idx="10">
                  <c:v>45061</c:v>
                </c:pt>
                <c:pt idx="11">
                  <c:v>45062</c:v>
                </c:pt>
                <c:pt idx="12">
                  <c:v>45063</c:v>
                </c:pt>
                <c:pt idx="13">
                  <c:v>45064</c:v>
                </c:pt>
                <c:pt idx="14">
                  <c:v>45065</c:v>
                </c:pt>
                <c:pt idx="15">
                  <c:v>45069</c:v>
                </c:pt>
                <c:pt idx="16">
                  <c:v>45070</c:v>
                </c:pt>
                <c:pt idx="17">
                  <c:v>45071</c:v>
                </c:pt>
                <c:pt idx="18">
                  <c:v>45072</c:v>
                </c:pt>
                <c:pt idx="19">
                  <c:v>45073</c:v>
                </c:pt>
                <c:pt idx="20">
                  <c:v>45076</c:v>
                </c:pt>
                <c:pt idx="21">
                  <c:v>45077</c:v>
                </c:pt>
              </c:numCache>
            </c:numRef>
          </c:cat>
          <c:val>
            <c:numRef>
              <c:f>'Charts Info'!$G$92:$G$113</c:f>
              <c:numCache>
                <c:formatCode>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F4-4B1C-AAFE-D9B7A6288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June 2023 Buffing Results</a:t>
            </a:r>
          </a:p>
        </c:rich>
      </c:tx>
      <c:layout>
        <c:manualLayout>
          <c:xMode val="edge"/>
          <c:yMode val="edge"/>
          <c:x val="0.23111111111111107"/>
          <c:y val="1.680672268907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Info'!$B$115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Info'!$A$116:$A$137</c:f>
              <c:numCache>
                <c:formatCode>d\-mmm</c:formatCode>
                <c:ptCount val="22"/>
                <c:pt idx="0">
                  <c:v>45078</c:v>
                </c:pt>
                <c:pt idx="1">
                  <c:v>45079</c:v>
                </c:pt>
                <c:pt idx="2">
                  <c:v>45082</c:v>
                </c:pt>
                <c:pt idx="3">
                  <c:v>45083</c:v>
                </c:pt>
                <c:pt idx="4">
                  <c:v>45084</c:v>
                </c:pt>
                <c:pt idx="5">
                  <c:v>45085</c:v>
                </c:pt>
                <c:pt idx="6">
                  <c:v>45086</c:v>
                </c:pt>
                <c:pt idx="7">
                  <c:v>45089</c:v>
                </c:pt>
                <c:pt idx="8">
                  <c:v>45090</c:v>
                </c:pt>
                <c:pt idx="9">
                  <c:v>45091</c:v>
                </c:pt>
                <c:pt idx="10">
                  <c:v>45092</c:v>
                </c:pt>
                <c:pt idx="11">
                  <c:v>45093</c:v>
                </c:pt>
                <c:pt idx="12">
                  <c:v>45096</c:v>
                </c:pt>
                <c:pt idx="13">
                  <c:v>45097</c:v>
                </c:pt>
                <c:pt idx="14">
                  <c:v>45098</c:v>
                </c:pt>
                <c:pt idx="15">
                  <c:v>45099</c:v>
                </c:pt>
                <c:pt idx="16">
                  <c:v>45100</c:v>
                </c:pt>
                <c:pt idx="17">
                  <c:v>45103</c:v>
                </c:pt>
                <c:pt idx="18">
                  <c:v>45104</c:v>
                </c:pt>
                <c:pt idx="19">
                  <c:v>45105</c:v>
                </c:pt>
                <c:pt idx="20">
                  <c:v>45106</c:v>
                </c:pt>
                <c:pt idx="21">
                  <c:v>45107</c:v>
                </c:pt>
              </c:numCache>
            </c:numRef>
          </c:cat>
          <c:val>
            <c:numRef>
              <c:f>'Charts Info'!$B$116:$B$137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9-4596-9C7C-F318805446BE}"/>
            </c:ext>
          </c:extLst>
        </c:ser>
        <c:ser>
          <c:idx val="1"/>
          <c:order val="1"/>
          <c:tx>
            <c:strRef>
              <c:f>'Charts Info'!$C$115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Info'!$A$116:$A$137</c:f>
              <c:numCache>
                <c:formatCode>d\-mmm</c:formatCode>
                <c:ptCount val="22"/>
                <c:pt idx="0">
                  <c:v>45078</c:v>
                </c:pt>
                <c:pt idx="1">
                  <c:v>45079</c:v>
                </c:pt>
                <c:pt idx="2">
                  <c:v>45082</c:v>
                </c:pt>
                <c:pt idx="3">
                  <c:v>45083</c:v>
                </c:pt>
                <c:pt idx="4">
                  <c:v>45084</c:v>
                </c:pt>
                <c:pt idx="5">
                  <c:v>45085</c:v>
                </c:pt>
                <c:pt idx="6">
                  <c:v>45086</c:v>
                </c:pt>
                <c:pt idx="7">
                  <c:v>45089</c:v>
                </c:pt>
                <c:pt idx="8">
                  <c:v>45090</c:v>
                </c:pt>
                <c:pt idx="9">
                  <c:v>45091</c:v>
                </c:pt>
                <c:pt idx="10">
                  <c:v>45092</c:v>
                </c:pt>
                <c:pt idx="11">
                  <c:v>45093</c:v>
                </c:pt>
                <c:pt idx="12">
                  <c:v>45096</c:v>
                </c:pt>
                <c:pt idx="13">
                  <c:v>45097</c:v>
                </c:pt>
                <c:pt idx="14">
                  <c:v>45098</c:v>
                </c:pt>
                <c:pt idx="15">
                  <c:v>45099</c:v>
                </c:pt>
                <c:pt idx="16">
                  <c:v>45100</c:v>
                </c:pt>
                <c:pt idx="17">
                  <c:v>45103</c:v>
                </c:pt>
                <c:pt idx="18">
                  <c:v>45104</c:v>
                </c:pt>
                <c:pt idx="19">
                  <c:v>45105</c:v>
                </c:pt>
                <c:pt idx="20">
                  <c:v>45106</c:v>
                </c:pt>
                <c:pt idx="21">
                  <c:v>45107</c:v>
                </c:pt>
              </c:numCache>
            </c:numRef>
          </c:cat>
          <c:val>
            <c:numRef>
              <c:f>'Charts Info'!$C$116:$C$137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99-4596-9C7C-F318805446BE}"/>
            </c:ext>
          </c:extLst>
        </c:ser>
        <c:ser>
          <c:idx val="2"/>
          <c:order val="2"/>
          <c:tx>
            <c:strRef>
              <c:f>'Charts Info'!$D$115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Info'!$A$116:$A$137</c:f>
              <c:numCache>
                <c:formatCode>d\-mmm</c:formatCode>
                <c:ptCount val="22"/>
                <c:pt idx="0">
                  <c:v>45078</c:v>
                </c:pt>
                <c:pt idx="1">
                  <c:v>45079</c:v>
                </c:pt>
                <c:pt idx="2">
                  <c:v>45082</c:v>
                </c:pt>
                <c:pt idx="3">
                  <c:v>45083</c:v>
                </c:pt>
                <c:pt idx="4">
                  <c:v>45084</c:v>
                </c:pt>
                <c:pt idx="5">
                  <c:v>45085</c:v>
                </c:pt>
                <c:pt idx="6">
                  <c:v>45086</c:v>
                </c:pt>
                <c:pt idx="7">
                  <c:v>45089</c:v>
                </c:pt>
                <c:pt idx="8">
                  <c:v>45090</c:v>
                </c:pt>
                <c:pt idx="9">
                  <c:v>45091</c:v>
                </c:pt>
                <c:pt idx="10">
                  <c:v>45092</c:v>
                </c:pt>
                <c:pt idx="11">
                  <c:v>45093</c:v>
                </c:pt>
                <c:pt idx="12">
                  <c:v>45096</c:v>
                </c:pt>
                <c:pt idx="13">
                  <c:v>45097</c:v>
                </c:pt>
                <c:pt idx="14">
                  <c:v>45098</c:v>
                </c:pt>
                <c:pt idx="15">
                  <c:v>45099</c:v>
                </c:pt>
                <c:pt idx="16">
                  <c:v>45100</c:v>
                </c:pt>
                <c:pt idx="17">
                  <c:v>45103</c:v>
                </c:pt>
                <c:pt idx="18">
                  <c:v>45104</c:v>
                </c:pt>
                <c:pt idx="19">
                  <c:v>45105</c:v>
                </c:pt>
                <c:pt idx="20">
                  <c:v>45106</c:v>
                </c:pt>
                <c:pt idx="21">
                  <c:v>45107</c:v>
                </c:pt>
              </c:numCache>
            </c:numRef>
          </c:cat>
          <c:val>
            <c:numRef>
              <c:f>'Charts Info'!$D$116:$D$137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99-4596-9C7C-F318805446BE}"/>
            </c:ext>
          </c:extLst>
        </c:ser>
        <c:ser>
          <c:idx val="3"/>
          <c:order val="3"/>
          <c:tx>
            <c:strRef>
              <c:f>'Charts Info'!$E$115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Info'!$A$116:$A$137</c:f>
              <c:numCache>
                <c:formatCode>d\-mmm</c:formatCode>
                <c:ptCount val="22"/>
                <c:pt idx="0">
                  <c:v>45078</c:v>
                </c:pt>
                <c:pt idx="1">
                  <c:v>45079</c:v>
                </c:pt>
                <c:pt idx="2">
                  <c:v>45082</c:v>
                </c:pt>
                <c:pt idx="3">
                  <c:v>45083</c:v>
                </c:pt>
                <c:pt idx="4">
                  <c:v>45084</c:v>
                </c:pt>
                <c:pt idx="5">
                  <c:v>45085</c:v>
                </c:pt>
                <c:pt idx="6">
                  <c:v>45086</c:v>
                </c:pt>
                <c:pt idx="7">
                  <c:v>45089</c:v>
                </c:pt>
                <c:pt idx="8">
                  <c:v>45090</c:v>
                </c:pt>
                <c:pt idx="9">
                  <c:v>45091</c:v>
                </c:pt>
                <c:pt idx="10">
                  <c:v>45092</c:v>
                </c:pt>
                <c:pt idx="11">
                  <c:v>45093</c:v>
                </c:pt>
                <c:pt idx="12">
                  <c:v>45096</c:v>
                </c:pt>
                <c:pt idx="13">
                  <c:v>45097</c:v>
                </c:pt>
                <c:pt idx="14">
                  <c:v>45098</c:v>
                </c:pt>
                <c:pt idx="15">
                  <c:v>45099</c:v>
                </c:pt>
                <c:pt idx="16">
                  <c:v>45100</c:v>
                </c:pt>
                <c:pt idx="17">
                  <c:v>45103</c:v>
                </c:pt>
                <c:pt idx="18">
                  <c:v>45104</c:v>
                </c:pt>
                <c:pt idx="19">
                  <c:v>45105</c:v>
                </c:pt>
                <c:pt idx="20">
                  <c:v>45106</c:v>
                </c:pt>
                <c:pt idx="21">
                  <c:v>45107</c:v>
                </c:pt>
              </c:numCache>
            </c:numRef>
          </c:cat>
          <c:val>
            <c:numRef>
              <c:f>'Charts Info'!$E$116:$E$137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99-4596-9C7C-F318805446BE}"/>
            </c:ext>
          </c:extLst>
        </c:ser>
        <c:ser>
          <c:idx val="4"/>
          <c:order val="4"/>
          <c:tx>
            <c:strRef>
              <c:f>'Charts Info'!$F$115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Info'!$A$116:$A$137</c:f>
              <c:numCache>
                <c:formatCode>d\-mmm</c:formatCode>
                <c:ptCount val="22"/>
                <c:pt idx="0">
                  <c:v>45078</c:v>
                </c:pt>
                <c:pt idx="1">
                  <c:v>45079</c:v>
                </c:pt>
                <c:pt idx="2">
                  <c:v>45082</c:v>
                </c:pt>
                <c:pt idx="3">
                  <c:v>45083</c:v>
                </c:pt>
                <c:pt idx="4">
                  <c:v>45084</c:v>
                </c:pt>
                <c:pt idx="5">
                  <c:v>45085</c:v>
                </c:pt>
                <c:pt idx="6">
                  <c:v>45086</c:v>
                </c:pt>
                <c:pt idx="7">
                  <c:v>45089</c:v>
                </c:pt>
                <c:pt idx="8">
                  <c:v>45090</c:v>
                </c:pt>
                <c:pt idx="9">
                  <c:v>45091</c:v>
                </c:pt>
                <c:pt idx="10">
                  <c:v>45092</c:v>
                </c:pt>
                <c:pt idx="11">
                  <c:v>45093</c:v>
                </c:pt>
                <c:pt idx="12">
                  <c:v>45096</c:v>
                </c:pt>
                <c:pt idx="13">
                  <c:v>45097</c:v>
                </c:pt>
                <c:pt idx="14">
                  <c:v>45098</c:v>
                </c:pt>
                <c:pt idx="15">
                  <c:v>45099</c:v>
                </c:pt>
                <c:pt idx="16">
                  <c:v>45100</c:v>
                </c:pt>
                <c:pt idx="17">
                  <c:v>45103</c:v>
                </c:pt>
                <c:pt idx="18">
                  <c:v>45104</c:v>
                </c:pt>
                <c:pt idx="19">
                  <c:v>45105</c:v>
                </c:pt>
                <c:pt idx="20">
                  <c:v>45106</c:v>
                </c:pt>
                <c:pt idx="21">
                  <c:v>45107</c:v>
                </c:pt>
              </c:numCache>
            </c:numRef>
          </c:cat>
          <c:val>
            <c:numRef>
              <c:f>'Charts Info'!$F$116:$F$137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99-4596-9C7C-F31880544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Info'!$G$115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Info'!$A$116:$A$137</c:f>
              <c:numCache>
                <c:formatCode>d\-mmm</c:formatCode>
                <c:ptCount val="22"/>
                <c:pt idx="0">
                  <c:v>45078</c:v>
                </c:pt>
                <c:pt idx="1">
                  <c:v>45079</c:v>
                </c:pt>
                <c:pt idx="2">
                  <c:v>45082</c:v>
                </c:pt>
                <c:pt idx="3">
                  <c:v>45083</c:v>
                </c:pt>
                <c:pt idx="4">
                  <c:v>45084</c:v>
                </c:pt>
                <c:pt idx="5">
                  <c:v>45085</c:v>
                </c:pt>
                <c:pt idx="6">
                  <c:v>45086</c:v>
                </c:pt>
                <c:pt idx="7">
                  <c:v>45089</c:v>
                </c:pt>
                <c:pt idx="8">
                  <c:v>45090</c:v>
                </c:pt>
                <c:pt idx="9">
                  <c:v>45091</c:v>
                </c:pt>
                <c:pt idx="10">
                  <c:v>45092</c:v>
                </c:pt>
                <c:pt idx="11">
                  <c:v>45093</c:v>
                </c:pt>
                <c:pt idx="12">
                  <c:v>45096</c:v>
                </c:pt>
                <c:pt idx="13">
                  <c:v>45097</c:v>
                </c:pt>
                <c:pt idx="14">
                  <c:v>45098</c:v>
                </c:pt>
                <c:pt idx="15">
                  <c:v>45099</c:v>
                </c:pt>
                <c:pt idx="16">
                  <c:v>45100</c:v>
                </c:pt>
                <c:pt idx="17">
                  <c:v>45103</c:v>
                </c:pt>
                <c:pt idx="18">
                  <c:v>45104</c:v>
                </c:pt>
                <c:pt idx="19">
                  <c:v>45105</c:v>
                </c:pt>
                <c:pt idx="20">
                  <c:v>45106</c:v>
                </c:pt>
                <c:pt idx="21">
                  <c:v>45107</c:v>
                </c:pt>
              </c:numCache>
            </c:numRef>
          </c:cat>
          <c:val>
            <c:numRef>
              <c:f>'Charts Info'!$G$116:$G$137</c:f>
              <c:numCache>
                <c:formatCode>General</c:formatCode>
                <c:ptCount val="22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99-4596-9C7C-F31880544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July 2023 Buffing Results</a:t>
            </a:r>
          </a:p>
        </c:rich>
      </c:tx>
      <c:layout>
        <c:manualLayout>
          <c:xMode val="edge"/>
          <c:yMode val="edge"/>
          <c:x val="0.23111111111111107"/>
          <c:y val="1.680672268907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Info'!$B$139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Info'!$A$140:$A$160</c:f>
              <c:numCache>
                <c:formatCode>d\-mmm</c:formatCode>
                <c:ptCount val="21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45117</c:v>
                </c:pt>
                <c:pt idx="6">
                  <c:v>45118</c:v>
                </c:pt>
                <c:pt idx="7">
                  <c:v>45119</c:v>
                </c:pt>
                <c:pt idx="8">
                  <c:v>45120</c:v>
                </c:pt>
                <c:pt idx="9">
                  <c:v>45121</c:v>
                </c:pt>
                <c:pt idx="10">
                  <c:v>45124</c:v>
                </c:pt>
                <c:pt idx="11">
                  <c:v>45125</c:v>
                </c:pt>
                <c:pt idx="12">
                  <c:v>45126</c:v>
                </c:pt>
                <c:pt idx="13">
                  <c:v>45127</c:v>
                </c:pt>
                <c:pt idx="14">
                  <c:v>45128</c:v>
                </c:pt>
                <c:pt idx="15">
                  <c:v>45131</c:v>
                </c:pt>
                <c:pt idx="16">
                  <c:v>45132</c:v>
                </c:pt>
                <c:pt idx="17">
                  <c:v>45133</c:v>
                </c:pt>
                <c:pt idx="18">
                  <c:v>45134</c:v>
                </c:pt>
                <c:pt idx="19">
                  <c:v>45135</c:v>
                </c:pt>
                <c:pt idx="20">
                  <c:v>45138</c:v>
                </c:pt>
              </c:numCache>
            </c:numRef>
          </c:cat>
          <c:val>
            <c:numRef>
              <c:f>'Charts Info'!$B$140:$B$160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7-46E6-9E15-4BF847CB4811}"/>
            </c:ext>
          </c:extLst>
        </c:ser>
        <c:ser>
          <c:idx val="1"/>
          <c:order val="1"/>
          <c:tx>
            <c:strRef>
              <c:f>'Charts Info'!$C$139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Info'!$A$140:$A$160</c:f>
              <c:numCache>
                <c:formatCode>d\-mmm</c:formatCode>
                <c:ptCount val="21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45117</c:v>
                </c:pt>
                <c:pt idx="6">
                  <c:v>45118</c:v>
                </c:pt>
                <c:pt idx="7">
                  <c:v>45119</c:v>
                </c:pt>
                <c:pt idx="8">
                  <c:v>45120</c:v>
                </c:pt>
                <c:pt idx="9">
                  <c:v>45121</c:v>
                </c:pt>
                <c:pt idx="10">
                  <c:v>45124</c:v>
                </c:pt>
                <c:pt idx="11">
                  <c:v>45125</c:v>
                </c:pt>
                <c:pt idx="12">
                  <c:v>45126</c:v>
                </c:pt>
                <c:pt idx="13">
                  <c:v>45127</c:v>
                </c:pt>
                <c:pt idx="14">
                  <c:v>45128</c:v>
                </c:pt>
                <c:pt idx="15">
                  <c:v>45131</c:v>
                </c:pt>
                <c:pt idx="16">
                  <c:v>45132</c:v>
                </c:pt>
                <c:pt idx="17">
                  <c:v>45133</c:v>
                </c:pt>
                <c:pt idx="18">
                  <c:v>45134</c:v>
                </c:pt>
                <c:pt idx="19">
                  <c:v>45135</c:v>
                </c:pt>
                <c:pt idx="20">
                  <c:v>45138</c:v>
                </c:pt>
              </c:numCache>
            </c:numRef>
          </c:cat>
          <c:val>
            <c:numRef>
              <c:f>'Charts Info'!$C$140:$C$160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7-46E6-9E15-4BF847CB4811}"/>
            </c:ext>
          </c:extLst>
        </c:ser>
        <c:ser>
          <c:idx val="2"/>
          <c:order val="2"/>
          <c:tx>
            <c:strRef>
              <c:f>'Charts Info'!$D$139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Info'!$A$140:$A$160</c:f>
              <c:numCache>
                <c:formatCode>d\-mmm</c:formatCode>
                <c:ptCount val="21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45117</c:v>
                </c:pt>
                <c:pt idx="6">
                  <c:v>45118</c:v>
                </c:pt>
                <c:pt idx="7">
                  <c:v>45119</c:v>
                </c:pt>
                <c:pt idx="8">
                  <c:v>45120</c:v>
                </c:pt>
                <c:pt idx="9">
                  <c:v>45121</c:v>
                </c:pt>
                <c:pt idx="10">
                  <c:v>45124</c:v>
                </c:pt>
                <c:pt idx="11">
                  <c:v>45125</c:v>
                </c:pt>
                <c:pt idx="12">
                  <c:v>45126</c:v>
                </c:pt>
                <c:pt idx="13">
                  <c:v>45127</c:v>
                </c:pt>
                <c:pt idx="14">
                  <c:v>45128</c:v>
                </c:pt>
                <c:pt idx="15">
                  <c:v>45131</c:v>
                </c:pt>
                <c:pt idx="16">
                  <c:v>45132</c:v>
                </c:pt>
                <c:pt idx="17">
                  <c:v>45133</c:v>
                </c:pt>
                <c:pt idx="18">
                  <c:v>45134</c:v>
                </c:pt>
                <c:pt idx="19">
                  <c:v>45135</c:v>
                </c:pt>
                <c:pt idx="20">
                  <c:v>45138</c:v>
                </c:pt>
              </c:numCache>
            </c:numRef>
          </c:cat>
          <c:val>
            <c:numRef>
              <c:f>'Charts Info'!$D$140:$D$160</c:f>
              <c:numCache>
                <c:formatCode>General</c:formatCode>
                <c:ptCount val="21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27-46E6-9E15-4BF847CB4811}"/>
            </c:ext>
          </c:extLst>
        </c:ser>
        <c:ser>
          <c:idx val="3"/>
          <c:order val="3"/>
          <c:tx>
            <c:strRef>
              <c:f>'Charts Info'!$E$139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Info'!$A$140:$A$160</c:f>
              <c:numCache>
                <c:formatCode>d\-mmm</c:formatCode>
                <c:ptCount val="21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45117</c:v>
                </c:pt>
                <c:pt idx="6">
                  <c:v>45118</c:v>
                </c:pt>
                <c:pt idx="7">
                  <c:v>45119</c:v>
                </c:pt>
                <c:pt idx="8">
                  <c:v>45120</c:v>
                </c:pt>
                <c:pt idx="9">
                  <c:v>45121</c:v>
                </c:pt>
                <c:pt idx="10">
                  <c:v>45124</c:v>
                </c:pt>
                <c:pt idx="11">
                  <c:v>45125</c:v>
                </c:pt>
                <c:pt idx="12">
                  <c:v>45126</c:v>
                </c:pt>
                <c:pt idx="13">
                  <c:v>45127</c:v>
                </c:pt>
                <c:pt idx="14">
                  <c:v>45128</c:v>
                </c:pt>
                <c:pt idx="15">
                  <c:v>45131</c:v>
                </c:pt>
                <c:pt idx="16">
                  <c:v>45132</c:v>
                </c:pt>
                <c:pt idx="17">
                  <c:v>45133</c:v>
                </c:pt>
                <c:pt idx="18">
                  <c:v>45134</c:v>
                </c:pt>
                <c:pt idx="19">
                  <c:v>45135</c:v>
                </c:pt>
                <c:pt idx="20">
                  <c:v>45138</c:v>
                </c:pt>
              </c:numCache>
            </c:numRef>
          </c:cat>
          <c:val>
            <c:numRef>
              <c:f>'Charts Info'!$E$140:$E$160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7-46E6-9E15-4BF847CB4811}"/>
            </c:ext>
          </c:extLst>
        </c:ser>
        <c:ser>
          <c:idx val="4"/>
          <c:order val="4"/>
          <c:tx>
            <c:strRef>
              <c:f>'Charts Info'!$F$139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Info'!$A$140:$A$160</c:f>
              <c:numCache>
                <c:formatCode>d\-mmm</c:formatCode>
                <c:ptCount val="21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45117</c:v>
                </c:pt>
                <c:pt idx="6">
                  <c:v>45118</c:v>
                </c:pt>
                <c:pt idx="7">
                  <c:v>45119</c:v>
                </c:pt>
                <c:pt idx="8">
                  <c:v>45120</c:v>
                </c:pt>
                <c:pt idx="9">
                  <c:v>45121</c:v>
                </c:pt>
                <c:pt idx="10">
                  <c:v>45124</c:v>
                </c:pt>
                <c:pt idx="11">
                  <c:v>45125</c:v>
                </c:pt>
                <c:pt idx="12">
                  <c:v>45126</c:v>
                </c:pt>
                <c:pt idx="13">
                  <c:v>45127</c:v>
                </c:pt>
                <c:pt idx="14">
                  <c:v>45128</c:v>
                </c:pt>
                <c:pt idx="15">
                  <c:v>45131</c:v>
                </c:pt>
                <c:pt idx="16">
                  <c:v>45132</c:v>
                </c:pt>
                <c:pt idx="17">
                  <c:v>45133</c:v>
                </c:pt>
                <c:pt idx="18">
                  <c:v>45134</c:v>
                </c:pt>
                <c:pt idx="19">
                  <c:v>45135</c:v>
                </c:pt>
                <c:pt idx="20">
                  <c:v>45138</c:v>
                </c:pt>
              </c:numCache>
            </c:numRef>
          </c:cat>
          <c:val>
            <c:numRef>
              <c:f>'Charts Info'!$F$140:$F$160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27-46E6-9E15-4BF847CB4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Info'!$G$139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Info'!$A$140:$A$160</c:f>
              <c:numCache>
                <c:formatCode>d\-mmm</c:formatCode>
                <c:ptCount val="21"/>
                <c:pt idx="0">
                  <c:v>45110</c:v>
                </c:pt>
                <c:pt idx="1">
                  <c:v>45111</c:v>
                </c:pt>
                <c:pt idx="2">
                  <c:v>45112</c:v>
                </c:pt>
                <c:pt idx="3">
                  <c:v>45113</c:v>
                </c:pt>
                <c:pt idx="4">
                  <c:v>45114</c:v>
                </c:pt>
                <c:pt idx="5">
                  <c:v>45117</c:v>
                </c:pt>
                <c:pt idx="6">
                  <c:v>45118</c:v>
                </c:pt>
                <c:pt idx="7">
                  <c:v>45119</c:v>
                </c:pt>
                <c:pt idx="8">
                  <c:v>45120</c:v>
                </c:pt>
                <c:pt idx="9">
                  <c:v>45121</c:v>
                </c:pt>
                <c:pt idx="10">
                  <c:v>45124</c:v>
                </c:pt>
                <c:pt idx="11">
                  <c:v>45125</c:v>
                </c:pt>
                <c:pt idx="12">
                  <c:v>45126</c:v>
                </c:pt>
                <c:pt idx="13">
                  <c:v>45127</c:v>
                </c:pt>
                <c:pt idx="14">
                  <c:v>45128</c:v>
                </c:pt>
                <c:pt idx="15">
                  <c:v>45131</c:v>
                </c:pt>
                <c:pt idx="16">
                  <c:v>45132</c:v>
                </c:pt>
                <c:pt idx="17">
                  <c:v>45133</c:v>
                </c:pt>
                <c:pt idx="18">
                  <c:v>45134</c:v>
                </c:pt>
                <c:pt idx="19">
                  <c:v>45135</c:v>
                </c:pt>
                <c:pt idx="20">
                  <c:v>45138</c:v>
                </c:pt>
              </c:numCache>
            </c:numRef>
          </c:cat>
          <c:val>
            <c:numRef>
              <c:f>'Charts Info'!$G$140:$G$160</c:f>
              <c:numCache>
                <c:formatCode>General</c:formatCode>
                <c:ptCount val="21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27-46E6-9E15-4BF847CB4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Aug 2023 Buffing Results</a:t>
            </a:r>
          </a:p>
        </c:rich>
      </c:tx>
      <c:layout>
        <c:manualLayout>
          <c:xMode val="edge"/>
          <c:yMode val="edge"/>
          <c:x val="0.23111111111111107"/>
          <c:y val="1.680672268907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Info'!$B$162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Info'!$A$163:$A$185</c:f>
              <c:numCache>
                <c:formatCode>d\-mmm</c:formatCode>
                <c:ptCount val="23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45145</c:v>
                </c:pt>
                <c:pt idx="5">
                  <c:v>45146</c:v>
                </c:pt>
                <c:pt idx="6">
                  <c:v>45147</c:v>
                </c:pt>
                <c:pt idx="7">
                  <c:v>45148</c:v>
                </c:pt>
                <c:pt idx="8">
                  <c:v>45149</c:v>
                </c:pt>
                <c:pt idx="9">
                  <c:v>45152</c:v>
                </c:pt>
                <c:pt idx="10">
                  <c:v>45153</c:v>
                </c:pt>
                <c:pt idx="11">
                  <c:v>45154</c:v>
                </c:pt>
                <c:pt idx="12">
                  <c:v>45155</c:v>
                </c:pt>
                <c:pt idx="13">
                  <c:v>45156</c:v>
                </c:pt>
                <c:pt idx="14">
                  <c:v>45159</c:v>
                </c:pt>
                <c:pt idx="15">
                  <c:v>45160</c:v>
                </c:pt>
                <c:pt idx="16">
                  <c:v>45161</c:v>
                </c:pt>
                <c:pt idx="17">
                  <c:v>45162</c:v>
                </c:pt>
                <c:pt idx="18">
                  <c:v>45163</c:v>
                </c:pt>
                <c:pt idx="19">
                  <c:v>45166</c:v>
                </c:pt>
                <c:pt idx="20">
                  <c:v>45167</c:v>
                </c:pt>
                <c:pt idx="21">
                  <c:v>45168</c:v>
                </c:pt>
                <c:pt idx="22">
                  <c:v>45169</c:v>
                </c:pt>
              </c:numCache>
            </c:numRef>
          </c:cat>
          <c:val>
            <c:numRef>
              <c:f>'Charts Info'!$B$163:$B$185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A-4FC8-93ED-DEA7631CCC3A}"/>
            </c:ext>
          </c:extLst>
        </c:ser>
        <c:ser>
          <c:idx val="1"/>
          <c:order val="1"/>
          <c:tx>
            <c:strRef>
              <c:f>'Charts Info'!$C$162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'Charts Info'!$A$163:$A$185</c:f>
              <c:numCache>
                <c:formatCode>d\-mmm</c:formatCode>
                <c:ptCount val="23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45145</c:v>
                </c:pt>
                <c:pt idx="5">
                  <c:v>45146</c:v>
                </c:pt>
                <c:pt idx="6">
                  <c:v>45147</c:v>
                </c:pt>
                <c:pt idx="7">
                  <c:v>45148</c:v>
                </c:pt>
                <c:pt idx="8">
                  <c:v>45149</c:v>
                </c:pt>
                <c:pt idx="9">
                  <c:v>45152</c:v>
                </c:pt>
                <c:pt idx="10">
                  <c:v>45153</c:v>
                </c:pt>
                <c:pt idx="11">
                  <c:v>45154</c:v>
                </c:pt>
                <c:pt idx="12">
                  <c:v>45155</c:v>
                </c:pt>
                <c:pt idx="13">
                  <c:v>45156</c:v>
                </c:pt>
                <c:pt idx="14">
                  <c:v>45159</c:v>
                </c:pt>
                <c:pt idx="15">
                  <c:v>45160</c:v>
                </c:pt>
                <c:pt idx="16">
                  <c:v>45161</c:v>
                </c:pt>
                <c:pt idx="17">
                  <c:v>45162</c:v>
                </c:pt>
                <c:pt idx="18">
                  <c:v>45163</c:v>
                </c:pt>
                <c:pt idx="19">
                  <c:v>45166</c:v>
                </c:pt>
                <c:pt idx="20">
                  <c:v>45167</c:v>
                </c:pt>
                <c:pt idx="21">
                  <c:v>45168</c:v>
                </c:pt>
                <c:pt idx="22">
                  <c:v>45169</c:v>
                </c:pt>
              </c:numCache>
            </c:numRef>
          </c:cat>
          <c:val>
            <c:numRef>
              <c:f>'Charts Info'!$C$163:$C$185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A-4FC8-93ED-DEA7631CCC3A}"/>
            </c:ext>
          </c:extLst>
        </c:ser>
        <c:ser>
          <c:idx val="2"/>
          <c:order val="2"/>
          <c:tx>
            <c:strRef>
              <c:f>'Charts Info'!$D$162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Info'!$A$163:$A$185</c:f>
              <c:numCache>
                <c:formatCode>d\-mmm</c:formatCode>
                <c:ptCount val="23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45145</c:v>
                </c:pt>
                <c:pt idx="5">
                  <c:v>45146</c:v>
                </c:pt>
                <c:pt idx="6">
                  <c:v>45147</c:v>
                </c:pt>
                <c:pt idx="7">
                  <c:v>45148</c:v>
                </c:pt>
                <c:pt idx="8">
                  <c:v>45149</c:v>
                </c:pt>
                <c:pt idx="9">
                  <c:v>45152</c:v>
                </c:pt>
                <c:pt idx="10">
                  <c:v>45153</c:v>
                </c:pt>
                <c:pt idx="11">
                  <c:v>45154</c:v>
                </c:pt>
                <c:pt idx="12">
                  <c:v>45155</c:v>
                </c:pt>
                <c:pt idx="13">
                  <c:v>45156</c:v>
                </c:pt>
                <c:pt idx="14">
                  <c:v>45159</c:v>
                </c:pt>
                <c:pt idx="15">
                  <c:v>45160</c:v>
                </c:pt>
                <c:pt idx="16">
                  <c:v>45161</c:v>
                </c:pt>
                <c:pt idx="17">
                  <c:v>45162</c:v>
                </c:pt>
                <c:pt idx="18">
                  <c:v>45163</c:v>
                </c:pt>
                <c:pt idx="19">
                  <c:v>45166</c:v>
                </c:pt>
                <c:pt idx="20">
                  <c:v>45167</c:v>
                </c:pt>
                <c:pt idx="21">
                  <c:v>45168</c:v>
                </c:pt>
                <c:pt idx="22">
                  <c:v>45169</c:v>
                </c:pt>
              </c:numCache>
            </c:numRef>
          </c:cat>
          <c:val>
            <c:numRef>
              <c:f>'Charts Info'!$D$163:$D$185</c:f>
              <c:numCache>
                <c:formatCode>General</c:formatCode>
                <c:ptCount val="2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BA-4FC8-93ED-DEA7631CCC3A}"/>
            </c:ext>
          </c:extLst>
        </c:ser>
        <c:ser>
          <c:idx val="3"/>
          <c:order val="3"/>
          <c:tx>
            <c:strRef>
              <c:f>'Charts Info'!$E$162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Info'!$A$163:$A$185</c:f>
              <c:numCache>
                <c:formatCode>d\-mmm</c:formatCode>
                <c:ptCount val="23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45145</c:v>
                </c:pt>
                <c:pt idx="5">
                  <c:v>45146</c:v>
                </c:pt>
                <c:pt idx="6">
                  <c:v>45147</c:v>
                </c:pt>
                <c:pt idx="7">
                  <c:v>45148</c:v>
                </c:pt>
                <c:pt idx="8">
                  <c:v>45149</c:v>
                </c:pt>
                <c:pt idx="9">
                  <c:v>45152</c:v>
                </c:pt>
                <c:pt idx="10">
                  <c:v>45153</c:v>
                </c:pt>
                <c:pt idx="11">
                  <c:v>45154</c:v>
                </c:pt>
                <c:pt idx="12">
                  <c:v>45155</c:v>
                </c:pt>
                <c:pt idx="13">
                  <c:v>45156</c:v>
                </c:pt>
                <c:pt idx="14">
                  <c:v>45159</c:v>
                </c:pt>
                <c:pt idx="15">
                  <c:v>45160</c:v>
                </c:pt>
                <c:pt idx="16">
                  <c:v>45161</c:v>
                </c:pt>
                <c:pt idx="17">
                  <c:v>45162</c:v>
                </c:pt>
                <c:pt idx="18">
                  <c:v>45163</c:v>
                </c:pt>
                <c:pt idx="19">
                  <c:v>45166</c:v>
                </c:pt>
                <c:pt idx="20">
                  <c:v>45167</c:v>
                </c:pt>
                <c:pt idx="21">
                  <c:v>45168</c:v>
                </c:pt>
                <c:pt idx="22">
                  <c:v>45169</c:v>
                </c:pt>
              </c:numCache>
            </c:numRef>
          </c:cat>
          <c:val>
            <c:numRef>
              <c:f>'Charts Info'!$E$163:$E$185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BA-4FC8-93ED-DEA7631CCC3A}"/>
            </c:ext>
          </c:extLst>
        </c:ser>
        <c:ser>
          <c:idx val="4"/>
          <c:order val="4"/>
          <c:tx>
            <c:strRef>
              <c:f>'Charts Info'!$F$162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Info'!$A$163:$A$185</c:f>
              <c:numCache>
                <c:formatCode>d\-mmm</c:formatCode>
                <c:ptCount val="23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45145</c:v>
                </c:pt>
                <c:pt idx="5">
                  <c:v>45146</c:v>
                </c:pt>
                <c:pt idx="6">
                  <c:v>45147</c:v>
                </c:pt>
                <c:pt idx="7">
                  <c:v>45148</c:v>
                </c:pt>
                <c:pt idx="8">
                  <c:v>45149</c:v>
                </c:pt>
                <c:pt idx="9">
                  <c:v>45152</c:v>
                </c:pt>
                <c:pt idx="10">
                  <c:v>45153</c:v>
                </c:pt>
                <c:pt idx="11">
                  <c:v>45154</c:v>
                </c:pt>
                <c:pt idx="12">
                  <c:v>45155</c:v>
                </c:pt>
                <c:pt idx="13">
                  <c:v>45156</c:v>
                </c:pt>
                <c:pt idx="14">
                  <c:v>45159</c:v>
                </c:pt>
                <c:pt idx="15">
                  <c:v>45160</c:v>
                </c:pt>
                <c:pt idx="16">
                  <c:v>45161</c:v>
                </c:pt>
                <c:pt idx="17">
                  <c:v>45162</c:v>
                </c:pt>
                <c:pt idx="18">
                  <c:v>45163</c:v>
                </c:pt>
                <c:pt idx="19">
                  <c:v>45166</c:v>
                </c:pt>
                <c:pt idx="20">
                  <c:v>45167</c:v>
                </c:pt>
                <c:pt idx="21">
                  <c:v>45168</c:v>
                </c:pt>
                <c:pt idx="22">
                  <c:v>45169</c:v>
                </c:pt>
              </c:numCache>
            </c:numRef>
          </c:cat>
          <c:val>
            <c:numRef>
              <c:f>'Charts Info'!$F$163:$F$185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BA-4FC8-93ED-DEA7631CC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Info'!$G$162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Info'!$A$163:$A$185</c:f>
              <c:numCache>
                <c:formatCode>d\-mmm</c:formatCode>
                <c:ptCount val="23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45145</c:v>
                </c:pt>
                <c:pt idx="5">
                  <c:v>45146</c:v>
                </c:pt>
                <c:pt idx="6">
                  <c:v>45147</c:v>
                </c:pt>
                <c:pt idx="7">
                  <c:v>45148</c:v>
                </c:pt>
                <c:pt idx="8">
                  <c:v>45149</c:v>
                </c:pt>
                <c:pt idx="9">
                  <c:v>45152</c:v>
                </c:pt>
                <c:pt idx="10">
                  <c:v>45153</c:v>
                </c:pt>
                <c:pt idx="11">
                  <c:v>45154</c:v>
                </c:pt>
                <c:pt idx="12">
                  <c:v>45155</c:v>
                </c:pt>
                <c:pt idx="13">
                  <c:v>45156</c:v>
                </c:pt>
                <c:pt idx="14">
                  <c:v>45159</c:v>
                </c:pt>
                <c:pt idx="15">
                  <c:v>45160</c:v>
                </c:pt>
                <c:pt idx="16">
                  <c:v>45161</c:v>
                </c:pt>
                <c:pt idx="17">
                  <c:v>45162</c:v>
                </c:pt>
                <c:pt idx="18">
                  <c:v>45163</c:v>
                </c:pt>
                <c:pt idx="19">
                  <c:v>45166</c:v>
                </c:pt>
                <c:pt idx="20">
                  <c:v>45167</c:v>
                </c:pt>
                <c:pt idx="21">
                  <c:v>45168</c:v>
                </c:pt>
                <c:pt idx="22">
                  <c:v>45169</c:v>
                </c:pt>
              </c:numCache>
            </c:numRef>
          </c:cat>
          <c:val>
            <c:numRef>
              <c:f>'Charts Info'!$G$163:$G$185</c:f>
              <c:numCache>
                <c:formatCode>General</c:formatCode>
                <c:ptCount val="23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BA-4FC8-93ED-DEA7631CC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Sept 2023 Buffing Results</a:t>
            </a:r>
          </a:p>
        </c:rich>
      </c:tx>
      <c:layout>
        <c:manualLayout>
          <c:xMode val="edge"/>
          <c:yMode val="edge"/>
          <c:x val="0.23111111111111107"/>
          <c:y val="1.680672268907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Info'!$B$187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Info'!$A$188:$A$207</c:f>
              <c:numCache>
                <c:formatCode>d\-mmm</c:formatCode>
                <c:ptCount val="20"/>
                <c:pt idx="0">
                  <c:v>37500</c:v>
                </c:pt>
                <c:pt idx="1">
                  <c:v>45174</c:v>
                </c:pt>
                <c:pt idx="2">
                  <c:v>45175</c:v>
                </c:pt>
                <c:pt idx="3">
                  <c:v>45176</c:v>
                </c:pt>
                <c:pt idx="4">
                  <c:v>45177</c:v>
                </c:pt>
                <c:pt idx="5">
                  <c:v>45180</c:v>
                </c:pt>
                <c:pt idx="6">
                  <c:v>45181</c:v>
                </c:pt>
                <c:pt idx="7">
                  <c:v>45182</c:v>
                </c:pt>
                <c:pt idx="8">
                  <c:v>45183</c:v>
                </c:pt>
                <c:pt idx="9">
                  <c:v>45184</c:v>
                </c:pt>
                <c:pt idx="10">
                  <c:v>45187</c:v>
                </c:pt>
                <c:pt idx="11">
                  <c:v>45188</c:v>
                </c:pt>
                <c:pt idx="12">
                  <c:v>45189</c:v>
                </c:pt>
                <c:pt idx="13">
                  <c:v>45190</c:v>
                </c:pt>
                <c:pt idx="14">
                  <c:v>45191</c:v>
                </c:pt>
                <c:pt idx="15">
                  <c:v>45194</c:v>
                </c:pt>
                <c:pt idx="16">
                  <c:v>45195</c:v>
                </c:pt>
                <c:pt idx="17">
                  <c:v>45196</c:v>
                </c:pt>
                <c:pt idx="18">
                  <c:v>45197</c:v>
                </c:pt>
                <c:pt idx="19">
                  <c:v>45198</c:v>
                </c:pt>
              </c:numCache>
            </c:numRef>
          </c:cat>
          <c:val>
            <c:numRef>
              <c:f>'Charts Info'!$B$188:$B$207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8-4749-B650-B3E6D45FD6CC}"/>
            </c:ext>
          </c:extLst>
        </c:ser>
        <c:ser>
          <c:idx val="1"/>
          <c:order val="1"/>
          <c:tx>
            <c:strRef>
              <c:f>'Charts Info'!$C$187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Info'!$A$188:$A$207</c:f>
              <c:numCache>
                <c:formatCode>d\-mmm</c:formatCode>
                <c:ptCount val="20"/>
                <c:pt idx="0">
                  <c:v>37500</c:v>
                </c:pt>
                <c:pt idx="1">
                  <c:v>45174</c:v>
                </c:pt>
                <c:pt idx="2">
                  <c:v>45175</c:v>
                </c:pt>
                <c:pt idx="3">
                  <c:v>45176</c:v>
                </c:pt>
                <c:pt idx="4">
                  <c:v>45177</c:v>
                </c:pt>
                <c:pt idx="5">
                  <c:v>45180</c:v>
                </c:pt>
                <c:pt idx="6">
                  <c:v>45181</c:v>
                </c:pt>
                <c:pt idx="7">
                  <c:v>45182</c:v>
                </c:pt>
                <c:pt idx="8">
                  <c:v>45183</c:v>
                </c:pt>
                <c:pt idx="9">
                  <c:v>45184</c:v>
                </c:pt>
                <c:pt idx="10">
                  <c:v>45187</c:v>
                </c:pt>
                <c:pt idx="11">
                  <c:v>45188</c:v>
                </c:pt>
                <c:pt idx="12">
                  <c:v>45189</c:v>
                </c:pt>
                <c:pt idx="13">
                  <c:v>45190</c:v>
                </c:pt>
                <c:pt idx="14">
                  <c:v>45191</c:v>
                </c:pt>
                <c:pt idx="15">
                  <c:v>45194</c:v>
                </c:pt>
                <c:pt idx="16">
                  <c:v>45195</c:v>
                </c:pt>
                <c:pt idx="17">
                  <c:v>45196</c:v>
                </c:pt>
                <c:pt idx="18">
                  <c:v>45197</c:v>
                </c:pt>
                <c:pt idx="19">
                  <c:v>45198</c:v>
                </c:pt>
              </c:numCache>
            </c:numRef>
          </c:cat>
          <c:val>
            <c:numRef>
              <c:f>'Charts Info'!$C$188:$C$207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8-4749-B650-B3E6D45FD6CC}"/>
            </c:ext>
          </c:extLst>
        </c:ser>
        <c:ser>
          <c:idx val="2"/>
          <c:order val="2"/>
          <c:tx>
            <c:strRef>
              <c:f>'Charts Info'!$D$187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Info'!$A$188:$A$207</c:f>
              <c:numCache>
                <c:formatCode>d\-mmm</c:formatCode>
                <c:ptCount val="20"/>
                <c:pt idx="0">
                  <c:v>37500</c:v>
                </c:pt>
                <c:pt idx="1">
                  <c:v>45174</c:v>
                </c:pt>
                <c:pt idx="2">
                  <c:v>45175</c:v>
                </c:pt>
                <c:pt idx="3">
                  <c:v>45176</c:v>
                </c:pt>
                <c:pt idx="4">
                  <c:v>45177</c:v>
                </c:pt>
                <c:pt idx="5">
                  <c:v>45180</c:v>
                </c:pt>
                <c:pt idx="6">
                  <c:v>45181</c:v>
                </c:pt>
                <c:pt idx="7">
                  <c:v>45182</c:v>
                </c:pt>
                <c:pt idx="8">
                  <c:v>45183</c:v>
                </c:pt>
                <c:pt idx="9">
                  <c:v>45184</c:v>
                </c:pt>
                <c:pt idx="10">
                  <c:v>45187</c:v>
                </c:pt>
                <c:pt idx="11">
                  <c:v>45188</c:v>
                </c:pt>
                <c:pt idx="12">
                  <c:v>45189</c:v>
                </c:pt>
                <c:pt idx="13">
                  <c:v>45190</c:v>
                </c:pt>
                <c:pt idx="14">
                  <c:v>45191</c:v>
                </c:pt>
                <c:pt idx="15">
                  <c:v>45194</c:v>
                </c:pt>
                <c:pt idx="16">
                  <c:v>45195</c:v>
                </c:pt>
                <c:pt idx="17">
                  <c:v>45196</c:v>
                </c:pt>
                <c:pt idx="18">
                  <c:v>45197</c:v>
                </c:pt>
                <c:pt idx="19">
                  <c:v>45198</c:v>
                </c:pt>
              </c:numCache>
            </c:numRef>
          </c:cat>
          <c:val>
            <c:numRef>
              <c:f>'Charts Info'!$D$188:$D$207</c:f>
              <c:numCache>
                <c:formatCode>General</c:formatCode>
                <c:ptCount val="20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8-4749-B650-B3E6D45FD6CC}"/>
            </c:ext>
          </c:extLst>
        </c:ser>
        <c:ser>
          <c:idx val="3"/>
          <c:order val="3"/>
          <c:tx>
            <c:strRef>
              <c:f>'Charts Info'!$E$187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Info'!$A$188:$A$207</c:f>
              <c:numCache>
                <c:formatCode>d\-mmm</c:formatCode>
                <c:ptCount val="20"/>
                <c:pt idx="0">
                  <c:v>37500</c:v>
                </c:pt>
                <c:pt idx="1">
                  <c:v>45174</c:v>
                </c:pt>
                <c:pt idx="2">
                  <c:v>45175</c:v>
                </c:pt>
                <c:pt idx="3">
                  <c:v>45176</c:v>
                </c:pt>
                <c:pt idx="4">
                  <c:v>45177</c:v>
                </c:pt>
                <c:pt idx="5">
                  <c:v>45180</c:v>
                </c:pt>
                <c:pt idx="6">
                  <c:v>45181</c:v>
                </c:pt>
                <c:pt idx="7">
                  <c:v>45182</c:v>
                </c:pt>
                <c:pt idx="8">
                  <c:v>45183</c:v>
                </c:pt>
                <c:pt idx="9">
                  <c:v>45184</c:v>
                </c:pt>
                <c:pt idx="10">
                  <c:v>45187</c:v>
                </c:pt>
                <c:pt idx="11">
                  <c:v>45188</c:v>
                </c:pt>
                <c:pt idx="12">
                  <c:v>45189</c:v>
                </c:pt>
                <c:pt idx="13">
                  <c:v>45190</c:v>
                </c:pt>
                <c:pt idx="14">
                  <c:v>45191</c:v>
                </c:pt>
                <c:pt idx="15">
                  <c:v>45194</c:v>
                </c:pt>
                <c:pt idx="16">
                  <c:v>45195</c:v>
                </c:pt>
                <c:pt idx="17">
                  <c:v>45196</c:v>
                </c:pt>
                <c:pt idx="18">
                  <c:v>45197</c:v>
                </c:pt>
                <c:pt idx="19">
                  <c:v>45198</c:v>
                </c:pt>
              </c:numCache>
            </c:numRef>
          </c:cat>
          <c:val>
            <c:numRef>
              <c:f>'Charts Info'!$E$188:$E$207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58-4749-B650-B3E6D45FD6CC}"/>
            </c:ext>
          </c:extLst>
        </c:ser>
        <c:ser>
          <c:idx val="4"/>
          <c:order val="4"/>
          <c:tx>
            <c:strRef>
              <c:f>'Charts Info'!$F$187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Info'!$A$188:$A$207</c:f>
              <c:numCache>
                <c:formatCode>d\-mmm</c:formatCode>
                <c:ptCount val="20"/>
                <c:pt idx="0">
                  <c:v>37500</c:v>
                </c:pt>
                <c:pt idx="1">
                  <c:v>45174</c:v>
                </c:pt>
                <c:pt idx="2">
                  <c:v>45175</c:v>
                </c:pt>
                <c:pt idx="3">
                  <c:v>45176</c:v>
                </c:pt>
                <c:pt idx="4">
                  <c:v>45177</c:v>
                </c:pt>
                <c:pt idx="5">
                  <c:v>45180</c:v>
                </c:pt>
                <c:pt idx="6">
                  <c:v>45181</c:v>
                </c:pt>
                <c:pt idx="7">
                  <c:v>45182</c:v>
                </c:pt>
                <c:pt idx="8">
                  <c:v>45183</c:v>
                </c:pt>
                <c:pt idx="9">
                  <c:v>45184</c:v>
                </c:pt>
                <c:pt idx="10">
                  <c:v>45187</c:v>
                </c:pt>
                <c:pt idx="11">
                  <c:v>45188</c:v>
                </c:pt>
                <c:pt idx="12">
                  <c:v>45189</c:v>
                </c:pt>
                <c:pt idx="13">
                  <c:v>45190</c:v>
                </c:pt>
                <c:pt idx="14">
                  <c:v>45191</c:v>
                </c:pt>
                <c:pt idx="15">
                  <c:v>45194</c:v>
                </c:pt>
                <c:pt idx="16">
                  <c:v>45195</c:v>
                </c:pt>
                <c:pt idx="17">
                  <c:v>45196</c:v>
                </c:pt>
                <c:pt idx="18">
                  <c:v>45197</c:v>
                </c:pt>
                <c:pt idx="19">
                  <c:v>45198</c:v>
                </c:pt>
              </c:numCache>
            </c:numRef>
          </c:cat>
          <c:val>
            <c:numRef>
              <c:f>'Charts Info'!$F$188:$F$207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58-4749-B650-B3E6D45F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Info'!$G$187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Info'!$A$188:$A$207</c:f>
              <c:numCache>
                <c:formatCode>d\-mmm</c:formatCode>
                <c:ptCount val="20"/>
                <c:pt idx="0">
                  <c:v>37500</c:v>
                </c:pt>
                <c:pt idx="1">
                  <c:v>45174</c:v>
                </c:pt>
                <c:pt idx="2">
                  <c:v>45175</c:v>
                </c:pt>
                <c:pt idx="3">
                  <c:v>45176</c:v>
                </c:pt>
                <c:pt idx="4">
                  <c:v>45177</c:v>
                </c:pt>
                <c:pt idx="5">
                  <c:v>45180</c:v>
                </c:pt>
                <c:pt idx="6">
                  <c:v>45181</c:v>
                </c:pt>
                <c:pt idx="7">
                  <c:v>45182</c:v>
                </c:pt>
                <c:pt idx="8">
                  <c:v>45183</c:v>
                </c:pt>
                <c:pt idx="9">
                  <c:v>45184</c:v>
                </c:pt>
                <c:pt idx="10">
                  <c:v>45187</c:v>
                </c:pt>
                <c:pt idx="11">
                  <c:v>45188</c:v>
                </c:pt>
                <c:pt idx="12">
                  <c:v>45189</c:v>
                </c:pt>
                <c:pt idx="13">
                  <c:v>45190</c:v>
                </c:pt>
                <c:pt idx="14">
                  <c:v>45191</c:v>
                </c:pt>
                <c:pt idx="15">
                  <c:v>45194</c:v>
                </c:pt>
                <c:pt idx="16">
                  <c:v>45195</c:v>
                </c:pt>
                <c:pt idx="17">
                  <c:v>45196</c:v>
                </c:pt>
                <c:pt idx="18">
                  <c:v>45197</c:v>
                </c:pt>
                <c:pt idx="19">
                  <c:v>45198</c:v>
                </c:pt>
              </c:numCache>
            </c:numRef>
          </c:cat>
          <c:val>
            <c:numRef>
              <c:f>'Charts Info'!$G$188:$G$207</c:f>
              <c:numCache>
                <c:formatCode>General</c:formatCode>
                <c:ptCount val="20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58-4749-B650-B3E6D45F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Oct 2023 Buffing Results</a:t>
            </a:r>
          </a:p>
        </c:rich>
      </c:tx>
      <c:layout>
        <c:manualLayout>
          <c:xMode val="edge"/>
          <c:yMode val="edge"/>
          <c:x val="0.23111111111111107"/>
          <c:y val="1.680672268907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Info'!$B$209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Info'!$B$210:$B$230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5-46D3-94E4-FD5F0274530E}"/>
            </c:ext>
          </c:extLst>
        </c:ser>
        <c:ser>
          <c:idx val="1"/>
          <c:order val="1"/>
          <c:tx>
            <c:strRef>
              <c:f>'Charts Info'!$C$209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Info'!$C$210:$C$230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5-46D3-94E4-FD5F0274530E}"/>
            </c:ext>
          </c:extLst>
        </c:ser>
        <c:ser>
          <c:idx val="2"/>
          <c:order val="2"/>
          <c:tx>
            <c:strRef>
              <c:f>'Charts Info'!$D$209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Info'!$D$210:$D$230</c:f>
              <c:numCache>
                <c:formatCode>General</c:formatCode>
                <c:ptCount val="21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65-46D3-94E4-FD5F0274530E}"/>
            </c:ext>
          </c:extLst>
        </c:ser>
        <c:ser>
          <c:idx val="3"/>
          <c:order val="3"/>
          <c:tx>
            <c:strRef>
              <c:f>'Charts Info'!$E$209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Info'!$E$210:$E$230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65-46D3-94E4-FD5F0274530E}"/>
            </c:ext>
          </c:extLst>
        </c:ser>
        <c:ser>
          <c:idx val="4"/>
          <c:order val="4"/>
          <c:tx>
            <c:strRef>
              <c:f>'Charts Info'!$F$209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Info'!$F$210:$F$230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65-46D3-94E4-FD5F02745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Info'!$G$209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Info'!$A$210:$A$230</c:f>
              <c:numCache>
                <c:formatCode>d\-mmm</c:formatCode>
                <c:ptCount val="21"/>
                <c:pt idx="0">
                  <c:v>45201</c:v>
                </c:pt>
                <c:pt idx="1">
                  <c:v>45202</c:v>
                </c:pt>
                <c:pt idx="2">
                  <c:v>45203</c:v>
                </c:pt>
                <c:pt idx="3">
                  <c:v>45204</c:v>
                </c:pt>
                <c:pt idx="4">
                  <c:v>45205</c:v>
                </c:pt>
                <c:pt idx="5">
                  <c:v>45209</c:v>
                </c:pt>
                <c:pt idx="6">
                  <c:v>45210</c:v>
                </c:pt>
                <c:pt idx="7">
                  <c:v>45211</c:v>
                </c:pt>
                <c:pt idx="8">
                  <c:v>45212</c:v>
                </c:pt>
                <c:pt idx="9">
                  <c:v>45215</c:v>
                </c:pt>
                <c:pt idx="10">
                  <c:v>45216</c:v>
                </c:pt>
                <c:pt idx="11">
                  <c:v>45217</c:v>
                </c:pt>
                <c:pt idx="12">
                  <c:v>45218</c:v>
                </c:pt>
                <c:pt idx="13">
                  <c:v>45219</c:v>
                </c:pt>
                <c:pt idx="14">
                  <c:v>45222</c:v>
                </c:pt>
                <c:pt idx="15">
                  <c:v>45223</c:v>
                </c:pt>
                <c:pt idx="16">
                  <c:v>45224</c:v>
                </c:pt>
                <c:pt idx="17">
                  <c:v>45225</c:v>
                </c:pt>
                <c:pt idx="18">
                  <c:v>45226</c:v>
                </c:pt>
                <c:pt idx="19">
                  <c:v>45229</c:v>
                </c:pt>
                <c:pt idx="20">
                  <c:v>45230</c:v>
                </c:pt>
              </c:numCache>
            </c:numRef>
          </c:cat>
          <c:val>
            <c:numRef>
              <c:f>'Charts Info'!$G$210:$G$230</c:f>
              <c:numCache>
                <c:formatCode>General</c:formatCode>
                <c:ptCount val="21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65-46D3-94E4-FD5F02745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Nov 2023 Buffing Results</a:t>
            </a:r>
          </a:p>
        </c:rich>
      </c:tx>
      <c:layout>
        <c:manualLayout>
          <c:xMode val="edge"/>
          <c:yMode val="edge"/>
          <c:x val="0.22848126232741617"/>
          <c:y val="1.9717819115405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Info'!$B$232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Info'!$A$233:$A$254</c:f>
              <c:numCache>
                <c:formatCode>d\-mmm</c:formatCode>
                <c:ptCount val="22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45236</c:v>
                </c:pt>
                <c:pt idx="4">
                  <c:v>45237</c:v>
                </c:pt>
                <c:pt idx="5">
                  <c:v>45238</c:v>
                </c:pt>
                <c:pt idx="6">
                  <c:v>45239</c:v>
                </c:pt>
                <c:pt idx="7">
                  <c:v>45240</c:v>
                </c:pt>
                <c:pt idx="8">
                  <c:v>45243</c:v>
                </c:pt>
                <c:pt idx="9">
                  <c:v>45244</c:v>
                </c:pt>
                <c:pt idx="10">
                  <c:v>45245</c:v>
                </c:pt>
                <c:pt idx="11">
                  <c:v>45246</c:v>
                </c:pt>
                <c:pt idx="12">
                  <c:v>45247</c:v>
                </c:pt>
                <c:pt idx="13">
                  <c:v>45250</c:v>
                </c:pt>
                <c:pt idx="14">
                  <c:v>45251</c:v>
                </c:pt>
                <c:pt idx="15">
                  <c:v>45252</c:v>
                </c:pt>
                <c:pt idx="16">
                  <c:v>45253</c:v>
                </c:pt>
                <c:pt idx="17">
                  <c:v>45254</c:v>
                </c:pt>
                <c:pt idx="18">
                  <c:v>45257</c:v>
                </c:pt>
                <c:pt idx="19">
                  <c:v>45258</c:v>
                </c:pt>
                <c:pt idx="20">
                  <c:v>45259</c:v>
                </c:pt>
                <c:pt idx="21">
                  <c:v>45260</c:v>
                </c:pt>
              </c:numCache>
            </c:numRef>
          </c:cat>
          <c:val>
            <c:numRef>
              <c:f>'Charts Info'!$B$233:$B$254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5-4EF1-A1F9-CA014783FF3C}"/>
            </c:ext>
          </c:extLst>
        </c:ser>
        <c:ser>
          <c:idx val="1"/>
          <c:order val="1"/>
          <c:tx>
            <c:strRef>
              <c:f>'Charts Info'!$C$232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Info'!$A$233:$A$254</c:f>
              <c:numCache>
                <c:formatCode>d\-mmm</c:formatCode>
                <c:ptCount val="22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45236</c:v>
                </c:pt>
                <c:pt idx="4">
                  <c:v>45237</c:v>
                </c:pt>
                <c:pt idx="5">
                  <c:v>45238</c:v>
                </c:pt>
                <c:pt idx="6">
                  <c:v>45239</c:v>
                </c:pt>
                <c:pt idx="7">
                  <c:v>45240</c:v>
                </c:pt>
                <c:pt idx="8">
                  <c:v>45243</c:v>
                </c:pt>
                <c:pt idx="9">
                  <c:v>45244</c:v>
                </c:pt>
                <c:pt idx="10">
                  <c:v>45245</c:v>
                </c:pt>
                <c:pt idx="11">
                  <c:v>45246</c:v>
                </c:pt>
                <c:pt idx="12">
                  <c:v>45247</c:v>
                </c:pt>
                <c:pt idx="13">
                  <c:v>45250</c:v>
                </c:pt>
                <c:pt idx="14">
                  <c:v>45251</c:v>
                </c:pt>
                <c:pt idx="15">
                  <c:v>45252</c:v>
                </c:pt>
                <c:pt idx="16">
                  <c:v>45253</c:v>
                </c:pt>
                <c:pt idx="17">
                  <c:v>45254</c:v>
                </c:pt>
                <c:pt idx="18">
                  <c:v>45257</c:v>
                </c:pt>
                <c:pt idx="19">
                  <c:v>45258</c:v>
                </c:pt>
                <c:pt idx="20">
                  <c:v>45259</c:v>
                </c:pt>
                <c:pt idx="21">
                  <c:v>45260</c:v>
                </c:pt>
              </c:numCache>
            </c:numRef>
          </c:cat>
          <c:val>
            <c:numRef>
              <c:f>'Charts Info'!$C$233:$C$254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E5-4EF1-A1F9-CA014783FF3C}"/>
            </c:ext>
          </c:extLst>
        </c:ser>
        <c:ser>
          <c:idx val="2"/>
          <c:order val="2"/>
          <c:tx>
            <c:strRef>
              <c:f>'Charts Info'!$D$232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'Charts Info'!$A$233:$A$254</c:f>
              <c:numCache>
                <c:formatCode>d\-mmm</c:formatCode>
                <c:ptCount val="22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45236</c:v>
                </c:pt>
                <c:pt idx="4">
                  <c:v>45237</c:v>
                </c:pt>
                <c:pt idx="5">
                  <c:v>45238</c:v>
                </c:pt>
                <c:pt idx="6">
                  <c:v>45239</c:v>
                </c:pt>
                <c:pt idx="7">
                  <c:v>45240</c:v>
                </c:pt>
                <c:pt idx="8">
                  <c:v>45243</c:v>
                </c:pt>
                <c:pt idx="9">
                  <c:v>45244</c:v>
                </c:pt>
                <c:pt idx="10">
                  <c:v>45245</c:v>
                </c:pt>
                <c:pt idx="11">
                  <c:v>45246</c:v>
                </c:pt>
                <c:pt idx="12">
                  <c:v>45247</c:v>
                </c:pt>
                <c:pt idx="13">
                  <c:v>45250</c:v>
                </c:pt>
                <c:pt idx="14">
                  <c:v>45251</c:v>
                </c:pt>
                <c:pt idx="15">
                  <c:v>45252</c:v>
                </c:pt>
                <c:pt idx="16">
                  <c:v>45253</c:v>
                </c:pt>
                <c:pt idx="17">
                  <c:v>45254</c:v>
                </c:pt>
                <c:pt idx="18">
                  <c:v>45257</c:v>
                </c:pt>
                <c:pt idx="19">
                  <c:v>45258</c:v>
                </c:pt>
                <c:pt idx="20">
                  <c:v>45259</c:v>
                </c:pt>
                <c:pt idx="21">
                  <c:v>45260</c:v>
                </c:pt>
              </c:numCache>
            </c:numRef>
          </c:cat>
          <c:val>
            <c:numRef>
              <c:f>'Charts Info'!$D$233:$D$254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E5-4EF1-A1F9-CA014783FF3C}"/>
            </c:ext>
          </c:extLst>
        </c:ser>
        <c:ser>
          <c:idx val="3"/>
          <c:order val="3"/>
          <c:tx>
            <c:strRef>
              <c:f>'Charts Info'!$E$232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Info'!$A$233:$A$254</c:f>
              <c:numCache>
                <c:formatCode>d\-mmm</c:formatCode>
                <c:ptCount val="22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45236</c:v>
                </c:pt>
                <c:pt idx="4">
                  <c:v>45237</c:v>
                </c:pt>
                <c:pt idx="5">
                  <c:v>45238</c:v>
                </c:pt>
                <c:pt idx="6">
                  <c:v>45239</c:v>
                </c:pt>
                <c:pt idx="7">
                  <c:v>45240</c:v>
                </c:pt>
                <c:pt idx="8">
                  <c:v>45243</c:v>
                </c:pt>
                <c:pt idx="9">
                  <c:v>45244</c:v>
                </c:pt>
                <c:pt idx="10">
                  <c:v>45245</c:v>
                </c:pt>
                <c:pt idx="11">
                  <c:v>45246</c:v>
                </c:pt>
                <c:pt idx="12">
                  <c:v>45247</c:v>
                </c:pt>
                <c:pt idx="13">
                  <c:v>45250</c:v>
                </c:pt>
                <c:pt idx="14">
                  <c:v>45251</c:v>
                </c:pt>
                <c:pt idx="15">
                  <c:v>45252</c:v>
                </c:pt>
                <c:pt idx="16">
                  <c:v>45253</c:v>
                </c:pt>
                <c:pt idx="17">
                  <c:v>45254</c:v>
                </c:pt>
                <c:pt idx="18">
                  <c:v>45257</c:v>
                </c:pt>
                <c:pt idx="19">
                  <c:v>45258</c:v>
                </c:pt>
                <c:pt idx="20">
                  <c:v>45259</c:v>
                </c:pt>
                <c:pt idx="21">
                  <c:v>45260</c:v>
                </c:pt>
              </c:numCache>
            </c:numRef>
          </c:cat>
          <c:val>
            <c:numRef>
              <c:f>'Charts Info'!$E$233:$E$254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E5-4EF1-A1F9-CA014783FF3C}"/>
            </c:ext>
          </c:extLst>
        </c:ser>
        <c:ser>
          <c:idx val="4"/>
          <c:order val="4"/>
          <c:tx>
            <c:strRef>
              <c:f>'Charts Info'!$F$232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Info'!$A$233:$A$254</c:f>
              <c:numCache>
                <c:formatCode>d\-mmm</c:formatCode>
                <c:ptCount val="22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45236</c:v>
                </c:pt>
                <c:pt idx="4">
                  <c:v>45237</c:v>
                </c:pt>
                <c:pt idx="5">
                  <c:v>45238</c:v>
                </c:pt>
                <c:pt idx="6">
                  <c:v>45239</c:v>
                </c:pt>
                <c:pt idx="7">
                  <c:v>45240</c:v>
                </c:pt>
                <c:pt idx="8">
                  <c:v>45243</c:v>
                </c:pt>
                <c:pt idx="9">
                  <c:v>45244</c:v>
                </c:pt>
                <c:pt idx="10">
                  <c:v>45245</c:v>
                </c:pt>
                <c:pt idx="11">
                  <c:v>45246</c:v>
                </c:pt>
                <c:pt idx="12">
                  <c:v>45247</c:v>
                </c:pt>
                <c:pt idx="13">
                  <c:v>45250</c:v>
                </c:pt>
                <c:pt idx="14">
                  <c:v>45251</c:v>
                </c:pt>
                <c:pt idx="15">
                  <c:v>45252</c:v>
                </c:pt>
                <c:pt idx="16">
                  <c:v>45253</c:v>
                </c:pt>
                <c:pt idx="17">
                  <c:v>45254</c:v>
                </c:pt>
                <c:pt idx="18">
                  <c:v>45257</c:v>
                </c:pt>
                <c:pt idx="19">
                  <c:v>45258</c:v>
                </c:pt>
                <c:pt idx="20">
                  <c:v>45259</c:v>
                </c:pt>
                <c:pt idx="21">
                  <c:v>45260</c:v>
                </c:pt>
              </c:numCache>
            </c:numRef>
          </c:cat>
          <c:val>
            <c:numRef>
              <c:f>'Charts Info'!$F$233:$F$254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E5-4EF1-A1F9-CA014783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Info'!$G$232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Info'!$A$233:$A$254</c:f>
              <c:numCache>
                <c:formatCode>d\-mmm</c:formatCode>
                <c:ptCount val="22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45236</c:v>
                </c:pt>
                <c:pt idx="4">
                  <c:v>45237</c:v>
                </c:pt>
                <c:pt idx="5">
                  <c:v>45238</c:v>
                </c:pt>
                <c:pt idx="6">
                  <c:v>45239</c:v>
                </c:pt>
                <c:pt idx="7">
                  <c:v>45240</c:v>
                </c:pt>
                <c:pt idx="8">
                  <c:v>45243</c:v>
                </c:pt>
                <c:pt idx="9">
                  <c:v>45244</c:v>
                </c:pt>
                <c:pt idx="10">
                  <c:v>45245</c:v>
                </c:pt>
                <c:pt idx="11">
                  <c:v>45246</c:v>
                </c:pt>
                <c:pt idx="12">
                  <c:v>45247</c:v>
                </c:pt>
                <c:pt idx="13">
                  <c:v>45250</c:v>
                </c:pt>
                <c:pt idx="14">
                  <c:v>45251</c:v>
                </c:pt>
                <c:pt idx="15">
                  <c:v>45252</c:v>
                </c:pt>
                <c:pt idx="16">
                  <c:v>45253</c:v>
                </c:pt>
                <c:pt idx="17">
                  <c:v>45254</c:v>
                </c:pt>
                <c:pt idx="18">
                  <c:v>45257</c:v>
                </c:pt>
                <c:pt idx="19">
                  <c:v>45258</c:v>
                </c:pt>
                <c:pt idx="20">
                  <c:v>45259</c:v>
                </c:pt>
                <c:pt idx="21">
                  <c:v>45260</c:v>
                </c:pt>
              </c:numCache>
            </c:numRef>
          </c:cat>
          <c:val>
            <c:numRef>
              <c:f>'Charts Info'!$G$233:$G$254</c:f>
              <c:numCache>
                <c:formatCode>General</c:formatCode>
                <c:ptCount val="22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E5-4EF1-A1F9-CA014783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Dec 2023 Buffing Results</a:t>
            </a:r>
          </a:p>
        </c:rich>
      </c:tx>
      <c:layout>
        <c:manualLayout>
          <c:xMode val="edge"/>
          <c:yMode val="edge"/>
          <c:x val="0.22848126232741617"/>
          <c:y val="1.9717819115405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004954262374005E-2"/>
          <c:y val="0.10976382420550589"/>
          <c:w val="0.83904455730015992"/>
          <c:h val="0.66617336960665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Info'!$B$256</c:f>
              <c:strCache>
                <c:ptCount val="1"/>
                <c:pt idx="0">
                  <c:v>Into Buff from Line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'Charts Info'!$A$257:$A$272</c:f>
              <c:numCache>
                <c:formatCode>d\-mmm</c:formatCode>
                <c:ptCount val="16"/>
                <c:pt idx="0">
                  <c:v>45261</c:v>
                </c:pt>
                <c:pt idx="1">
                  <c:v>45264</c:v>
                </c:pt>
                <c:pt idx="2">
                  <c:v>45265</c:v>
                </c:pt>
                <c:pt idx="3">
                  <c:v>45266</c:v>
                </c:pt>
                <c:pt idx="4">
                  <c:v>45267</c:v>
                </c:pt>
                <c:pt idx="5">
                  <c:v>45268</c:v>
                </c:pt>
                <c:pt idx="6">
                  <c:v>45271</c:v>
                </c:pt>
                <c:pt idx="7">
                  <c:v>45272</c:v>
                </c:pt>
                <c:pt idx="8">
                  <c:v>45273</c:v>
                </c:pt>
                <c:pt idx="9">
                  <c:v>45274</c:v>
                </c:pt>
                <c:pt idx="10">
                  <c:v>45275</c:v>
                </c:pt>
                <c:pt idx="11">
                  <c:v>45278</c:v>
                </c:pt>
                <c:pt idx="12">
                  <c:v>45279</c:v>
                </c:pt>
                <c:pt idx="13">
                  <c:v>45280</c:v>
                </c:pt>
                <c:pt idx="14">
                  <c:v>45281</c:v>
                </c:pt>
                <c:pt idx="15">
                  <c:v>45282</c:v>
                </c:pt>
              </c:numCache>
            </c:numRef>
          </c:cat>
          <c:val>
            <c:numRef>
              <c:f>'Charts Info'!$B$257:$B$272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7-4B21-B3F2-E1274617E016}"/>
            </c:ext>
          </c:extLst>
        </c:ser>
        <c:ser>
          <c:idx val="1"/>
          <c:order val="1"/>
          <c:tx>
            <c:strRef>
              <c:f>'Charts Info'!$C$256</c:f>
              <c:strCache>
                <c:ptCount val="1"/>
                <c:pt idx="0">
                  <c:v>Ttl Buffed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'Charts Info'!$A$257:$A$272</c:f>
              <c:numCache>
                <c:formatCode>d\-mmm</c:formatCode>
                <c:ptCount val="16"/>
                <c:pt idx="0">
                  <c:v>45261</c:v>
                </c:pt>
                <c:pt idx="1">
                  <c:v>45264</c:v>
                </c:pt>
                <c:pt idx="2">
                  <c:v>45265</c:v>
                </c:pt>
                <c:pt idx="3">
                  <c:v>45266</c:v>
                </c:pt>
                <c:pt idx="4">
                  <c:v>45267</c:v>
                </c:pt>
                <c:pt idx="5">
                  <c:v>45268</c:v>
                </c:pt>
                <c:pt idx="6">
                  <c:v>45271</c:v>
                </c:pt>
                <c:pt idx="7">
                  <c:v>45272</c:v>
                </c:pt>
                <c:pt idx="8">
                  <c:v>45273</c:v>
                </c:pt>
                <c:pt idx="9">
                  <c:v>45274</c:v>
                </c:pt>
                <c:pt idx="10">
                  <c:v>45275</c:v>
                </c:pt>
                <c:pt idx="11">
                  <c:v>45278</c:v>
                </c:pt>
                <c:pt idx="12">
                  <c:v>45279</c:v>
                </c:pt>
                <c:pt idx="13">
                  <c:v>45280</c:v>
                </c:pt>
                <c:pt idx="14">
                  <c:v>45281</c:v>
                </c:pt>
                <c:pt idx="15">
                  <c:v>45282</c:v>
                </c:pt>
              </c:numCache>
            </c:numRef>
          </c:cat>
          <c:val>
            <c:numRef>
              <c:f>'Charts Info'!$C$257:$C$272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7-4B21-B3F2-E1274617E016}"/>
            </c:ext>
          </c:extLst>
        </c:ser>
        <c:ser>
          <c:idx val="2"/>
          <c:order val="2"/>
          <c:tx>
            <c:strRef>
              <c:f>'Charts Info'!$D$256</c:f>
              <c:strCache>
                <c:ptCount val="1"/>
                <c:pt idx="0">
                  <c:v>Ave/hr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92D050"/>
              </a:solidFill>
            </a:ln>
            <a:effectLst/>
          </c:spPr>
          <c:invertIfNegative val="0"/>
          <c:cat>
            <c:numRef>
              <c:f>'Charts Info'!$A$257:$A$272</c:f>
              <c:numCache>
                <c:formatCode>d\-mmm</c:formatCode>
                <c:ptCount val="16"/>
                <c:pt idx="0">
                  <c:v>45261</c:v>
                </c:pt>
                <c:pt idx="1">
                  <c:v>45264</c:v>
                </c:pt>
                <c:pt idx="2">
                  <c:v>45265</c:v>
                </c:pt>
                <c:pt idx="3">
                  <c:v>45266</c:v>
                </c:pt>
                <c:pt idx="4">
                  <c:v>45267</c:v>
                </c:pt>
                <c:pt idx="5">
                  <c:v>45268</c:v>
                </c:pt>
                <c:pt idx="6">
                  <c:v>45271</c:v>
                </c:pt>
                <c:pt idx="7">
                  <c:v>45272</c:v>
                </c:pt>
                <c:pt idx="8">
                  <c:v>45273</c:v>
                </c:pt>
                <c:pt idx="9">
                  <c:v>45274</c:v>
                </c:pt>
                <c:pt idx="10">
                  <c:v>45275</c:v>
                </c:pt>
                <c:pt idx="11">
                  <c:v>45278</c:v>
                </c:pt>
                <c:pt idx="12">
                  <c:v>45279</c:v>
                </c:pt>
                <c:pt idx="13">
                  <c:v>45280</c:v>
                </c:pt>
                <c:pt idx="14">
                  <c:v>45281</c:v>
                </c:pt>
                <c:pt idx="15">
                  <c:v>45282</c:v>
                </c:pt>
              </c:numCache>
            </c:numRef>
          </c:cat>
          <c:val>
            <c:numRef>
              <c:f>'Charts Info'!$D$257:$D$272</c:f>
              <c:numCache>
                <c:formatCode>General</c:formatCode>
                <c:ptCount val="16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27-4B21-B3F2-E1274617E016}"/>
            </c:ext>
          </c:extLst>
        </c:ser>
        <c:ser>
          <c:idx val="3"/>
          <c:order val="3"/>
          <c:tx>
            <c:strRef>
              <c:f>'Charts Info'!$E$256</c:f>
              <c:strCache>
                <c:ptCount val="1"/>
                <c:pt idx="0">
                  <c:v>Returned to Buff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'Charts Info'!$A$257:$A$272</c:f>
              <c:numCache>
                <c:formatCode>d\-mmm</c:formatCode>
                <c:ptCount val="16"/>
                <c:pt idx="0">
                  <c:v>45261</c:v>
                </c:pt>
                <c:pt idx="1">
                  <c:v>45264</c:v>
                </c:pt>
                <c:pt idx="2">
                  <c:v>45265</c:v>
                </c:pt>
                <c:pt idx="3">
                  <c:v>45266</c:v>
                </c:pt>
                <c:pt idx="4">
                  <c:v>45267</c:v>
                </c:pt>
                <c:pt idx="5">
                  <c:v>45268</c:v>
                </c:pt>
                <c:pt idx="6">
                  <c:v>45271</c:v>
                </c:pt>
                <c:pt idx="7">
                  <c:v>45272</c:v>
                </c:pt>
                <c:pt idx="8">
                  <c:v>45273</c:v>
                </c:pt>
                <c:pt idx="9">
                  <c:v>45274</c:v>
                </c:pt>
                <c:pt idx="10">
                  <c:v>45275</c:v>
                </c:pt>
                <c:pt idx="11">
                  <c:v>45278</c:v>
                </c:pt>
                <c:pt idx="12">
                  <c:v>45279</c:v>
                </c:pt>
                <c:pt idx="13">
                  <c:v>45280</c:v>
                </c:pt>
                <c:pt idx="14">
                  <c:v>45281</c:v>
                </c:pt>
                <c:pt idx="15">
                  <c:v>45282</c:v>
                </c:pt>
              </c:numCache>
            </c:numRef>
          </c:cat>
          <c:val>
            <c:numRef>
              <c:f>'Charts Info'!$E$257:$E$272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27-4B21-B3F2-E1274617E016}"/>
            </c:ext>
          </c:extLst>
        </c:ser>
        <c:ser>
          <c:idx val="4"/>
          <c:order val="4"/>
          <c:tx>
            <c:strRef>
              <c:f>'Charts Info'!$F$256</c:f>
              <c:strCache>
                <c:ptCount val="1"/>
                <c:pt idx="0">
                  <c:v>RW after buff</c:v>
                </c:pt>
              </c:strCache>
            </c:strRef>
          </c:tx>
          <c:spPr>
            <a:solidFill>
              <a:srgbClr val="EC7524"/>
            </a:solidFill>
            <a:ln>
              <a:noFill/>
            </a:ln>
            <a:effectLst/>
          </c:spPr>
          <c:invertIfNegative val="0"/>
          <c:cat>
            <c:numRef>
              <c:f>'Charts Info'!$A$257:$A$272</c:f>
              <c:numCache>
                <c:formatCode>d\-mmm</c:formatCode>
                <c:ptCount val="16"/>
                <c:pt idx="0">
                  <c:v>45261</c:v>
                </c:pt>
                <c:pt idx="1">
                  <c:v>45264</c:v>
                </c:pt>
                <c:pt idx="2">
                  <c:v>45265</c:v>
                </c:pt>
                <c:pt idx="3">
                  <c:v>45266</c:v>
                </c:pt>
                <c:pt idx="4">
                  <c:v>45267</c:v>
                </c:pt>
                <c:pt idx="5">
                  <c:v>45268</c:v>
                </c:pt>
                <c:pt idx="6">
                  <c:v>45271</c:v>
                </c:pt>
                <c:pt idx="7">
                  <c:v>45272</c:v>
                </c:pt>
                <c:pt idx="8">
                  <c:v>45273</c:v>
                </c:pt>
                <c:pt idx="9">
                  <c:v>45274</c:v>
                </c:pt>
                <c:pt idx="10">
                  <c:v>45275</c:v>
                </c:pt>
                <c:pt idx="11">
                  <c:v>45278</c:v>
                </c:pt>
                <c:pt idx="12">
                  <c:v>45279</c:v>
                </c:pt>
                <c:pt idx="13">
                  <c:v>45280</c:v>
                </c:pt>
                <c:pt idx="14">
                  <c:v>45281</c:v>
                </c:pt>
                <c:pt idx="15">
                  <c:v>45282</c:v>
                </c:pt>
              </c:numCache>
            </c:numRef>
          </c:cat>
          <c:val>
            <c:numRef>
              <c:f>'Charts Info'!$F$257:$F$272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27-4B21-B3F2-E1274617E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1071080"/>
        <c:axId val="541067472"/>
      </c:barChart>
      <c:lineChart>
        <c:grouping val="standard"/>
        <c:varyColors val="0"/>
        <c:ser>
          <c:idx val="5"/>
          <c:order val="5"/>
          <c:tx>
            <c:strRef>
              <c:f>'Charts Info'!$G$256</c:f>
              <c:strCache>
                <c:ptCount val="1"/>
                <c:pt idx="0">
                  <c:v>FTQ for buff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'Charts Info'!$A$257:$A$272</c:f>
              <c:numCache>
                <c:formatCode>d\-mmm</c:formatCode>
                <c:ptCount val="16"/>
                <c:pt idx="0">
                  <c:v>45261</c:v>
                </c:pt>
                <c:pt idx="1">
                  <c:v>45264</c:v>
                </c:pt>
                <c:pt idx="2">
                  <c:v>45265</c:v>
                </c:pt>
                <c:pt idx="3">
                  <c:v>45266</c:v>
                </c:pt>
                <c:pt idx="4">
                  <c:v>45267</c:v>
                </c:pt>
                <c:pt idx="5">
                  <c:v>45268</c:v>
                </c:pt>
                <c:pt idx="6">
                  <c:v>45271</c:v>
                </c:pt>
                <c:pt idx="7">
                  <c:v>45272</c:v>
                </c:pt>
                <c:pt idx="8">
                  <c:v>45273</c:v>
                </c:pt>
                <c:pt idx="9">
                  <c:v>45274</c:v>
                </c:pt>
                <c:pt idx="10">
                  <c:v>45275</c:v>
                </c:pt>
                <c:pt idx="11">
                  <c:v>45278</c:v>
                </c:pt>
                <c:pt idx="12">
                  <c:v>45279</c:v>
                </c:pt>
                <c:pt idx="13">
                  <c:v>45280</c:v>
                </c:pt>
                <c:pt idx="14">
                  <c:v>45281</c:v>
                </c:pt>
                <c:pt idx="15">
                  <c:v>45282</c:v>
                </c:pt>
              </c:numCache>
            </c:numRef>
          </c:cat>
          <c:val>
            <c:numRef>
              <c:f>'Charts Info'!$G$257:$G$272</c:f>
              <c:numCache>
                <c:formatCode>General</c:formatCode>
                <c:ptCount val="16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27-4B21-B3F2-E1274617E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086496"/>
        <c:axId val="541091088"/>
      </c:lineChart>
      <c:dateAx>
        <c:axId val="5410710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7472"/>
        <c:crosses val="autoZero"/>
        <c:auto val="1"/>
        <c:lblOffset val="100"/>
        <c:baseTimeUnit val="days"/>
      </c:dateAx>
      <c:valAx>
        <c:axId val="5410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71080"/>
        <c:crosses val="autoZero"/>
        <c:crossBetween val="between"/>
      </c:valAx>
      <c:valAx>
        <c:axId val="54109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496"/>
        <c:crosses val="max"/>
        <c:crossBetween val="between"/>
      </c:valAx>
      <c:dateAx>
        <c:axId val="5410864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410910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15</xdr:row>
      <xdr:rowOff>158750</xdr:rowOff>
    </xdr:from>
    <xdr:to>
      <xdr:col>1</xdr:col>
      <xdr:colOff>1219200</xdr:colOff>
      <xdr:row>36</xdr:row>
      <xdr:rowOff>7938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17BD2D-C25E-4557-B529-74ECB5DBA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180975</xdr:rowOff>
    </xdr:from>
    <xdr:to>
      <xdr:col>1</xdr:col>
      <xdr:colOff>1219200</xdr:colOff>
      <xdr:row>31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27912-0836-4735-B195-2E027DCC6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0</xdr:row>
      <xdr:rowOff>42860</xdr:rowOff>
    </xdr:from>
    <xdr:to>
      <xdr:col>18</xdr:col>
      <xdr:colOff>76200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6F3D1-D292-FC84-8F4F-4C5840951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1</xdr:rowOff>
    </xdr:from>
    <xdr:to>
      <xdr:col>15</xdr:col>
      <xdr:colOff>561975</xdr:colOff>
      <xdr:row>43</xdr:row>
      <xdr:rowOff>38101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2BB2A6-29C0-4FD5-A637-A35FFE7FA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44</xdr:row>
      <xdr:rowOff>0</xdr:rowOff>
    </xdr:from>
    <xdr:to>
      <xdr:col>15</xdr:col>
      <xdr:colOff>561975</xdr:colOff>
      <xdr:row>67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DFD0D4-6E35-4D68-B4DD-3436F70A5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69</xdr:row>
      <xdr:rowOff>0</xdr:rowOff>
    </xdr:from>
    <xdr:to>
      <xdr:col>15</xdr:col>
      <xdr:colOff>561975</xdr:colOff>
      <xdr:row>88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F4609D-F209-4FD3-A84A-4D55C8CD9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90</xdr:row>
      <xdr:rowOff>0</xdr:rowOff>
    </xdr:from>
    <xdr:to>
      <xdr:col>15</xdr:col>
      <xdr:colOff>561975</xdr:colOff>
      <xdr:row>112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D58887-70B6-4FAE-BC0C-30ABC3BAE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114</xdr:row>
      <xdr:rowOff>0</xdr:rowOff>
    </xdr:from>
    <xdr:to>
      <xdr:col>15</xdr:col>
      <xdr:colOff>561975</xdr:colOff>
      <xdr:row>136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82D372D-0035-4ABA-8003-D465381B6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138</xdr:row>
      <xdr:rowOff>0</xdr:rowOff>
    </xdr:from>
    <xdr:to>
      <xdr:col>15</xdr:col>
      <xdr:colOff>561975</xdr:colOff>
      <xdr:row>160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4309B82-AD5E-4BF8-96CF-94DDBC01B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161</xdr:row>
      <xdr:rowOff>0</xdr:rowOff>
    </xdr:from>
    <xdr:to>
      <xdr:col>15</xdr:col>
      <xdr:colOff>561975</xdr:colOff>
      <xdr:row>184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1B10CD-2E86-4C4C-88EB-62DAB555B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186</xdr:row>
      <xdr:rowOff>0</xdr:rowOff>
    </xdr:from>
    <xdr:to>
      <xdr:col>15</xdr:col>
      <xdr:colOff>561975</xdr:colOff>
      <xdr:row>206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F546C59-9075-4211-A975-9F9BCC7CE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208</xdr:row>
      <xdr:rowOff>0</xdr:rowOff>
    </xdr:from>
    <xdr:to>
      <xdr:col>15</xdr:col>
      <xdr:colOff>561975</xdr:colOff>
      <xdr:row>229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B0D534-FC77-4B09-B7C1-609DC96F4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231</xdr:row>
      <xdr:rowOff>0</xdr:rowOff>
    </xdr:from>
    <xdr:to>
      <xdr:col>15</xdr:col>
      <xdr:colOff>561975</xdr:colOff>
      <xdr:row>252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C49A3A6-9BDE-4CF9-93E0-512565969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255</xdr:row>
      <xdr:rowOff>0</xdr:rowOff>
    </xdr:from>
    <xdr:to>
      <xdr:col>15</xdr:col>
      <xdr:colOff>561975</xdr:colOff>
      <xdr:row>271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36BB4A-BD77-4284-B9F6-7B771EDDB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A2E5-1A03-47D3-B3C8-52001B5788F4}">
  <dimension ref="A1:AJ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H2" sqref="AH2:AI15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3" width="8.5703125" style="1" bestFit="1" customWidth="1"/>
    <col min="4" max="4" width="7.85546875" style="1" bestFit="1" customWidth="1"/>
    <col min="5" max="5" width="8.85546875" style="1" bestFit="1" customWidth="1"/>
    <col min="6" max="6" width="9.140625" style="1"/>
    <col min="7" max="7" width="0" style="1" hidden="1" customWidth="1"/>
    <col min="8" max="8" width="11.28515625" style="1" customWidth="1"/>
    <col min="9" max="9" width="3" style="1" customWidth="1"/>
    <col min="10" max="10" width="9.140625" style="1" customWidth="1"/>
    <col min="11" max="11" width="4.7109375" style="1" customWidth="1"/>
    <col min="12" max="12" width="5" style="1" customWidth="1"/>
    <col min="13" max="13" width="5.28515625" style="1" customWidth="1"/>
    <col min="14" max="31" width="4.7109375" style="1" customWidth="1"/>
    <col min="32" max="32" width="4.140625" style="1" customWidth="1"/>
    <col min="33" max="33" width="9.140625" style="1" customWidth="1"/>
    <col min="34" max="36" width="11.140625" style="1" customWidth="1"/>
    <col min="37" max="16384" width="9.140625" style="1"/>
  </cols>
  <sheetData>
    <row r="1" spans="1:36" ht="85.5" customHeight="1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62" t="s">
        <v>5</v>
      </c>
      <c r="L1" s="62" t="s">
        <v>42</v>
      </c>
      <c r="M1" s="62" t="s">
        <v>8</v>
      </c>
      <c r="N1" s="62" t="s">
        <v>60</v>
      </c>
      <c r="O1" s="62" t="s">
        <v>61</v>
      </c>
      <c r="P1" s="62" t="s">
        <v>4</v>
      </c>
      <c r="Q1" s="62" t="s">
        <v>39</v>
      </c>
      <c r="R1" s="62" t="s">
        <v>18</v>
      </c>
      <c r="S1" s="62" t="s">
        <v>62</v>
      </c>
      <c r="T1" s="62" t="s">
        <v>63</v>
      </c>
      <c r="U1" s="62" t="s">
        <v>64</v>
      </c>
      <c r="V1" s="62"/>
      <c r="W1" s="62"/>
      <c r="X1" s="62"/>
      <c r="Y1" s="62"/>
      <c r="Z1" s="62"/>
      <c r="AA1" s="62"/>
      <c r="AB1" s="62"/>
      <c r="AC1" s="62"/>
      <c r="AD1" s="62"/>
      <c r="AE1" s="62"/>
      <c r="AG1" s="5" t="s">
        <v>0</v>
      </c>
      <c r="AH1" s="12" t="s">
        <v>10</v>
      </c>
      <c r="AI1" s="12" t="s">
        <v>11</v>
      </c>
      <c r="AJ1" s="12" t="s">
        <v>12</v>
      </c>
    </row>
    <row r="2" spans="1:36" ht="15.6" customHeight="1" x14ac:dyDescent="0.2">
      <c r="A2" s="60">
        <v>45293</v>
      </c>
      <c r="B2" s="61"/>
      <c r="C2" s="61"/>
      <c r="D2" s="10">
        <v>323</v>
      </c>
      <c r="E2" s="10" t="e">
        <f t="shared" ref="E2:E3" si="0">D2/C2</f>
        <v>#DIV/0!</v>
      </c>
      <c r="F2" s="39" t="e">
        <f t="shared" ref="F2" si="1">E2/8.5</f>
        <v>#DIV/0!</v>
      </c>
      <c r="G2" s="4">
        <v>10</v>
      </c>
      <c r="H2" s="38" t="e">
        <f t="shared" ref="H2" si="2">F2/G2</f>
        <v>#DIV/0!</v>
      </c>
      <c r="J2" s="7">
        <v>44928</v>
      </c>
      <c r="K2" s="10"/>
      <c r="L2" s="10"/>
      <c r="M2" s="10"/>
      <c r="N2" s="10"/>
      <c r="O2" s="10"/>
      <c r="P2" s="10"/>
      <c r="Q2" s="10"/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7">
        <v>44928</v>
      </c>
      <c r="AH2" s="11"/>
      <c r="AI2" s="11"/>
      <c r="AJ2" s="13">
        <f t="shared" ref="AJ2" si="3">(D2-AH2-AI2)/D2</f>
        <v>1</v>
      </c>
    </row>
    <row r="3" spans="1:36" x14ac:dyDescent="0.2">
      <c r="A3" s="7">
        <v>44929</v>
      </c>
      <c r="B3" s="10"/>
      <c r="C3" s="10"/>
      <c r="D3" s="10">
        <v>560</v>
      </c>
      <c r="E3" s="10" t="e">
        <f t="shared" si="0"/>
        <v>#DIV/0!</v>
      </c>
      <c r="F3" s="39" t="e">
        <f t="shared" ref="F3:F6" si="4">E3/8.5</f>
        <v>#DIV/0!</v>
      </c>
      <c r="G3" s="4">
        <v>10</v>
      </c>
      <c r="H3" s="38" t="e">
        <f t="shared" ref="H3:H24" si="5">F3/G3</f>
        <v>#DIV/0!</v>
      </c>
      <c r="J3" s="7">
        <v>44929</v>
      </c>
      <c r="K3" s="10"/>
      <c r="L3" s="10"/>
      <c r="M3" s="10"/>
      <c r="N3" s="1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7">
        <v>44929</v>
      </c>
      <c r="AH3" s="11"/>
      <c r="AI3" s="11"/>
      <c r="AJ3" s="13">
        <f t="shared" ref="AJ3:AJ23" si="6">(D3-AH3-AI3)/D3</f>
        <v>1</v>
      </c>
    </row>
    <row r="4" spans="1:36" x14ac:dyDescent="0.2">
      <c r="A4" s="7">
        <v>44930</v>
      </c>
      <c r="B4" s="10"/>
      <c r="C4" s="10"/>
      <c r="D4" s="10">
        <v>419</v>
      </c>
      <c r="E4" s="10" t="e">
        <f t="shared" ref="E4:E23" si="7">D4/C4</f>
        <v>#DIV/0!</v>
      </c>
      <c r="F4" s="39" t="e">
        <f t="shared" si="4"/>
        <v>#DIV/0!</v>
      </c>
      <c r="G4" s="4">
        <v>10</v>
      </c>
      <c r="H4" s="38" t="e">
        <f t="shared" si="5"/>
        <v>#DIV/0!</v>
      </c>
      <c r="J4" s="7">
        <v>44930</v>
      </c>
      <c r="K4" s="10"/>
      <c r="L4" s="10"/>
      <c r="M4" s="10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7">
        <v>44930</v>
      </c>
      <c r="AH4" s="11"/>
      <c r="AI4" s="11"/>
      <c r="AJ4" s="13">
        <f t="shared" si="6"/>
        <v>1</v>
      </c>
    </row>
    <row r="5" spans="1:36" x14ac:dyDescent="0.2">
      <c r="A5" s="7">
        <v>44931</v>
      </c>
      <c r="B5" s="10"/>
      <c r="C5" s="10"/>
      <c r="D5" s="10">
        <v>402</v>
      </c>
      <c r="E5" s="10" t="e">
        <f t="shared" si="7"/>
        <v>#DIV/0!</v>
      </c>
      <c r="F5" s="39" t="e">
        <f t="shared" si="4"/>
        <v>#DIV/0!</v>
      </c>
      <c r="G5" s="4">
        <v>10</v>
      </c>
      <c r="H5" s="38" t="e">
        <f t="shared" si="5"/>
        <v>#DIV/0!</v>
      </c>
      <c r="J5" s="7">
        <v>44931</v>
      </c>
      <c r="K5" s="10"/>
      <c r="L5" s="10"/>
      <c r="M5" s="10"/>
      <c r="N5" s="10"/>
      <c r="O5" s="10"/>
      <c r="P5" s="10"/>
      <c r="Q5" s="10"/>
      <c r="R5" s="10"/>
      <c r="S5" s="10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7">
        <v>44931</v>
      </c>
      <c r="AH5" s="11"/>
      <c r="AI5" s="11"/>
      <c r="AJ5" s="13">
        <f t="shared" si="6"/>
        <v>1</v>
      </c>
    </row>
    <row r="6" spans="1:36" x14ac:dyDescent="0.2">
      <c r="A6" s="7">
        <v>44934</v>
      </c>
      <c r="B6" s="10"/>
      <c r="C6" s="10"/>
      <c r="D6" s="10">
        <v>369</v>
      </c>
      <c r="E6" s="10" t="e">
        <f t="shared" si="7"/>
        <v>#DIV/0!</v>
      </c>
      <c r="F6" s="39" t="e">
        <f t="shared" si="4"/>
        <v>#DIV/0!</v>
      </c>
      <c r="G6" s="4">
        <v>10</v>
      </c>
      <c r="H6" s="38" t="e">
        <f t="shared" si="5"/>
        <v>#DIV/0!</v>
      </c>
      <c r="J6" s="7">
        <v>44932</v>
      </c>
      <c r="K6" s="10"/>
      <c r="L6" s="10"/>
      <c r="M6" s="10"/>
      <c r="N6" s="10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59">
        <v>45299</v>
      </c>
      <c r="AH6" s="11"/>
      <c r="AI6" s="11"/>
      <c r="AJ6" s="13">
        <f t="shared" si="6"/>
        <v>1</v>
      </c>
    </row>
    <row r="7" spans="1:36" x14ac:dyDescent="0.2">
      <c r="A7" s="7">
        <v>44935</v>
      </c>
      <c r="B7" s="10"/>
      <c r="C7" s="10"/>
      <c r="D7" s="10">
        <v>532</v>
      </c>
      <c r="E7" s="10" t="e">
        <f t="shared" si="7"/>
        <v>#DIV/0!</v>
      </c>
      <c r="F7" s="39" t="e">
        <f>E7/7.5</f>
        <v>#DIV/0!</v>
      </c>
      <c r="G7" s="4">
        <v>10</v>
      </c>
      <c r="H7" s="38" t="e">
        <f t="shared" si="5"/>
        <v>#DIV/0!</v>
      </c>
      <c r="J7" s="7">
        <v>44935</v>
      </c>
      <c r="K7" s="10"/>
      <c r="L7" s="10"/>
      <c r="M7" s="1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 s="7">
        <v>44935</v>
      </c>
      <c r="AH7" s="11"/>
      <c r="AI7" s="11"/>
      <c r="AJ7" s="13">
        <f t="shared" si="6"/>
        <v>1</v>
      </c>
    </row>
    <row r="8" spans="1:36" x14ac:dyDescent="0.2">
      <c r="A8" s="7">
        <v>44936</v>
      </c>
      <c r="B8" s="10"/>
      <c r="C8" s="10"/>
      <c r="D8" s="10">
        <v>525</v>
      </c>
      <c r="E8" s="10" t="e">
        <f t="shared" si="7"/>
        <v>#DIV/0!</v>
      </c>
      <c r="F8" s="39" t="e">
        <f t="shared" ref="F8:F24" si="8">E8/7.5</f>
        <v>#DIV/0!</v>
      </c>
      <c r="G8" s="4">
        <v>10</v>
      </c>
      <c r="H8" s="38" t="e">
        <f t="shared" si="5"/>
        <v>#DIV/0!</v>
      </c>
      <c r="J8" s="7">
        <v>44936</v>
      </c>
      <c r="K8" s="10"/>
      <c r="L8" s="10"/>
      <c r="M8" s="10"/>
      <c r="N8" s="1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G8" s="7">
        <v>44936</v>
      </c>
      <c r="AH8" s="11"/>
      <c r="AI8" s="11"/>
      <c r="AJ8" s="13">
        <f t="shared" si="6"/>
        <v>1</v>
      </c>
    </row>
    <row r="9" spans="1:36" x14ac:dyDescent="0.2">
      <c r="A9" s="7">
        <v>44937</v>
      </c>
      <c r="B9" s="10"/>
      <c r="C9" s="10"/>
      <c r="D9" s="10">
        <v>855</v>
      </c>
      <c r="E9" s="10" t="e">
        <f t="shared" si="7"/>
        <v>#DIV/0!</v>
      </c>
      <c r="F9" s="39" t="e">
        <f t="shared" si="8"/>
        <v>#DIV/0!</v>
      </c>
      <c r="G9" s="4">
        <v>10</v>
      </c>
      <c r="H9" s="38" t="e">
        <f t="shared" si="5"/>
        <v>#DIV/0!</v>
      </c>
      <c r="J9" s="7">
        <v>44937</v>
      </c>
      <c r="K9" s="10"/>
      <c r="L9" s="10"/>
      <c r="M9" s="10"/>
      <c r="N9" s="10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G9" s="7">
        <v>44937</v>
      </c>
      <c r="AH9" s="11"/>
      <c r="AI9" s="11"/>
      <c r="AJ9" s="13">
        <f t="shared" si="6"/>
        <v>1</v>
      </c>
    </row>
    <row r="10" spans="1:36" x14ac:dyDescent="0.2">
      <c r="A10" s="7">
        <v>44938</v>
      </c>
      <c r="B10" s="10"/>
      <c r="C10" s="10"/>
      <c r="D10" s="10">
        <v>565</v>
      </c>
      <c r="E10" s="10" t="e">
        <f t="shared" si="7"/>
        <v>#DIV/0!</v>
      </c>
      <c r="F10" s="39" t="e">
        <f t="shared" si="8"/>
        <v>#DIV/0!</v>
      </c>
      <c r="G10" s="4">
        <v>10</v>
      </c>
      <c r="H10" s="38" t="e">
        <f t="shared" si="5"/>
        <v>#DIV/0!</v>
      </c>
      <c r="J10" s="7">
        <v>44938</v>
      </c>
      <c r="K10" s="10"/>
      <c r="L10" s="10"/>
      <c r="M10" s="10"/>
      <c r="N10" s="1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7">
        <v>44938</v>
      </c>
      <c r="AH10" s="11"/>
      <c r="AI10" s="11"/>
      <c r="AJ10" s="13">
        <f t="shared" si="6"/>
        <v>1</v>
      </c>
    </row>
    <row r="11" spans="1:36" x14ac:dyDescent="0.2">
      <c r="A11" s="7">
        <v>44941</v>
      </c>
      <c r="B11" s="10"/>
      <c r="C11" s="10"/>
      <c r="D11" s="10">
        <v>603</v>
      </c>
      <c r="E11" s="10" t="e">
        <f t="shared" si="7"/>
        <v>#DIV/0!</v>
      </c>
      <c r="F11" s="39" t="e">
        <f t="shared" si="8"/>
        <v>#DIV/0!</v>
      </c>
      <c r="G11" s="4">
        <v>10</v>
      </c>
      <c r="H11" s="38" t="e">
        <f t="shared" si="5"/>
        <v>#DIV/0!</v>
      </c>
      <c r="J11" s="7">
        <v>44941</v>
      </c>
      <c r="K11" s="10"/>
      <c r="L11" s="10"/>
      <c r="M11" s="10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7">
        <v>44941</v>
      </c>
      <c r="AH11" s="11"/>
      <c r="AI11" s="11"/>
      <c r="AJ11" s="13">
        <f t="shared" si="6"/>
        <v>1</v>
      </c>
    </row>
    <row r="12" spans="1:36" x14ac:dyDescent="0.2">
      <c r="A12" s="7">
        <v>44942</v>
      </c>
      <c r="B12" s="10"/>
      <c r="C12" s="10"/>
      <c r="D12" s="63">
        <v>570</v>
      </c>
      <c r="E12" s="10" t="e">
        <f t="shared" ref="E12:E17" si="9">D12/C12</f>
        <v>#DIV/0!</v>
      </c>
      <c r="F12" s="39" t="e">
        <f t="shared" si="8"/>
        <v>#DIV/0!</v>
      </c>
      <c r="G12" s="4">
        <v>10</v>
      </c>
      <c r="H12" s="38" t="e">
        <f t="shared" si="5"/>
        <v>#DIV/0!</v>
      </c>
      <c r="J12" s="7">
        <v>44942</v>
      </c>
      <c r="K12" s="10"/>
      <c r="L12" s="10"/>
      <c r="M12" s="10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7">
        <v>44942</v>
      </c>
      <c r="AH12" s="11"/>
      <c r="AI12" s="11"/>
      <c r="AJ12" s="13">
        <f t="shared" si="6"/>
        <v>1</v>
      </c>
    </row>
    <row r="13" spans="1:36" x14ac:dyDescent="0.2">
      <c r="A13" s="7">
        <v>44943</v>
      </c>
      <c r="B13" s="10"/>
      <c r="C13" s="10"/>
      <c r="D13" s="10">
        <v>562</v>
      </c>
      <c r="E13" s="10" t="e">
        <f t="shared" si="9"/>
        <v>#DIV/0!</v>
      </c>
      <c r="F13" s="39" t="e">
        <f t="shared" si="8"/>
        <v>#DIV/0!</v>
      </c>
      <c r="G13" s="4">
        <v>10</v>
      </c>
      <c r="H13" s="38" t="e">
        <f t="shared" si="5"/>
        <v>#DIV/0!</v>
      </c>
      <c r="J13" s="7">
        <v>44943</v>
      </c>
      <c r="K13" s="10"/>
      <c r="L13" s="10"/>
      <c r="M13" s="10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7">
        <v>44943</v>
      </c>
      <c r="AH13" s="11"/>
      <c r="AI13" s="11"/>
      <c r="AJ13" s="13">
        <f t="shared" si="6"/>
        <v>1</v>
      </c>
    </row>
    <row r="14" spans="1:36" x14ac:dyDescent="0.2">
      <c r="A14" s="59">
        <v>45309</v>
      </c>
      <c r="B14" s="10"/>
      <c r="C14" s="10"/>
      <c r="D14" s="10">
        <v>598</v>
      </c>
      <c r="E14" s="10" t="e">
        <f t="shared" si="9"/>
        <v>#DIV/0!</v>
      </c>
      <c r="F14" s="39" t="e">
        <f t="shared" si="8"/>
        <v>#DIV/0!</v>
      </c>
      <c r="G14" s="4">
        <v>10</v>
      </c>
      <c r="H14" s="38" t="e">
        <f t="shared" si="5"/>
        <v>#DIV/0!</v>
      </c>
      <c r="J14" s="7">
        <v>44944</v>
      </c>
      <c r="K14" s="10"/>
      <c r="L14" s="10"/>
      <c r="M14" s="10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7">
        <v>44944</v>
      </c>
      <c r="AH14" s="11"/>
      <c r="AI14" s="11"/>
      <c r="AJ14" s="13">
        <f t="shared" si="6"/>
        <v>1</v>
      </c>
    </row>
    <row r="15" spans="1:36" x14ac:dyDescent="0.2">
      <c r="A15" s="7">
        <v>44945</v>
      </c>
      <c r="B15" s="10"/>
      <c r="C15" s="10"/>
      <c r="D15" s="10">
        <v>472</v>
      </c>
      <c r="E15" s="10" t="e">
        <f t="shared" si="9"/>
        <v>#DIV/0!</v>
      </c>
      <c r="F15" s="39" t="e">
        <f t="shared" si="8"/>
        <v>#DIV/0!</v>
      </c>
      <c r="G15" s="4">
        <v>10</v>
      </c>
      <c r="H15" s="38" t="e">
        <f t="shared" si="5"/>
        <v>#DIV/0!</v>
      </c>
      <c r="J15" s="7">
        <v>44945</v>
      </c>
      <c r="K15" s="10"/>
      <c r="L15" s="10"/>
      <c r="M15" s="10"/>
      <c r="N15" s="1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7">
        <v>44945</v>
      </c>
      <c r="AH15" s="11"/>
      <c r="AI15" s="11"/>
      <c r="AJ15" s="13">
        <f t="shared" si="6"/>
        <v>1</v>
      </c>
    </row>
    <row r="16" spans="1:36" x14ac:dyDescent="0.2">
      <c r="A16" s="7">
        <v>44946</v>
      </c>
      <c r="B16" s="11"/>
      <c r="C16" s="10"/>
      <c r="D16" s="10">
        <f t="shared" ref="D16:D23" si="10">SUM(K16:AE16)</f>
        <v>0</v>
      </c>
      <c r="E16" s="10" t="e">
        <f t="shared" si="9"/>
        <v>#DIV/0!</v>
      </c>
      <c r="F16" s="39" t="e">
        <f t="shared" si="8"/>
        <v>#DIV/0!</v>
      </c>
      <c r="G16" s="4">
        <v>10</v>
      </c>
      <c r="H16" s="38" t="e">
        <f t="shared" si="5"/>
        <v>#DIV/0!</v>
      </c>
      <c r="J16" s="7">
        <v>44946</v>
      </c>
      <c r="K16" s="10"/>
      <c r="L16" s="10"/>
      <c r="M16" s="10"/>
      <c r="N16" s="1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7">
        <v>44946</v>
      </c>
      <c r="AH16" s="11"/>
      <c r="AI16" s="11"/>
      <c r="AJ16" s="13" t="e">
        <f t="shared" si="6"/>
        <v>#DIV/0!</v>
      </c>
    </row>
    <row r="17" spans="1:36" x14ac:dyDescent="0.2">
      <c r="A17" s="7">
        <v>44949</v>
      </c>
      <c r="B17" s="11"/>
      <c r="C17" s="10"/>
      <c r="D17" s="10">
        <f t="shared" si="10"/>
        <v>0</v>
      </c>
      <c r="E17" s="10" t="e">
        <f t="shared" si="9"/>
        <v>#DIV/0!</v>
      </c>
      <c r="F17" s="39" t="e">
        <f t="shared" si="8"/>
        <v>#DIV/0!</v>
      </c>
      <c r="G17" s="4">
        <v>10</v>
      </c>
      <c r="H17" s="38" t="e">
        <f t="shared" si="5"/>
        <v>#DIV/0!</v>
      </c>
      <c r="J17" s="7">
        <v>44949</v>
      </c>
      <c r="K17" s="10"/>
      <c r="L17" s="10"/>
      <c r="M17" s="10"/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7">
        <v>44949</v>
      </c>
      <c r="AH17" s="11"/>
      <c r="AI17" s="11"/>
      <c r="AJ17" s="13" t="e">
        <f t="shared" si="6"/>
        <v>#DIV/0!</v>
      </c>
    </row>
    <row r="18" spans="1:36" x14ac:dyDescent="0.2">
      <c r="A18" s="7">
        <v>44950</v>
      </c>
      <c r="B18" s="11"/>
      <c r="C18" s="10"/>
      <c r="D18" s="10">
        <f t="shared" si="10"/>
        <v>0</v>
      </c>
      <c r="E18" s="10" t="e">
        <f t="shared" si="7"/>
        <v>#DIV/0!</v>
      </c>
      <c r="F18" s="39" t="e">
        <f t="shared" si="8"/>
        <v>#DIV/0!</v>
      </c>
      <c r="G18" s="4">
        <v>10</v>
      </c>
      <c r="H18" s="38" t="e">
        <f t="shared" si="5"/>
        <v>#DIV/0!</v>
      </c>
      <c r="J18" s="7">
        <v>44950</v>
      </c>
      <c r="K18" s="10"/>
      <c r="L18" s="10"/>
      <c r="M18" s="10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7">
        <v>44950</v>
      </c>
      <c r="AH18" s="11"/>
      <c r="AI18" s="11"/>
      <c r="AJ18" s="13" t="e">
        <f t="shared" si="6"/>
        <v>#DIV/0!</v>
      </c>
    </row>
    <row r="19" spans="1:36" x14ac:dyDescent="0.2">
      <c r="A19" s="7">
        <v>44951</v>
      </c>
      <c r="B19" s="11"/>
      <c r="C19" s="10"/>
      <c r="D19" s="10">
        <f t="shared" si="10"/>
        <v>0</v>
      </c>
      <c r="E19" s="10" t="e">
        <f t="shared" si="7"/>
        <v>#DIV/0!</v>
      </c>
      <c r="F19" s="39" t="e">
        <f t="shared" si="8"/>
        <v>#DIV/0!</v>
      </c>
      <c r="G19" s="4">
        <v>10</v>
      </c>
      <c r="H19" s="38" t="e">
        <f t="shared" si="5"/>
        <v>#DIV/0!</v>
      </c>
      <c r="J19" s="7">
        <v>44951</v>
      </c>
      <c r="K19" s="10"/>
      <c r="L19" s="10"/>
      <c r="M19" s="10"/>
      <c r="N19" s="1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7">
        <v>44951</v>
      </c>
      <c r="AH19" s="11"/>
      <c r="AI19" s="11"/>
      <c r="AJ19" s="13" t="e">
        <f t="shared" si="6"/>
        <v>#DIV/0!</v>
      </c>
    </row>
    <row r="20" spans="1:36" x14ac:dyDescent="0.2">
      <c r="A20" s="7">
        <v>44952</v>
      </c>
      <c r="B20" s="11"/>
      <c r="C20" s="10"/>
      <c r="D20" s="10">
        <f t="shared" si="10"/>
        <v>0</v>
      </c>
      <c r="E20" s="10" t="e">
        <f t="shared" si="7"/>
        <v>#DIV/0!</v>
      </c>
      <c r="F20" s="39" t="e">
        <f t="shared" si="8"/>
        <v>#DIV/0!</v>
      </c>
      <c r="G20" s="4">
        <v>10</v>
      </c>
      <c r="H20" s="38" t="e">
        <f t="shared" si="5"/>
        <v>#DIV/0!</v>
      </c>
      <c r="J20" s="7">
        <v>44952</v>
      </c>
      <c r="K20" s="10"/>
      <c r="L20" s="10"/>
      <c r="M20" s="10"/>
      <c r="N20" s="10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G20" s="7">
        <v>44952</v>
      </c>
      <c r="AH20" s="11"/>
      <c r="AI20" s="11"/>
      <c r="AJ20" s="13" t="e">
        <f t="shared" si="6"/>
        <v>#DIV/0!</v>
      </c>
    </row>
    <row r="21" spans="1:36" x14ac:dyDescent="0.2">
      <c r="A21" s="7">
        <v>44953</v>
      </c>
      <c r="B21" s="11"/>
      <c r="C21" s="10"/>
      <c r="D21" s="10">
        <f t="shared" si="10"/>
        <v>0</v>
      </c>
      <c r="E21" s="10" t="e">
        <f t="shared" si="7"/>
        <v>#DIV/0!</v>
      </c>
      <c r="F21" s="39" t="e">
        <f t="shared" si="8"/>
        <v>#DIV/0!</v>
      </c>
      <c r="G21" s="4">
        <v>10</v>
      </c>
      <c r="H21" s="38" t="e">
        <f t="shared" si="5"/>
        <v>#DIV/0!</v>
      </c>
      <c r="J21" s="7">
        <v>44953</v>
      </c>
      <c r="K21" s="10"/>
      <c r="L21" s="10"/>
      <c r="M21" s="10"/>
      <c r="N21" s="1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G21" s="7">
        <v>44953</v>
      </c>
      <c r="AH21" s="11"/>
      <c r="AI21" s="11"/>
      <c r="AJ21" s="13" t="e">
        <f t="shared" si="6"/>
        <v>#DIV/0!</v>
      </c>
    </row>
    <row r="22" spans="1:36" x14ac:dyDescent="0.2">
      <c r="A22" s="7">
        <v>44956</v>
      </c>
      <c r="B22" s="11"/>
      <c r="C22" s="10"/>
      <c r="D22" s="10">
        <f t="shared" si="10"/>
        <v>0</v>
      </c>
      <c r="E22" s="10" t="e">
        <f t="shared" si="7"/>
        <v>#DIV/0!</v>
      </c>
      <c r="F22" s="39" t="e">
        <f t="shared" si="8"/>
        <v>#DIV/0!</v>
      </c>
      <c r="G22" s="4">
        <v>10</v>
      </c>
      <c r="H22" s="38" t="e">
        <f t="shared" si="5"/>
        <v>#DIV/0!</v>
      </c>
      <c r="J22" s="7">
        <v>44956</v>
      </c>
      <c r="K22" s="10"/>
      <c r="L22" s="10"/>
      <c r="M22" s="10"/>
      <c r="N22" s="1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G22" s="7">
        <v>44956</v>
      </c>
      <c r="AH22" s="11"/>
      <c r="AI22" s="11"/>
      <c r="AJ22" s="13" t="e">
        <f t="shared" si="6"/>
        <v>#DIV/0!</v>
      </c>
    </row>
    <row r="23" spans="1:36" x14ac:dyDescent="0.2">
      <c r="A23" s="7">
        <v>44957</v>
      </c>
      <c r="B23" s="11"/>
      <c r="C23" s="10"/>
      <c r="D23" s="10">
        <f t="shared" si="10"/>
        <v>0</v>
      </c>
      <c r="E23" s="10" t="e">
        <f t="shared" si="7"/>
        <v>#DIV/0!</v>
      </c>
      <c r="F23" s="39" t="e">
        <f t="shared" si="8"/>
        <v>#DIV/0!</v>
      </c>
      <c r="G23" s="4">
        <v>10</v>
      </c>
      <c r="H23" s="38" t="e">
        <f t="shared" si="5"/>
        <v>#DIV/0!</v>
      </c>
      <c r="J23" s="7">
        <v>44957</v>
      </c>
      <c r="K23" s="10"/>
      <c r="L23" s="10"/>
      <c r="M23" s="10"/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G23" s="7">
        <v>44957</v>
      </c>
      <c r="AH23" s="11"/>
      <c r="AI23" s="11"/>
      <c r="AJ23" s="13" t="e">
        <f t="shared" si="6"/>
        <v>#DIV/0!</v>
      </c>
    </row>
    <row r="24" spans="1:36" x14ac:dyDescent="0.2">
      <c r="A24" s="7" t="s">
        <v>9</v>
      </c>
      <c r="B24" s="11"/>
      <c r="C24" s="10"/>
      <c r="D24" s="10">
        <f>AVERAGE(D3:D23)</f>
        <v>334.85714285714283</v>
      </c>
      <c r="E24" s="10" t="e">
        <f>AVERAGE(E3:E23)</f>
        <v>#DIV/0!</v>
      </c>
      <c r="F24" s="39" t="e">
        <f t="shared" si="8"/>
        <v>#DIV/0!</v>
      </c>
      <c r="G24" s="4">
        <v>10</v>
      </c>
      <c r="H24" s="38" t="e">
        <f t="shared" si="5"/>
        <v>#DIV/0!</v>
      </c>
      <c r="J24" s="8" t="s">
        <v>9</v>
      </c>
      <c r="K24" s="11" t="e">
        <f t="shared" ref="K24:AE24" si="11">AVERAGE(K3:K23)</f>
        <v>#DIV/0!</v>
      </c>
      <c r="L24" s="11" t="e">
        <f t="shared" si="11"/>
        <v>#DIV/0!</v>
      </c>
      <c r="M24" s="11" t="e">
        <f t="shared" si="11"/>
        <v>#DIV/0!</v>
      </c>
      <c r="N24" s="11" t="e">
        <f t="shared" si="11"/>
        <v>#DIV/0!</v>
      </c>
      <c r="O24" s="11" t="e">
        <f t="shared" si="11"/>
        <v>#DIV/0!</v>
      </c>
      <c r="P24" s="11" t="e">
        <f t="shared" si="11"/>
        <v>#DIV/0!</v>
      </c>
      <c r="Q24" s="11" t="e">
        <f t="shared" si="11"/>
        <v>#DIV/0!</v>
      </c>
      <c r="R24" s="11" t="e">
        <f t="shared" si="11"/>
        <v>#DIV/0!</v>
      </c>
      <c r="S24" s="11" t="e">
        <f t="shared" si="11"/>
        <v>#DIV/0!</v>
      </c>
      <c r="T24" s="11" t="e">
        <f t="shared" si="11"/>
        <v>#DIV/0!</v>
      </c>
      <c r="U24" s="11" t="e">
        <f t="shared" si="11"/>
        <v>#DIV/0!</v>
      </c>
      <c r="V24" s="11" t="e">
        <f t="shared" si="11"/>
        <v>#DIV/0!</v>
      </c>
      <c r="W24" s="11" t="e">
        <f t="shared" si="11"/>
        <v>#DIV/0!</v>
      </c>
      <c r="X24" s="11" t="e">
        <f t="shared" si="11"/>
        <v>#DIV/0!</v>
      </c>
      <c r="Y24" s="11" t="e">
        <f t="shared" si="11"/>
        <v>#DIV/0!</v>
      </c>
      <c r="Z24" s="11" t="e">
        <f t="shared" si="11"/>
        <v>#DIV/0!</v>
      </c>
      <c r="AA24" s="11" t="e">
        <f t="shared" si="11"/>
        <v>#DIV/0!</v>
      </c>
      <c r="AB24" s="11" t="e">
        <f t="shared" si="11"/>
        <v>#DIV/0!</v>
      </c>
      <c r="AC24" s="11" t="e">
        <f t="shared" si="11"/>
        <v>#DIV/0!</v>
      </c>
      <c r="AD24" s="11" t="e">
        <f t="shared" si="11"/>
        <v>#DIV/0!</v>
      </c>
      <c r="AE24" s="11" t="e">
        <f t="shared" si="11"/>
        <v>#DIV/0!</v>
      </c>
      <c r="AG24" s="8" t="s">
        <v>9</v>
      </c>
      <c r="AH24" s="11" t="e">
        <f>AVERAGE(AH3:AH23)</f>
        <v>#DIV/0!</v>
      </c>
      <c r="AI24" s="11" t="e">
        <f>AVERAGE(AI3:AI23)</f>
        <v>#DIV/0!</v>
      </c>
      <c r="AJ24" s="13" t="e">
        <f>AVERAGE(AJ3:AJ23)</f>
        <v>#DIV/0!</v>
      </c>
    </row>
    <row r="25" spans="1:36" x14ac:dyDescent="0.2">
      <c r="A25" s="3"/>
      <c r="C25" s="2"/>
      <c r="D25" s="2"/>
      <c r="E25" s="4"/>
      <c r="F25" s="4"/>
      <c r="G25" s="4"/>
      <c r="H25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16B2-FC9B-4E04-97DF-3A655D4D2F14}">
  <dimension ref="A1:AU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S2" sqref="AS2:AT25"/>
    </sheetView>
  </sheetViews>
  <sheetFormatPr defaultColWidth="9.140625" defaultRowHeight="14.25" x14ac:dyDescent="0.2"/>
  <cols>
    <col min="1" max="1" width="9.140625" style="1"/>
    <col min="2" max="4" width="6.5703125" style="1" customWidth="1"/>
    <col min="5" max="6" width="7.85546875" style="1" bestFit="1" customWidth="1"/>
    <col min="7" max="8" width="6.7109375" style="1" customWidth="1"/>
    <col min="9" max="9" width="6" style="1" customWidth="1"/>
    <col min="10" max="10" width="9.140625" style="1"/>
    <col min="11" max="42" width="4.7109375" style="1" customWidth="1"/>
    <col min="43" max="43" width="6" style="1" customWidth="1"/>
    <col min="44" max="44" width="9.140625" style="1"/>
    <col min="45" max="46" width="6" style="1" customWidth="1"/>
    <col min="47" max="47" width="7.85546875" style="1" bestFit="1" customWidth="1"/>
    <col min="48" max="16384" width="9.140625" style="1"/>
  </cols>
  <sheetData>
    <row r="1" spans="1:47" ht="82.5" customHeight="1" x14ac:dyDescent="0.25">
      <c r="A1" s="5" t="s">
        <v>0</v>
      </c>
      <c r="B1" s="42" t="s">
        <v>22</v>
      </c>
      <c r="C1" s="43" t="s">
        <v>1</v>
      </c>
      <c r="D1" s="43" t="s">
        <v>2</v>
      </c>
      <c r="E1" s="44" t="s">
        <v>3</v>
      </c>
      <c r="F1" s="44" t="s">
        <v>29</v>
      </c>
      <c r="G1" s="45" t="s">
        <v>31</v>
      </c>
      <c r="H1" s="45" t="s">
        <v>30</v>
      </c>
      <c r="J1" s="5" t="s">
        <v>0</v>
      </c>
      <c r="K1" s="41" t="s">
        <v>33</v>
      </c>
      <c r="L1" s="41" t="s">
        <v>51</v>
      </c>
      <c r="M1" s="41" t="s">
        <v>42</v>
      </c>
      <c r="N1" s="41" t="s">
        <v>8</v>
      </c>
      <c r="O1" s="41" t="s">
        <v>25</v>
      </c>
      <c r="P1" s="41" t="s">
        <v>26</v>
      </c>
      <c r="Q1" s="41" t="s">
        <v>4</v>
      </c>
      <c r="R1" s="41" t="s">
        <v>40</v>
      </c>
      <c r="S1" s="41" t="s">
        <v>48</v>
      </c>
      <c r="T1" s="41" t="s">
        <v>49</v>
      </c>
      <c r="U1" s="41" t="s">
        <v>41</v>
      </c>
      <c r="V1" s="41" t="s">
        <v>21</v>
      </c>
      <c r="W1" s="41" t="s">
        <v>45</v>
      </c>
      <c r="X1" s="41" t="s">
        <v>47</v>
      </c>
      <c r="Y1" s="41" t="s">
        <v>34</v>
      </c>
      <c r="Z1" s="41" t="s">
        <v>28</v>
      </c>
      <c r="AA1" s="41" t="s">
        <v>44</v>
      </c>
      <c r="AB1" s="41" t="s">
        <v>38</v>
      </c>
      <c r="AC1" s="41" t="s">
        <v>46</v>
      </c>
      <c r="AD1" s="41" t="s">
        <v>18</v>
      </c>
      <c r="AE1" s="41" t="s">
        <v>50</v>
      </c>
      <c r="AF1" s="41" t="s">
        <v>36</v>
      </c>
      <c r="AG1" s="41" t="s">
        <v>39</v>
      </c>
      <c r="AH1" s="41" t="s">
        <v>43</v>
      </c>
      <c r="AI1" s="41" t="s">
        <v>27</v>
      </c>
      <c r="AJ1" s="41" t="s">
        <v>35</v>
      </c>
      <c r="AK1" s="41" t="s">
        <v>6</v>
      </c>
      <c r="AL1" s="41" t="s">
        <v>5</v>
      </c>
      <c r="AM1" s="41" t="s">
        <v>7</v>
      </c>
      <c r="AN1" s="41" t="s">
        <v>24</v>
      </c>
      <c r="AO1" s="41"/>
      <c r="AP1" s="41"/>
      <c r="AR1" s="5" t="s">
        <v>0</v>
      </c>
      <c r="AS1" s="42" t="s">
        <v>10</v>
      </c>
      <c r="AT1" s="42" t="s">
        <v>11</v>
      </c>
      <c r="AU1" s="42" t="s">
        <v>12</v>
      </c>
    </row>
    <row r="2" spans="1:47" x14ac:dyDescent="0.2">
      <c r="A2" s="7">
        <v>44958</v>
      </c>
      <c r="B2" s="11"/>
      <c r="C2" s="10"/>
      <c r="D2" s="10">
        <f t="shared" ref="D2:D25" si="0">SUM(K2:AP2)</f>
        <v>0</v>
      </c>
      <c r="E2" s="10" t="e">
        <f>D2/C2</f>
        <v>#DIV/0!</v>
      </c>
      <c r="F2" s="39" t="e">
        <f>E2/7.5</f>
        <v>#DIV/0!</v>
      </c>
      <c r="G2" s="4">
        <v>10</v>
      </c>
      <c r="H2" s="38" t="e">
        <f>F2/G2</f>
        <v>#DIV/0!</v>
      </c>
      <c r="J2" s="7">
        <v>44958</v>
      </c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R2" s="7">
        <v>44958</v>
      </c>
      <c r="AS2" s="11"/>
      <c r="AT2" s="11"/>
      <c r="AU2" s="13" t="e">
        <f t="shared" ref="AU2:AU27" si="1">(D2-AS2-AT2)/D2</f>
        <v>#DIV/0!</v>
      </c>
    </row>
    <row r="3" spans="1:47" x14ac:dyDescent="0.2">
      <c r="A3" s="7">
        <v>44959</v>
      </c>
      <c r="B3" s="11"/>
      <c r="C3" s="10"/>
      <c r="D3" s="10">
        <f t="shared" si="0"/>
        <v>0</v>
      </c>
      <c r="E3" s="10" t="e">
        <f t="shared" ref="E3:E25" si="2">D3/C3</f>
        <v>#DIV/0!</v>
      </c>
      <c r="F3" s="39" t="e">
        <f>E3/7.5</f>
        <v>#DIV/0!</v>
      </c>
      <c r="G3" s="4">
        <v>10</v>
      </c>
      <c r="H3" s="38" t="e">
        <f t="shared" ref="H3:H26" si="3">F3/G3</f>
        <v>#DIV/0!</v>
      </c>
      <c r="J3" s="7">
        <v>44959</v>
      </c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R3" s="7">
        <v>44959</v>
      </c>
      <c r="AS3" s="11"/>
      <c r="AT3" s="11"/>
      <c r="AU3" s="13" t="e">
        <f t="shared" si="1"/>
        <v>#DIV/0!</v>
      </c>
    </row>
    <row r="4" spans="1:47" x14ac:dyDescent="0.2">
      <c r="A4" s="7">
        <v>44960</v>
      </c>
      <c r="B4" s="11"/>
      <c r="C4" s="10"/>
      <c r="D4" s="10">
        <f t="shared" si="0"/>
        <v>0</v>
      </c>
      <c r="E4" s="10" t="e">
        <f t="shared" si="2"/>
        <v>#DIV/0!</v>
      </c>
      <c r="F4" s="39" t="e">
        <f t="shared" ref="F4:F10" si="4">E4/7.5</f>
        <v>#DIV/0!</v>
      </c>
      <c r="G4" s="4">
        <v>10</v>
      </c>
      <c r="H4" s="38" t="e">
        <f t="shared" si="3"/>
        <v>#DIV/0!</v>
      </c>
      <c r="J4" s="7">
        <v>44960</v>
      </c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R4" s="7">
        <v>44960</v>
      </c>
      <c r="AS4" s="11"/>
      <c r="AT4" s="11"/>
      <c r="AU4" s="13" t="e">
        <f t="shared" si="1"/>
        <v>#DIV/0!</v>
      </c>
    </row>
    <row r="5" spans="1:47" x14ac:dyDescent="0.2">
      <c r="A5" s="7">
        <v>44961</v>
      </c>
      <c r="B5" s="11"/>
      <c r="C5" s="10"/>
      <c r="D5" s="10">
        <f t="shared" ref="D5" si="5">SUM(K5:AP5)</f>
        <v>0</v>
      </c>
      <c r="E5" s="10" t="e">
        <f t="shared" ref="E5" si="6">D5/C5</f>
        <v>#DIV/0!</v>
      </c>
      <c r="F5" s="39" t="e">
        <f>E5/5</f>
        <v>#DIV/0!</v>
      </c>
      <c r="G5" s="4">
        <v>10</v>
      </c>
      <c r="H5" s="38" t="e">
        <f t="shared" ref="H5" si="7">F5/G5</f>
        <v>#DIV/0!</v>
      </c>
      <c r="J5" s="7">
        <v>44961</v>
      </c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R5" s="7">
        <v>44961</v>
      </c>
      <c r="AS5" s="11"/>
      <c r="AT5" s="11"/>
      <c r="AU5" s="13" t="e">
        <f t="shared" ref="AU5" si="8">(D5-AS5-AT5)/D5</f>
        <v>#DIV/0!</v>
      </c>
    </row>
    <row r="6" spans="1:47" x14ac:dyDescent="0.2">
      <c r="A6" s="7">
        <v>44963</v>
      </c>
      <c r="B6" s="11"/>
      <c r="C6" s="10"/>
      <c r="D6" s="10">
        <f t="shared" si="0"/>
        <v>0</v>
      </c>
      <c r="E6" s="10" t="e">
        <f t="shared" si="2"/>
        <v>#DIV/0!</v>
      </c>
      <c r="F6" s="39" t="e">
        <f t="shared" si="4"/>
        <v>#DIV/0!</v>
      </c>
      <c r="G6" s="4">
        <v>10</v>
      </c>
      <c r="H6" s="38" t="e">
        <f t="shared" si="3"/>
        <v>#DIV/0!</v>
      </c>
      <c r="J6" s="7">
        <v>44963</v>
      </c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R6" s="7">
        <v>44963</v>
      </c>
      <c r="AS6" s="11"/>
      <c r="AT6" s="11"/>
      <c r="AU6" s="13" t="e">
        <f t="shared" si="1"/>
        <v>#DIV/0!</v>
      </c>
    </row>
    <row r="7" spans="1:47" x14ac:dyDescent="0.2">
      <c r="A7" s="7">
        <v>44964</v>
      </c>
      <c r="B7" s="11"/>
      <c r="C7" s="10"/>
      <c r="D7" s="10">
        <f t="shared" si="0"/>
        <v>0</v>
      </c>
      <c r="E7" s="10" t="e">
        <f t="shared" si="2"/>
        <v>#DIV/0!</v>
      </c>
      <c r="F7" s="39" t="e">
        <f t="shared" si="4"/>
        <v>#DIV/0!</v>
      </c>
      <c r="G7" s="4">
        <v>10</v>
      </c>
      <c r="H7" s="38" t="e">
        <f t="shared" si="3"/>
        <v>#DIV/0!</v>
      </c>
      <c r="J7" s="7">
        <v>44964</v>
      </c>
      <c r="K7" s="10"/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R7" s="7">
        <v>44964</v>
      </c>
      <c r="AS7" s="11"/>
      <c r="AT7" s="11"/>
      <c r="AU7" s="13" t="e">
        <f t="shared" si="1"/>
        <v>#DIV/0!</v>
      </c>
    </row>
    <row r="8" spans="1:47" x14ac:dyDescent="0.2">
      <c r="A8" s="7">
        <v>44965</v>
      </c>
      <c r="B8" s="11"/>
      <c r="C8" s="10"/>
      <c r="D8" s="10">
        <f t="shared" si="0"/>
        <v>0</v>
      </c>
      <c r="E8" s="10" t="e">
        <f t="shared" si="2"/>
        <v>#DIV/0!</v>
      </c>
      <c r="F8" s="39" t="e">
        <f t="shared" si="4"/>
        <v>#DIV/0!</v>
      </c>
      <c r="G8" s="4">
        <v>10</v>
      </c>
      <c r="H8" s="38" t="e">
        <f t="shared" si="3"/>
        <v>#DIV/0!</v>
      </c>
      <c r="J8" s="7">
        <v>44965</v>
      </c>
      <c r="K8" s="10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R8" s="7">
        <v>44965</v>
      </c>
      <c r="AS8" s="11"/>
      <c r="AT8" s="11"/>
      <c r="AU8" s="13" t="e">
        <f t="shared" si="1"/>
        <v>#DIV/0!</v>
      </c>
    </row>
    <row r="9" spans="1:47" x14ac:dyDescent="0.2">
      <c r="A9" s="7">
        <v>44966</v>
      </c>
      <c r="B9" s="11"/>
      <c r="C9" s="10"/>
      <c r="D9" s="10">
        <f t="shared" si="0"/>
        <v>0</v>
      </c>
      <c r="E9" s="10" t="e">
        <f t="shared" si="2"/>
        <v>#DIV/0!</v>
      </c>
      <c r="F9" s="39" t="e">
        <f t="shared" si="4"/>
        <v>#DIV/0!</v>
      </c>
      <c r="G9" s="4">
        <v>10</v>
      </c>
      <c r="H9" s="38" t="e">
        <f t="shared" si="3"/>
        <v>#DIV/0!</v>
      </c>
      <c r="J9" s="7">
        <v>44966</v>
      </c>
      <c r="K9" s="10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R9" s="7">
        <v>44966</v>
      </c>
      <c r="AS9" s="11"/>
      <c r="AT9" s="11"/>
      <c r="AU9" s="13" t="e">
        <f t="shared" si="1"/>
        <v>#DIV/0!</v>
      </c>
    </row>
    <row r="10" spans="1:47" x14ac:dyDescent="0.2">
      <c r="A10" s="7">
        <v>44967</v>
      </c>
      <c r="B10" s="11"/>
      <c r="C10" s="10"/>
      <c r="D10" s="10">
        <f t="shared" si="0"/>
        <v>0</v>
      </c>
      <c r="E10" s="10" t="e">
        <f t="shared" si="2"/>
        <v>#DIV/0!</v>
      </c>
      <c r="F10" s="39" t="e">
        <f t="shared" si="4"/>
        <v>#DIV/0!</v>
      </c>
      <c r="G10" s="4">
        <v>10</v>
      </c>
      <c r="H10" s="38" t="e">
        <f t="shared" si="3"/>
        <v>#DIV/0!</v>
      </c>
      <c r="J10" s="7">
        <v>44967</v>
      </c>
      <c r="K10" s="10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R10" s="7">
        <v>44967</v>
      </c>
      <c r="AS10" s="11"/>
      <c r="AT10" s="11"/>
      <c r="AU10" s="13" t="e">
        <f t="shared" si="1"/>
        <v>#DIV/0!</v>
      </c>
    </row>
    <row r="11" spans="1:47" x14ac:dyDescent="0.2">
      <c r="A11" s="7">
        <v>44968</v>
      </c>
      <c r="B11" s="11"/>
      <c r="C11" s="10"/>
      <c r="D11" s="10">
        <f t="shared" ref="D11" si="9">SUM(K11:AP11)</f>
        <v>0</v>
      </c>
      <c r="E11" s="10" t="e">
        <f t="shared" ref="E11" si="10">D11/C11</f>
        <v>#DIV/0!</v>
      </c>
      <c r="F11" s="39" t="e">
        <f>E11/5</f>
        <v>#DIV/0!</v>
      </c>
      <c r="G11" s="4">
        <v>10</v>
      </c>
      <c r="H11" s="38" t="e">
        <f t="shared" si="3"/>
        <v>#DIV/0!</v>
      </c>
      <c r="J11" s="7">
        <v>44968</v>
      </c>
      <c r="K11" s="10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R11" s="7">
        <v>44968</v>
      </c>
      <c r="AS11" s="11"/>
      <c r="AT11" s="11"/>
      <c r="AU11" s="13" t="e">
        <f t="shared" si="1"/>
        <v>#DIV/0!</v>
      </c>
    </row>
    <row r="12" spans="1:47" x14ac:dyDescent="0.2">
      <c r="A12" s="7">
        <v>44970</v>
      </c>
      <c r="B12" s="11"/>
      <c r="C12" s="10"/>
      <c r="D12" s="10">
        <f t="shared" si="0"/>
        <v>0</v>
      </c>
      <c r="E12" s="10" t="e">
        <f t="shared" si="2"/>
        <v>#DIV/0!</v>
      </c>
      <c r="F12" s="39" t="e">
        <f>E12/8.5</f>
        <v>#DIV/0!</v>
      </c>
      <c r="G12" s="4">
        <v>10</v>
      </c>
      <c r="H12" s="38" t="e">
        <f t="shared" si="3"/>
        <v>#DIV/0!</v>
      </c>
      <c r="J12" s="7">
        <v>44970</v>
      </c>
      <c r="K12" s="10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R12" s="7">
        <v>44970</v>
      </c>
      <c r="AS12" s="11"/>
      <c r="AT12" s="11"/>
      <c r="AU12" s="13" t="e">
        <f t="shared" si="1"/>
        <v>#DIV/0!</v>
      </c>
    </row>
    <row r="13" spans="1:47" x14ac:dyDescent="0.2">
      <c r="A13" s="7">
        <v>44971</v>
      </c>
      <c r="B13" s="11"/>
      <c r="C13" s="10"/>
      <c r="D13" s="10">
        <f t="shared" si="0"/>
        <v>0</v>
      </c>
      <c r="E13" s="10" t="e">
        <f t="shared" si="2"/>
        <v>#DIV/0!</v>
      </c>
      <c r="F13" s="39" t="e">
        <f t="shared" ref="F13:F26" si="11">E13/8.5</f>
        <v>#DIV/0!</v>
      </c>
      <c r="G13" s="4">
        <v>10</v>
      </c>
      <c r="H13" s="38" t="e">
        <f t="shared" si="3"/>
        <v>#DIV/0!</v>
      </c>
      <c r="J13" s="7">
        <v>44971</v>
      </c>
      <c r="K13" s="10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R13" s="7">
        <v>44971</v>
      </c>
      <c r="AS13" s="11"/>
      <c r="AT13" s="11"/>
      <c r="AU13" s="13" t="e">
        <f t="shared" si="1"/>
        <v>#DIV/0!</v>
      </c>
    </row>
    <row r="14" spans="1:47" x14ac:dyDescent="0.2">
      <c r="A14" s="7">
        <v>44972</v>
      </c>
      <c r="B14" s="11"/>
      <c r="C14" s="10"/>
      <c r="D14" s="10">
        <f t="shared" si="0"/>
        <v>0</v>
      </c>
      <c r="E14" s="10" t="e">
        <f t="shared" si="2"/>
        <v>#DIV/0!</v>
      </c>
      <c r="F14" s="39" t="e">
        <f t="shared" si="11"/>
        <v>#DIV/0!</v>
      </c>
      <c r="G14" s="4">
        <v>10</v>
      </c>
      <c r="H14" s="38" t="e">
        <f t="shared" si="3"/>
        <v>#DIV/0!</v>
      </c>
      <c r="J14" s="7">
        <v>44972</v>
      </c>
      <c r="K14" s="10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R14" s="7">
        <v>44972</v>
      </c>
      <c r="AS14" s="11"/>
      <c r="AT14" s="11"/>
      <c r="AU14" s="13" t="e">
        <f t="shared" si="1"/>
        <v>#DIV/0!</v>
      </c>
    </row>
    <row r="15" spans="1:47" x14ac:dyDescent="0.2">
      <c r="A15" s="7">
        <v>44973</v>
      </c>
      <c r="B15" s="11"/>
      <c r="C15" s="10"/>
      <c r="D15" s="10">
        <f t="shared" si="0"/>
        <v>0</v>
      </c>
      <c r="E15" s="10" t="e">
        <f t="shared" si="2"/>
        <v>#DIV/0!</v>
      </c>
      <c r="F15" s="39" t="e">
        <f t="shared" si="11"/>
        <v>#DIV/0!</v>
      </c>
      <c r="G15" s="4">
        <v>10</v>
      </c>
      <c r="H15" s="38" t="e">
        <f t="shared" si="3"/>
        <v>#DIV/0!</v>
      </c>
      <c r="J15" s="7">
        <v>44973</v>
      </c>
      <c r="K15" s="10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R15" s="7">
        <v>44973</v>
      </c>
      <c r="AS15" s="11"/>
      <c r="AT15" s="11"/>
      <c r="AU15" s="13" t="e">
        <f t="shared" si="1"/>
        <v>#DIV/0!</v>
      </c>
    </row>
    <row r="16" spans="1:47" x14ac:dyDescent="0.2">
      <c r="A16" s="7">
        <v>44974</v>
      </c>
      <c r="B16" s="11"/>
      <c r="C16" s="10"/>
      <c r="D16" s="10">
        <f t="shared" si="0"/>
        <v>0</v>
      </c>
      <c r="E16" s="10" t="e">
        <f t="shared" si="2"/>
        <v>#DIV/0!</v>
      </c>
      <c r="F16" s="39" t="e">
        <f t="shared" si="11"/>
        <v>#DIV/0!</v>
      </c>
      <c r="G16" s="4">
        <v>10</v>
      </c>
      <c r="H16" s="38" t="e">
        <f t="shared" si="3"/>
        <v>#DIV/0!</v>
      </c>
      <c r="J16" s="7">
        <v>44974</v>
      </c>
      <c r="K16" s="10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R16" s="7">
        <v>44974</v>
      </c>
      <c r="AS16" s="11"/>
      <c r="AT16" s="11"/>
      <c r="AU16" s="13" t="e">
        <f t="shared" si="1"/>
        <v>#DIV/0!</v>
      </c>
    </row>
    <row r="17" spans="1:47" x14ac:dyDescent="0.2">
      <c r="A17" s="7">
        <v>44975</v>
      </c>
      <c r="B17" s="11"/>
      <c r="C17" s="10"/>
      <c r="D17" s="10">
        <f t="shared" ref="D17:D18" si="12">SUM(K17:AP17)</f>
        <v>0</v>
      </c>
      <c r="E17" s="10" t="e">
        <f t="shared" ref="E17:E18" si="13">D17/C17</f>
        <v>#DIV/0!</v>
      </c>
      <c r="F17" s="39" t="e">
        <f>E17/4.5</f>
        <v>#DIV/0!</v>
      </c>
      <c r="G17" s="4">
        <v>10</v>
      </c>
      <c r="H17" s="38" t="e">
        <f t="shared" ref="H17:H18" si="14">F17/G17</f>
        <v>#DIV/0!</v>
      </c>
      <c r="J17" s="7">
        <v>44975</v>
      </c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R17" s="7">
        <v>44975</v>
      </c>
      <c r="AS17" s="11"/>
      <c r="AT17" s="11"/>
      <c r="AU17" s="13" t="e">
        <f t="shared" ref="AU17:AU18" si="15">(D17-AS17-AT17)/D17</f>
        <v>#DIV/0!</v>
      </c>
    </row>
    <row r="18" spans="1:47" x14ac:dyDescent="0.2">
      <c r="A18" s="7">
        <v>44977</v>
      </c>
      <c r="B18" s="11"/>
      <c r="C18" s="10"/>
      <c r="D18" s="10">
        <f t="shared" si="12"/>
        <v>0</v>
      </c>
      <c r="E18" s="10" t="e">
        <f t="shared" si="13"/>
        <v>#DIV/0!</v>
      </c>
      <c r="F18" s="39" t="e">
        <f t="shared" ref="F18" si="16">E18/8.5</f>
        <v>#DIV/0!</v>
      </c>
      <c r="G18" s="4">
        <v>10</v>
      </c>
      <c r="H18" s="38" t="e">
        <f t="shared" si="14"/>
        <v>#DIV/0!</v>
      </c>
      <c r="J18" s="7">
        <v>44977</v>
      </c>
      <c r="K18" s="10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R18" s="7">
        <v>44977</v>
      </c>
      <c r="AS18" s="47"/>
      <c r="AT18" s="11"/>
      <c r="AU18" s="13" t="e">
        <f t="shared" si="15"/>
        <v>#DIV/0!</v>
      </c>
    </row>
    <row r="19" spans="1:47" x14ac:dyDescent="0.2">
      <c r="A19" s="7">
        <v>44978</v>
      </c>
      <c r="B19" s="11"/>
      <c r="C19" s="10"/>
      <c r="D19" s="10">
        <f t="shared" si="0"/>
        <v>0</v>
      </c>
      <c r="E19" s="10" t="e">
        <f t="shared" si="2"/>
        <v>#DIV/0!</v>
      </c>
      <c r="F19" s="39" t="e">
        <f t="shared" si="11"/>
        <v>#DIV/0!</v>
      </c>
      <c r="G19" s="4">
        <v>10</v>
      </c>
      <c r="H19" s="38" t="e">
        <f t="shared" si="3"/>
        <v>#DIV/0!</v>
      </c>
      <c r="J19" s="7">
        <v>44978</v>
      </c>
      <c r="K19" s="10"/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R19" s="7">
        <v>44978</v>
      </c>
      <c r="AS19" s="11"/>
      <c r="AT19" s="11"/>
      <c r="AU19" s="13" t="e">
        <f t="shared" si="1"/>
        <v>#DIV/0!</v>
      </c>
    </row>
    <row r="20" spans="1:47" x14ac:dyDescent="0.2">
      <c r="A20" s="7">
        <v>44979</v>
      </c>
      <c r="B20" s="11"/>
      <c r="C20" s="10"/>
      <c r="D20" s="10">
        <f>SUM(K20:AP20)</f>
        <v>0</v>
      </c>
      <c r="E20" s="10" t="e">
        <f t="shared" si="2"/>
        <v>#DIV/0!</v>
      </c>
      <c r="F20" s="39" t="e">
        <f t="shared" si="11"/>
        <v>#DIV/0!</v>
      </c>
      <c r="G20" s="4">
        <v>10</v>
      </c>
      <c r="H20" s="38" t="e">
        <f t="shared" si="3"/>
        <v>#DIV/0!</v>
      </c>
      <c r="J20" s="7">
        <v>44979</v>
      </c>
      <c r="K20" s="10"/>
      <c r="L20" s="1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R20" s="7">
        <v>44979</v>
      </c>
      <c r="AS20" s="11"/>
      <c r="AT20" s="11"/>
      <c r="AU20" s="13" t="e">
        <f t="shared" si="1"/>
        <v>#DIV/0!</v>
      </c>
    </row>
    <row r="21" spans="1:47" x14ac:dyDescent="0.2">
      <c r="A21" s="7">
        <v>44980</v>
      </c>
      <c r="B21" s="11"/>
      <c r="C21" s="10"/>
      <c r="D21" s="10">
        <f t="shared" si="0"/>
        <v>0</v>
      </c>
      <c r="E21" s="10" t="e">
        <f t="shared" si="2"/>
        <v>#DIV/0!</v>
      </c>
      <c r="F21" s="39" t="e">
        <f t="shared" si="11"/>
        <v>#DIV/0!</v>
      </c>
      <c r="G21" s="4">
        <v>10</v>
      </c>
      <c r="H21" s="38" t="e">
        <f t="shared" si="3"/>
        <v>#DIV/0!</v>
      </c>
      <c r="J21" s="7">
        <v>44980</v>
      </c>
      <c r="K21" s="10"/>
      <c r="L21" s="1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R21" s="7">
        <v>44980</v>
      </c>
      <c r="AS21" s="11"/>
      <c r="AT21" s="11"/>
      <c r="AU21" s="13" t="e">
        <f t="shared" si="1"/>
        <v>#DIV/0!</v>
      </c>
    </row>
    <row r="22" spans="1:47" x14ac:dyDescent="0.2">
      <c r="A22" s="7">
        <v>44981</v>
      </c>
      <c r="B22" s="11"/>
      <c r="C22" s="10"/>
      <c r="D22" s="10">
        <f t="shared" si="0"/>
        <v>0</v>
      </c>
      <c r="E22" s="10" t="e">
        <f t="shared" si="2"/>
        <v>#DIV/0!</v>
      </c>
      <c r="F22" s="39" t="e">
        <f t="shared" si="11"/>
        <v>#DIV/0!</v>
      </c>
      <c r="G22" s="4">
        <v>10</v>
      </c>
      <c r="H22" s="38" t="e">
        <f t="shared" si="3"/>
        <v>#DIV/0!</v>
      </c>
      <c r="J22" s="7">
        <v>44981</v>
      </c>
      <c r="K22" s="10"/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R22" s="7">
        <v>44981</v>
      </c>
      <c r="AS22" s="11"/>
      <c r="AT22" s="11"/>
      <c r="AU22" s="13" t="e">
        <f t="shared" si="1"/>
        <v>#DIV/0!</v>
      </c>
    </row>
    <row r="23" spans="1:47" x14ac:dyDescent="0.2">
      <c r="A23" s="7">
        <v>44982</v>
      </c>
      <c r="B23" s="11"/>
      <c r="C23" s="10"/>
      <c r="D23" s="10">
        <f t="shared" ref="D23" si="17">SUM(K23:AP23)</f>
        <v>0</v>
      </c>
      <c r="E23" s="10" t="e">
        <f t="shared" ref="E23" si="18">D23/C23</f>
        <v>#DIV/0!</v>
      </c>
      <c r="F23" s="39" t="e">
        <f>E23/4.75</f>
        <v>#DIV/0!</v>
      </c>
      <c r="G23" s="4">
        <v>10</v>
      </c>
      <c r="H23" s="38" t="e">
        <f t="shared" si="3"/>
        <v>#DIV/0!</v>
      </c>
      <c r="J23" s="7">
        <v>44982</v>
      </c>
      <c r="K23" s="10"/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R23" s="7">
        <v>44982</v>
      </c>
      <c r="AS23" s="11"/>
      <c r="AT23" s="11"/>
      <c r="AU23" s="13" t="e">
        <f t="shared" si="1"/>
        <v>#DIV/0!</v>
      </c>
    </row>
    <row r="24" spans="1:47" x14ac:dyDescent="0.2">
      <c r="A24" s="7">
        <v>44984</v>
      </c>
      <c r="B24" s="11"/>
      <c r="C24" s="10"/>
      <c r="D24" s="10">
        <f t="shared" si="0"/>
        <v>0</v>
      </c>
      <c r="E24" s="10" t="e">
        <f t="shared" si="2"/>
        <v>#DIV/0!</v>
      </c>
      <c r="F24" s="39" t="e">
        <f t="shared" si="11"/>
        <v>#DIV/0!</v>
      </c>
      <c r="G24" s="4">
        <v>10</v>
      </c>
      <c r="H24" s="38" t="e">
        <f t="shared" si="3"/>
        <v>#DIV/0!</v>
      </c>
      <c r="J24" s="7">
        <v>44984</v>
      </c>
      <c r="K24" s="10"/>
      <c r="L24" s="10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R24" s="7">
        <v>44984</v>
      </c>
      <c r="AS24" s="11"/>
      <c r="AT24" s="11"/>
      <c r="AU24" s="13" t="e">
        <f t="shared" si="1"/>
        <v>#DIV/0!</v>
      </c>
    </row>
    <row r="25" spans="1:47" x14ac:dyDescent="0.2">
      <c r="A25" s="7">
        <v>44985</v>
      </c>
      <c r="B25" s="11"/>
      <c r="C25" s="10"/>
      <c r="D25" s="10">
        <f t="shared" si="0"/>
        <v>0</v>
      </c>
      <c r="E25" s="10" t="e">
        <f t="shared" si="2"/>
        <v>#DIV/0!</v>
      </c>
      <c r="F25" s="39" t="e">
        <f t="shared" si="11"/>
        <v>#DIV/0!</v>
      </c>
      <c r="G25" s="4">
        <v>10</v>
      </c>
      <c r="H25" s="38" t="e">
        <f t="shared" si="3"/>
        <v>#DIV/0!</v>
      </c>
      <c r="J25" s="7">
        <v>44985</v>
      </c>
      <c r="K25" s="10"/>
      <c r="L25" s="10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R25" s="7">
        <v>44985</v>
      </c>
      <c r="AS25" s="11"/>
      <c r="AT25" s="11"/>
      <c r="AU25" s="13" t="e">
        <f t="shared" si="1"/>
        <v>#DIV/0!</v>
      </c>
    </row>
    <row r="26" spans="1:47" x14ac:dyDescent="0.2">
      <c r="A26" s="7" t="s">
        <v>9</v>
      </c>
      <c r="B26" s="48" t="e">
        <f>AVERAGE(B2:B25)</f>
        <v>#DIV/0!</v>
      </c>
      <c r="C26" s="11" t="e">
        <f>AVERAGE(C2:C25)</f>
        <v>#DIV/0!</v>
      </c>
      <c r="D26" s="10">
        <f>AVERAGE(D2:D25)</f>
        <v>0</v>
      </c>
      <c r="E26" s="10" t="e">
        <f>AVERAGE(E2:E25)</f>
        <v>#DIV/0!</v>
      </c>
      <c r="F26" s="39" t="e">
        <f t="shared" si="11"/>
        <v>#DIV/0!</v>
      </c>
      <c r="G26" s="4">
        <v>10</v>
      </c>
      <c r="H26" s="38" t="e">
        <f t="shared" si="3"/>
        <v>#DIV/0!</v>
      </c>
      <c r="J26" s="8" t="s">
        <v>9</v>
      </c>
      <c r="K26" s="11" t="e">
        <f t="shared" ref="K26:AP26" si="19">AVERAGE(K2:K25)</f>
        <v>#DIV/0!</v>
      </c>
      <c r="L26" s="11" t="e">
        <f t="shared" si="19"/>
        <v>#DIV/0!</v>
      </c>
      <c r="M26" s="11" t="e">
        <f t="shared" si="19"/>
        <v>#DIV/0!</v>
      </c>
      <c r="N26" s="11" t="e">
        <f t="shared" si="19"/>
        <v>#DIV/0!</v>
      </c>
      <c r="O26" s="11" t="e">
        <f t="shared" si="19"/>
        <v>#DIV/0!</v>
      </c>
      <c r="P26" s="11" t="e">
        <f t="shared" si="19"/>
        <v>#DIV/0!</v>
      </c>
      <c r="Q26" s="11" t="e">
        <f t="shared" si="19"/>
        <v>#DIV/0!</v>
      </c>
      <c r="R26" s="11" t="e">
        <f t="shared" si="19"/>
        <v>#DIV/0!</v>
      </c>
      <c r="S26" s="11" t="e">
        <f t="shared" si="19"/>
        <v>#DIV/0!</v>
      </c>
      <c r="T26" s="11" t="e">
        <f t="shared" si="19"/>
        <v>#DIV/0!</v>
      </c>
      <c r="U26" s="11" t="e">
        <f t="shared" si="19"/>
        <v>#DIV/0!</v>
      </c>
      <c r="V26" s="11" t="e">
        <f t="shared" si="19"/>
        <v>#DIV/0!</v>
      </c>
      <c r="W26" s="11" t="e">
        <f t="shared" si="19"/>
        <v>#DIV/0!</v>
      </c>
      <c r="X26" s="11" t="e">
        <f t="shared" si="19"/>
        <v>#DIV/0!</v>
      </c>
      <c r="Y26" s="11" t="e">
        <f t="shared" si="19"/>
        <v>#DIV/0!</v>
      </c>
      <c r="Z26" s="11" t="e">
        <f t="shared" si="19"/>
        <v>#DIV/0!</v>
      </c>
      <c r="AA26" s="11" t="e">
        <f t="shared" si="19"/>
        <v>#DIV/0!</v>
      </c>
      <c r="AB26" s="11" t="e">
        <f t="shared" si="19"/>
        <v>#DIV/0!</v>
      </c>
      <c r="AC26" s="11" t="e">
        <f t="shared" si="19"/>
        <v>#DIV/0!</v>
      </c>
      <c r="AD26" s="11" t="e">
        <f t="shared" si="19"/>
        <v>#DIV/0!</v>
      </c>
      <c r="AE26" s="11" t="e">
        <f t="shared" si="19"/>
        <v>#DIV/0!</v>
      </c>
      <c r="AF26" s="11" t="e">
        <f t="shared" si="19"/>
        <v>#DIV/0!</v>
      </c>
      <c r="AG26" s="11" t="e">
        <f t="shared" si="19"/>
        <v>#DIV/0!</v>
      </c>
      <c r="AH26" s="11" t="e">
        <f t="shared" si="19"/>
        <v>#DIV/0!</v>
      </c>
      <c r="AI26" s="11" t="e">
        <f t="shared" si="19"/>
        <v>#DIV/0!</v>
      </c>
      <c r="AJ26" s="11" t="e">
        <f t="shared" si="19"/>
        <v>#DIV/0!</v>
      </c>
      <c r="AK26" s="11" t="e">
        <f t="shared" si="19"/>
        <v>#DIV/0!</v>
      </c>
      <c r="AL26" s="11" t="e">
        <f t="shared" si="19"/>
        <v>#DIV/0!</v>
      </c>
      <c r="AM26" s="11" t="e">
        <f t="shared" si="19"/>
        <v>#DIV/0!</v>
      </c>
      <c r="AN26" s="11" t="e">
        <f t="shared" si="19"/>
        <v>#DIV/0!</v>
      </c>
      <c r="AO26" s="11" t="e">
        <f t="shared" si="19"/>
        <v>#DIV/0!</v>
      </c>
      <c r="AP26" s="11" t="e">
        <f t="shared" si="19"/>
        <v>#DIV/0!</v>
      </c>
      <c r="AR26" s="8" t="s">
        <v>9</v>
      </c>
      <c r="AS26" s="11" t="e">
        <f t="shared" ref="AS26:AU26" si="20">AVERAGE(AS2:AS25)</f>
        <v>#DIV/0!</v>
      </c>
      <c r="AT26" s="11" t="e">
        <f t="shared" si="20"/>
        <v>#DIV/0!</v>
      </c>
      <c r="AU26" s="13" t="e">
        <f t="shared" si="20"/>
        <v>#DIV/0!</v>
      </c>
    </row>
    <row r="27" spans="1:47" x14ac:dyDescent="0.2">
      <c r="A27" s="49" t="s">
        <v>53</v>
      </c>
      <c r="B27" s="34">
        <f>SUM(B2:B25)</f>
        <v>0</v>
      </c>
      <c r="C27" s="2"/>
      <c r="D27" s="2">
        <f>SUM(D2:D25)</f>
        <v>0</v>
      </c>
      <c r="E27" s="4"/>
      <c r="F27" s="4"/>
      <c r="G27" s="4"/>
      <c r="H27" s="38"/>
      <c r="AS27" s="1">
        <f>SUM(AS2:AS25)</f>
        <v>0</v>
      </c>
      <c r="AT27" s="1">
        <f>SUM(AT2:AT25)</f>
        <v>0</v>
      </c>
      <c r="AU27" s="13" t="e">
        <f t="shared" si="1"/>
        <v>#DIV/0!</v>
      </c>
    </row>
    <row r="28" spans="1:47" x14ac:dyDescent="0.2">
      <c r="G28" s="4"/>
      <c r="H28" s="38"/>
    </row>
    <row r="29" spans="1:47" x14ac:dyDescent="0.2">
      <c r="G29" s="4"/>
      <c r="H29" s="38"/>
    </row>
    <row r="30" spans="1:47" x14ac:dyDescent="0.2">
      <c r="G30" s="4"/>
      <c r="H30" s="4"/>
    </row>
  </sheetData>
  <pageMargins left="0.7" right="0.7" top="0.75" bottom="0.75" header="0.3" footer="0.3"/>
  <pageSetup orientation="portrait" verticalDpi="0" r:id="rId1"/>
  <ignoredErrors>
    <ignoredError sqref="D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A8F2-A45D-4837-99AE-BBD78A247AD3}">
  <dimension ref="A1:AK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N11" sqref="AN11"/>
    </sheetView>
  </sheetViews>
  <sheetFormatPr defaultColWidth="9.140625" defaultRowHeight="14.25" x14ac:dyDescent="0.2"/>
  <cols>
    <col min="1" max="1" width="9.140625" style="1"/>
    <col min="2" max="3" width="7" style="1" customWidth="1"/>
    <col min="4" max="6" width="9.140625" style="1"/>
    <col min="7" max="7" width="8.28515625" style="1" bestFit="1" customWidth="1"/>
    <col min="8" max="8" width="10.85546875" style="1" bestFit="1" customWidth="1"/>
    <col min="9" max="9" width="4.28515625" style="1" customWidth="1"/>
    <col min="10" max="10" width="8.5703125" style="1" bestFit="1" customWidth="1"/>
    <col min="11" max="15" width="3.7109375" style="1" bestFit="1" customWidth="1"/>
    <col min="16" max="16" width="4.42578125" style="1" bestFit="1" customWidth="1"/>
    <col min="17" max="17" width="3.7109375" style="1" bestFit="1" customWidth="1"/>
    <col min="18" max="19" width="4.42578125" style="1" bestFit="1" customWidth="1"/>
    <col min="20" max="20" width="4.28515625" style="1" customWidth="1"/>
    <col min="21" max="23" width="3.7109375" style="1" bestFit="1" customWidth="1"/>
    <col min="24" max="24" width="4.42578125" style="1" bestFit="1" customWidth="1"/>
    <col min="25" max="26" width="3.7109375" style="1" bestFit="1" customWidth="1"/>
    <col min="27" max="29" width="4.42578125" style="1" bestFit="1" customWidth="1"/>
    <col min="30" max="32" width="5.28515625" style="1" hidden="1" customWidth="1"/>
    <col min="33" max="33" width="5.28515625" style="1" customWidth="1"/>
    <col min="34" max="34" width="9.140625" style="1"/>
    <col min="35" max="36" width="6.5703125" style="1" customWidth="1"/>
    <col min="37" max="37" width="11.140625" style="1" customWidth="1"/>
    <col min="38" max="16384" width="9.140625" style="1"/>
  </cols>
  <sheetData>
    <row r="1" spans="1:37" ht="105.75" x14ac:dyDescent="0.25">
      <c r="A1" s="5" t="s">
        <v>0</v>
      </c>
      <c r="B1" s="41" t="s">
        <v>22</v>
      </c>
      <c r="C1" s="41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41" t="s">
        <v>33</v>
      </c>
      <c r="L1" s="41" t="s">
        <v>51</v>
      </c>
      <c r="M1" s="41" t="s">
        <v>25</v>
      </c>
      <c r="N1" s="41" t="s">
        <v>26</v>
      </c>
      <c r="O1" s="41" t="s">
        <v>4</v>
      </c>
      <c r="P1" s="41" t="s">
        <v>40</v>
      </c>
      <c r="Q1" s="41" t="s">
        <v>48</v>
      </c>
      <c r="R1" s="41" t="s">
        <v>49</v>
      </c>
      <c r="S1" s="41" t="s">
        <v>41</v>
      </c>
      <c r="T1" s="41" t="s">
        <v>21</v>
      </c>
      <c r="U1" s="41" t="s">
        <v>45</v>
      </c>
      <c r="V1" s="41" t="s">
        <v>52</v>
      </c>
      <c r="W1" s="41" t="s">
        <v>28</v>
      </c>
      <c r="X1" s="41" t="s">
        <v>18</v>
      </c>
      <c r="Y1" s="41" t="s">
        <v>50</v>
      </c>
      <c r="Z1" s="41" t="s">
        <v>36</v>
      </c>
      <c r="AA1" s="41" t="s">
        <v>6</v>
      </c>
      <c r="AB1" s="41" t="s">
        <v>5</v>
      </c>
      <c r="AC1" s="41" t="s">
        <v>7</v>
      </c>
      <c r="AD1" s="41"/>
      <c r="AE1" s="41"/>
      <c r="AF1" s="41"/>
      <c r="AH1" s="5" t="s">
        <v>0</v>
      </c>
      <c r="AI1" s="41" t="s">
        <v>10</v>
      </c>
      <c r="AJ1" s="41" t="s">
        <v>11</v>
      </c>
      <c r="AK1" s="12" t="s">
        <v>12</v>
      </c>
    </row>
    <row r="2" spans="1:37" x14ac:dyDescent="0.2">
      <c r="A2" s="7">
        <v>44986</v>
      </c>
      <c r="B2" s="11"/>
      <c r="C2" s="10"/>
      <c r="D2" s="10">
        <f t="shared" ref="D2:D27" si="0">SUM(K2:AF2)</f>
        <v>0</v>
      </c>
      <c r="E2" s="10" t="e">
        <f>D2/C2</f>
        <v>#DIV/0!</v>
      </c>
      <c r="F2" s="39" t="e">
        <f>E2/8.5</f>
        <v>#DIV/0!</v>
      </c>
      <c r="G2" s="4">
        <v>10</v>
      </c>
      <c r="H2" s="38" t="e">
        <f>F2/G2</f>
        <v>#DIV/0!</v>
      </c>
      <c r="J2" s="7">
        <v>44986</v>
      </c>
      <c r="K2" s="10"/>
      <c r="L2" s="11"/>
      <c r="M2" s="11"/>
      <c r="N2" s="11"/>
      <c r="O2" s="11"/>
      <c r="P2" s="11"/>
      <c r="Q2" s="11"/>
      <c r="R2" s="11"/>
      <c r="S2" s="11"/>
      <c r="T2" s="11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H2" s="7">
        <v>44986</v>
      </c>
      <c r="AI2" s="11"/>
      <c r="AJ2" s="11"/>
      <c r="AK2" s="13" t="e">
        <f t="shared" ref="AK2:AK27" si="1">(D2-AI2-AJ2)/D2</f>
        <v>#DIV/0!</v>
      </c>
    </row>
    <row r="3" spans="1:37" x14ac:dyDescent="0.2">
      <c r="A3" s="7">
        <v>44987</v>
      </c>
      <c r="B3" s="11"/>
      <c r="C3" s="10"/>
      <c r="D3" s="10">
        <f t="shared" si="0"/>
        <v>0</v>
      </c>
      <c r="E3" s="10" t="e">
        <f t="shared" ref="E3:E27" si="2">D3/C3</f>
        <v>#DIV/0!</v>
      </c>
      <c r="F3" s="39" t="e">
        <f t="shared" ref="F3:F28" si="3">E3/8.5</f>
        <v>#DIV/0!</v>
      </c>
      <c r="G3" s="4">
        <v>10</v>
      </c>
      <c r="H3" s="38" t="e">
        <f t="shared" ref="H3:H28" si="4">F3/G3</f>
        <v>#DIV/0!</v>
      </c>
      <c r="J3" s="7">
        <v>44987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0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H3" s="7">
        <v>44987</v>
      </c>
      <c r="AI3" s="11"/>
      <c r="AJ3" s="11"/>
      <c r="AK3" s="13" t="e">
        <f t="shared" si="1"/>
        <v>#DIV/0!</v>
      </c>
    </row>
    <row r="4" spans="1:37" x14ac:dyDescent="0.2">
      <c r="A4" s="7">
        <v>44988</v>
      </c>
      <c r="B4" s="11"/>
      <c r="C4" s="10"/>
      <c r="D4" s="10">
        <f t="shared" si="0"/>
        <v>0</v>
      </c>
      <c r="E4" s="10" t="e">
        <f t="shared" si="2"/>
        <v>#DIV/0!</v>
      </c>
      <c r="F4" s="39" t="e">
        <f t="shared" si="3"/>
        <v>#DIV/0!</v>
      </c>
      <c r="G4" s="4">
        <v>10</v>
      </c>
      <c r="H4" s="38" t="e">
        <f t="shared" si="4"/>
        <v>#DIV/0!</v>
      </c>
      <c r="J4" s="7">
        <v>44988</v>
      </c>
      <c r="K4" s="10"/>
      <c r="L4" s="11"/>
      <c r="M4" s="11"/>
      <c r="N4" s="11"/>
      <c r="O4" s="11"/>
      <c r="P4" s="11"/>
      <c r="Q4" s="11"/>
      <c r="R4" s="11"/>
      <c r="S4" s="11"/>
      <c r="T4" s="11"/>
      <c r="U4" s="10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H4" s="7">
        <v>44988</v>
      </c>
      <c r="AI4" s="11"/>
      <c r="AJ4" s="11"/>
      <c r="AK4" s="13" t="e">
        <f t="shared" si="1"/>
        <v>#DIV/0!</v>
      </c>
    </row>
    <row r="5" spans="1:37" x14ac:dyDescent="0.2">
      <c r="A5" s="7">
        <v>44989</v>
      </c>
      <c r="B5" s="11"/>
      <c r="C5" s="10"/>
      <c r="D5" s="10">
        <f t="shared" ref="D5" si="5">SUM(K5:AF5)</f>
        <v>0</v>
      </c>
      <c r="E5" s="10" t="e">
        <f t="shared" ref="E5" si="6">D5/C5</f>
        <v>#DIV/0!</v>
      </c>
      <c r="F5" s="39" t="e">
        <f>E5/4.75</f>
        <v>#DIV/0!</v>
      </c>
      <c r="G5" s="4">
        <v>10</v>
      </c>
      <c r="H5" s="38" t="e">
        <f t="shared" si="4"/>
        <v>#DIV/0!</v>
      </c>
      <c r="J5" s="7">
        <v>44989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0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H5" s="7">
        <v>44989</v>
      </c>
      <c r="AI5" s="11"/>
      <c r="AJ5" s="11"/>
      <c r="AK5" s="13" t="e">
        <f t="shared" si="1"/>
        <v>#DIV/0!</v>
      </c>
    </row>
    <row r="6" spans="1:37" x14ac:dyDescent="0.2">
      <c r="A6" s="7">
        <v>44991</v>
      </c>
      <c r="B6" s="11"/>
      <c r="C6" s="10"/>
      <c r="D6" s="10">
        <f t="shared" si="0"/>
        <v>0</v>
      </c>
      <c r="E6" s="10" t="e">
        <f t="shared" si="2"/>
        <v>#DIV/0!</v>
      </c>
      <c r="F6" s="39" t="e">
        <f t="shared" si="3"/>
        <v>#DIV/0!</v>
      </c>
      <c r="G6" s="4">
        <v>10</v>
      </c>
      <c r="H6" s="38" t="e">
        <f t="shared" si="4"/>
        <v>#DIV/0!</v>
      </c>
      <c r="J6" s="7">
        <v>44991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0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H6" s="7">
        <v>44991</v>
      </c>
      <c r="AI6" s="11"/>
      <c r="AJ6" s="11"/>
      <c r="AK6" s="13" t="e">
        <f t="shared" si="1"/>
        <v>#DIV/0!</v>
      </c>
    </row>
    <row r="7" spans="1:37" x14ac:dyDescent="0.2">
      <c r="A7" s="7">
        <v>44992</v>
      </c>
      <c r="B7" s="11"/>
      <c r="C7" s="10"/>
      <c r="D7" s="10">
        <f t="shared" si="0"/>
        <v>0</v>
      </c>
      <c r="E7" s="10" t="e">
        <f t="shared" si="2"/>
        <v>#DIV/0!</v>
      </c>
      <c r="F7" s="39" t="e">
        <f t="shared" si="3"/>
        <v>#DIV/0!</v>
      </c>
      <c r="G7" s="4">
        <v>10</v>
      </c>
      <c r="H7" s="38" t="e">
        <f t="shared" si="4"/>
        <v>#DIV/0!</v>
      </c>
      <c r="J7" s="7">
        <v>44992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0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H7" s="7">
        <v>44992</v>
      </c>
      <c r="AI7" s="11"/>
      <c r="AJ7" s="11"/>
      <c r="AK7" s="13" t="e">
        <f t="shared" si="1"/>
        <v>#DIV/0!</v>
      </c>
    </row>
    <row r="8" spans="1:37" x14ac:dyDescent="0.2">
      <c r="A8" s="7">
        <v>44993</v>
      </c>
      <c r="B8" s="11"/>
      <c r="C8" s="10"/>
      <c r="D8" s="10">
        <f t="shared" si="0"/>
        <v>0</v>
      </c>
      <c r="E8" s="10" t="e">
        <f t="shared" si="2"/>
        <v>#DIV/0!</v>
      </c>
      <c r="F8" s="39" t="e">
        <f t="shared" si="3"/>
        <v>#DIV/0!</v>
      </c>
      <c r="G8" s="4">
        <v>10</v>
      </c>
      <c r="H8" s="38" t="e">
        <f t="shared" si="4"/>
        <v>#DIV/0!</v>
      </c>
      <c r="J8" s="7">
        <v>44993</v>
      </c>
      <c r="K8" s="10"/>
      <c r="L8" s="11"/>
      <c r="M8" s="11"/>
      <c r="N8" s="11"/>
      <c r="O8" s="11"/>
      <c r="P8" s="11"/>
      <c r="Q8" s="11"/>
      <c r="R8" s="11"/>
      <c r="S8" s="11"/>
      <c r="T8" s="11"/>
      <c r="U8" s="10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H8" s="7">
        <v>44993</v>
      </c>
      <c r="AI8" s="50"/>
      <c r="AJ8" s="11"/>
      <c r="AK8" s="13" t="e">
        <f t="shared" si="1"/>
        <v>#DIV/0!</v>
      </c>
    </row>
    <row r="9" spans="1:37" x14ac:dyDescent="0.2">
      <c r="A9" s="7">
        <v>44994</v>
      </c>
      <c r="B9" s="11"/>
      <c r="C9" s="10"/>
      <c r="D9" s="10">
        <f t="shared" si="0"/>
        <v>0</v>
      </c>
      <c r="E9" s="10" t="e">
        <f t="shared" si="2"/>
        <v>#DIV/0!</v>
      </c>
      <c r="F9" s="39" t="e">
        <f t="shared" si="3"/>
        <v>#DIV/0!</v>
      </c>
      <c r="G9" s="4">
        <v>10</v>
      </c>
      <c r="H9" s="38" t="e">
        <f t="shared" si="4"/>
        <v>#DIV/0!</v>
      </c>
      <c r="J9" s="7">
        <v>44994</v>
      </c>
      <c r="K9" s="10"/>
      <c r="L9" s="11"/>
      <c r="M9" s="11"/>
      <c r="N9" s="11"/>
      <c r="O9" s="11"/>
      <c r="P9" s="11"/>
      <c r="Q9" s="11"/>
      <c r="R9" s="11"/>
      <c r="S9" s="11"/>
      <c r="T9" s="11"/>
      <c r="U9" s="1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H9" s="7">
        <v>44994</v>
      </c>
      <c r="AI9" s="11"/>
      <c r="AJ9" s="11"/>
      <c r="AK9" s="13" t="e">
        <f t="shared" si="1"/>
        <v>#DIV/0!</v>
      </c>
    </row>
    <row r="10" spans="1:37" x14ac:dyDescent="0.2">
      <c r="A10" s="7">
        <v>44995</v>
      </c>
      <c r="B10" s="11"/>
      <c r="C10" s="10"/>
      <c r="D10" s="10">
        <f t="shared" si="0"/>
        <v>0</v>
      </c>
      <c r="E10" s="10" t="e">
        <f t="shared" si="2"/>
        <v>#DIV/0!</v>
      </c>
      <c r="F10" s="39" t="e">
        <f t="shared" si="3"/>
        <v>#DIV/0!</v>
      </c>
      <c r="G10" s="4">
        <v>10</v>
      </c>
      <c r="H10" s="38" t="e">
        <f t="shared" si="4"/>
        <v>#DIV/0!</v>
      </c>
      <c r="J10" s="7">
        <v>44995</v>
      </c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0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H10" s="7">
        <v>44995</v>
      </c>
      <c r="AI10" s="11"/>
      <c r="AJ10" s="11"/>
      <c r="AK10" s="13" t="e">
        <f t="shared" si="1"/>
        <v>#DIV/0!</v>
      </c>
    </row>
    <row r="11" spans="1:37" x14ac:dyDescent="0.2">
      <c r="A11" s="7">
        <v>44996</v>
      </c>
      <c r="B11" s="11"/>
      <c r="C11" s="10"/>
      <c r="D11" s="10">
        <f t="shared" ref="D11" si="7">SUM(K11:AF11)</f>
        <v>0</v>
      </c>
      <c r="E11" s="10" t="e">
        <f t="shared" ref="E11" si="8">D11/C11</f>
        <v>#DIV/0!</v>
      </c>
      <c r="F11" s="39" t="e">
        <f>E11/4.75</f>
        <v>#DIV/0!</v>
      </c>
      <c r="G11" s="4">
        <v>10</v>
      </c>
      <c r="H11" s="38" t="e">
        <f t="shared" si="4"/>
        <v>#DIV/0!</v>
      </c>
      <c r="J11" s="7">
        <v>44996</v>
      </c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0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H11" s="7">
        <v>44996</v>
      </c>
      <c r="AI11" s="11"/>
      <c r="AJ11" s="11"/>
      <c r="AK11" s="13" t="e">
        <f t="shared" si="1"/>
        <v>#DIV/0!</v>
      </c>
    </row>
    <row r="12" spans="1:37" x14ac:dyDescent="0.2">
      <c r="A12" s="7">
        <v>44998</v>
      </c>
      <c r="B12" s="11"/>
      <c r="C12" s="10"/>
      <c r="D12" s="10">
        <f t="shared" si="0"/>
        <v>0</v>
      </c>
      <c r="E12" s="10" t="e">
        <f t="shared" si="2"/>
        <v>#DIV/0!</v>
      </c>
      <c r="F12" s="39" t="e">
        <f t="shared" si="3"/>
        <v>#DIV/0!</v>
      </c>
      <c r="G12" s="4">
        <v>10</v>
      </c>
      <c r="H12" s="38" t="e">
        <f t="shared" si="4"/>
        <v>#DIV/0!</v>
      </c>
      <c r="J12" s="7">
        <v>44998</v>
      </c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H12" s="7">
        <v>44998</v>
      </c>
      <c r="AI12" s="11"/>
      <c r="AJ12" s="11"/>
      <c r="AK12" s="13" t="e">
        <f t="shared" si="1"/>
        <v>#DIV/0!</v>
      </c>
    </row>
    <row r="13" spans="1:37" x14ac:dyDescent="0.2">
      <c r="A13" s="7">
        <v>44999</v>
      </c>
      <c r="B13" s="11"/>
      <c r="C13" s="10"/>
      <c r="D13" s="10">
        <f t="shared" si="0"/>
        <v>0</v>
      </c>
      <c r="E13" s="10" t="e">
        <f t="shared" si="2"/>
        <v>#DIV/0!</v>
      </c>
      <c r="F13" s="39" t="e">
        <f t="shared" si="3"/>
        <v>#DIV/0!</v>
      </c>
      <c r="G13" s="4">
        <v>10</v>
      </c>
      <c r="H13" s="38" t="e">
        <f t="shared" si="4"/>
        <v>#DIV/0!</v>
      </c>
      <c r="J13" s="7">
        <v>44999</v>
      </c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0"/>
      <c r="V13" s="11"/>
      <c r="W13" s="11"/>
      <c r="X13" s="11"/>
      <c r="Y13" s="11"/>
      <c r="Z13" s="11"/>
      <c r="AA13" s="50"/>
      <c r="AB13" s="11"/>
      <c r="AC13" s="11"/>
      <c r="AD13" s="11"/>
      <c r="AE13" s="11"/>
      <c r="AF13" s="11"/>
      <c r="AH13" s="7">
        <v>44999</v>
      </c>
      <c r="AI13" s="11"/>
      <c r="AJ13" s="11"/>
      <c r="AK13" s="13" t="e">
        <f t="shared" si="1"/>
        <v>#DIV/0!</v>
      </c>
    </row>
    <row r="14" spans="1:37" x14ac:dyDescent="0.2">
      <c r="A14" s="7">
        <v>45000</v>
      </c>
      <c r="B14" s="11"/>
      <c r="C14" s="10"/>
      <c r="D14" s="10">
        <f t="shared" si="0"/>
        <v>0</v>
      </c>
      <c r="E14" s="10" t="e">
        <f t="shared" si="2"/>
        <v>#DIV/0!</v>
      </c>
      <c r="F14" s="39" t="e">
        <f t="shared" si="3"/>
        <v>#DIV/0!</v>
      </c>
      <c r="G14" s="4">
        <v>10</v>
      </c>
      <c r="H14" s="38" t="e">
        <f t="shared" si="4"/>
        <v>#DIV/0!</v>
      </c>
      <c r="J14" s="7">
        <v>45000</v>
      </c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H14" s="7">
        <v>45000</v>
      </c>
      <c r="AI14" s="11"/>
      <c r="AJ14" s="11"/>
      <c r="AK14" s="13" t="e">
        <f t="shared" si="1"/>
        <v>#DIV/0!</v>
      </c>
    </row>
    <row r="15" spans="1:37" x14ac:dyDescent="0.2">
      <c r="A15" s="7">
        <v>45001</v>
      </c>
      <c r="B15" s="11"/>
      <c r="C15" s="10"/>
      <c r="D15" s="10">
        <f t="shared" si="0"/>
        <v>0</v>
      </c>
      <c r="E15" s="10" t="e">
        <f t="shared" si="2"/>
        <v>#DIV/0!</v>
      </c>
      <c r="F15" s="39" t="e">
        <f t="shared" si="3"/>
        <v>#DIV/0!</v>
      </c>
      <c r="G15" s="4">
        <v>10</v>
      </c>
      <c r="H15" s="38" t="e">
        <f t="shared" si="4"/>
        <v>#DIV/0!</v>
      </c>
      <c r="J15" s="7">
        <v>45001</v>
      </c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H15" s="7">
        <v>45001</v>
      </c>
      <c r="AI15" s="51"/>
      <c r="AJ15" s="11"/>
      <c r="AK15" s="13" t="e">
        <f t="shared" si="1"/>
        <v>#DIV/0!</v>
      </c>
    </row>
    <row r="16" spans="1:37" x14ac:dyDescent="0.2">
      <c r="A16" s="7">
        <v>45002</v>
      </c>
      <c r="B16" s="11"/>
      <c r="C16" s="10"/>
      <c r="D16" s="10">
        <f t="shared" si="0"/>
        <v>0</v>
      </c>
      <c r="E16" s="10" t="e">
        <f t="shared" si="2"/>
        <v>#DIV/0!</v>
      </c>
      <c r="F16" s="39" t="e">
        <f t="shared" si="3"/>
        <v>#DIV/0!</v>
      </c>
      <c r="G16" s="4">
        <v>10</v>
      </c>
      <c r="H16" s="38" t="e">
        <f t="shared" si="4"/>
        <v>#DIV/0!</v>
      </c>
      <c r="J16" s="7">
        <v>45002</v>
      </c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0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H16" s="7">
        <v>45002</v>
      </c>
      <c r="AI16" s="11"/>
      <c r="AJ16" s="11"/>
      <c r="AK16" s="13" t="e">
        <f t="shared" si="1"/>
        <v>#DIV/0!</v>
      </c>
    </row>
    <row r="17" spans="1:37" x14ac:dyDescent="0.2">
      <c r="A17" s="7">
        <v>45005</v>
      </c>
      <c r="B17" s="11"/>
      <c r="C17" s="10"/>
      <c r="D17" s="10">
        <f t="shared" si="0"/>
        <v>0</v>
      </c>
      <c r="E17" s="10" t="e">
        <f t="shared" si="2"/>
        <v>#DIV/0!</v>
      </c>
      <c r="F17" s="39" t="e">
        <f t="shared" si="3"/>
        <v>#DIV/0!</v>
      </c>
      <c r="G17" s="4">
        <v>10</v>
      </c>
      <c r="H17" s="38" t="e">
        <f t="shared" si="4"/>
        <v>#DIV/0!</v>
      </c>
      <c r="J17" s="7">
        <v>45005</v>
      </c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0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H17" s="7">
        <v>45005</v>
      </c>
      <c r="AI17" s="11"/>
      <c r="AJ17" s="11"/>
      <c r="AK17" s="13" t="e">
        <f t="shared" si="1"/>
        <v>#DIV/0!</v>
      </c>
    </row>
    <row r="18" spans="1:37" x14ac:dyDescent="0.2">
      <c r="A18" s="7">
        <v>45006</v>
      </c>
      <c r="B18" s="11"/>
      <c r="C18" s="10"/>
      <c r="D18" s="10">
        <f t="shared" si="0"/>
        <v>0</v>
      </c>
      <c r="E18" s="10" t="e">
        <f t="shared" si="2"/>
        <v>#DIV/0!</v>
      </c>
      <c r="F18" s="39" t="e">
        <f t="shared" si="3"/>
        <v>#DIV/0!</v>
      </c>
      <c r="G18" s="4">
        <v>10</v>
      </c>
      <c r="H18" s="38" t="e">
        <f t="shared" si="4"/>
        <v>#DIV/0!</v>
      </c>
      <c r="J18" s="7">
        <v>45006</v>
      </c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0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H18" s="7">
        <v>45006</v>
      </c>
      <c r="AI18" s="11"/>
      <c r="AJ18" s="11"/>
      <c r="AK18" s="13" t="e">
        <f t="shared" si="1"/>
        <v>#DIV/0!</v>
      </c>
    </row>
    <row r="19" spans="1:37" x14ac:dyDescent="0.2">
      <c r="A19" s="7">
        <v>45007</v>
      </c>
      <c r="B19" s="11"/>
      <c r="C19" s="10"/>
      <c r="D19" s="10">
        <f t="shared" si="0"/>
        <v>0</v>
      </c>
      <c r="E19" s="10" t="e">
        <f t="shared" si="2"/>
        <v>#DIV/0!</v>
      </c>
      <c r="F19" s="39" t="e">
        <f t="shared" si="3"/>
        <v>#DIV/0!</v>
      </c>
      <c r="G19" s="4">
        <v>10</v>
      </c>
      <c r="H19" s="38" t="e">
        <f t="shared" si="4"/>
        <v>#DIV/0!</v>
      </c>
      <c r="J19" s="7">
        <v>45007</v>
      </c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0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H19" s="7">
        <v>45007</v>
      </c>
      <c r="AI19" s="11"/>
      <c r="AJ19" s="11"/>
      <c r="AK19" s="13" t="e">
        <f t="shared" si="1"/>
        <v>#DIV/0!</v>
      </c>
    </row>
    <row r="20" spans="1:37" x14ac:dyDescent="0.2">
      <c r="A20" s="7">
        <v>45008</v>
      </c>
      <c r="B20" s="11"/>
      <c r="C20" s="10"/>
      <c r="D20" s="10">
        <f t="shared" si="0"/>
        <v>0</v>
      </c>
      <c r="E20" s="10" t="e">
        <f t="shared" si="2"/>
        <v>#DIV/0!</v>
      </c>
      <c r="F20" s="39" t="e">
        <f t="shared" si="3"/>
        <v>#DIV/0!</v>
      </c>
      <c r="G20" s="4">
        <v>10</v>
      </c>
      <c r="H20" s="38" t="e">
        <f t="shared" si="4"/>
        <v>#DIV/0!</v>
      </c>
      <c r="J20" s="7">
        <v>45008</v>
      </c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0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H20" s="7">
        <v>45008</v>
      </c>
      <c r="AI20" s="11"/>
      <c r="AJ20" s="11"/>
      <c r="AK20" s="13" t="e">
        <f t="shared" si="1"/>
        <v>#DIV/0!</v>
      </c>
    </row>
    <row r="21" spans="1:37" x14ac:dyDescent="0.2">
      <c r="A21" s="7">
        <v>45009</v>
      </c>
      <c r="B21" s="11"/>
      <c r="C21" s="10"/>
      <c r="D21" s="10">
        <f t="shared" si="0"/>
        <v>0</v>
      </c>
      <c r="E21" s="10" t="e">
        <f t="shared" si="2"/>
        <v>#DIV/0!</v>
      </c>
      <c r="F21" s="39" t="e">
        <f t="shared" si="3"/>
        <v>#DIV/0!</v>
      </c>
      <c r="G21" s="4">
        <v>10</v>
      </c>
      <c r="H21" s="38" t="e">
        <f t="shared" si="4"/>
        <v>#DIV/0!</v>
      </c>
      <c r="J21" s="7">
        <v>45009</v>
      </c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0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H21" s="7">
        <v>45009</v>
      </c>
      <c r="AI21" s="11"/>
      <c r="AJ21" s="11"/>
      <c r="AK21" s="13" t="e">
        <f t="shared" si="1"/>
        <v>#DIV/0!</v>
      </c>
    </row>
    <row r="22" spans="1:37" x14ac:dyDescent="0.2">
      <c r="A22" s="7">
        <v>45010</v>
      </c>
      <c r="B22" s="11"/>
      <c r="C22" s="10"/>
      <c r="D22" s="10">
        <f t="shared" ref="D22" si="9">SUM(K22:AF22)</f>
        <v>0</v>
      </c>
      <c r="E22" s="10" t="e">
        <f t="shared" ref="E22" si="10">D22/C22</f>
        <v>#DIV/0!</v>
      </c>
      <c r="F22" s="39" t="e">
        <f t="shared" ref="F22" si="11">E22/8.5</f>
        <v>#DIV/0!</v>
      </c>
      <c r="G22" s="4">
        <v>11</v>
      </c>
      <c r="H22" s="38" t="e">
        <f t="shared" ref="H22" si="12">F22/G22</f>
        <v>#DIV/0!</v>
      </c>
      <c r="J22" s="7">
        <v>45010</v>
      </c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0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H22" s="7">
        <v>45010</v>
      </c>
      <c r="AI22" s="11"/>
      <c r="AJ22" s="11"/>
      <c r="AK22" s="13" t="e">
        <f t="shared" ref="AK22" si="13">(D22-AI22-AJ22)/D22</f>
        <v>#DIV/0!</v>
      </c>
    </row>
    <row r="23" spans="1:37" x14ac:dyDescent="0.2">
      <c r="A23" s="7">
        <v>45012</v>
      </c>
      <c r="B23" s="11"/>
      <c r="C23" s="10"/>
      <c r="D23" s="10">
        <f t="shared" si="0"/>
        <v>0</v>
      </c>
      <c r="E23" s="10" t="e">
        <f t="shared" si="2"/>
        <v>#DIV/0!</v>
      </c>
      <c r="F23" s="39" t="e">
        <f t="shared" si="3"/>
        <v>#DIV/0!</v>
      </c>
      <c r="G23" s="4">
        <v>10</v>
      </c>
      <c r="H23" s="38" t="e">
        <f t="shared" si="4"/>
        <v>#DIV/0!</v>
      </c>
      <c r="J23" s="7">
        <v>45012</v>
      </c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0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H23" s="7">
        <v>45012</v>
      </c>
      <c r="AI23" s="11"/>
      <c r="AJ23" s="11"/>
      <c r="AK23" s="13" t="e">
        <f t="shared" si="1"/>
        <v>#DIV/0!</v>
      </c>
    </row>
    <row r="24" spans="1:37" x14ac:dyDescent="0.2">
      <c r="A24" s="7">
        <v>45013</v>
      </c>
      <c r="B24" s="11"/>
      <c r="C24" s="10"/>
      <c r="D24" s="10">
        <f t="shared" si="0"/>
        <v>0</v>
      </c>
      <c r="E24" s="10" t="e">
        <f t="shared" si="2"/>
        <v>#DIV/0!</v>
      </c>
      <c r="F24" s="39" t="e">
        <f t="shared" si="3"/>
        <v>#DIV/0!</v>
      </c>
      <c r="G24" s="4">
        <v>10</v>
      </c>
      <c r="H24" s="38" t="e">
        <f t="shared" si="4"/>
        <v>#DIV/0!</v>
      </c>
      <c r="J24" s="7">
        <v>45013</v>
      </c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0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H24" s="7">
        <v>45013</v>
      </c>
      <c r="AI24" s="11"/>
      <c r="AJ24" s="11"/>
      <c r="AK24" s="13" t="e">
        <f t="shared" si="1"/>
        <v>#DIV/0!</v>
      </c>
    </row>
    <row r="25" spans="1:37" x14ac:dyDescent="0.2">
      <c r="A25" s="7">
        <v>45014</v>
      </c>
      <c r="B25" s="11"/>
      <c r="C25" s="10"/>
      <c r="D25" s="10">
        <f t="shared" si="0"/>
        <v>0</v>
      </c>
      <c r="E25" s="10" t="e">
        <f t="shared" si="2"/>
        <v>#DIV/0!</v>
      </c>
      <c r="F25" s="39" t="e">
        <f t="shared" si="3"/>
        <v>#DIV/0!</v>
      </c>
      <c r="G25" s="4">
        <v>10</v>
      </c>
      <c r="H25" s="38" t="e">
        <f t="shared" si="4"/>
        <v>#DIV/0!</v>
      </c>
      <c r="J25" s="7">
        <v>45014</v>
      </c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0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H25" s="7">
        <v>45014</v>
      </c>
      <c r="AI25" s="11"/>
      <c r="AJ25" s="11"/>
      <c r="AK25" s="13" t="e">
        <f t="shared" si="1"/>
        <v>#DIV/0!</v>
      </c>
    </row>
    <row r="26" spans="1:37" x14ac:dyDescent="0.2">
      <c r="A26" s="7">
        <v>45015</v>
      </c>
      <c r="B26" s="11"/>
      <c r="C26" s="10"/>
      <c r="D26" s="10">
        <f t="shared" si="0"/>
        <v>0</v>
      </c>
      <c r="E26" s="10" t="e">
        <f t="shared" ref="E26" si="14">D26/C26</f>
        <v>#DIV/0!</v>
      </c>
      <c r="F26" s="39" t="e">
        <f t="shared" si="3"/>
        <v>#DIV/0!</v>
      </c>
      <c r="G26" s="4">
        <v>10</v>
      </c>
      <c r="H26" s="38" t="e">
        <f t="shared" si="4"/>
        <v>#DIV/0!</v>
      </c>
      <c r="J26" s="7">
        <v>45015</v>
      </c>
      <c r="K26" s="10"/>
      <c r="L26" s="11"/>
      <c r="M26" s="11"/>
      <c r="N26" s="11"/>
      <c r="O26" s="11"/>
      <c r="P26" s="11"/>
      <c r="Q26" s="11"/>
      <c r="R26" s="11"/>
      <c r="S26" s="11"/>
      <c r="T26" s="11"/>
      <c r="U26" s="10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H26" s="7">
        <v>45015</v>
      </c>
      <c r="AI26" s="11"/>
      <c r="AJ26" s="11"/>
      <c r="AK26" s="13" t="e">
        <f t="shared" si="1"/>
        <v>#DIV/0!</v>
      </c>
    </row>
    <row r="27" spans="1:37" x14ac:dyDescent="0.2">
      <c r="A27" s="7">
        <v>45016</v>
      </c>
      <c r="B27" s="11"/>
      <c r="C27" s="10"/>
      <c r="D27" s="10">
        <f t="shared" si="0"/>
        <v>0</v>
      </c>
      <c r="E27" s="10" t="e">
        <f t="shared" si="2"/>
        <v>#DIV/0!</v>
      </c>
      <c r="F27" s="39" t="e">
        <f t="shared" si="3"/>
        <v>#DIV/0!</v>
      </c>
      <c r="G27" s="4">
        <v>10</v>
      </c>
      <c r="H27" s="38" t="e">
        <f t="shared" si="4"/>
        <v>#DIV/0!</v>
      </c>
      <c r="J27" s="7">
        <v>45016</v>
      </c>
      <c r="K27" s="10"/>
      <c r="L27" s="11"/>
      <c r="M27" s="11"/>
      <c r="N27" s="11"/>
      <c r="O27" s="11"/>
      <c r="P27" s="11"/>
      <c r="Q27" s="11"/>
      <c r="R27" s="11"/>
      <c r="S27" s="11"/>
      <c r="T27" s="11"/>
      <c r="U27" s="10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H27" s="7">
        <v>45016</v>
      </c>
      <c r="AI27" s="11"/>
      <c r="AJ27" s="11"/>
      <c r="AK27" s="13" t="e">
        <f t="shared" si="1"/>
        <v>#DIV/0!</v>
      </c>
    </row>
    <row r="28" spans="1:37" x14ac:dyDescent="0.2">
      <c r="A28" s="7" t="s">
        <v>9</v>
      </c>
      <c r="B28" s="11" t="e">
        <f>AVERAGE(B2:B27)</f>
        <v>#DIV/0!</v>
      </c>
      <c r="C28" s="10"/>
      <c r="D28" s="10">
        <f>AVERAGE(D2:D27)</f>
        <v>0</v>
      </c>
      <c r="E28" s="10" t="e">
        <f>AVERAGE(E2:E27)</f>
        <v>#DIV/0!</v>
      </c>
      <c r="F28" s="39" t="e">
        <f t="shared" si="3"/>
        <v>#DIV/0!</v>
      </c>
      <c r="G28" s="4">
        <v>10</v>
      </c>
      <c r="H28" s="38" t="e">
        <f t="shared" si="4"/>
        <v>#DIV/0!</v>
      </c>
      <c r="J28" s="8" t="s">
        <v>9</v>
      </c>
      <c r="K28" s="11" t="e">
        <f t="shared" ref="K28" si="15">AVERAGE(K2:K27)</f>
        <v>#DIV/0!</v>
      </c>
      <c r="L28" s="11" t="e">
        <f>AVERAGE(L2:L27)</f>
        <v>#DIV/0!</v>
      </c>
      <c r="M28" s="11" t="e">
        <f t="shared" ref="M28:AF28" si="16">AVERAGE(M2:M27)</f>
        <v>#DIV/0!</v>
      </c>
      <c r="N28" s="11" t="e">
        <f t="shared" si="16"/>
        <v>#DIV/0!</v>
      </c>
      <c r="O28" s="11" t="e">
        <f t="shared" si="16"/>
        <v>#DIV/0!</v>
      </c>
      <c r="P28" s="11" t="e">
        <f t="shared" si="16"/>
        <v>#DIV/0!</v>
      </c>
      <c r="Q28" s="11" t="e">
        <f t="shared" si="16"/>
        <v>#DIV/0!</v>
      </c>
      <c r="R28" s="11" t="e">
        <f t="shared" si="16"/>
        <v>#DIV/0!</v>
      </c>
      <c r="S28" s="11" t="e">
        <f t="shared" si="16"/>
        <v>#DIV/0!</v>
      </c>
      <c r="T28" s="11" t="e">
        <f t="shared" si="16"/>
        <v>#DIV/0!</v>
      </c>
      <c r="U28" s="11" t="e">
        <f t="shared" si="16"/>
        <v>#DIV/0!</v>
      </c>
      <c r="V28" s="11" t="e">
        <f>AVERAGE(V2:V27)</f>
        <v>#DIV/0!</v>
      </c>
      <c r="W28" s="11" t="e">
        <f t="shared" ref="W28:AD28" si="17">AVERAGE(W2:W27)</f>
        <v>#DIV/0!</v>
      </c>
      <c r="X28" s="11" t="e">
        <f t="shared" si="17"/>
        <v>#DIV/0!</v>
      </c>
      <c r="Y28" s="11" t="e">
        <f t="shared" si="17"/>
        <v>#DIV/0!</v>
      </c>
      <c r="Z28" s="11" t="e">
        <f t="shared" si="17"/>
        <v>#DIV/0!</v>
      </c>
      <c r="AA28" s="11" t="e">
        <f t="shared" si="17"/>
        <v>#DIV/0!</v>
      </c>
      <c r="AB28" s="11" t="e">
        <f t="shared" si="17"/>
        <v>#DIV/0!</v>
      </c>
      <c r="AC28" s="11" t="e">
        <f t="shared" si="17"/>
        <v>#DIV/0!</v>
      </c>
      <c r="AD28" s="11" t="e">
        <f t="shared" si="17"/>
        <v>#DIV/0!</v>
      </c>
      <c r="AE28" s="11" t="e">
        <f t="shared" si="16"/>
        <v>#DIV/0!</v>
      </c>
      <c r="AF28" s="11" t="e">
        <f t="shared" si="16"/>
        <v>#DIV/0!</v>
      </c>
      <c r="AH28" s="8" t="s">
        <v>9</v>
      </c>
      <c r="AI28" s="11" t="e">
        <f t="shared" ref="AI28:AK28" si="18">AVERAGE(AI2:AI27)</f>
        <v>#DIV/0!</v>
      </c>
      <c r="AJ28" s="11" t="e">
        <f t="shared" si="18"/>
        <v>#DIV/0!</v>
      </c>
      <c r="AK28" s="13" t="e">
        <f t="shared" si="18"/>
        <v>#DIV/0!</v>
      </c>
    </row>
    <row r="29" spans="1:37" x14ac:dyDescent="0.2">
      <c r="A29" s="3"/>
      <c r="C29" s="2"/>
      <c r="D29" s="2"/>
      <c r="E29" s="4"/>
      <c r="F29" s="4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684E-AFAC-4B4F-A6C3-4DCB67003200}">
  <dimension ref="A1:X25"/>
  <sheetViews>
    <sheetView workbookViewId="0">
      <selection activeCell="AA9" sqref="AA9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7" width="9.140625" style="1"/>
    <col min="8" max="8" width="11.28515625" style="1" customWidth="1"/>
    <col min="9" max="9" width="5.5703125" style="1" customWidth="1"/>
    <col min="10" max="21" width="9.140625" style="1"/>
    <col min="22" max="24" width="11.140625" style="1" customWidth="1"/>
    <col min="25" max="16384" width="9.140625" style="1"/>
  </cols>
  <sheetData>
    <row r="1" spans="1:24" ht="30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6" t="s">
        <v>4</v>
      </c>
      <c r="L1" s="6" t="s">
        <v>41</v>
      </c>
      <c r="M1" s="6" t="s">
        <v>18</v>
      </c>
      <c r="N1" s="6" t="s">
        <v>6</v>
      </c>
      <c r="O1" s="6" t="s">
        <v>5</v>
      </c>
      <c r="P1" s="6" t="s">
        <v>7</v>
      </c>
      <c r="Q1" s="6" t="s">
        <v>8</v>
      </c>
      <c r="R1" s="6" t="s">
        <v>54</v>
      </c>
      <c r="S1" s="6"/>
      <c r="U1" s="5" t="s">
        <v>0</v>
      </c>
      <c r="V1" s="12" t="s">
        <v>10</v>
      </c>
      <c r="W1" s="12" t="s">
        <v>11</v>
      </c>
      <c r="X1" s="12" t="s">
        <v>12</v>
      </c>
    </row>
    <row r="2" spans="1:24" x14ac:dyDescent="0.2">
      <c r="A2" s="7">
        <v>45019</v>
      </c>
      <c r="B2" s="11"/>
      <c r="C2" s="10"/>
      <c r="D2" s="10">
        <f t="shared" ref="D2:D20" si="0">SUM(K2:S2)</f>
        <v>0</v>
      </c>
      <c r="E2" s="10" t="e">
        <f>D2/C2</f>
        <v>#DIV/0!</v>
      </c>
      <c r="F2" s="10" t="e">
        <f>E2/8.5</f>
        <v>#DIV/0!</v>
      </c>
      <c r="G2" s="4">
        <v>10</v>
      </c>
      <c r="H2" s="38" t="e">
        <f>F2/G2</f>
        <v>#DIV/0!</v>
      </c>
      <c r="J2" s="7">
        <v>45019</v>
      </c>
      <c r="K2" s="10"/>
      <c r="L2" s="11"/>
      <c r="M2" s="11"/>
      <c r="N2" s="11"/>
      <c r="O2" s="11"/>
      <c r="P2" s="11"/>
      <c r="Q2" s="11"/>
      <c r="R2" s="11"/>
      <c r="S2" s="11"/>
      <c r="U2" s="7">
        <v>45019</v>
      </c>
      <c r="V2" s="11"/>
      <c r="W2" s="11"/>
      <c r="X2" s="13" t="e">
        <f t="shared" ref="X2:X20" si="1">(D2-V2-W2)/D2</f>
        <v>#DIV/0!</v>
      </c>
    </row>
    <row r="3" spans="1:24" x14ac:dyDescent="0.2">
      <c r="A3" s="7">
        <v>45020</v>
      </c>
      <c r="B3" s="11"/>
      <c r="C3" s="10"/>
      <c r="D3" s="10">
        <f t="shared" si="0"/>
        <v>0</v>
      </c>
      <c r="E3" s="10" t="e">
        <f t="shared" ref="E3:E20" si="2">D3/C3</f>
        <v>#DIV/0!</v>
      </c>
      <c r="F3" s="10" t="e">
        <f t="shared" ref="F3:F12" si="3">E3/8.5</f>
        <v>#DIV/0!</v>
      </c>
      <c r="G3" s="4">
        <v>10</v>
      </c>
      <c r="H3" s="38" t="e">
        <f t="shared" ref="H3:H21" si="4">F3/G3</f>
        <v>#DIV/0!</v>
      </c>
      <c r="J3" s="7">
        <v>45020</v>
      </c>
      <c r="K3" s="10"/>
      <c r="L3" s="11"/>
      <c r="M3" s="11"/>
      <c r="N3" s="11"/>
      <c r="O3" s="11"/>
      <c r="P3" s="11"/>
      <c r="Q3" s="11"/>
      <c r="R3" s="11"/>
      <c r="S3" s="11"/>
      <c r="U3" s="7">
        <v>45020</v>
      </c>
      <c r="V3" s="11"/>
      <c r="W3" s="11"/>
      <c r="X3" s="13" t="e">
        <f t="shared" si="1"/>
        <v>#DIV/0!</v>
      </c>
    </row>
    <row r="4" spans="1:24" x14ac:dyDescent="0.2">
      <c r="A4" s="7">
        <v>45021</v>
      </c>
      <c r="B4" s="11"/>
      <c r="C4" s="10"/>
      <c r="D4" s="10">
        <f t="shared" si="0"/>
        <v>0</v>
      </c>
      <c r="E4" s="10" t="e">
        <f t="shared" si="2"/>
        <v>#DIV/0!</v>
      </c>
      <c r="F4" s="10" t="e">
        <f t="shared" si="3"/>
        <v>#DIV/0!</v>
      </c>
      <c r="G4" s="4">
        <v>10</v>
      </c>
      <c r="H4" s="38" t="e">
        <f t="shared" si="4"/>
        <v>#DIV/0!</v>
      </c>
      <c r="J4" s="7">
        <v>45021</v>
      </c>
      <c r="K4" s="10"/>
      <c r="L4" s="11"/>
      <c r="M4" s="11"/>
      <c r="N4" s="11"/>
      <c r="O4" s="11"/>
      <c r="P4" s="11"/>
      <c r="Q4" s="11"/>
      <c r="R4" s="11"/>
      <c r="S4" s="11"/>
      <c r="U4" s="7">
        <v>45021</v>
      </c>
      <c r="V4" s="11"/>
      <c r="W4" s="11"/>
      <c r="X4" s="13" t="e">
        <f t="shared" si="1"/>
        <v>#DIV/0!</v>
      </c>
    </row>
    <row r="5" spans="1:24" x14ac:dyDescent="0.2">
      <c r="A5" s="7">
        <v>45022</v>
      </c>
      <c r="B5" s="11"/>
      <c r="C5" s="10"/>
      <c r="D5" s="10">
        <f t="shared" si="0"/>
        <v>0</v>
      </c>
      <c r="E5" s="10" t="e">
        <f t="shared" si="2"/>
        <v>#DIV/0!</v>
      </c>
      <c r="F5" s="10" t="e">
        <f t="shared" si="3"/>
        <v>#DIV/0!</v>
      </c>
      <c r="G5" s="4">
        <v>10</v>
      </c>
      <c r="H5" s="38" t="e">
        <f t="shared" si="4"/>
        <v>#DIV/0!</v>
      </c>
      <c r="J5" s="7">
        <v>45022</v>
      </c>
      <c r="K5" s="10"/>
      <c r="L5" s="11"/>
      <c r="M5" s="11"/>
      <c r="N5" s="11"/>
      <c r="O5" s="11"/>
      <c r="P5" s="11"/>
      <c r="Q5" s="11"/>
      <c r="R5" s="11"/>
      <c r="S5" s="11"/>
      <c r="U5" s="7">
        <v>45022</v>
      </c>
      <c r="V5" s="11"/>
      <c r="W5" s="11"/>
      <c r="X5" s="13" t="e">
        <f t="shared" si="1"/>
        <v>#DIV/0!</v>
      </c>
    </row>
    <row r="6" spans="1:24" x14ac:dyDescent="0.2">
      <c r="A6" s="7">
        <v>45026</v>
      </c>
      <c r="B6" s="11"/>
      <c r="C6" s="10"/>
      <c r="D6" s="10">
        <f t="shared" si="0"/>
        <v>0</v>
      </c>
      <c r="E6" s="10" t="e">
        <f t="shared" si="2"/>
        <v>#DIV/0!</v>
      </c>
      <c r="F6" s="10" t="e">
        <f t="shared" si="3"/>
        <v>#DIV/0!</v>
      </c>
      <c r="G6" s="4">
        <v>10</v>
      </c>
      <c r="H6" s="38" t="e">
        <f t="shared" si="4"/>
        <v>#DIV/0!</v>
      </c>
      <c r="J6" s="7">
        <v>45026</v>
      </c>
      <c r="K6" s="10"/>
      <c r="L6" s="11"/>
      <c r="M6" s="11"/>
      <c r="N6" s="11"/>
      <c r="O6" s="11"/>
      <c r="P6" s="11"/>
      <c r="Q6" s="11"/>
      <c r="R6" s="11"/>
      <c r="S6" s="11"/>
      <c r="U6" s="7">
        <v>45026</v>
      </c>
      <c r="V6" s="11"/>
      <c r="W6" s="11"/>
      <c r="X6" s="13" t="e">
        <f t="shared" si="1"/>
        <v>#DIV/0!</v>
      </c>
    </row>
    <row r="7" spans="1:24" x14ac:dyDescent="0.2">
      <c r="A7" s="7">
        <v>45027</v>
      </c>
      <c r="B7" s="11"/>
      <c r="C7" s="10"/>
      <c r="D7" s="10">
        <f t="shared" si="0"/>
        <v>0</v>
      </c>
      <c r="E7" s="10" t="e">
        <f t="shared" si="2"/>
        <v>#DIV/0!</v>
      </c>
      <c r="F7" s="10" t="e">
        <f t="shared" si="3"/>
        <v>#DIV/0!</v>
      </c>
      <c r="G7" s="4">
        <v>10</v>
      </c>
      <c r="H7" s="38" t="e">
        <f t="shared" si="4"/>
        <v>#DIV/0!</v>
      </c>
      <c r="J7" s="7">
        <v>45027</v>
      </c>
      <c r="K7" s="10"/>
      <c r="L7" s="11"/>
      <c r="M7" s="11"/>
      <c r="N7" s="11"/>
      <c r="O7" s="11"/>
      <c r="P7" s="11"/>
      <c r="Q7" s="11"/>
      <c r="R7" s="11"/>
      <c r="S7" s="11"/>
      <c r="U7" s="7">
        <v>45027</v>
      </c>
      <c r="V7" s="11"/>
      <c r="W7" s="11"/>
      <c r="X7" s="13" t="e">
        <f t="shared" si="1"/>
        <v>#DIV/0!</v>
      </c>
    </row>
    <row r="8" spans="1:24" x14ac:dyDescent="0.2">
      <c r="A8" s="7">
        <v>45028</v>
      </c>
      <c r="B8" s="11"/>
      <c r="C8" s="10"/>
      <c r="D8" s="10">
        <f t="shared" si="0"/>
        <v>0</v>
      </c>
      <c r="E8" s="10" t="e">
        <f t="shared" si="2"/>
        <v>#DIV/0!</v>
      </c>
      <c r="F8" s="10" t="e">
        <f t="shared" si="3"/>
        <v>#DIV/0!</v>
      </c>
      <c r="G8" s="4">
        <v>10</v>
      </c>
      <c r="H8" s="38" t="e">
        <f t="shared" si="4"/>
        <v>#DIV/0!</v>
      </c>
      <c r="J8" s="7">
        <v>45028</v>
      </c>
      <c r="K8" s="10"/>
      <c r="L8" s="11"/>
      <c r="M8" s="11"/>
      <c r="N8" s="11"/>
      <c r="O8" s="11"/>
      <c r="P8" s="11"/>
      <c r="Q8" s="11"/>
      <c r="R8" s="11"/>
      <c r="S8" s="11"/>
      <c r="U8" s="7">
        <v>45028</v>
      </c>
      <c r="V8" s="11"/>
      <c r="W8" s="11"/>
      <c r="X8" s="13" t="e">
        <f t="shared" si="1"/>
        <v>#DIV/0!</v>
      </c>
    </row>
    <row r="9" spans="1:24" x14ac:dyDescent="0.2">
      <c r="A9" s="7">
        <v>45029</v>
      </c>
      <c r="B9" s="11"/>
      <c r="C9" s="10"/>
      <c r="D9" s="10">
        <f t="shared" si="0"/>
        <v>0</v>
      </c>
      <c r="E9" s="10" t="e">
        <f t="shared" si="2"/>
        <v>#DIV/0!</v>
      </c>
      <c r="F9" s="10" t="e">
        <f t="shared" si="3"/>
        <v>#DIV/0!</v>
      </c>
      <c r="G9" s="4">
        <v>10</v>
      </c>
      <c r="H9" s="38" t="e">
        <f t="shared" si="4"/>
        <v>#DIV/0!</v>
      </c>
      <c r="J9" s="7">
        <v>45029</v>
      </c>
      <c r="K9" s="10"/>
      <c r="L9" s="11"/>
      <c r="M9" s="11"/>
      <c r="N9" s="11"/>
      <c r="O9" s="11"/>
      <c r="P9" s="11"/>
      <c r="Q9" s="11"/>
      <c r="R9" s="11"/>
      <c r="S9" s="11"/>
      <c r="U9" s="7">
        <v>45029</v>
      </c>
      <c r="V9" s="11"/>
      <c r="W9" s="11"/>
      <c r="X9" s="13" t="e">
        <f t="shared" si="1"/>
        <v>#DIV/0!</v>
      </c>
    </row>
    <row r="10" spans="1:24" x14ac:dyDescent="0.2">
      <c r="A10" s="7">
        <v>45030</v>
      </c>
      <c r="B10" s="11"/>
      <c r="C10" s="10"/>
      <c r="D10" s="10">
        <f t="shared" si="0"/>
        <v>0</v>
      </c>
      <c r="E10" s="10" t="e">
        <f t="shared" si="2"/>
        <v>#DIV/0!</v>
      </c>
      <c r="F10" s="10" t="e">
        <f t="shared" si="3"/>
        <v>#DIV/0!</v>
      </c>
      <c r="G10" s="4">
        <v>10</v>
      </c>
      <c r="H10" s="38" t="e">
        <f t="shared" si="4"/>
        <v>#DIV/0!</v>
      </c>
      <c r="J10" s="7">
        <v>45030</v>
      </c>
      <c r="K10" s="10"/>
      <c r="L10" s="11"/>
      <c r="M10" s="11"/>
      <c r="N10" s="11"/>
      <c r="O10" s="11"/>
      <c r="P10" s="11"/>
      <c r="Q10" s="11"/>
      <c r="R10" s="11"/>
      <c r="S10" s="11"/>
      <c r="U10" s="7">
        <v>45030</v>
      </c>
      <c r="V10" s="11"/>
      <c r="W10" s="11"/>
      <c r="X10" s="13" t="e">
        <f t="shared" si="1"/>
        <v>#DIV/0!</v>
      </c>
    </row>
    <row r="11" spans="1:24" x14ac:dyDescent="0.2">
      <c r="A11" s="7">
        <v>45033</v>
      </c>
      <c r="B11" s="11"/>
      <c r="C11" s="10"/>
      <c r="D11" s="10">
        <f t="shared" si="0"/>
        <v>0</v>
      </c>
      <c r="E11" s="10" t="e">
        <f t="shared" si="2"/>
        <v>#DIV/0!</v>
      </c>
      <c r="F11" s="10" t="e">
        <f t="shared" si="3"/>
        <v>#DIV/0!</v>
      </c>
      <c r="G11" s="4">
        <v>10</v>
      </c>
      <c r="H11" s="38" t="e">
        <f t="shared" si="4"/>
        <v>#DIV/0!</v>
      </c>
      <c r="J11" s="7">
        <v>45033</v>
      </c>
      <c r="K11" s="10"/>
      <c r="L11" s="11"/>
      <c r="M11" s="11"/>
      <c r="N11" s="11"/>
      <c r="O11" s="11"/>
      <c r="P11" s="11"/>
      <c r="Q11" s="11"/>
      <c r="R11" s="11"/>
      <c r="S11" s="11"/>
      <c r="U11" s="7">
        <v>45033</v>
      </c>
      <c r="V11" s="11"/>
      <c r="W11" s="11"/>
      <c r="X11" s="13" t="e">
        <f t="shared" si="1"/>
        <v>#DIV/0!</v>
      </c>
    </row>
    <row r="12" spans="1:24" x14ac:dyDescent="0.2">
      <c r="A12" s="7">
        <v>45034</v>
      </c>
      <c r="B12" s="11"/>
      <c r="C12" s="10"/>
      <c r="D12" s="10">
        <f t="shared" si="0"/>
        <v>0</v>
      </c>
      <c r="E12" s="10" t="e">
        <f t="shared" si="2"/>
        <v>#DIV/0!</v>
      </c>
      <c r="F12" s="10" t="e">
        <f t="shared" si="3"/>
        <v>#DIV/0!</v>
      </c>
      <c r="G12" s="4">
        <v>10</v>
      </c>
      <c r="H12" s="38" t="e">
        <f t="shared" si="4"/>
        <v>#DIV/0!</v>
      </c>
      <c r="J12" s="7">
        <v>45034</v>
      </c>
      <c r="K12" s="10"/>
      <c r="L12" s="11"/>
      <c r="M12" s="11"/>
      <c r="N12" s="11"/>
      <c r="O12" s="11"/>
      <c r="P12" s="11"/>
      <c r="Q12" s="11"/>
      <c r="R12" s="11"/>
      <c r="S12" s="11"/>
      <c r="U12" s="7">
        <v>45034</v>
      </c>
      <c r="V12" s="11"/>
      <c r="W12" s="11"/>
      <c r="X12" s="13" t="e">
        <f t="shared" si="1"/>
        <v>#DIV/0!</v>
      </c>
    </row>
    <row r="13" spans="1:24" x14ac:dyDescent="0.2">
      <c r="A13" s="7">
        <v>45035</v>
      </c>
      <c r="B13" s="11"/>
      <c r="C13" s="10"/>
      <c r="D13" s="10">
        <f t="shared" si="0"/>
        <v>0</v>
      </c>
      <c r="E13" s="10" t="e">
        <f t="shared" si="2"/>
        <v>#DIV/0!</v>
      </c>
      <c r="F13" s="10" t="e">
        <f>E13/7.5</f>
        <v>#DIV/0!</v>
      </c>
      <c r="G13" s="4">
        <v>10</v>
      </c>
      <c r="H13" s="38" t="e">
        <f t="shared" si="4"/>
        <v>#DIV/0!</v>
      </c>
      <c r="J13" s="7">
        <v>45035</v>
      </c>
      <c r="K13" s="10"/>
      <c r="L13" s="11"/>
      <c r="M13" s="11"/>
      <c r="N13" s="11"/>
      <c r="O13" s="11"/>
      <c r="P13" s="11"/>
      <c r="Q13" s="11"/>
      <c r="R13" s="11"/>
      <c r="S13" s="11"/>
      <c r="U13" s="7">
        <v>45035</v>
      </c>
      <c r="V13" s="11"/>
      <c r="W13" s="11"/>
      <c r="X13" s="13" t="e">
        <f t="shared" si="1"/>
        <v>#DIV/0!</v>
      </c>
    </row>
    <row r="14" spans="1:24" x14ac:dyDescent="0.2">
      <c r="A14" s="7">
        <v>45036</v>
      </c>
      <c r="B14" s="11"/>
      <c r="C14" s="10"/>
      <c r="D14" s="10">
        <f t="shared" si="0"/>
        <v>0</v>
      </c>
      <c r="E14" s="10" t="e">
        <f t="shared" si="2"/>
        <v>#DIV/0!</v>
      </c>
      <c r="F14" s="10" t="e">
        <f t="shared" ref="F14:F21" si="5">E14/7.5</f>
        <v>#DIV/0!</v>
      </c>
      <c r="G14" s="4">
        <v>10</v>
      </c>
      <c r="H14" s="38" t="e">
        <f t="shared" si="4"/>
        <v>#DIV/0!</v>
      </c>
      <c r="J14" s="7">
        <v>45036</v>
      </c>
      <c r="K14" s="10"/>
      <c r="L14" s="11"/>
      <c r="M14" s="11"/>
      <c r="N14" s="11"/>
      <c r="O14" s="11"/>
      <c r="P14" s="11"/>
      <c r="Q14" s="11"/>
      <c r="R14" s="11"/>
      <c r="S14" s="11"/>
      <c r="U14" s="7">
        <v>45036</v>
      </c>
      <c r="V14" s="11"/>
      <c r="W14" s="11"/>
      <c r="X14" s="13" t="e">
        <f t="shared" si="1"/>
        <v>#DIV/0!</v>
      </c>
    </row>
    <row r="15" spans="1:24" x14ac:dyDescent="0.2">
      <c r="A15" s="7">
        <v>45037</v>
      </c>
      <c r="B15" s="11"/>
      <c r="C15" s="10"/>
      <c r="D15" s="10">
        <f t="shared" si="0"/>
        <v>0</v>
      </c>
      <c r="E15" s="10" t="e">
        <f t="shared" ref="E15" si="6">D15/C15</f>
        <v>#DIV/0!</v>
      </c>
      <c r="F15" s="10" t="e">
        <f t="shared" ref="F15" si="7">E15/7.5</f>
        <v>#DIV/0!</v>
      </c>
      <c r="G15" s="4">
        <v>10</v>
      </c>
      <c r="H15" s="38" t="e">
        <f t="shared" si="4"/>
        <v>#DIV/0!</v>
      </c>
      <c r="J15" s="7">
        <v>45037</v>
      </c>
      <c r="K15" s="10"/>
      <c r="L15" s="11"/>
      <c r="M15" s="11"/>
      <c r="N15" s="11"/>
      <c r="O15" s="11"/>
      <c r="P15" s="11"/>
      <c r="Q15" s="11"/>
      <c r="R15" s="11"/>
      <c r="S15" s="11"/>
      <c r="U15" s="7">
        <v>45037</v>
      </c>
      <c r="V15" s="11"/>
      <c r="W15" s="11"/>
      <c r="X15" s="13" t="e">
        <f t="shared" si="1"/>
        <v>#DIV/0!</v>
      </c>
    </row>
    <row r="16" spans="1:24" x14ac:dyDescent="0.2">
      <c r="A16" s="7">
        <v>45040</v>
      </c>
      <c r="C16" s="10"/>
      <c r="D16" s="10">
        <f t="shared" si="0"/>
        <v>0</v>
      </c>
      <c r="E16" s="10" t="e">
        <f t="shared" si="2"/>
        <v>#DIV/0!</v>
      </c>
      <c r="F16" s="10" t="e">
        <f t="shared" si="5"/>
        <v>#DIV/0!</v>
      </c>
      <c r="G16" s="4">
        <v>10</v>
      </c>
      <c r="H16" s="38" t="e">
        <f t="shared" si="4"/>
        <v>#DIV/0!</v>
      </c>
      <c r="J16" s="7">
        <v>45040</v>
      </c>
      <c r="K16" s="10"/>
      <c r="L16" s="11"/>
      <c r="M16" s="11"/>
      <c r="N16" s="11"/>
      <c r="O16" s="11"/>
      <c r="P16" s="11"/>
      <c r="Q16" s="11"/>
      <c r="R16" s="11"/>
      <c r="S16" s="11"/>
      <c r="U16" s="7">
        <v>45040</v>
      </c>
      <c r="V16" s="11"/>
      <c r="W16" s="11"/>
      <c r="X16" s="13" t="e">
        <f t="shared" si="1"/>
        <v>#DIV/0!</v>
      </c>
    </row>
    <row r="17" spans="1:24" x14ac:dyDescent="0.2">
      <c r="A17" s="7">
        <v>45041</v>
      </c>
      <c r="B17" s="11"/>
      <c r="C17" s="10"/>
      <c r="D17" s="10">
        <f t="shared" si="0"/>
        <v>0</v>
      </c>
      <c r="E17" s="10" t="e">
        <f t="shared" si="2"/>
        <v>#DIV/0!</v>
      </c>
      <c r="F17" s="10" t="e">
        <f t="shared" si="5"/>
        <v>#DIV/0!</v>
      </c>
      <c r="G17" s="4">
        <v>10</v>
      </c>
      <c r="H17" s="38" t="e">
        <f t="shared" si="4"/>
        <v>#DIV/0!</v>
      </c>
      <c r="J17" s="7">
        <v>45041</v>
      </c>
      <c r="K17" s="10"/>
      <c r="L17" s="11"/>
      <c r="M17" s="11"/>
      <c r="N17" s="11"/>
      <c r="O17" s="11"/>
      <c r="P17" s="11"/>
      <c r="Q17" s="11"/>
      <c r="R17" s="11"/>
      <c r="S17" s="11"/>
      <c r="U17" s="7">
        <v>45041</v>
      </c>
      <c r="V17" s="11"/>
      <c r="W17" s="11"/>
      <c r="X17" s="13" t="e">
        <f t="shared" si="1"/>
        <v>#DIV/0!</v>
      </c>
    </row>
    <row r="18" spans="1:24" x14ac:dyDescent="0.2">
      <c r="A18" s="7">
        <v>45042</v>
      </c>
      <c r="B18" s="11"/>
      <c r="C18" s="10"/>
      <c r="D18" s="10">
        <f t="shared" si="0"/>
        <v>0</v>
      </c>
      <c r="E18" s="10" t="e">
        <f t="shared" si="2"/>
        <v>#DIV/0!</v>
      </c>
      <c r="F18" s="10" t="e">
        <f t="shared" si="5"/>
        <v>#DIV/0!</v>
      </c>
      <c r="G18" s="4">
        <v>10</v>
      </c>
      <c r="H18" s="38" t="e">
        <f t="shared" si="4"/>
        <v>#DIV/0!</v>
      </c>
      <c r="J18" s="7">
        <v>45042</v>
      </c>
      <c r="K18" s="10"/>
      <c r="L18" s="11"/>
      <c r="M18" s="11"/>
      <c r="N18" s="11"/>
      <c r="O18" s="11"/>
      <c r="P18" s="11"/>
      <c r="Q18" s="11"/>
      <c r="R18" s="11"/>
      <c r="S18" s="11"/>
      <c r="U18" s="7">
        <v>45042</v>
      </c>
      <c r="V18" s="11"/>
      <c r="W18" s="11"/>
      <c r="X18" s="13" t="e">
        <f t="shared" si="1"/>
        <v>#DIV/0!</v>
      </c>
    </row>
    <row r="19" spans="1:24" x14ac:dyDescent="0.2">
      <c r="A19" s="7">
        <v>45043</v>
      </c>
      <c r="B19" s="11"/>
      <c r="C19" s="10"/>
      <c r="D19" s="10">
        <f t="shared" si="0"/>
        <v>0</v>
      </c>
      <c r="E19" s="10" t="e">
        <f t="shared" si="2"/>
        <v>#DIV/0!</v>
      </c>
      <c r="F19" s="10" t="e">
        <f t="shared" si="5"/>
        <v>#DIV/0!</v>
      </c>
      <c r="G19" s="4">
        <v>10</v>
      </c>
      <c r="H19" s="38" t="e">
        <f t="shared" si="4"/>
        <v>#DIV/0!</v>
      </c>
      <c r="J19" s="7">
        <v>45043</v>
      </c>
      <c r="K19" s="10"/>
      <c r="L19" s="11"/>
      <c r="M19" s="11"/>
      <c r="N19" s="11"/>
      <c r="O19" s="11"/>
      <c r="P19" s="11"/>
      <c r="Q19" s="11"/>
      <c r="R19" s="11"/>
      <c r="S19" s="11"/>
      <c r="U19" s="7">
        <v>45043</v>
      </c>
      <c r="V19" s="11"/>
      <c r="W19" s="11"/>
      <c r="X19" s="13" t="e">
        <f t="shared" si="1"/>
        <v>#DIV/0!</v>
      </c>
    </row>
    <row r="20" spans="1:24" x14ac:dyDescent="0.2">
      <c r="A20" s="7">
        <v>45044</v>
      </c>
      <c r="B20" s="11"/>
      <c r="C20" s="10"/>
      <c r="D20" s="10">
        <f t="shared" si="0"/>
        <v>0</v>
      </c>
      <c r="E20" s="10" t="e">
        <f t="shared" si="2"/>
        <v>#DIV/0!</v>
      </c>
      <c r="F20" s="10" t="e">
        <f t="shared" si="5"/>
        <v>#DIV/0!</v>
      </c>
      <c r="G20" s="4">
        <v>10</v>
      </c>
      <c r="H20" s="38" t="e">
        <f t="shared" si="4"/>
        <v>#DIV/0!</v>
      </c>
      <c r="J20" s="7">
        <v>45044</v>
      </c>
      <c r="K20" s="10"/>
      <c r="L20" s="11"/>
      <c r="M20" s="11"/>
      <c r="N20" s="11"/>
      <c r="O20" s="11"/>
      <c r="P20" s="11"/>
      <c r="Q20" s="11"/>
      <c r="R20" s="11"/>
      <c r="S20" s="11"/>
      <c r="U20" s="7">
        <v>45044</v>
      </c>
      <c r="V20" s="11"/>
      <c r="W20" s="11"/>
      <c r="X20" s="13" t="e">
        <f t="shared" si="1"/>
        <v>#DIV/0!</v>
      </c>
    </row>
    <row r="21" spans="1:24" x14ac:dyDescent="0.2">
      <c r="A21" s="7" t="s">
        <v>9</v>
      </c>
      <c r="B21" s="11"/>
      <c r="C21" s="10"/>
      <c r="D21" s="10">
        <f>AVERAGE(D2:D20)</f>
        <v>0</v>
      </c>
      <c r="E21" s="10" t="e">
        <f>AVERAGE(E2:E20)</f>
        <v>#DIV/0!</v>
      </c>
      <c r="F21" s="10" t="e">
        <f t="shared" si="5"/>
        <v>#DIV/0!</v>
      </c>
      <c r="G21" s="4">
        <v>10</v>
      </c>
      <c r="H21" s="38" t="e">
        <f t="shared" si="4"/>
        <v>#DIV/0!</v>
      </c>
      <c r="J21" s="8" t="s">
        <v>9</v>
      </c>
      <c r="K21" s="11" t="e">
        <f t="shared" ref="K21:S21" si="8">AVERAGE(K2:K20)</f>
        <v>#DIV/0!</v>
      </c>
      <c r="L21" s="11" t="e">
        <f t="shared" si="8"/>
        <v>#DIV/0!</v>
      </c>
      <c r="M21" s="11" t="e">
        <f t="shared" si="8"/>
        <v>#DIV/0!</v>
      </c>
      <c r="N21" s="11" t="e">
        <f t="shared" si="8"/>
        <v>#DIV/0!</v>
      </c>
      <c r="O21" s="11" t="e">
        <f t="shared" si="8"/>
        <v>#DIV/0!</v>
      </c>
      <c r="P21" s="11" t="e">
        <f t="shared" si="8"/>
        <v>#DIV/0!</v>
      </c>
      <c r="Q21" s="11" t="e">
        <f t="shared" si="8"/>
        <v>#DIV/0!</v>
      </c>
      <c r="R21" s="11" t="e">
        <f t="shared" si="8"/>
        <v>#DIV/0!</v>
      </c>
      <c r="S21" s="11" t="e">
        <f t="shared" si="8"/>
        <v>#DIV/0!</v>
      </c>
      <c r="U21" s="8" t="s">
        <v>9</v>
      </c>
      <c r="V21" s="11" t="e">
        <f t="shared" ref="V21:X21" si="9">AVERAGE(V2:V20)</f>
        <v>#DIV/0!</v>
      </c>
      <c r="W21" s="11" t="e">
        <f t="shared" si="9"/>
        <v>#DIV/0!</v>
      </c>
      <c r="X21" s="13" t="e">
        <f t="shared" si="9"/>
        <v>#DIV/0!</v>
      </c>
    </row>
    <row r="22" spans="1:24" x14ac:dyDescent="0.2">
      <c r="A22" s="3"/>
      <c r="C22" s="2"/>
      <c r="D22" s="2"/>
      <c r="E22" s="4"/>
      <c r="F22" s="4"/>
      <c r="G22" s="4"/>
      <c r="H22" s="38"/>
    </row>
    <row r="23" spans="1:24" x14ac:dyDescent="0.2">
      <c r="G23" s="4"/>
      <c r="H23" s="38"/>
    </row>
    <row r="24" spans="1:24" x14ac:dyDescent="0.2">
      <c r="G24" s="4"/>
      <c r="H24" s="38"/>
    </row>
    <row r="25" spans="1:24" x14ac:dyDescent="0.2">
      <c r="G25" s="4"/>
      <c r="H25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7D09-217F-4561-A3EC-60EAB60AD4B8}">
  <dimension ref="A1:AB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E16" sqref="AE16"/>
    </sheetView>
  </sheetViews>
  <sheetFormatPr defaultColWidth="9.140625" defaultRowHeight="14.25" x14ac:dyDescent="0.2"/>
  <cols>
    <col min="1" max="1" width="8.5703125" style="1" bestFit="1" customWidth="1"/>
    <col min="2" max="6" width="8.140625" style="1" customWidth="1"/>
    <col min="7" max="8" width="7.42578125" style="1" customWidth="1"/>
    <col min="9" max="9" width="5.28515625" style="1" customWidth="1"/>
    <col min="10" max="10" width="8.5703125" style="1" bestFit="1" customWidth="1"/>
    <col min="11" max="23" width="7.140625" style="1" customWidth="1"/>
    <col min="24" max="24" width="5.7109375" style="1" customWidth="1"/>
    <col min="25" max="25" width="8.5703125" style="1" bestFit="1" customWidth="1"/>
    <col min="26" max="27" width="6.5703125" style="1" bestFit="1" customWidth="1"/>
    <col min="28" max="28" width="7.85546875" style="1" bestFit="1" customWidth="1"/>
    <col min="29" max="16384" width="9.140625" style="1"/>
  </cols>
  <sheetData>
    <row r="1" spans="1:28" ht="73.5" customHeight="1" x14ac:dyDescent="0.2">
      <c r="A1" s="43" t="s">
        <v>0</v>
      </c>
      <c r="B1" s="42" t="s">
        <v>22</v>
      </c>
      <c r="C1" s="43" t="s">
        <v>1</v>
      </c>
      <c r="D1" s="43" t="s">
        <v>2</v>
      </c>
      <c r="E1" s="44" t="s">
        <v>3</v>
      </c>
      <c r="F1" s="44" t="s">
        <v>29</v>
      </c>
      <c r="G1" s="45" t="s">
        <v>31</v>
      </c>
      <c r="H1" s="45" t="s">
        <v>30</v>
      </c>
      <c r="I1" s="53"/>
      <c r="J1" s="43" t="s">
        <v>0</v>
      </c>
      <c r="K1" s="41" t="s">
        <v>33</v>
      </c>
      <c r="L1" s="41" t="s">
        <v>8</v>
      </c>
      <c r="M1" s="41" t="s">
        <v>4</v>
      </c>
      <c r="N1" s="41" t="s">
        <v>48</v>
      </c>
      <c r="O1" s="41" t="s">
        <v>55</v>
      </c>
      <c r="P1" s="41" t="s">
        <v>21</v>
      </c>
      <c r="Q1" s="41" t="s">
        <v>52</v>
      </c>
      <c r="R1" s="41" t="s">
        <v>54</v>
      </c>
      <c r="S1" s="41" t="s">
        <v>18</v>
      </c>
      <c r="T1" s="41" t="s">
        <v>6</v>
      </c>
      <c r="U1" s="41" t="s">
        <v>7</v>
      </c>
      <c r="V1" s="41"/>
      <c r="W1" s="41"/>
      <c r="X1" s="53"/>
      <c r="Y1" s="43" t="s">
        <v>0</v>
      </c>
      <c r="Z1" s="42" t="s">
        <v>10</v>
      </c>
      <c r="AA1" s="42" t="s">
        <v>11</v>
      </c>
      <c r="AB1" s="42" t="s">
        <v>12</v>
      </c>
    </row>
    <row r="2" spans="1:28" x14ac:dyDescent="0.2">
      <c r="A2" s="7">
        <v>45047</v>
      </c>
      <c r="B2" s="11"/>
      <c r="C2" s="10"/>
      <c r="D2" s="10">
        <f t="shared" ref="D2:D23" si="0">SUM(L2:W2)</f>
        <v>0</v>
      </c>
      <c r="E2" s="10" t="e">
        <f>D2/C2</f>
        <v>#DIV/0!</v>
      </c>
      <c r="F2" s="39" t="e">
        <f>E2/7.5</f>
        <v>#DIV/0!</v>
      </c>
      <c r="G2" s="4">
        <v>10</v>
      </c>
      <c r="H2" s="38" t="e">
        <f>F2/G2</f>
        <v>#DIV/0!</v>
      </c>
      <c r="J2" s="7">
        <v>45047</v>
      </c>
      <c r="K2" s="11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Y2" s="7">
        <v>45047</v>
      </c>
      <c r="Z2" s="11"/>
      <c r="AA2" s="11"/>
      <c r="AB2" s="13" t="e">
        <f t="shared" ref="AB2:AB23" si="1">(D2-Z2-AA2)/D2</f>
        <v>#DIV/0!</v>
      </c>
    </row>
    <row r="3" spans="1:28" x14ac:dyDescent="0.2">
      <c r="A3" s="7">
        <v>45048</v>
      </c>
      <c r="B3" s="11"/>
      <c r="C3" s="10"/>
      <c r="D3" s="10">
        <f t="shared" si="0"/>
        <v>0</v>
      </c>
      <c r="E3" s="10" t="e">
        <f t="shared" ref="E3:E23" si="2">D3/C3</f>
        <v>#DIV/0!</v>
      </c>
      <c r="F3" s="39" t="e">
        <f t="shared" ref="F3:F24" si="3">E3/7.5</f>
        <v>#DIV/0!</v>
      </c>
      <c r="G3" s="4">
        <v>10</v>
      </c>
      <c r="H3" s="38" t="e">
        <f t="shared" ref="H3:H24" si="4">F3/G3</f>
        <v>#DIV/0!</v>
      </c>
      <c r="J3" s="7">
        <v>45048</v>
      </c>
      <c r="K3" s="11"/>
      <c r="L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Y3" s="7">
        <v>45048</v>
      </c>
      <c r="Z3" s="11"/>
      <c r="AA3" s="11"/>
      <c r="AB3" s="13" t="e">
        <f t="shared" si="1"/>
        <v>#DIV/0!</v>
      </c>
    </row>
    <row r="4" spans="1:28" x14ac:dyDescent="0.2">
      <c r="A4" s="7">
        <v>45049</v>
      </c>
      <c r="B4" s="11"/>
      <c r="C4" s="10"/>
      <c r="D4" s="10">
        <f t="shared" si="0"/>
        <v>0</v>
      </c>
      <c r="E4" s="10" t="e">
        <f t="shared" si="2"/>
        <v>#DIV/0!</v>
      </c>
      <c r="F4" s="39" t="e">
        <f t="shared" si="3"/>
        <v>#DIV/0!</v>
      </c>
      <c r="G4" s="4">
        <v>10</v>
      </c>
      <c r="H4" s="38" t="e">
        <f t="shared" si="4"/>
        <v>#DIV/0!</v>
      </c>
      <c r="J4" s="7">
        <v>45049</v>
      </c>
      <c r="K4" s="11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Y4" s="7">
        <v>45049</v>
      </c>
      <c r="Z4" s="11"/>
      <c r="AA4" s="11"/>
      <c r="AB4" s="13" t="e">
        <f t="shared" si="1"/>
        <v>#DIV/0!</v>
      </c>
    </row>
    <row r="5" spans="1:28" x14ac:dyDescent="0.2">
      <c r="A5" s="7">
        <v>45050</v>
      </c>
      <c r="B5" s="11"/>
      <c r="C5" s="10"/>
      <c r="D5" s="10">
        <f t="shared" si="0"/>
        <v>0</v>
      </c>
      <c r="E5" s="10" t="e">
        <f t="shared" si="2"/>
        <v>#DIV/0!</v>
      </c>
      <c r="F5" s="39" t="e">
        <f t="shared" si="3"/>
        <v>#DIV/0!</v>
      </c>
      <c r="G5" s="4">
        <v>10</v>
      </c>
      <c r="H5" s="38" t="e">
        <f t="shared" si="4"/>
        <v>#DIV/0!</v>
      </c>
      <c r="J5" s="7">
        <v>45050</v>
      </c>
      <c r="K5" s="11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Y5" s="7">
        <v>45050</v>
      </c>
      <c r="Z5" s="11"/>
      <c r="AA5" s="11"/>
      <c r="AB5" s="13" t="e">
        <f t="shared" si="1"/>
        <v>#DIV/0!</v>
      </c>
    </row>
    <row r="6" spans="1:28" x14ac:dyDescent="0.2">
      <c r="A6" s="7">
        <v>45051</v>
      </c>
      <c r="B6" s="11"/>
      <c r="C6" s="10"/>
      <c r="D6" s="10">
        <f t="shared" si="0"/>
        <v>0</v>
      </c>
      <c r="E6" s="10" t="e">
        <f t="shared" si="2"/>
        <v>#DIV/0!</v>
      </c>
      <c r="F6" s="39" t="e">
        <f t="shared" si="3"/>
        <v>#DIV/0!</v>
      </c>
      <c r="G6" s="4">
        <v>10</v>
      </c>
      <c r="H6" s="38" t="e">
        <f t="shared" si="4"/>
        <v>#DIV/0!</v>
      </c>
      <c r="J6" s="7">
        <v>45051</v>
      </c>
      <c r="K6" s="11"/>
      <c r="L6" s="5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Y6" s="7">
        <v>45051</v>
      </c>
      <c r="Z6" s="11"/>
      <c r="AA6" s="11"/>
      <c r="AB6" s="13" t="e">
        <f t="shared" si="1"/>
        <v>#DIV/0!</v>
      </c>
    </row>
    <row r="7" spans="1:28" x14ac:dyDescent="0.2">
      <c r="A7" s="7">
        <v>45054</v>
      </c>
      <c r="B7" s="11"/>
      <c r="C7" s="10"/>
      <c r="D7" s="10">
        <f t="shared" si="0"/>
        <v>0</v>
      </c>
      <c r="E7" s="10" t="e">
        <f t="shared" si="2"/>
        <v>#DIV/0!</v>
      </c>
      <c r="F7" s="39" t="e">
        <f t="shared" si="3"/>
        <v>#DIV/0!</v>
      </c>
      <c r="G7" s="4">
        <v>10</v>
      </c>
      <c r="H7" s="38" t="e">
        <f t="shared" si="4"/>
        <v>#DIV/0!</v>
      </c>
      <c r="J7" s="7">
        <v>45054</v>
      </c>
      <c r="K7" s="11"/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Y7" s="7">
        <v>45054</v>
      </c>
      <c r="Z7" s="11"/>
      <c r="AA7" s="11"/>
      <c r="AB7" s="13" t="e">
        <f t="shared" si="1"/>
        <v>#DIV/0!</v>
      </c>
    </row>
    <row r="8" spans="1:28" x14ac:dyDescent="0.2">
      <c r="A8" s="7">
        <v>45055</v>
      </c>
      <c r="B8" s="11"/>
      <c r="C8" s="10"/>
      <c r="D8" s="10">
        <f t="shared" si="0"/>
        <v>0</v>
      </c>
      <c r="E8" s="10" t="e">
        <f t="shared" si="2"/>
        <v>#DIV/0!</v>
      </c>
      <c r="F8" s="39" t="e">
        <f t="shared" si="3"/>
        <v>#DIV/0!</v>
      </c>
      <c r="G8" s="4">
        <v>10</v>
      </c>
      <c r="H8" s="38" t="e">
        <f t="shared" si="4"/>
        <v>#DIV/0!</v>
      </c>
      <c r="J8" s="7">
        <v>45055</v>
      </c>
      <c r="K8" s="11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Y8" s="7">
        <v>45055</v>
      </c>
      <c r="Z8" s="11"/>
      <c r="AA8" s="11"/>
      <c r="AB8" s="13" t="e">
        <f t="shared" si="1"/>
        <v>#DIV/0!</v>
      </c>
    </row>
    <row r="9" spans="1:28" x14ac:dyDescent="0.2">
      <c r="A9" s="7">
        <v>45056</v>
      </c>
      <c r="B9" s="11"/>
      <c r="C9" s="10"/>
      <c r="D9" s="10">
        <f t="shared" si="0"/>
        <v>0</v>
      </c>
      <c r="E9" s="10" t="e">
        <f t="shared" si="2"/>
        <v>#DIV/0!</v>
      </c>
      <c r="F9" s="39" t="e">
        <f t="shared" si="3"/>
        <v>#DIV/0!</v>
      </c>
      <c r="G9" s="4">
        <v>10</v>
      </c>
      <c r="H9" s="38" t="e">
        <f t="shared" si="4"/>
        <v>#DIV/0!</v>
      </c>
      <c r="J9" s="7">
        <v>45056</v>
      </c>
      <c r="K9" s="11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Y9" s="7">
        <v>45056</v>
      </c>
      <c r="Z9" s="11"/>
      <c r="AA9" s="11"/>
      <c r="AB9" s="13" t="e">
        <f t="shared" si="1"/>
        <v>#DIV/0!</v>
      </c>
    </row>
    <row r="10" spans="1:28" x14ac:dyDescent="0.2">
      <c r="A10" s="7">
        <v>45057</v>
      </c>
      <c r="B10" s="11"/>
      <c r="C10" s="10"/>
      <c r="D10" s="10">
        <f t="shared" si="0"/>
        <v>0</v>
      </c>
      <c r="E10" s="10" t="e">
        <f t="shared" si="2"/>
        <v>#DIV/0!</v>
      </c>
      <c r="F10" s="39" t="e">
        <f t="shared" si="3"/>
        <v>#DIV/0!</v>
      </c>
      <c r="G10" s="4">
        <v>10</v>
      </c>
      <c r="H10" s="38" t="e">
        <f t="shared" si="4"/>
        <v>#DIV/0!</v>
      </c>
      <c r="J10" s="7">
        <v>45057</v>
      </c>
      <c r="K10" s="11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Y10" s="7">
        <v>45057</v>
      </c>
      <c r="Z10" s="11"/>
      <c r="AA10" s="11"/>
      <c r="AB10" s="13" t="e">
        <f t="shared" si="1"/>
        <v>#DIV/0!</v>
      </c>
    </row>
    <row r="11" spans="1:28" x14ac:dyDescent="0.2">
      <c r="A11" s="7">
        <v>45058</v>
      </c>
      <c r="B11" s="11"/>
      <c r="C11" s="10"/>
      <c r="D11" s="10">
        <f t="shared" si="0"/>
        <v>0</v>
      </c>
      <c r="E11" s="10" t="e">
        <f t="shared" si="2"/>
        <v>#DIV/0!</v>
      </c>
      <c r="F11" s="39" t="e">
        <f t="shared" si="3"/>
        <v>#DIV/0!</v>
      </c>
      <c r="G11" s="4">
        <v>10</v>
      </c>
      <c r="H11" s="38" t="e">
        <f t="shared" si="4"/>
        <v>#DIV/0!</v>
      </c>
      <c r="J11" s="7">
        <v>45058</v>
      </c>
      <c r="K11" s="11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Y11" s="7">
        <v>45058</v>
      </c>
      <c r="Z11" s="11"/>
      <c r="AA11" s="11"/>
      <c r="AB11" s="13" t="e">
        <f t="shared" si="1"/>
        <v>#DIV/0!</v>
      </c>
    </row>
    <row r="12" spans="1:28" x14ac:dyDescent="0.2">
      <c r="A12" s="7">
        <v>45061</v>
      </c>
      <c r="B12" s="11"/>
      <c r="C12" s="10"/>
      <c r="D12" s="10">
        <f t="shared" si="0"/>
        <v>0</v>
      </c>
      <c r="E12" s="10" t="e">
        <f t="shared" si="2"/>
        <v>#DIV/0!</v>
      </c>
      <c r="F12" s="39" t="e">
        <f t="shared" si="3"/>
        <v>#DIV/0!</v>
      </c>
      <c r="G12" s="4">
        <v>10</v>
      </c>
      <c r="H12" s="38" t="e">
        <f t="shared" si="4"/>
        <v>#DIV/0!</v>
      </c>
      <c r="J12" s="7">
        <v>45061</v>
      </c>
      <c r="K12" s="11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Y12" s="7">
        <v>45061</v>
      </c>
      <c r="Z12" s="11"/>
      <c r="AA12" s="11"/>
      <c r="AB12" s="13" t="e">
        <f t="shared" si="1"/>
        <v>#DIV/0!</v>
      </c>
    </row>
    <row r="13" spans="1:28" x14ac:dyDescent="0.2">
      <c r="A13" s="7">
        <v>45062</v>
      </c>
      <c r="B13" s="11"/>
      <c r="C13" s="10"/>
      <c r="D13" s="10">
        <f t="shared" si="0"/>
        <v>0</v>
      </c>
      <c r="E13" s="10" t="e">
        <f t="shared" si="2"/>
        <v>#DIV/0!</v>
      </c>
      <c r="F13" s="39" t="e">
        <f t="shared" si="3"/>
        <v>#DIV/0!</v>
      </c>
      <c r="G13" s="4">
        <v>10</v>
      </c>
      <c r="H13" s="38" t="e">
        <f t="shared" si="4"/>
        <v>#DIV/0!</v>
      </c>
      <c r="J13" s="7">
        <v>45062</v>
      </c>
      <c r="K13" s="11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Y13" s="7">
        <v>45062</v>
      </c>
      <c r="Z13" s="11"/>
      <c r="AA13" s="11"/>
      <c r="AB13" s="13" t="e">
        <f t="shared" si="1"/>
        <v>#DIV/0!</v>
      </c>
    </row>
    <row r="14" spans="1:28" x14ac:dyDescent="0.2">
      <c r="A14" s="7">
        <v>45063</v>
      </c>
      <c r="B14" s="11"/>
      <c r="C14" s="10"/>
      <c r="D14" s="10">
        <f t="shared" si="0"/>
        <v>0</v>
      </c>
      <c r="E14" s="10" t="e">
        <f t="shared" si="2"/>
        <v>#DIV/0!</v>
      </c>
      <c r="F14" s="39" t="e">
        <f t="shared" si="3"/>
        <v>#DIV/0!</v>
      </c>
      <c r="G14" s="4">
        <v>10</v>
      </c>
      <c r="H14" s="38" t="e">
        <f t="shared" si="4"/>
        <v>#DIV/0!</v>
      </c>
      <c r="J14" s="7">
        <v>45063</v>
      </c>
      <c r="K14" s="11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Y14" s="7">
        <v>45063</v>
      </c>
      <c r="Z14" s="11"/>
      <c r="AA14" s="11"/>
      <c r="AB14" s="13" t="e">
        <f t="shared" si="1"/>
        <v>#DIV/0!</v>
      </c>
    </row>
    <row r="15" spans="1:28" x14ac:dyDescent="0.2">
      <c r="A15" s="7">
        <v>45064</v>
      </c>
      <c r="B15" s="11"/>
      <c r="C15" s="10"/>
      <c r="D15" s="10">
        <f t="shared" si="0"/>
        <v>0</v>
      </c>
      <c r="E15" s="10" t="e">
        <f t="shared" si="2"/>
        <v>#DIV/0!</v>
      </c>
      <c r="F15" s="39" t="e">
        <f t="shared" si="3"/>
        <v>#DIV/0!</v>
      </c>
      <c r="G15" s="4">
        <v>10</v>
      </c>
      <c r="H15" s="38" t="e">
        <f t="shared" si="4"/>
        <v>#DIV/0!</v>
      </c>
      <c r="J15" s="7">
        <v>45064</v>
      </c>
      <c r="K15" s="11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Y15" s="7">
        <v>45064</v>
      </c>
      <c r="Z15" s="11"/>
      <c r="AA15" s="11"/>
      <c r="AB15" s="13" t="e">
        <f t="shared" si="1"/>
        <v>#DIV/0!</v>
      </c>
    </row>
    <row r="16" spans="1:28" x14ac:dyDescent="0.2">
      <c r="A16" s="7">
        <v>45065</v>
      </c>
      <c r="B16" s="11"/>
      <c r="C16" s="10"/>
      <c r="D16" s="10">
        <f t="shared" si="0"/>
        <v>0</v>
      </c>
      <c r="E16" s="10" t="e">
        <f t="shared" si="2"/>
        <v>#DIV/0!</v>
      </c>
      <c r="F16" s="39" t="e">
        <f t="shared" si="3"/>
        <v>#DIV/0!</v>
      </c>
      <c r="G16" s="4">
        <v>10</v>
      </c>
      <c r="H16" s="38" t="e">
        <f t="shared" si="4"/>
        <v>#DIV/0!</v>
      </c>
      <c r="J16" s="7">
        <v>45065</v>
      </c>
      <c r="K16" s="11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Y16" s="7">
        <v>45065</v>
      </c>
      <c r="Z16" s="11"/>
      <c r="AA16" s="11"/>
      <c r="AB16" s="13" t="e">
        <f t="shared" si="1"/>
        <v>#DIV/0!</v>
      </c>
    </row>
    <row r="17" spans="1:28" x14ac:dyDescent="0.2">
      <c r="A17" s="7">
        <v>45069</v>
      </c>
      <c r="B17" s="11"/>
      <c r="C17" s="10"/>
      <c r="D17" s="10">
        <f t="shared" si="0"/>
        <v>0</v>
      </c>
      <c r="E17" s="10" t="e">
        <f t="shared" si="2"/>
        <v>#DIV/0!</v>
      </c>
      <c r="F17" s="39" t="e">
        <f t="shared" si="3"/>
        <v>#DIV/0!</v>
      </c>
      <c r="G17" s="4">
        <v>10</v>
      </c>
      <c r="H17" s="38" t="e">
        <f t="shared" si="4"/>
        <v>#DIV/0!</v>
      </c>
      <c r="J17" s="7">
        <v>45069</v>
      </c>
      <c r="K17" s="11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Y17" s="7">
        <v>45069</v>
      </c>
      <c r="Z17" s="11"/>
      <c r="AA17" s="11"/>
      <c r="AB17" s="13" t="e">
        <f t="shared" si="1"/>
        <v>#DIV/0!</v>
      </c>
    </row>
    <row r="18" spans="1:28" x14ac:dyDescent="0.2">
      <c r="A18" s="7">
        <v>45070</v>
      </c>
      <c r="B18" s="11"/>
      <c r="C18" s="10"/>
      <c r="D18" s="10">
        <f t="shared" si="0"/>
        <v>0</v>
      </c>
      <c r="E18" s="10" t="e">
        <f t="shared" si="2"/>
        <v>#DIV/0!</v>
      </c>
      <c r="F18" s="39" t="e">
        <f t="shared" si="3"/>
        <v>#DIV/0!</v>
      </c>
      <c r="G18" s="4">
        <v>10</v>
      </c>
      <c r="H18" s="38" t="e">
        <f t="shared" si="4"/>
        <v>#DIV/0!</v>
      </c>
      <c r="J18" s="7">
        <v>45070</v>
      </c>
      <c r="K18" s="11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Y18" s="7">
        <v>45070</v>
      </c>
      <c r="Z18" s="11"/>
      <c r="AA18" s="11"/>
      <c r="AB18" s="13" t="e">
        <f t="shared" si="1"/>
        <v>#DIV/0!</v>
      </c>
    </row>
    <row r="19" spans="1:28" x14ac:dyDescent="0.2">
      <c r="A19" s="7">
        <v>45071</v>
      </c>
      <c r="B19" s="11"/>
      <c r="C19" s="10"/>
      <c r="D19" s="10">
        <f t="shared" si="0"/>
        <v>0</v>
      </c>
      <c r="E19" s="10" t="e">
        <f t="shared" si="2"/>
        <v>#DIV/0!</v>
      </c>
      <c r="F19" s="39" t="e">
        <f t="shared" si="3"/>
        <v>#DIV/0!</v>
      </c>
      <c r="G19" s="4">
        <v>10</v>
      </c>
      <c r="H19" s="38" t="e">
        <f t="shared" si="4"/>
        <v>#DIV/0!</v>
      </c>
      <c r="J19" s="7">
        <v>45071</v>
      </c>
      <c r="K19" s="11"/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Y19" s="7">
        <v>45071</v>
      </c>
      <c r="Z19" s="11"/>
      <c r="AA19" s="11"/>
      <c r="AB19" s="13" t="e">
        <f t="shared" si="1"/>
        <v>#DIV/0!</v>
      </c>
    </row>
    <row r="20" spans="1:28" x14ac:dyDescent="0.2">
      <c r="A20" s="7">
        <v>45072</v>
      </c>
      <c r="B20" s="11"/>
      <c r="C20" s="10"/>
      <c r="D20" s="10">
        <f t="shared" si="0"/>
        <v>0</v>
      </c>
      <c r="E20" s="10" t="e">
        <f t="shared" si="2"/>
        <v>#DIV/0!</v>
      </c>
      <c r="F20" s="39" t="e">
        <f>E20/6.25</f>
        <v>#DIV/0!</v>
      </c>
      <c r="G20" s="4">
        <v>10</v>
      </c>
      <c r="H20" s="38" t="e">
        <f t="shared" si="4"/>
        <v>#DIV/0!</v>
      </c>
      <c r="J20" s="7">
        <v>45072</v>
      </c>
      <c r="K20" s="11"/>
      <c r="L20" s="1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Y20" s="7">
        <v>45072</v>
      </c>
      <c r="Z20" s="11"/>
      <c r="AA20" s="11"/>
      <c r="AB20" s="13" t="e">
        <f t="shared" si="1"/>
        <v>#DIV/0!</v>
      </c>
    </row>
    <row r="21" spans="1:28" x14ac:dyDescent="0.2">
      <c r="A21" s="7">
        <v>45075</v>
      </c>
      <c r="B21" s="11"/>
      <c r="C21" s="10"/>
      <c r="D21" s="10">
        <f t="shared" si="0"/>
        <v>0</v>
      </c>
      <c r="E21" s="10" t="e">
        <f t="shared" si="2"/>
        <v>#DIV/0!</v>
      </c>
      <c r="F21" s="39" t="e">
        <f t="shared" si="3"/>
        <v>#DIV/0!</v>
      </c>
      <c r="G21" s="4">
        <v>10</v>
      </c>
      <c r="H21" s="38" t="e">
        <f t="shared" si="4"/>
        <v>#DIV/0!</v>
      </c>
      <c r="J21" s="7">
        <v>45075</v>
      </c>
      <c r="K21" s="11"/>
      <c r="L21" s="1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Y21" s="7">
        <v>45075</v>
      </c>
      <c r="Z21" s="11"/>
      <c r="AA21" s="11"/>
      <c r="AB21" s="13" t="e">
        <f t="shared" si="1"/>
        <v>#DIV/0!</v>
      </c>
    </row>
    <row r="22" spans="1:28" x14ac:dyDescent="0.2">
      <c r="A22" s="7">
        <v>45076</v>
      </c>
      <c r="B22" s="11"/>
      <c r="C22" s="10"/>
      <c r="D22" s="10">
        <f t="shared" si="0"/>
        <v>0</v>
      </c>
      <c r="E22" s="10" t="e">
        <f t="shared" si="2"/>
        <v>#DIV/0!</v>
      </c>
      <c r="F22" s="39" t="e">
        <f t="shared" si="3"/>
        <v>#DIV/0!</v>
      </c>
      <c r="G22" s="4">
        <v>10</v>
      </c>
      <c r="H22" s="38" t="e">
        <f t="shared" si="4"/>
        <v>#DIV/0!</v>
      </c>
      <c r="J22" s="7">
        <v>45076</v>
      </c>
      <c r="K22" s="11"/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Y22" s="7">
        <v>45076</v>
      </c>
      <c r="Z22" s="11"/>
      <c r="AA22" s="11"/>
      <c r="AB22" s="13" t="e">
        <f t="shared" si="1"/>
        <v>#DIV/0!</v>
      </c>
    </row>
    <row r="23" spans="1:28" x14ac:dyDescent="0.2">
      <c r="A23" s="7">
        <v>45077</v>
      </c>
      <c r="B23" s="11"/>
      <c r="C23" s="10"/>
      <c r="D23" s="10">
        <f t="shared" si="0"/>
        <v>0</v>
      </c>
      <c r="E23" s="10" t="e">
        <f t="shared" si="2"/>
        <v>#DIV/0!</v>
      </c>
      <c r="F23" s="39" t="e">
        <f t="shared" si="3"/>
        <v>#DIV/0!</v>
      </c>
      <c r="G23" s="4">
        <v>10</v>
      </c>
      <c r="H23" s="38" t="e">
        <f t="shared" si="4"/>
        <v>#DIV/0!</v>
      </c>
      <c r="J23" s="7">
        <v>45077</v>
      </c>
      <c r="K23" s="11"/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Y23" s="7">
        <v>45077</v>
      </c>
      <c r="Z23" s="11"/>
      <c r="AA23" s="11"/>
      <c r="AB23" s="13" t="e">
        <f t="shared" si="1"/>
        <v>#DIV/0!</v>
      </c>
    </row>
    <row r="24" spans="1:28" x14ac:dyDescent="0.2">
      <c r="A24" s="7" t="s">
        <v>9</v>
      </c>
      <c r="B24" s="11"/>
      <c r="C24" s="10"/>
      <c r="D24" s="10">
        <f>AVERAGE(D2:D23)</f>
        <v>0</v>
      </c>
      <c r="E24" s="10" t="e">
        <f>AVERAGE(E2:E23)</f>
        <v>#DIV/0!</v>
      </c>
      <c r="F24" s="39" t="e">
        <f t="shared" si="3"/>
        <v>#DIV/0!</v>
      </c>
      <c r="G24" s="4">
        <v>10</v>
      </c>
      <c r="H24" s="38" t="e">
        <f t="shared" si="4"/>
        <v>#DIV/0!</v>
      </c>
      <c r="J24" s="8" t="s">
        <v>9</v>
      </c>
      <c r="K24" s="11" t="e">
        <f>AVERAGE(K2:K23)</f>
        <v>#DIV/0!</v>
      </c>
      <c r="L24" s="11" t="e">
        <f t="shared" ref="L24:U24" si="5">AVERAGE(L2:L23)</f>
        <v>#DIV/0!</v>
      </c>
      <c r="M24" s="11" t="e">
        <f t="shared" si="5"/>
        <v>#DIV/0!</v>
      </c>
      <c r="N24" s="11" t="e">
        <f t="shared" si="5"/>
        <v>#DIV/0!</v>
      </c>
      <c r="O24" s="11" t="e">
        <f t="shared" si="5"/>
        <v>#DIV/0!</v>
      </c>
      <c r="P24" s="11" t="e">
        <f t="shared" si="5"/>
        <v>#DIV/0!</v>
      </c>
      <c r="Q24" s="11" t="e">
        <f t="shared" si="5"/>
        <v>#DIV/0!</v>
      </c>
      <c r="R24" s="11" t="e">
        <f t="shared" si="5"/>
        <v>#DIV/0!</v>
      </c>
      <c r="S24" s="11" t="e">
        <f t="shared" si="5"/>
        <v>#DIV/0!</v>
      </c>
      <c r="T24" s="11" t="e">
        <f t="shared" si="5"/>
        <v>#DIV/0!</v>
      </c>
      <c r="U24" s="11" t="e">
        <f t="shared" si="5"/>
        <v>#DIV/0!</v>
      </c>
      <c r="V24" s="11" t="e">
        <f t="shared" ref="V24:W24" si="6">AVERAGE(V2:V23)</f>
        <v>#DIV/0!</v>
      </c>
      <c r="W24" s="11" t="e">
        <f t="shared" si="6"/>
        <v>#DIV/0!</v>
      </c>
      <c r="Y24" s="8" t="s">
        <v>9</v>
      </c>
      <c r="Z24" s="11" t="e">
        <f t="shared" ref="Z24:AB24" si="7">AVERAGE(Z2:Z23)</f>
        <v>#DIV/0!</v>
      </c>
      <c r="AA24" s="11" t="e">
        <f t="shared" si="7"/>
        <v>#DIV/0!</v>
      </c>
      <c r="AB24" s="13" t="e">
        <f t="shared" si="7"/>
        <v>#DIV/0!</v>
      </c>
    </row>
    <row r="25" spans="1:28" x14ac:dyDescent="0.2">
      <c r="A25" s="54" t="s">
        <v>56</v>
      </c>
      <c r="B25" s="34">
        <f>SUM(B2:B23)</f>
        <v>0</v>
      </c>
      <c r="C25" s="34"/>
      <c r="D25" s="34">
        <f t="shared" ref="D25" si="8">SUM(D2:D23)</f>
        <v>0</v>
      </c>
      <c r="E25" s="34"/>
      <c r="F25" s="34"/>
      <c r="G25" s="4"/>
      <c r="H25" s="38"/>
      <c r="K25" s="1">
        <f t="shared" ref="K25:U25" si="9">SUM(K2:K23)</f>
        <v>0</v>
      </c>
      <c r="L25" s="1">
        <f t="shared" si="9"/>
        <v>0</v>
      </c>
      <c r="M25" s="1">
        <f t="shared" si="9"/>
        <v>0</v>
      </c>
      <c r="N25" s="1">
        <f t="shared" si="9"/>
        <v>0</v>
      </c>
      <c r="O25" s="1">
        <f t="shared" si="9"/>
        <v>0</v>
      </c>
      <c r="P25" s="1">
        <f t="shared" si="9"/>
        <v>0</v>
      </c>
      <c r="Q25" s="1">
        <f t="shared" si="9"/>
        <v>0</v>
      </c>
      <c r="R25" s="1">
        <f t="shared" si="9"/>
        <v>0</v>
      </c>
      <c r="S25" s="1">
        <f t="shared" si="9"/>
        <v>0</v>
      </c>
      <c r="T25" s="1">
        <f t="shared" si="9"/>
        <v>0</v>
      </c>
      <c r="U25" s="1">
        <f t="shared" si="9"/>
        <v>0</v>
      </c>
      <c r="Z25" s="1">
        <f t="shared" ref="Z25:AA25" si="10">SUM(Z2:Z23)</f>
        <v>0</v>
      </c>
      <c r="AA25" s="1">
        <f t="shared" si="10"/>
        <v>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A76D-21B4-4C95-9A26-C353BADA7066}">
  <dimension ref="A1:AE19"/>
  <sheetViews>
    <sheetView workbookViewId="0">
      <selection activeCell="AC2" sqref="AC2:AD17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7" width="9.140625" style="1"/>
    <col min="8" max="8" width="11.28515625" style="1" customWidth="1"/>
    <col min="9" max="9" width="4.42578125" style="1" customWidth="1"/>
    <col min="10" max="10" width="9.140625" style="1"/>
    <col min="11" max="26" width="6.5703125" style="1" customWidth="1"/>
    <col min="27" max="27" width="4.85546875" style="1" customWidth="1"/>
    <col min="28" max="28" width="9.140625" style="1"/>
    <col min="29" max="31" width="11.140625" style="1" customWidth="1"/>
    <col min="32" max="16384" width="9.140625" style="1"/>
  </cols>
  <sheetData>
    <row r="1" spans="1:31" ht="72" customHeight="1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41" t="s">
        <v>33</v>
      </c>
      <c r="L1" s="41" t="s">
        <v>42</v>
      </c>
      <c r="M1" s="41" t="s">
        <v>8</v>
      </c>
      <c r="N1" s="41" t="s">
        <v>25</v>
      </c>
      <c r="O1" s="41" t="s">
        <v>4</v>
      </c>
      <c r="P1" s="41" t="s">
        <v>48</v>
      </c>
      <c r="Q1" s="41" t="s">
        <v>55</v>
      </c>
      <c r="R1" s="41" t="s">
        <v>21</v>
      </c>
      <c r="S1" s="41" t="s">
        <v>28</v>
      </c>
      <c r="T1" s="41" t="s">
        <v>54</v>
      </c>
      <c r="U1" s="41" t="s">
        <v>18</v>
      </c>
      <c r="V1" s="41" t="s">
        <v>39</v>
      </c>
      <c r="W1" s="41" t="s">
        <v>58</v>
      </c>
      <c r="X1" s="41" t="s">
        <v>6</v>
      </c>
      <c r="Y1" s="41" t="s">
        <v>7</v>
      </c>
      <c r="Z1" s="41"/>
      <c r="AB1" s="5" t="s">
        <v>0</v>
      </c>
      <c r="AC1" s="12" t="s">
        <v>10</v>
      </c>
      <c r="AD1" s="12" t="s">
        <v>11</v>
      </c>
      <c r="AE1" s="12" t="s">
        <v>12</v>
      </c>
    </row>
    <row r="2" spans="1:31" x14ac:dyDescent="0.2">
      <c r="A2" s="7">
        <v>45078</v>
      </c>
      <c r="B2" s="11"/>
      <c r="C2" s="10"/>
      <c r="D2" s="10">
        <f t="shared" ref="D2:D17" si="0">SUM(K2:Z2)</f>
        <v>0</v>
      </c>
      <c r="E2" s="10" t="e">
        <f>D2/C2</f>
        <v>#DIV/0!</v>
      </c>
      <c r="F2" s="39" t="e">
        <f>E2/7.5</f>
        <v>#DIV/0!</v>
      </c>
      <c r="G2" s="4">
        <v>10</v>
      </c>
      <c r="H2" s="38" t="e">
        <f>F2/G2</f>
        <v>#DIV/0!</v>
      </c>
      <c r="J2" s="7">
        <v>45078</v>
      </c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B2" s="7">
        <v>45078</v>
      </c>
      <c r="AC2" s="11"/>
      <c r="AD2" s="11"/>
      <c r="AE2" s="13" t="e">
        <f t="shared" ref="AE2:AE17" si="1">(D2-AC2-AD2)/D2</f>
        <v>#DIV/0!</v>
      </c>
    </row>
    <row r="3" spans="1:31" x14ac:dyDescent="0.2">
      <c r="A3" s="7">
        <v>45079</v>
      </c>
      <c r="B3" s="11"/>
      <c r="C3" s="10"/>
      <c r="D3" s="10">
        <f t="shared" si="0"/>
        <v>0</v>
      </c>
      <c r="E3" s="10" t="e">
        <f t="shared" ref="E3:E17" si="2">D3/C3</f>
        <v>#DIV/0!</v>
      </c>
      <c r="F3" s="39" t="e">
        <f t="shared" ref="F3:F18" si="3">E3/7.5</f>
        <v>#DIV/0!</v>
      </c>
      <c r="G3" s="4">
        <v>10</v>
      </c>
      <c r="H3" s="38" t="e">
        <f t="shared" ref="H3:H18" si="4">F3/G3</f>
        <v>#DIV/0!</v>
      </c>
      <c r="J3" s="7">
        <v>45079</v>
      </c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B3" s="7">
        <v>45079</v>
      </c>
      <c r="AC3" s="11"/>
      <c r="AD3" s="11"/>
      <c r="AE3" s="13" t="e">
        <f t="shared" si="1"/>
        <v>#DIV/0!</v>
      </c>
    </row>
    <row r="4" spans="1:31" x14ac:dyDescent="0.2">
      <c r="A4" s="7">
        <v>45082</v>
      </c>
      <c r="B4" s="11"/>
      <c r="C4" s="10"/>
      <c r="D4" s="10">
        <f t="shared" si="0"/>
        <v>0</v>
      </c>
      <c r="E4" s="10" t="e">
        <f t="shared" si="2"/>
        <v>#DIV/0!</v>
      </c>
      <c r="F4" s="39" t="e">
        <f t="shared" si="3"/>
        <v>#DIV/0!</v>
      </c>
      <c r="G4" s="4">
        <v>10</v>
      </c>
      <c r="H4" s="38" t="e">
        <f t="shared" si="4"/>
        <v>#DIV/0!</v>
      </c>
      <c r="J4" s="7">
        <v>45082</v>
      </c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B4" s="7">
        <v>45082</v>
      </c>
      <c r="AC4" s="11"/>
      <c r="AD4" s="11"/>
      <c r="AE4" s="13" t="e">
        <f t="shared" si="1"/>
        <v>#DIV/0!</v>
      </c>
    </row>
    <row r="5" spans="1:31" x14ac:dyDescent="0.2">
      <c r="A5" s="7">
        <v>45083</v>
      </c>
      <c r="B5" s="11"/>
      <c r="C5" s="10"/>
      <c r="D5" s="10">
        <f t="shared" si="0"/>
        <v>0</v>
      </c>
      <c r="E5" s="10" t="e">
        <f t="shared" si="2"/>
        <v>#DIV/0!</v>
      </c>
      <c r="F5" s="39" t="e">
        <f t="shared" si="3"/>
        <v>#DIV/0!</v>
      </c>
      <c r="G5" s="4">
        <v>10</v>
      </c>
      <c r="H5" s="38" t="e">
        <f t="shared" si="4"/>
        <v>#DIV/0!</v>
      </c>
      <c r="J5" s="7">
        <v>45083</v>
      </c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B5" s="7">
        <v>45083</v>
      </c>
      <c r="AC5" s="11"/>
      <c r="AD5" s="11"/>
      <c r="AE5" s="13" t="e">
        <f t="shared" si="1"/>
        <v>#DIV/0!</v>
      </c>
    </row>
    <row r="6" spans="1:31" x14ac:dyDescent="0.2">
      <c r="A6" s="7">
        <v>45084</v>
      </c>
      <c r="B6" s="11"/>
      <c r="C6" s="10"/>
      <c r="D6" s="10">
        <f t="shared" si="0"/>
        <v>0</v>
      </c>
      <c r="E6" s="10" t="e">
        <f t="shared" si="2"/>
        <v>#DIV/0!</v>
      </c>
      <c r="F6" s="39" t="e">
        <f t="shared" si="3"/>
        <v>#DIV/0!</v>
      </c>
      <c r="G6" s="4">
        <v>10</v>
      </c>
      <c r="H6" s="38" t="e">
        <f t="shared" si="4"/>
        <v>#DIV/0!</v>
      </c>
      <c r="J6" s="7">
        <v>45084</v>
      </c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B6" s="7">
        <v>45084</v>
      </c>
      <c r="AC6" s="11"/>
      <c r="AD6" s="11"/>
      <c r="AE6" s="13" t="e">
        <f t="shared" si="1"/>
        <v>#DIV/0!</v>
      </c>
    </row>
    <row r="7" spans="1:31" x14ac:dyDescent="0.2">
      <c r="A7" s="7">
        <v>45085</v>
      </c>
      <c r="B7" s="11"/>
      <c r="C7" s="10"/>
      <c r="D7" s="10">
        <f t="shared" si="0"/>
        <v>0</v>
      </c>
      <c r="E7" s="10" t="e">
        <f t="shared" si="2"/>
        <v>#DIV/0!</v>
      </c>
      <c r="F7" s="39" t="e">
        <f t="shared" si="3"/>
        <v>#DIV/0!</v>
      </c>
      <c r="G7" s="4">
        <v>10</v>
      </c>
      <c r="H7" s="38" t="e">
        <f t="shared" si="4"/>
        <v>#DIV/0!</v>
      </c>
      <c r="J7" s="7">
        <v>45085</v>
      </c>
      <c r="K7" s="10"/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B7" s="7">
        <v>45085</v>
      </c>
      <c r="AC7" s="11"/>
      <c r="AD7" s="11"/>
      <c r="AE7" s="13" t="e">
        <f t="shared" si="1"/>
        <v>#DIV/0!</v>
      </c>
    </row>
    <row r="8" spans="1:31" x14ac:dyDescent="0.2">
      <c r="A8" s="7">
        <v>45086</v>
      </c>
      <c r="B8" s="11"/>
      <c r="C8" s="10"/>
      <c r="D8" s="10">
        <f t="shared" si="0"/>
        <v>0</v>
      </c>
      <c r="E8" s="10" t="e">
        <f t="shared" si="2"/>
        <v>#DIV/0!</v>
      </c>
      <c r="F8" s="39" t="e">
        <f t="shared" si="3"/>
        <v>#DIV/0!</v>
      </c>
      <c r="G8" s="4">
        <v>10</v>
      </c>
      <c r="H8" s="38" t="e">
        <f t="shared" si="4"/>
        <v>#DIV/0!</v>
      </c>
      <c r="J8" s="7">
        <v>45086</v>
      </c>
      <c r="K8" s="10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B8" s="7">
        <v>45086</v>
      </c>
      <c r="AC8" s="11"/>
      <c r="AD8" s="11"/>
      <c r="AE8" s="13" t="e">
        <f t="shared" si="1"/>
        <v>#DIV/0!</v>
      </c>
    </row>
    <row r="9" spans="1:31" x14ac:dyDescent="0.2">
      <c r="A9" s="7">
        <v>45089</v>
      </c>
      <c r="B9" s="11"/>
      <c r="C9" s="10"/>
      <c r="D9" s="10">
        <f t="shared" si="0"/>
        <v>0</v>
      </c>
      <c r="E9" s="10" t="e">
        <f t="shared" si="2"/>
        <v>#DIV/0!</v>
      </c>
      <c r="F9" s="39" t="e">
        <f t="shared" si="3"/>
        <v>#DIV/0!</v>
      </c>
      <c r="G9" s="4">
        <v>10</v>
      </c>
      <c r="H9" s="38" t="e">
        <f t="shared" si="4"/>
        <v>#DIV/0!</v>
      </c>
      <c r="J9" s="7">
        <v>45089</v>
      </c>
      <c r="K9" s="10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B9" s="7">
        <v>45089</v>
      </c>
      <c r="AC9" s="11"/>
      <c r="AD9" s="11"/>
      <c r="AE9" s="13" t="e">
        <f t="shared" si="1"/>
        <v>#DIV/0!</v>
      </c>
    </row>
    <row r="10" spans="1:31" x14ac:dyDescent="0.2">
      <c r="A10" s="7">
        <v>45090</v>
      </c>
      <c r="B10" s="11"/>
      <c r="C10" s="10"/>
      <c r="D10" s="10">
        <f t="shared" si="0"/>
        <v>0</v>
      </c>
      <c r="E10" s="10" t="e">
        <f t="shared" si="2"/>
        <v>#DIV/0!</v>
      </c>
      <c r="F10" s="39" t="e">
        <f t="shared" si="3"/>
        <v>#DIV/0!</v>
      </c>
      <c r="G10" s="4">
        <v>10</v>
      </c>
      <c r="H10" s="38" t="e">
        <f t="shared" si="4"/>
        <v>#DIV/0!</v>
      </c>
      <c r="J10" s="7">
        <v>45090</v>
      </c>
      <c r="K10" s="10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B10" s="7">
        <v>45090</v>
      </c>
      <c r="AC10" s="11"/>
      <c r="AD10" s="11"/>
      <c r="AE10" s="13" t="e">
        <f t="shared" si="1"/>
        <v>#DIV/0!</v>
      </c>
    </row>
    <row r="11" spans="1:31" x14ac:dyDescent="0.2">
      <c r="A11" s="7">
        <v>45098</v>
      </c>
      <c r="B11" s="11"/>
      <c r="C11" s="10"/>
      <c r="D11" s="10">
        <f t="shared" si="0"/>
        <v>0</v>
      </c>
      <c r="E11" s="10" t="e">
        <f t="shared" si="2"/>
        <v>#DIV/0!</v>
      </c>
      <c r="F11" s="39" t="e">
        <f t="shared" si="3"/>
        <v>#DIV/0!</v>
      </c>
      <c r="G11" s="4">
        <v>10</v>
      </c>
      <c r="H11" s="38" t="e">
        <f t="shared" si="4"/>
        <v>#DIV/0!</v>
      </c>
      <c r="J11" s="7">
        <v>45098</v>
      </c>
      <c r="K11" s="10"/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B11" s="7">
        <v>45098</v>
      </c>
      <c r="AC11" s="11"/>
      <c r="AD11" s="11"/>
      <c r="AE11" s="13" t="e">
        <f t="shared" si="1"/>
        <v>#DIV/0!</v>
      </c>
    </row>
    <row r="12" spans="1:31" x14ac:dyDescent="0.2">
      <c r="A12" s="7">
        <v>45099</v>
      </c>
      <c r="B12" s="11"/>
      <c r="C12" s="10"/>
      <c r="D12" s="10">
        <f t="shared" si="0"/>
        <v>0</v>
      </c>
      <c r="E12" s="10" t="e">
        <f t="shared" si="2"/>
        <v>#DIV/0!</v>
      </c>
      <c r="F12" s="39" t="e">
        <f t="shared" si="3"/>
        <v>#DIV/0!</v>
      </c>
      <c r="G12" s="4">
        <v>10</v>
      </c>
      <c r="H12" s="38" t="e">
        <f t="shared" si="4"/>
        <v>#DIV/0!</v>
      </c>
      <c r="J12" s="7">
        <v>45099</v>
      </c>
      <c r="K12" s="10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B12" s="7">
        <v>45099</v>
      </c>
      <c r="AC12" s="11"/>
      <c r="AD12" s="11"/>
      <c r="AE12" s="13" t="e">
        <f t="shared" si="1"/>
        <v>#DIV/0!</v>
      </c>
    </row>
    <row r="13" spans="1:31" x14ac:dyDescent="0.2">
      <c r="A13" s="7">
        <v>45100</v>
      </c>
      <c r="B13" s="11"/>
      <c r="C13" s="10"/>
      <c r="D13" s="10">
        <f t="shared" si="0"/>
        <v>0</v>
      </c>
      <c r="E13" s="10" t="e">
        <f t="shared" si="2"/>
        <v>#DIV/0!</v>
      </c>
      <c r="F13" s="39" t="e">
        <f t="shared" si="3"/>
        <v>#DIV/0!</v>
      </c>
      <c r="G13" s="4">
        <v>10</v>
      </c>
      <c r="H13" s="38" t="e">
        <f t="shared" si="4"/>
        <v>#DIV/0!</v>
      </c>
      <c r="J13" s="7">
        <v>45100</v>
      </c>
      <c r="K13" s="10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B13" s="7">
        <v>45100</v>
      </c>
      <c r="AC13" s="11"/>
      <c r="AD13" s="11"/>
      <c r="AE13" s="13" t="e">
        <f t="shared" si="1"/>
        <v>#DIV/0!</v>
      </c>
    </row>
    <row r="14" spans="1:31" x14ac:dyDescent="0.2">
      <c r="A14" s="7">
        <v>45103</v>
      </c>
      <c r="B14" s="11"/>
      <c r="C14" s="10"/>
      <c r="D14" s="10">
        <f t="shared" si="0"/>
        <v>0</v>
      </c>
      <c r="E14" s="10" t="e">
        <f t="shared" si="2"/>
        <v>#DIV/0!</v>
      </c>
      <c r="F14" s="39" t="e">
        <f t="shared" si="3"/>
        <v>#DIV/0!</v>
      </c>
      <c r="G14" s="4">
        <v>10</v>
      </c>
      <c r="H14" s="38" t="e">
        <f t="shared" si="4"/>
        <v>#DIV/0!</v>
      </c>
      <c r="J14" s="7">
        <v>45103</v>
      </c>
      <c r="K14" s="10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B14" s="7">
        <v>45103</v>
      </c>
      <c r="AC14" s="11"/>
      <c r="AD14" s="11"/>
      <c r="AE14" s="13" t="e">
        <f t="shared" si="1"/>
        <v>#DIV/0!</v>
      </c>
    </row>
    <row r="15" spans="1:31" x14ac:dyDescent="0.2">
      <c r="A15" s="7">
        <v>45104</v>
      </c>
      <c r="B15" s="11"/>
      <c r="C15" s="10"/>
      <c r="D15" s="10">
        <f t="shared" si="0"/>
        <v>0</v>
      </c>
      <c r="E15" s="10" t="e">
        <f t="shared" si="2"/>
        <v>#DIV/0!</v>
      </c>
      <c r="F15" s="39" t="e">
        <f t="shared" si="3"/>
        <v>#DIV/0!</v>
      </c>
      <c r="G15" s="4">
        <v>10</v>
      </c>
      <c r="H15" s="38" t="e">
        <f t="shared" si="4"/>
        <v>#DIV/0!</v>
      </c>
      <c r="J15" s="7">
        <v>45104</v>
      </c>
      <c r="K15" s="10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B15" s="7">
        <v>45104</v>
      </c>
      <c r="AC15" s="11"/>
      <c r="AD15" s="11"/>
      <c r="AE15" s="13" t="e">
        <f t="shared" si="1"/>
        <v>#DIV/0!</v>
      </c>
    </row>
    <row r="16" spans="1:31" x14ac:dyDescent="0.2">
      <c r="A16" s="7">
        <v>45105</v>
      </c>
      <c r="B16" s="11"/>
      <c r="C16" s="10"/>
      <c r="D16" s="10">
        <f t="shared" si="0"/>
        <v>0</v>
      </c>
      <c r="E16" s="10" t="e">
        <f t="shared" si="2"/>
        <v>#DIV/0!</v>
      </c>
      <c r="F16" s="39" t="e">
        <f t="shared" si="3"/>
        <v>#DIV/0!</v>
      </c>
      <c r="G16" s="4">
        <v>10</v>
      </c>
      <c r="H16" s="38" t="e">
        <f t="shared" si="4"/>
        <v>#DIV/0!</v>
      </c>
      <c r="J16" s="7">
        <v>45105</v>
      </c>
      <c r="K16" s="10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B16" s="7">
        <v>45105</v>
      </c>
      <c r="AC16" s="11"/>
      <c r="AD16" s="11"/>
      <c r="AE16" s="13" t="e">
        <f t="shared" si="1"/>
        <v>#DIV/0!</v>
      </c>
    </row>
    <row r="17" spans="1:31" x14ac:dyDescent="0.2">
      <c r="A17" s="7">
        <v>45107</v>
      </c>
      <c r="B17" s="11"/>
      <c r="C17" s="10"/>
      <c r="D17" s="10">
        <f t="shared" si="0"/>
        <v>0</v>
      </c>
      <c r="E17" s="10" t="e">
        <f t="shared" si="2"/>
        <v>#DIV/0!</v>
      </c>
      <c r="F17" s="39" t="e">
        <f t="shared" si="3"/>
        <v>#DIV/0!</v>
      </c>
      <c r="G17" s="4">
        <v>10</v>
      </c>
      <c r="H17" s="38" t="e">
        <f t="shared" si="4"/>
        <v>#DIV/0!</v>
      </c>
      <c r="J17" s="7">
        <v>45107</v>
      </c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B17" s="7">
        <v>45107</v>
      </c>
      <c r="AC17" s="11"/>
      <c r="AD17" s="11"/>
      <c r="AE17" s="13" t="e">
        <f t="shared" si="1"/>
        <v>#DIV/0!</v>
      </c>
    </row>
    <row r="18" spans="1:31" x14ac:dyDescent="0.2">
      <c r="A18" s="7" t="s">
        <v>9</v>
      </c>
      <c r="B18" s="11" t="e">
        <f>AVERAGE(B2:B17)</f>
        <v>#DIV/0!</v>
      </c>
      <c r="C18" s="10"/>
      <c r="D18" s="10">
        <f>AVERAGE(D2:D17)</f>
        <v>0</v>
      </c>
      <c r="E18" s="10" t="e">
        <f>AVERAGE(E2:E17)</f>
        <v>#DIV/0!</v>
      </c>
      <c r="F18" s="39" t="e">
        <f t="shared" si="3"/>
        <v>#DIV/0!</v>
      </c>
      <c r="G18" s="4">
        <v>10</v>
      </c>
      <c r="H18" s="38" t="e">
        <f t="shared" si="4"/>
        <v>#DIV/0!</v>
      </c>
      <c r="J18" s="8" t="s">
        <v>9</v>
      </c>
      <c r="K18" s="11" t="e">
        <f t="shared" ref="K18:U18" si="5">AVERAGE(K2:K17)</f>
        <v>#DIV/0!</v>
      </c>
      <c r="L18" s="11" t="e">
        <f t="shared" si="5"/>
        <v>#DIV/0!</v>
      </c>
      <c r="M18" s="11" t="e">
        <f t="shared" si="5"/>
        <v>#DIV/0!</v>
      </c>
      <c r="N18" s="11" t="e">
        <f t="shared" si="5"/>
        <v>#DIV/0!</v>
      </c>
      <c r="O18" s="11" t="e">
        <f t="shared" si="5"/>
        <v>#DIV/0!</v>
      </c>
      <c r="P18" s="11" t="e">
        <f t="shared" si="5"/>
        <v>#DIV/0!</v>
      </c>
      <c r="Q18" s="11" t="e">
        <f t="shared" si="5"/>
        <v>#DIV/0!</v>
      </c>
      <c r="R18" s="11" t="e">
        <f t="shared" si="5"/>
        <v>#DIV/0!</v>
      </c>
      <c r="S18" s="11" t="e">
        <f t="shared" si="5"/>
        <v>#DIV/0!</v>
      </c>
      <c r="T18" s="11" t="e">
        <f t="shared" si="5"/>
        <v>#DIV/0!</v>
      </c>
      <c r="U18" s="11" t="e">
        <f t="shared" si="5"/>
        <v>#DIV/0!</v>
      </c>
      <c r="V18" s="11"/>
      <c r="W18" s="11" t="e">
        <f>AVERAGE(W2:W17)</f>
        <v>#DIV/0!</v>
      </c>
      <c r="X18" s="11" t="e">
        <f>AVERAGE(X2:X17)</f>
        <v>#DIV/0!</v>
      </c>
      <c r="Y18" s="11" t="e">
        <f>AVERAGE(Y2:Y17)</f>
        <v>#DIV/0!</v>
      </c>
      <c r="Z18" s="11" t="e">
        <f>AVERAGE(Z2:Z17)</f>
        <v>#DIV/0!</v>
      </c>
      <c r="AB18" s="8" t="s">
        <v>9</v>
      </c>
      <c r="AC18" s="11" t="e">
        <f>AVERAGE(AC2:AC17)</f>
        <v>#DIV/0!</v>
      </c>
      <c r="AD18" s="11" t="e">
        <f>AVERAGE(AD2:AD17)</f>
        <v>#DIV/0!</v>
      </c>
      <c r="AE18" s="13" t="e">
        <f>AVERAGE(AE2:AE17)</f>
        <v>#DIV/0!</v>
      </c>
    </row>
    <row r="19" spans="1:31" x14ac:dyDescent="0.2">
      <c r="A19" s="3"/>
      <c r="C19" s="2"/>
      <c r="D19" s="2"/>
      <c r="E19" s="4"/>
      <c r="F19" s="4"/>
      <c r="G19" s="4"/>
      <c r="H19" s="38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D20F-8AD5-4B5A-8EB3-0759879C4D83}">
  <dimension ref="A1:AF24"/>
  <sheetViews>
    <sheetView workbookViewId="0">
      <selection activeCell="AD2" sqref="AD2:AE3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7" width="9.140625" style="1"/>
    <col min="8" max="8" width="11.28515625" style="1" customWidth="1"/>
    <col min="9" max="9" width="4.85546875" style="1" customWidth="1"/>
    <col min="10" max="10" width="9.140625" style="1"/>
    <col min="11" max="27" width="6.85546875" style="1" customWidth="1"/>
    <col min="28" max="28" width="4.42578125" style="1" customWidth="1"/>
    <col min="29" max="29" width="9.140625" style="1"/>
    <col min="30" max="32" width="11.140625" style="1" customWidth="1"/>
    <col min="33" max="16384" width="9.140625" style="1"/>
  </cols>
  <sheetData>
    <row r="1" spans="1:32" ht="45.75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41" t="s">
        <v>33</v>
      </c>
      <c r="L1" s="41" t="s">
        <v>42</v>
      </c>
      <c r="M1" s="41" t="s">
        <v>8</v>
      </c>
      <c r="N1" s="41" t="s">
        <v>25</v>
      </c>
      <c r="O1" s="41" t="s">
        <v>4</v>
      </c>
      <c r="P1" s="41" t="s">
        <v>48</v>
      </c>
      <c r="Q1" s="41" t="s">
        <v>55</v>
      </c>
      <c r="R1" s="41" t="s">
        <v>21</v>
      </c>
      <c r="S1" s="41" t="s">
        <v>54</v>
      </c>
      <c r="T1" s="41" t="s">
        <v>18</v>
      </c>
      <c r="U1" s="41" t="s">
        <v>39</v>
      </c>
      <c r="V1" s="41" t="s">
        <v>58</v>
      </c>
      <c r="W1" s="41" t="s">
        <v>6</v>
      </c>
      <c r="X1" s="41" t="s">
        <v>5</v>
      </c>
      <c r="Y1" s="41"/>
      <c r="Z1" s="6"/>
      <c r="AA1" s="6"/>
      <c r="AC1" s="5" t="s">
        <v>0</v>
      </c>
      <c r="AD1" s="12" t="s">
        <v>10</v>
      </c>
      <c r="AE1" s="12" t="s">
        <v>11</v>
      </c>
      <c r="AF1" s="12" t="s">
        <v>12</v>
      </c>
    </row>
    <row r="2" spans="1:32" x14ac:dyDescent="0.2">
      <c r="A2" s="7">
        <v>45111</v>
      </c>
      <c r="B2" s="11"/>
      <c r="C2" s="10"/>
      <c r="D2" s="10">
        <f t="shared" ref="D2:D21" si="0">SUM(K2:AA2)</f>
        <v>0</v>
      </c>
      <c r="E2" s="10" t="e">
        <f t="shared" ref="E2:E21" si="1">D2/C2</f>
        <v>#DIV/0!</v>
      </c>
      <c r="F2" s="39" t="e">
        <f t="shared" ref="F2:F22" si="2">E2/7.5</f>
        <v>#DIV/0!</v>
      </c>
      <c r="G2" s="4">
        <v>10</v>
      </c>
      <c r="H2" s="38" t="e">
        <f t="shared" ref="H2:H22" si="3">F2/G2</f>
        <v>#DIV/0!</v>
      </c>
      <c r="J2" s="7">
        <v>45111</v>
      </c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C2" s="7">
        <v>45111</v>
      </c>
      <c r="AD2" s="11"/>
      <c r="AE2" s="11"/>
      <c r="AF2" s="13" t="e">
        <f t="shared" ref="AF2:AF21" si="4">(D2-AD2-AE2)/D2</f>
        <v>#DIV/0!</v>
      </c>
    </row>
    <row r="3" spans="1:32" x14ac:dyDescent="0.2">
      <c r="A3" s="7">
        <v>45112</v>
      </c>
      <c r="B3" s="11"/>
      <c r="C3" s="10"/>
      <c r="D3" s="10">
        <f t="shared" si="0"/>
        <v>0</v>
      </c>
      <c r="E3" s="10" t="e">
        <f t="shared" si="1"/>
        <v>#DIV/0!</v>
      </c>
      <c r="F3" s="39" t="e">
        <f t="shared" si="2"/>
        <v>#DIV/0!</v>
      </c>
      <c r="G3" s="4">
        <v>10</v>
      </c>
      <c r="H3" s="38" t="e">
        <f t="shared" si="3"/>
        <v>#DIV/0!</v>
      </c>
      <c r="J3" s="7">
        <v>45112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C3" s="7">
        <v>45112</v>
      </c>
      <c r="AD3" s="11"/>
      <c r="AE3" s="11"/>
      <c r="AF3" s="13" t="e">
        <f t="shared" si="4"/>
        <v>#DIV/0!</v>
      </c>
    </row>
    <row r="4" spans="1:32" x14ac:dyDescent="0.2">
      <c r="A4" s="7">
        <v>45113</v>
      </c>
      <c r="B4" s="11"/>
      <c r="C4" s="10"/>
      <c r="D4" s="10">
        <f t="shared" si="0"/>
        <v>0</v>
      </c>
      <c r="E4" s="10" t="e">
        <f t="shared" si="1"/>
        <v>#DIV/0!</v>
      </c>
      <c r="F4" s="39" t="e">
        <f t="shared" si="2"/>
        <v>#DIV/0!</v>
      </c>
      <c r="G4" s="4">
        <v>10</v>
      </c>
      <c r="H4" s="38" t="e">
        <f t="shared" si="3"/>
        <v>#DIV/0!</v>
      </c>
      <c r="J4" s="7">
        <v>45113</v>
      </c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C4" s="7">
        <v>45113</v>
      </c>
      <c r="AD4" s="11"/>
      <c r="AE4" s="11"/>
      <c r="AF4" s="13" t="e">
        <f t="shared" si="4"/>
        <v>#DIV/0!</v>
      </c>
    </row>
    <row r="5" spans="1:32" x14ac:dyDescent="0.2">
      <c r="A5" s="7">
        <v>45114</v>
      </c>
      <c r="B5" s="11"/>
      <c r="C5" s="10"/>
      <c r="D5" s="10">
        <f t="shared" si="0"/>
        <v>0</v>
      </c>
      <c r="E5" s="10" t="e">
        <f t="shared" si="1"/>
        <v>#DIV/0!</v>
      </c>
      <c r="F5" s="39" t="e">
        <f t="shared" si="2"/>
        <v>#DIV/0!</v>
      </c>
      <c r="G5" s="4">
        <v>10</v>
      </c>
      <c r="H5" s="38" t="e">
        <f t="shared" si="3"/>
        <v>#DIV/0!</v>
      </c>
      <c r="J5" s="7">
        <v>45114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C5" s="7">
        <v>45114</v>
      </c>
      <c r="AD5" s="11"/>
      <c r="AE5" s="11"/>
      <c r="AF5" s="13" t="e">
        <f t="shared" si="4"/>
        <v>#DIV/0!</v>
      </c>
    </row>
    <row r="6" spans="1:32" x14ac:dyDescent="0.2">
      <c r="A6" s="7">
        <v>45117</v>
      </c>
      <c r="B6" s="11"/>
      <c r="C6" s="10"/>
      <c r="D6" s="10">
        <f t="shared" si="0"/>
        <v>0</v>
      </c>
      <c r="E6" s="10" t="e">
        <f t="shared" si="1"/>
        <v>#DIV/0!</v>
      </c>
      <c r="F6" s="39" t="e">
        <f t="shared" si="2"/>
        <v>#DIV/0!</v>
      </c>
      <c r="G6" s="4">
        <v>10</v>
      </c>
      <c r="H6" s="38" t="e">
        <f t="shared" si="3"/>
        <v>#DIV/0!</v>
      </c>
      <c r="J6" s="7">
        <v>45117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C6" s="7">
        <v>45117</v>
      </c>
      <c r="AD6" s="11"/>
      <c r="AE6" s="11"/>
      <c r="AF6" s="13" t="e">
        <f t="shared" si="4"/>
        <v>#DIV/0!</v>
      </c>
    </row>
    <row r="7" spans="1:32" x14ac:dyDescent="0.2">
      <c r="A7" s="7">
        <v>45118</v>
      </c>
      <c r="B7" s="11"/>
      <c r="C7" s="10"/>
      <c r="D7" s="10">
        <f t="shared" si="0"/>
        <v>0</v>
      </c>
      <c r="E7" s="10" t="e">
        <f t="shared" si="1"/>
        <v>#DIV/0!</v>
      </c>
      <c r="F7" s="39" t="e">
        <f t="shared" si="2"/>
        <v>#DIV/0!</v>
      </c>
      <c r="G7" s="4">
        <v>10</v>
      </c>
      <c r="H7" s="38" t="e">
        <f t="shared" si="3"/>
        <v>#DIV/0!</v>
      </c>
      <c r="J7" s="7">
        <v>45118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C7" s="7">
        <v>45118</v>
      </c>
      <c r="AD7" s="11"/>
      <c r="AE7" s="11"/>
      <c r="AF7" s="13" t="e">
        <f t="shared" si="4"/>
        <v>#DIV/0!</v>
      </c>
    </row>
    <row r="8" spans="1:32" x14ac:dyDescent="0.2">
      <c r="A8" s="7">
        <v>45119</v>
      </c>
      <c r="B8" s="11"/>
      <c r="C8" s="10"/>
      <c r="D8" s="10">
        <f t="shared" si="0"/>
        <v>0</v>
      </c>
      <c r="E8" s="10" t="e">
        <f t="shared" si="1"/>
        <v>#DIV/0!</v>
      </c>
      <c r="F8" s="39" t="e">
        <f t="shared" si="2"/>
        <v>#DIV/0!</v>
      </c>
      <c r="G8" s="4">
        <v>10</v>
      </c>
      <c r="H8" s="38" t="e">
        <f t="shared" si="3"/>
        <v>#DIV/0!</v>
      </c>
      <c r="J8" s="7">
        <v>45119</v>
      </c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C8" s="7">
        <v>45119</v>
      </c>
      <c r="AD8" s="11"/>
      <c r="AE8" s="11"/>
      <c r="AF8" s="13" t="e">
        <f t="shared" si="4"/>
        <v>#DIV/0!</v>
      </c>
    </row>
    <row r="9" spans="1:32" x14ac:dyDescent="0.2">
      <c r="A9" s="7">
        <v>45120</v>
      </c>
      <c r="B9" s="11"/>
      <c r="C9" s="10"/>
      <c r="D9" s="10">
        <f t="shared" si="0"/>
        <v>0</v>
      </c>
      <c r="E9" s="10" t="e">
        <f t="shared" si="1"/>
        <v>#DIV/0!</v>
      </c>
      <c r="F9" s="39" t="e">
        <f t="shared" si="2"/>
        <v>#DIV/0!</v>
      </c>
      <c r="G9" s="4">
        <v>10</v>
      </c>
      <c r="H9" s="38" t="e">
        <f t="shared" si="3"/>
        <v>#DIV/0!</v>
      </c>
      <c r="J9" s="7">
        <v>45120</v>
      </c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C9" s="7">
        <v>45120</v>
      </c>
      <c r="AD9" s="11"/>
      <c r="AE9" s="11"/>
      <c r="AF9" s="13" t="e">
        <f t="shared" si="4"/>
        <v>#DIV/0!</v>
      </c>
    </row>
    <row r="10" spans="1:32" x14ac:dyDescent="0.2">
      <c r="A10" s="7">
        <v>45121</v>
      </c>
      <c r="B10" s="11"/>
      <c r="C10" s="10"/>
      <c r="D10" s="10">
        <f t="shared" si="0"/>
        <v>0</v>
      </c>
      <c r="E10" s="10" t="e">
        <f t="shared" si="1"/>
        <v>#DIV/0!</v>
      </c>
      <c r="F10" s="39" t="e">
        <f t="shared" si="2"/>
        <v>#DIV/0!</v>
      </c>
      <c r="G10" s="4">
        <v>10</v>
      </c>
      <c r="H10" s="38" t="e">
        <f t="shared" si="3"/>
        <v>#DIV/0!</v>
      </c>
      <c r="J10" s="7">
        <v>45121</v>
      </c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C10" s="7">
        <v>45121</v>
      </c>
      <c r="AD10" s="11"/>
      <c r="AE10" s="11"/>
      <c r="AF10" s="13" t="e">
        <f t="shared" si="4"/>
        <v>#DIV/0!</v>
      </c>
    </row>
    <row r="11" spans="1:32" x14ac:dyDescent="0.2">
      <c r="A11" s="7">
        <v>45124</v>
      </c>
      <c r="B11" s="11"/>
      <c r="C11" s="10"/>
      <c r="D11" s="10">
        <f t="shared" si="0"/>
        <v>0</v>
      </c>
      <c r="E11" s="10" t="e">
        <f t="shared" si="1"/>
        <v>#DIV/0!</v>
      </c>
      <c r="F11" s="39" t="e">
        <f t="shared" si="2"/>
        <v>#DIV/0!</v>
      </c>
      <c r="G11" s="4">
        <v>10</v>
      </c>
      <c r="H11" s="38" t="e">
        <f t="shared" si="3"/>
        <v>#DIV/0!</v>
      </c>
      <c r="J11" s="7">
        <v>45124</v>
      </c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C11" s="7">
        <v>45124</v>
      </c>
      <c r="AD11" s="11"/>
      <c r="AE11" s="11"/>
      <c r="AF11" s="13" t="e">
        <f t="shared" si="4"/>
        <v>#DIV/0!</v>
      </c>
    </row>
    <row r="12" spans="1:32" x14ac:dyDescent="0.2">
      <c r="A12" s="7">
        <v>45125</v>
      </c>
      <c r="B12" s="11"/>
      <c r="C12" s="10"/>
      <c r="D12" s="10">
        <f t="shared" si="0"/>
        <v>0</v>
      </c>
      <c r="E12" s="10" t="e">
        <f t="shared" si="1"/>
        <v>#DIV/0!</v>
      </c>
      <c r="F12" s="39" t="e">
        <f t="shared" si="2"/>
        <v>#DIV/0!</v>
      </c>
      <c r="G12" s="4">
        <v>10</v>
      </c>
      <c r="H12" s="38" t="e">
        <f t="shared" si="3"/>
        <v>#DIV/0!</v>
      </c>
      <c r="J12" s="7">
        <v>45125</v>
      </c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C12" s="7">
        <v>45125</v>
      </c>
      <c r="AD12" s="11"/>
      <c r="AE12" s="11"/>
      <c r="AF12" s="13" t="e">
        <f t="shared" si="4"/>
        <v>#DIV/0!</v>
      </c>
    </row>
    <row r="13" spans="1:32" x14ac:dyDescent="0.2">
      <c r="A13" s="7">
        <v>45126</v>
      </c>
      <c r="B13" s="11"/>
      <c r="C13" s="10"/>
      <c r="D13" s="10">
        <f t="shared" si="0"/>
        <v>0</v>
      </c>
      <c r="E13" s="10" t="e">
        <f t="shared" si="1"/>
        <v>#DIV/0!</v>
      </c>
      <c r="F13" s="39" t="e">
        <f t="shared" si="2"/>
        <v>#DIV/0!</v>
      </c>
      <c r="G13" s="4">
        <v>10</v>
      </c>
      <c r="H13" s="38" t="e">
        <f t="shared" si="3"/>
        <v>#DIV/0!</v>
      </c>
      <c r="J13" s="7">
        <v>45126</v>
      </c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C13" s="7">
        <v>45126</v>
      </c>
      <c r="AD13" s="11"/>
      <c r="AE13" s="11"/>
      <c r="AF13" s="13" t="e">
        <f t="shared" si="4"/>
        <v>#DIV/0!</v>
      </c>
    </row>
    <row r="14" spans="1:32" x14ac:dyDescent="0.2">
      <c r="A14" s="7">
        <v>45127</v>
      </c>
      <c r="B14" s="11"/>
      <c r="C14" s="10"/>
      <c r="D14" s="10">
        <f t="shared" si="0"/>
        <v>0</v>
      </c>
      <c r="E14" s="10" t="e">
        <f t="shared" si="1"/>
        <v>#DIV/0!</v>
      </c>
      <c r="F14" s="39" t="e">
        <f t="shared" si="2"/>
        <v>#DIV/0!</v>
      </c>
      <c r="G14" s="4">
        <v>10</v>
      </c>
      <c r="H14" s="38" t="e">
        <f t="shared" si="3"/>
        <v>#DIV/0!</v>
      </c>
      <c r="J14" s="7">
        <v>45127</v>
      </c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C14" s="7">
        <v>45127</v>
      </c>
      <c r="AD14" s="11"/>
      <c r="AE14" s="11"/>
      <c r="AF14" s="13" t="e">
        <f t="shared" si="4"/>
        <v>#DIV/0!</v>
      </c>
    </row>
    <row r="15" spans="1:32" x14ac:dyDescent="0.2">
      <c r="A15" s="7">
        <v>45128</v>
      </c>
      <c r="B15" s="11"/>
      <c r="C15" s="10"/>
      <c r="D15" s="10">
        <f t="shared" si="0"/>
        <v>0</v>
      </c>
      <c r="E15" s="10" t="e">
        <f t="shared" si="1"/>
        <v>#DIV/0!</v>
      </c>
      <c r="F15" s="39" t="e">
        <f t="shared" si="2"/>
        <v>#DIV/0!</v>
      </c>
      <c r="G15" s="4">
        <v>10</v>
      </c>
      <c r="H15" s="38" t="e">
        <f t="shared" si="3"/>
        <v>#DIV/0!</v>
      </c>
      <c r="J15" s="7">
        <v>45128</v>
      </c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C15" s="7">
        <v>45128</v>
      </c>
      <c r="AD15" s="11"/>
      <c r="AE15" s="11"/>
      <c r="AF15" s="13" t="e">
        <f t="shared" si="4"/>
        <v>#DIV/0!</v>
      </c>
    </row>
    <row r="16" spans="1:32" x14ac:dyDescent="0.2">
      <c r="A16" s="7">
        <v>45131</v>
      </c>
      <c r="B16" s="11"/>
      <c r="C16" s="10"/>
      <c r="D16" s="10">
        <f t="shared" si="0"/>
        <v>0</v>
      </c>
      <c r="E16" s="10" t="e">
        <f t="shared" si="1"/>
        <v>#DIV/0!</v>
      </c>
      <c r="F16" s="39" t="e">
        <f t="shared" si="2"/>
        <v>#DIV/0!</v>
      </c>
      <c r="G16" s="4">
        <v>10</v>
      </c>
      <c r="H16" s="38" t="e">
        <f t="shared" si="3"/>
        <v>#DIV/0!</v>
      </c>
      <c r="J16" s="7">
        <v>45131</v>
      </c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C16" s="7">
        <v>45131</v>
      </c>
      <c r="AD16" s="11"/>
      <c r="AE16" s="11"/>
      <c r="AF16" s="13" t="e">
        <f t="shared" si="4"/>
        <v>#DIV/0!</v>
      </c>
    </row>
    <row r="17" spans="1:32" x14ac:dyDescent="0.2">
      <c r="A17" s="7">
        <v>45132</v>
      </c>
      <c r="B17" s="11"/>
      <c r="C17" s="10"/>
      <c r="D17" s="10">
        <f t="shared" si="0"/>
        <v>0</v>
      </c>
      <c r="E17" s="10" t="e">
        <f t="shared" si="1"/>
        <v>#DIV/0!</v>
      </c>
      <c r="F17" s="39" t="e">
        <f t="shared" si="2"/>
        <v>#DIV/0!</v>
      </c>
      <c r="G17" s="4">
        <v>10</v>
      </c>
      <c r="H17" s="38" t="e">
        <f t="shared" si="3"/>
        <v>#DIV/0!</v>
      </c>
      <c r="J17" s="7">
        <v>45132</v>
      </c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C17" s="7">
        <v>45132</v>
      </c>
      <c r="AD17" s="11"/>
      <c r="AE17" s="11"/>
      <c r="AF17" s="13" t="e">
        <f t="shared" si="4"/>
        <v>#DIV/0!</v>
      </c>
    </row>
    <row r="18" spans="1:32" x14ac:dyDescent="0.2">
      <c r="A18" s="7">
        <v>45133</v>
      </c>
      <c r="B18" s="11"/>
      <c r="C18" s="10"/>
      <c r="D18" s="10">
        <f t="shared" si="0"/>
        <v>0</v>
      </c>
      <c r="E18" s="10" t="e">
        <f t="shared" si="1"/>
        <v>#DIV/0!</v>
      </c>
      <c r="F18" s="39" t="e">
        <f t="shared" si="2"/>
        <v>#DIV/0!</v>
      </c>
      <c r="G18" s="4">
        <v>10</v>
      </c>
      <c r="H18" s="38" t="e">
        <f t="shared" si="3"/>
        <v>#DIV/0!</v>
      </c>
      <c r="J18" s="7">
        <v>45133</v>
      </c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C18" s="7">
        <v>45133</v>
      </c>
      <c r="AD18" s="11"/>
      <c r="AE18" s="11"/>
      <c r="AF18" s="13" t="e">
        <f t="shared" si="4"/>
        <v>#DIV/0!</v>
      </c>
    </row>
    <row r="19" spans="1:32" x14ac:dyDescent="0.2">
      <c r="A19" s="7">
        <v>45134</v>
      </c>
      <c r="B19" s="11"/>
      <c r="C19" s="10"/>
      <c r="D19" s="10">
        <f t="shared" si="0"/>
        <v>0</v>
      </c>
      <c r="E19" s="10" t="e">
        <f t="shared" si="1"/>
        <v>#DIV/0!</v>
      </c>
      <c r="F19" s="39" t="e">
        <f t="shared" si="2"/>
        <v>#DIV/0!</v>
      </c>
      <c r="G19" s="4">
        <v>10</v>
      </c>
      <c r="H19" s="38" t="e">
        <f t="shared" si="3"/>
        <v>#DIV/0!</v>
      </c>
      <c r="J19" s="7">
        <v>45134</v>
      </c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C19" s="7">
        <v>45134</v>
      </c>
      <c r="AD19" s="11"/>
      <c r="AE19" s="11"/>
      <c r="AF19" s="13" t="e">
        <f t="shared" si="4"/>
        <v>#DIV/0!</v>
      </c>
    </row>
    <row r="20" spans="1:32" x14ac:dyDescent="0.2">
      <c r="A20" s="7">
        <v>45135</v>
      </c>
      <c r="B20" s="11"/>
      <c r="C20" s="10"/>
      <c r="D20" s="10">
        <f t="shared" si="0"/>
        <v>0</v>
      </c>
      <c r="E20" s="10" t="e">
        <f t="shared" si="1"/>
        <v>#DIV/0!</v>
      </c>
      <c r="F20" s="39" t="e">
        <f t="shared" si="2"/>
        <v>#DIV/0!</v>
      </c>
      <c r="G20" s="4">
        <v>10</v>
      </c>
      <c r="H20" s="38" t="e">
        <f t="shared" si="3"/>
        <v>#DIV/0!</v>
      </c>
      <c r="J20" s="7">
        <v>45135</v>
      </c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C20" s="7">
        <v>45135</v>
      </c>
      <c r="AD20" s="11"/>
      <c r="AE20" s="11"/>
      <c r="AF20" s="13" t="e">
        <f t="shared" si="4"/>
        <v>#DIV/0!</v>
      </c>
    </row>
    <row r="21" spans="1:32" x14ac:dyDescent="0.2">
      <c r="A21" s="7">
        <v>45138</v>
      </c>
      <c r="B21" s="11"/>
      <c r="C21" s="10"/>
      <c r="D21" s="10">
        <f t="shared" si="0"/>
        <v>0</v>
      </c>
      <c r="E21" s="10" t="e">
        <f t="shared" si="1"/>
        <v>#DIV/0!</v>
      </c>
      <c r="F21" s="39" t="e">
        <f t="shared" si="2"/>
        <v>#DIV/0!</v>
      </c>
      <c r="G21" s="4">
        <v>10</v>
      </c>
      <c r="H21" s="38" t="e">
        <f t="shared" si="3"/>
        <v>#DIV/0!</v>
      </c>
      <c r="J21" s="7">
        <v>45138</v>
      </c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C21" s="7">
        <v>45138</v>
      </c>
      <c r="AD21" s="11"/>
      <c r="AE21" s="11"/>
      <c r="AF21" s="13" t="e">
        <f t="shared" si="4"/>
        <v>#DIV/0!</v>
      </c>
    </row>
    <row r="22" spans="1:32" x14ac:dyDescent="0.2">
      <c r="A22" s="7" t="s">
        <v>9</v>
      </c>
      <c r="B22" s="11"/>
      <c r="C22" s="10"/>
      <c r="D22" s="10">
        <f>AVERAGE(D2:D21)</f>
        <v>0</v>
      </c>
      <c r="E22" s="10" t="e">
        <f>AVERAGE(E2:E21)</f>
        <v>#DIV/0!</v>
      </c>
      <c r="F22" s="39" t="e">
        <f t="shared" si="2"/>
        <v>#DIV/0!</v>
      </c>
      <c r="G22" s="4">
        <v>10</v>
      </c>
      <c r="H22" s="38" t="e">
        <f t="shared" si="3"/>
        <v>#DIV/0!</v>
      </c>
      <c r="J22" s="8" t="s">
        <v>9</v>
      </c>
      <c r="K22" s="11" t="e">
        <f t="shared" ref="K22:AA22" si="5">AVERAGE(K2:K21)</f>
        <v>#DIV/0!</v>
      </c>
      <c r="L22" s="11" t="e">
        <f t="shared" si="5"/>
        <v>#DIV/0!</v>
      </c>
      <c r="M22" s="11" t="e">
        <f t="shared" si="5"/>
        <v>#DIV/0!</v>
      </c>
      <c r="N22" s="11" t="e">
        <f t="shared" si="5"/>
        <v>#DIV/0!</v>
      </c>
      <c r="O22" s="11" t="e">
        <f t="shared" si="5"/>
        <v>#DIV/0!</v>
      </c>
      <c r="P22" s="11" t="e">
        <f t="shared" si="5"/>
        <v>#DIV/0!</v>
      </c>
      <c r="Q22" s="11" t="e">
        <f t="shared" si="5"/>
        <v>#DIV/0!</v>
      </c>
      <c r="R22" s="11" t="e">
        <f t="shared" si="5"/>
        <v>#DIV/0!</v>
      </c>
      <c r="S22" s="11" t="e">
        <f t="shared" si="5"/>
        <v>#DIV/0!</v>
      </c>
      <c r="T22" s="11" t="e">
        <f t="shared" si="5"/>
        <v>#DIV/0!</v>
      </c>
      <c r="U22" s="11" t="e">
        <f t="shared" si="5"/>
        <v>#DIV/0!</v>
      </c>
      <c r="V22" s="11" t="e">
        <f t="shared" si="5"/>
        <v>#DIV/0!</v>
      </c>
      <c r="W22" s="11" t="e">
        <f t="shared" si="5"/>
        <v>#DIV/0!</v>
      </c>
      <c r="X22" s="11" t="e">
        <f t="shared" si="5"/>
        <v>#DIV/0!</v>
      </c>
      <c r="Y22" s="11" t="e">
        <f t="shared" si="5"/>
        <v>#DIV/0!</v>
      </c>
      <c r="Z22" s="11" t="e">
        <f t="shared" si="5"/>
        <v>#DIV/0!</v>
      </c>
      <c r="AA22" s="11" t="e">
        <f t="shared" si="5"/>
        <v>#DIV/0!</v>
      </c>
      <c r="AC22" s="8" t="s">
        <v>9</v>
      </c>
      <c r="AD22" s="11" t="e">
        <f>AVERAGE(AD2:AD21)</f>
        <v>#DIV/0!</v>
      </c>
      <c r="AE22" s="11" t="e">
        <f>AVERAGE(AE2:AE21)</f>
        <v>#DIV/0!</v>
      </c>
      <c r="AF22" s="13" t="e">
        <f>AVERAGE(AF2:AF21)</f>
        <v>#DIV/0!</v>
      </c>
    </row>
    <row r="23" spans="1:32" x14ac:dyDescent="0.2">
      <c r="A23" s="3"/>
      <c r="C23" s="2"/>
      <c r="D23" s="2"/>
      <c r="E23" s="4"/>
      <c r="F23" s="4"/>
      <c r="G23" s="4"/>
      <c r="H23" s="38"/>
    </row>
    <row r="24" spans="1:32" x14ac:dyDescent="0.2">
      <c r="G24" s="4"/>
      <c r="H24" s="38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36F1-552B-4DB2-9125-772F1046F93F}">
  <dimension ref="A1:AF26"/>
  <sheetViews>
    <sheetView topLeftCell="E1" workbookViewId="0">
      <selection activeCell="P13" sqref="P13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7" width="9.140625" style="1"/>
    <col min="8" max="8" width="11.28515625" style="1" customWidth="1"/>
    <col min="9" max="29" width="9.140625" style="1"/>
    <col min="30" max="32" width="11.140625" style="1" customWidth="1"/>
    <col min="33" max="16384" width="9.140625" style="1"/>
  </cols>
  <sheetData>
    <row r="1" spans="1:32" ht="30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C1" s="5" t="s">
        <v>0</v>
      </c>
      <c r="AD1" s="12" t="s">
        <v>10</v>
      </c>
      <c r="AE1" s="12" t="s">
        <v>11</v>
      </c>
      <c r="AF1" s="12" t="s">
        <v>12</v>
      </c>
    </row>
    <row r="2" spans="1:32" x14ac:dyDescent="0.2">
      <c r="A2" s="7">
        <v>45139</v>
      </c>
      <c r="B2" s="11"/>
      <c r="C2" s="10"/>
      <c r="D2" s="10"/>
      <c r="E2" s="10" t="e">
        <f>D2/C2</f>
        <v>#DIV/0!</v>
      </c>
      <c r="F2" s="10" t="e">
        <f>E2/7.5</f>
        <v>#DIV/0!</v>
      </c>
      <c r="G2" s="4">
        <v>10</v>
      </c>
      <c r="H2" s="38" t="e">
        <f>F2/G2</f>
        <v>#DIV/0!</v>
      </c>
      <c r="J2" s="7">
        <v>45139</v>
      </c>
      <c r="K2" s="10"/>
      <c r="L2" s="11"/>
      <c r="M2" s="11"/>
      <c r="N2" s="11"/>
      <c r="O2" s="11"/>
      <c r="P2" s="11"/>
      <c r="Q2" s="11"/>
      <c r="R2" s="11"/>
      <c r="S2" s="10"/>
      <c r="T2" s="11"/>
      <c r="U2" s="11"/>
      <c r="V2" s="11"/>
      <c r="W2" s="11"/>
      <c r="X2" s="11"/>
      <c r="Y2" s="11"/>
      <c r="Z2" s="11"/>
      <c r="AA2" s="11"/>
      <c r="AC2" s="7">
        <v>45139</v>
      </c>
      <c r="AD2" s="11"/>
      <c r="AE2" s="11"/>
      <c r="AF2" s="13" t="e">
        <f t="shared" ref="AF2:AF24" si="0">(D2-AD2-AE2)/D2</f>
        <v>#DIV/0!</v>
      </c>
    </row>
    <row r="3" spans="1:32" x14ac:dyDescent="0.2">
      <c r="A3" s="7">
        <v>45140</v>
      </c>
      <c r="B3" s="11"/>
      <c r="C3" s="10"/>
      <c r="D3" s="10"/>
      <c r="E3" s="10" t="e">
        <f t="shared" ref="E3:E24" si="1">D3/C3</f>
        <v>#DIV/0!</v>
      </c>
      <c r="F3" s="10" t="e">
        <f t="shared" ref="F3:F25" si="2">E3/7.5</f>
        <v>#DIV/0!</v>
      </c>
      <c r="G3" s="4">
        <v>10</v>
      </c>
      <c r="H3" s="38" t="e">
        <f t="shared" ref="H3:H25" si="3">F3/G3</f>
        <v>#DIV/0!</v>
      </c>
      <c r="J3" s="7">
        <v>45140</v>
      </c>
      <c r="K3" s="10"/>
      <c r="L3" s="11"/>
      <c r="M3" s="11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C3" s="7">
        <v>45140</v>
      </c>
      <c r="AD3" s="11"/>
      <c r="AE3" s="11"/>
      <c r="AF3" s="13" t="e">
        <f t="shared" si="0"/>
        <v>#DIV/0!</v>
      </c>
    </row>
    <row r="4" spans="1:32" x14ac:dyDescent="0.2">
      <c r="A4" s="7">
        <v>45141</v>
      </c>
      <c r="B4" s="11"/>
      <c r="C4" s="10"/>
      <c r="D4" s="10"/>
      <c r="E4" s="10" t="e">
        <f t="shared" si="1"/>
        <v>#DIV/0!</v>
      </c>
      <c r="F4" s="10" t="e">
        <f t="shared" si="2"/>
        <v>#DIV/0!</v>
      </c>
      <c r="G4" s="4">
        <v>10</v>
      </c>
      <c r="H4" s="38" t="e">
        <f t="shared" si="3"/>
        <v>#DIV/0!</v>
      </c>
      <c r="J4" s="7">
        <v>45141</v>
      </c>
      <c r="K4" s="10"/>
      <c r="L4" s="11"/>
      <c r="M4" s="11"/>
      <c r="N4" s="11"/>
      <c r="O4" s="11"/>
      <c r="P4" s="11"/>
      <c r="Q4" s="11"/>
      <c r="R4" s="11"/>
      <c r="S4" s="10"/>
      <c r="T4" s="11"/>
      <c r="U4" s="11"/>
      <c r="V4" s="11"/>
      <c r="W4" s="11"/>
      <c r="X4" s="11"/>
      <c r="Y4" s="11"/>
      <c r="Z4" s="11"/>
      <c r="AA4" s="11"/>
      <c r="AC4" s="7">
        <v>45141</v>
      </c>
      <c r="AD4" s="11"/>
      <c r="AE4" s="11"/>
      <c r="AF4" s="13" t="e">
        <f t="shared" si="0"/>
        <v>#DIV/0!</v>
      </c>
    </row>
    <row r="5" spans="1:32" x14ac:dyDescent="0.2">
      <c r="A5" s="7">
        <v>45142</v>
      </c>
      <c r="B5" s="11"/>
      <c r="C5" s="10"/>
      <c r="D5" s="10"/>
      <c r="E5" s="10" t="e">
        <f t="shared" si="1"/>
        <v>#DIV/0!</v>
      </c>
      <c r="F5" s="10" t="e">
        <f t="shared" si="2"/>
        <v>#DIV/0!</v>
      </c>
      <c r="G5" s="4">
        <v>10</v>
      </c>
      <c r="H5" s="38" t="e">
        <f t="shared" si="3"/>
        <v>#DIV/0!</v>
      </c>
      <c r="J5" s="7">
        <v>45142</v>
      </c>
      <c r="K5" s="10"/>
      <c r="L5" s="11"/>
      <c r="M5" s="11"/>
      <c r="N5" s="11"/>
      <c r="O5" s="11"/>
      <c r="P5" s="11"/>
      <c r="Q5" s="11"/>
      <c r="R5" s="11"/>
      <c r="S5" s="10"/>
      <c r="T5" s="11"/>
      <c r="U5" s="11"/>
      <c r="V5" s="11"/>
      <c r="W5" s="11"/>
      <c r="X5" s="11"/>
      <c r="Y5" s="11"/>
      <c r="Z5" s="11"/>
      <c r="AA5" s="11"/>
      <c r="AC5" s="7">
        <v>45142</v>
      </c>
      <c r="AD5" s="11"/>
      <c r="AE5" s="11"/>
      <c r="AF5" s="13" t="e">
        <f t="shared" si="0"/>
        <v>#DIV/0!</v>
      </c>
    </row>
    <row r="6" spans="1:32" x14ac:dyDescent="0.2">
      <c r="A6" s="7">
        <v>45145</v>
      </c>
      <c r="B6" s="11"/>
      <c r="C6" s="10"/>
      <c r="D6" s="10"/>
      <c r="E6" s="10" t="e">
        <f t="shared" si="1"/>
        <v>#DIV/0!</v>
      </c>
      <c r="F6" s="10" t="e">
        <f t="shared" si="2"/>
        <v>#DIV/0!</v>
      </c>
      <c r="G6" s="4">
        <v>10</v>
      </c>
      <c r="H6" s="38" t="e">
        <f t="shared" si="3"/>
        <v>#DIV/0!</v>
      </c>
      <c r="J6" s="7">
        <v>45145</v>
      </c>
      <c r="K6" s="10"/>
      <c r="L6" s="11"/>
      <c r="M6" s="11"/>
      <c r="N6" s="11"/>
      <c r="O6" s="11"/>
      <c r="P6" s="11"/>
      <c r="Q6" s="11"/>
      <c r="R6" s="11"/>
      <c r="S6" s="10"/>
      <c r="T6" s="11"/>
      <c r="U6" s="11"/>
      <c r="V6" s="11"/>
      <c r="W6" s="11"/>
      <c r="X6" s="11"/>
      <c r="Y6" s="11"/>
      <c r="Z6" s="11"/>
      <c r="AA6" s="11"/>
      <c r="AC6" s="7">
        <v>45145</v>
      </c>
      <c r="AD6" s="11"/>
      <c r="AE6" s="11"/>
      <c r="AF6" s="13" t="e">
        <f t="shared" si="0"/>
        <v>#DIV/0!</v>
      </c>
    </row>
    <row r="7" spans="1:32" x14ac:dyDescent="0.2">
      <c r="A7" s="7">
        <v>45146</v>
      </c>
      <c r="B7" s="11"/>
      <c r="C7" s="10"/>
      <c r="D7" s="10"/>
      <c r="E7" s="10" t="e">
        <f t="shared" si="1"/>
        <v>#DIV/0!</v>
      </c>
      <c r="F7" s="10" t="e">
        <f t="shared" si="2"/>
        <v>#DIV/0!</v>
      </c>
      <c r="G7" s="4">
        <v>10</v>
      </c>
      <c r="H7" s="38" t="e">
        <f t="shared" si="3"/>
        <v>#DIV/0!</v>
      </c>
      <c r="J7" s="7">
        <v>45146</v>
      </c>
      <c r="K7" s="10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  <c r="Z7" s="11"/>
      <c r="AA7" s="11"/>
      <c r="AC7" s="7">
        <v>45146</v>
      </c>
      <c r="AD7" s="11"/>
      <c r="AE7" s="11"/>
      <c r="AF7" s="13" t="e">
        <f t="shared" si="0"/>
        <v>#DIV/0!</v>
      </c>
    </row>
    <row r="8" spans="1:32" x14ac:dyDescent="0.2">
      <c r="A8" s="7">
        <v>503</v>
      </c>
      <c r="B8" s="11"/>
      <c r="C8" s="10"/>
      <c r="D8" s="10"/>
      <c r="E8" s="10" t="e">
        <f t="shared" si="1"/>
        <v>#DIV/0!</v>
      </c>
      <c r="F8" s="10" t="e">
        <f t="shared" si="2"/>
        <v>#DIV/0!</v>
      </c>
      <c r="G8" s="4">
        <v>10</v>
      </c>
      <c r="H8" s="38" t="e">
        <f t="shared" si="3"/>
        <v>#DIV/0!</v>
      </c>
      <c r="J8" s="7">
        <v>45147</v>
      </c>
      <c r="K8" s="10"/>
      <c r="L8" s="11"/>
      <c r="M8" s="11"/>
      <c r="N8" s="11"/>
      <c r="O8" s="11"/>
      <c r="P8" s="11"/>
      <c r="Q8" s="11"/>
      <c r="R8" s="11"/>
      <c r="S8" s="10"/>
      <c r="T8" s="11"/>
      <c r="U8" s="11"/>
      <c r="V8" s="11"/>
      <c r="W8" s="11"/>
      <c r="X8" s="11"/>
      <c r="Y8" s="11"/>
      <c r="Z8" s="11"/>
      <c r="AA8" s="11"/>
      <c r="AC8" s="7">
        <v>45147</v>
      </c>
      <c r="AD8" s="11"/>
      <c r="AE8" s="11"/>
      <c r="AF8" s="13" t="e">
        <f t="shared" si="0"/>
        <v>#DIV/0!</v>
      </c>
    </row>
    <row r="9" spans="1:32" x14ac:dyDescent="0.2">
      <c r="A9" s="7">
        <v>45148</v>
      </c>
      <c r="B9" s="11"/>
      <c r="C9" s="10"/>
      <c r="D9" s="10"/>
      <c r="E9" s="10" t="e">
        <f t="shared" si="1"/>
        <v>#DIV/0!</v>
      </c>
      <c r="F9" s="10" t="e">
        <f t="shared" si="2"/>
        <v>#DIV/0!</v>
      </c>
      <c r="G9" s="4">
        <v>10</v>
      </c>
      <c r="H9" s="38" t="e">
        <f t="shared" si="3"/>
        <v>#DIV/0!</v>
      </c>
      <c r="J9" s="7">
        <v>45148</v>
      </c>
      <c r="K9" s="10"/>
      <c r="L9" s="11"/>
      <c r="M9" s="11"/>
      <c r="N9" s="11"/>
      <c r="O9" s="11"/>
      <c r="P9" s="11"/>
      <c r="Q9" s="11"/>
      <c r="R9" s="11"/>
      <c r="S9" s="10"/>
      <c r="T9" s="11"/>
      <c r="U9" s="11"/>
      <c r="V9" s="11"/>
      <c r="W9" s="11"/>
      <c r="X9" s="11"/>
      <c r="Y9" s="11"/>
      <c r="Z9" s="11"/>
      <c r="AA9" s="11"/>
      <c r="AC9" s="7">
        <v>45148</v>
      </c>
      <c r="AD9" s="11"/>
      <c r="AE9" s="11"/>
      <c r="AF9" s="13" t="e">
        <f t="shared" si="0"/>
        <v>#DIV/0!</v>
      </c>
    </row>
    <row r="10" spans="1:32" x14ac:dyDescent="0.2">
      <c r="A10" s="7">
        <v>45149</v>
      </c>
      <c r="B10" s="11"/>
      <c r="C10" s="10"/>
      <c r="D10" s="10"/>
      <c r="E10" s="10" t="e">
        <f t="shared" si="1"/>
        <v>#DIV/0!</v>
      </c>
      <c r="F10" s="10" t="e">
        <f t="shared" si="2"/>
        <v>#DIV/0!</v>
      </c>
      <c r="G10" s="4">
        <v>10</v>
      </c>
      <c r="H10" s="38" t="e">
        <f t="shared" si="3"/>
        <v>#DIV/0!</v>
      </c>
      <c r="J10" s="7">
        <v>45149</v>
      </c>
      <c r="K10" s="10"/>
      <c r="L10" s="11"/>
      <c r="M10" s="11"/>
      <c r="N10" s="11"/>
      <c r="O10" s="11"/>
      <c r="P10" s="11"/>
      <c r="Q10" s="11"/>
      <c r="R10" s="11"/>
      <c r="S10" s="10"/>
      <c r="T10" s="11"/>
      <c r="U10" s="11"/>
      <c r="V10" s="11"/>
      <c r="W10" s="11"/>
      <c r="X10" s="11"/>
      <c r="Y10" s="11"/>
      <c r="Z10" s="11"/>
      <c r="AA10" s="11"/>
      <c r="AC10" s="7">
        <v>45149</v>
      </c>
      <c r="AD10" s="11"/>
      <c r="AE10" s="11"/>
      <c r="AF10" s="13" t="e">
        <f t="shared" si="0"/>
        <v>#DIV/0!</v>
      </c>
    </row>
    <row r="11" spans="1:32" x14ac:dyDescent="0.2">
      <c r="A11" s="7">
        <v>45152</v>
      </c>
      <c r="B11" s="11"/>
      <c r="C11" s="10"/>
      <c r="D11" s="10"/>
      <c r="E11" s="10" t="e">
        <f t="shared" si="1"/>
        <v>#DIV/0!</v>
      </c>
      <c r="F11" s="10" t="e">
        <f t="shared" si="2"/>
        <v>#DIV/0!</v>
      </c>
      <c r="G11" s="4">
        <v>10</v>
      </c>
      <c r="H11" s="38" t="e">
        <f t="shared" si="3"/>
        <v>#DIV/0!</v>
      </c>
      <c r="J11" s="7">
        <v>45152</v>
      </c>
      <c r="K11" s="10"/>
      <c r="L11" s="11"/>
      <c r="M11" s="11"/>
      <c r="N11" s="11"/>
      <c r="O11" s="11"/>
      <c r="P11" s="11"/>
      <c r="Q11" s="11"/>
      <c r="R11" s="11"/>
      <c r="S11" s="10"/>
      <c r="T11" s="11"/>
      <c r="U11" s="11"/>
      <c r="V11" s="11"/>
      <c r="W11" s="11"/>
      <c r="X11" s="11"/>
      <c r="Y11" s="11"/>
      <c r="Z11" s="11"/>
      <c r="AA11" s="11"/>
      <c r="AC11" s="7">
        <v>45152</v>
      </c>
      <c r="AD11" s="11"/>
      <c r="AE11" s="11"/>
      <c r="AF11" s="13" t="e">
        <f t="shared" si="0"/>
        <v>#DIV/0!</v>
      </c>
    </row>
    <row r="12" spans="1:32" x14ac:dyDescent="0.2">
      <c r="A12" s="7">
        <v>45153</v>
      </c>
      <c r="B12" s="11"/>
      <c r="C12" s="10"/>
      <c r="D12" s="10"/>
      <c r="E12" s="10" t="e">
        <f t="shared" si="1"/>
        <v>#DIV/0!</v>
      </c>
      <c r="F12" s="10" t="e">
        <f t="shared" si="2"/>
        <v>#DIV/0!</v>
      </c>
      <c r="G12" s="4">
        <v>10</v>
      </c>
      <c r="H12" s="38" t="e">
        <f t="shared" si="3"/>
        <v>#DIV/0!</v>
      </c>
      <c r="J12" s="7">
        <v>45153</v>
      </c>
      <c r="K12" s="10"/>
      <c r="L12" s="11"/>
      <c r="M12" s="11"/>
      <c r="N12" s="11"/>
      <c r="O12" s="11"/>
      <c r="P12" s="11"/>
      <c r="Q12" s="11"/>
      <c r="R12" s="11"/>
      <c r="S12" s="10"/>
      <c r="T12" s="11"/>
      <c r="U12" s="11"/>
      <c r="V12" s="11"/>
      <c r="W12" s="11"/>
      <c r="X12" s="11"/>
      <c r="Y12" s="11"/>
      <c r="Z12" s="11"/>
      <c r="AA12" s="11"/>
      <c r="AC12" s="7">
        <v>45153</v>
      </c>
      <c r="AD12" s="11"/>
      <c r="AE12" s="11"/>
      <c r="AF12" s="13" t="e">
        <f t="shared" si="0"/>
        <v>#DIV/0!</v>
      </c>
    </row>
    <row r="13" spans="1:32" x14ac:dyDescent="0.2">
      <c r="A13" s="7">
        <v>45154</v>
      </c>
      <c r="B13" s="11"/>
      <c r="C13" s="10"/>
      <c r="D13" s="10"/>
      <c r="E13" s="10" t="e">
        <f t="shared" si="1"/>
        <v>#DIV/0!</v>
      </c>
      <c r="F13" s="10" t="e">
        <f t="shared" si="2"/>
        <v>#DIV/0!</v>
      </c>
      <c r="G13" s="4">
        <v>10</v>
      </c>
      <c r="H13" s="38" t="e">
        <f t="shared" si="3"/>
        <v>#DIV/0!</v>
      </c>
      <c r="J13" s="7">
        <v>45154</v>
      </c>
      <c r="K13" s="10"/>
      <c r="L13" s="11"/>
      <c r="M13" s="11"/>
      <c r="N13" s="11"/>
      <c r="O13" s="11"/>
      <c r="P13" s="11"/>
      <c r="Q13" s="11"/>
      <c r="R13" s="11"/>
      <c r="S13" s="10"/>
      <c r="T13" s="11"/>
      <c r="U13" s="11"/>
      <c r="V13" s="11"/>
      <c r="W13" s="11"/>
      <c r="X13" s="11"/>
      <c r="Y13" s="11"/>
      <c r="Z13" s="11"/>
      <c r="AA13" s="11"/>
      <c r="AC13" s="7">
        <v>45154</v>
      </c>
      <c r="AD13" s="11"/>
      <c r="AE13" s="11"/>
      <c r="AF13" s="13" t="e">
        <f t="shared" si="0"/>
        <v>#DIV/0!</v>
      </c>
    </row>
    <row r="14" spans="1:32" x14ac:dyDescent="0.2">
      <c r="A14" s="7">
        <v>45155</v>
      </c>
      <c r="B14" s="11"/>
      <c r="C14" s="10"/>
      <c r="D14" s="10"/>
      <c r="E14" s="10" t="e">
        <f t="shared" si="1"/>
        <v>#DIV/0!</v>
      </c>
      <c r="F14" s="10" t="e">
        <f t="shared" si="2"/>
        <v>#DIV/0!</v>
      </c>
      <c r="G14" s="4">
        <v>10</v>
      </c>
      <c r="H14" s="38" t="e">
        <f t="shared" si="3"/>
        <v>#DIV/0!</v>
      </c>
      <c r="J14" s="7">
        <v>45155</v>
      </c>
      <c r="K14" s="10"/>
      <c r="L14" s="11"/>
      <c r="M14" s="11"/>
      <c r="N14" s="11"/>
      <c r="O14" s="11"/>
      <c r="P14" s="11"/>
      <c r="Q14" s="11"/>
      <c r="R14" s="11"/>
      <c r="S14" s="10"/>
      <c r="T14" s="11"/>
      <c r="U14" s="11"/>
      <c r="V14" s="11"/>
      <c r="W14" s="11"/>
      <c r="X14" s="11"/>
      <c r="Y14" s="11"/>
      <c r="Z14" s="11"/>
      <c r="AA14" s="11"/>
      <c r="AC14" s="7">
        <v>45155</v>
      </c>
      <c r="AD14" s="11"/>
      <c r="AE14" s="11"/>
      <c r="AF14" s="13" t="e">
        <f t="shared" si="0"/>
        <v>#DIV/0!</v>
      </c>
    </row>
    <row r="15" spans="1:32" x14ac:dyDescent="0.2">
      <c r="A15" s="7">
        <v>45156</v>
      </c>
      <c r="B15" s="11"/>
      <c r="C15" s="10"/>
      <c r="D15" s="10"/>
      <c r="E15" s="10" t="e">
        <f t="shared" si="1"/>
        <v>#DIV/0!</v>
      </c>
      <c r="F15" s="10" t="e">
        <f t="shared" si="2"/>
        <v>#DIV/0!</v>
      </c>
      <c r="G15" s="4">
        <v>10</v>
      </c>
      <c r="H15" s="38" t="e">
        <f t="shared" si="3"/>
        <v>#DIV/0!</v>
      </c>
      <c r="J15" s="7">
        <v>45156</v>
      </c>
      <c r="K15" s="10"/>
      <c r="L15" s="11"/>
      <c r="M15" s="11"/>
      <c r="N15" s="11"/>
      <c r="O15" s="11"/>
      <c r="P15" s="11"/>
      <c r="Q15" s="11"/>
      <c r="R15" s="11"/>
      <c r="S15" s="10"/>
      <c r="T15" s="11"/>
      <c r="U15" s="11"/>
      <c r="V15" s="11"/>
      <c r="W15" s="11"/>
      <c r="X15" s="11"/>
      <c r="Y15" s="11"/>
      <c r="Z15" s="11"/>
      <c r="AA15" s="11"/>
      <c r="AC15" s="7">
        <v>45156</v>
      </c>
      <c r="AD15" s="11"/>
      <c r="AE15" s="11"/>
      <c r="AF15" s="13" t="e">
        <f t="shared" si="0"/>
        <v>#DIV/0!</v>
      </c>
    </row>
    <row r="16" spans="1:32" x14ac:dyDescent="0.2">
      <c r="A16" s="7">
        <v>45159</v>
      </c>
      <c r="B16" s="11"/>
      <c r="C16" s="10"/>
      <c r="D16" s="10"/>
      <c r="E16" s="10" t="e">
        <f t="shared" si="1"/>
        <v>#DIV/0!</v>
      </c>
      <c r="F16" s="10" t="e">
        <f t="shared" si="2"/>
        <v>#DIV/0!</v>
      </c>
      <c r="G16" s="4">
        <v>10</v>
      </c>
      <c r="H16" s="38" t="e">
        <f t="shared" si="3"/>
        <v>#DIV/0!</v>
      </c>
      <c r="J16" s="7">
        <v>45159</v>
      </c>
      <c r="K16" s="10"/>
      <c r="L16" s="11"/>
      <c r="M16" s="11"/>
      <c r="N16" s="11"/>
      <c r="O16" s="11"/>
      <c r="P16" s="11"/>
      <c r="Q16" s="11"/>
      <c r="R16" s="11"/>
      <c r="S16" s="10"/>
      <c r="T16" s="11"/>
      <c r="U16" s="11"/>
      <c r="V16" s="11"/>
      <c r="W16" s="11"/>
      <c r="X16" s="11"/>
      <c r="Y16" s="11"/>
      <c r="Z16" s="11"/>
      <c r="AA16" s="11"/>
      <c r="AC16" s="7">
        <v>45159</v>
      </c>
      <c r="AD16" s="11"/>
      <c r="AE16" s="11"/>
      <c r="AF16" s="13" t="e">
        <f t="shared" si="0"/>
        <v>#DIV/0!</v>
      </c>
    </row>
    <row r="17" spans="1:32" x14ac:dyDescent="0.2">
      <c r="A17" s="7">
        <v>45160</v>
      </c>
      <c r="B17" s="11"/>
      <c r="C17" s="10"/>
      <c r="D17" s="10"/>
      <c r="E17" s="10" t="e">
        <f t="shared" si="1"/>
        <v>#DIV/0!</v>
      </c>
      <c r="F17" s="10" t="e">
        <f t="shared" si="2"/>
        <v>#DIV/0!</v>
      </c>
      <c r="G17" s="4">
        <v>10</v>
      </c>
      <c r="H17" s="38" t="e">
        <f t="shared" si="3"/>
        <v>#DIV/0!</v>
      </c>
      <c r="J17" s="7">
        <v>45160</v>
      </c>
      <c r="K17" s="10"/>
      <c r="L17" s="11"/>
      <c r="M17" s="11"/>
      <c r="N17" s="11"/>
      <c r="O17" s="11"/>
      <c r="P17" s="11"/>
      <c r="Q17" s="11"/>
      <c r="R17" s="11"/>
      <c r="S17" s="10"/>
      <c r="T17" s="11"/>
      <c r="U17" s="11"/>
      <c r="V17" s="11"/>
      <c r="W17" s="11"/>
      <c r="X17" s="11"/>
      <c r="Y17" s="11"/>
      <c r="Z17" s="11"/>
      <c r="AA17" s="11"/>
      <c r="AC17" s="7">
        <v>45160</v>
      </c>
      <c r="AD17" s="11"/>
      <c r="AE17" s="11"/>
      <c r="AF17" s="13" t="e">
        <f t="shared" si="0"/>
        <v>#DIV/0!</v>
      </c>
    </row>
    <row r="18" spans="1:32" x14ac:dyDescent="0.2">
      <c r="A18" s="7">
        <v>45161</v>
      </c>
      <c r="B18" s="11"/>
      <c r="C18" s="10"/>
      <c r="D18" s="10"/>
      <c r="E18" s="10" t="e">
        <f t="shared" si="1"/>
        <v>#DIV/0!</v>
      </c>
      <c r="F18" s="10" t="e">
        <f t="shared" si="2"/>
        <v>#DIV/0!</v>
      </c>
      <c r="G18" s="4">
        <v>10</v>
      </c>
      <c r="H18" s="38" t="e">
        <f t="shared" si="3"/>
        <v>#DIV/0!</v>
      </c>
      <c r="J18" s="7">
        <v>45161</v>
      </c>
      <c r="K18" s="10"/>
      <c r="L18" s="11"/>
      <c r="M18" s="11"/>
      <c r="N18" s="11"/>
      <c r="O18" s="11"/>
      <c r="P18" s="11"/>
      <c r="Q18" s="11"/>
      <c r="R18" s="11"/>
      <c r="S18" s="10"/>
      <c r="T18" s="11"/>
      <c r="U18" s="11"/>
      <c r="V18" s="11"/>
      <c r="W18" s="11"/>
      <c r="X18" s="11"/>
      <c r="Y18" s="11"/>
      <c r="Z18" s="11"/>
      <c r="AA18" s="11"/>
      <c r="AC18" s="7">
        <v>45161</v>
      </c>
      <c r="AD18" s="11"/>
      <c r="AE18" s="11"/>
      <c r="AF18" s="13" t="e">
        <f t="shared" si="0"/>
        <v>#DIV/0!</v>
      </c>
    </row>
    <row r="19" spans="1:32" x14ac:dyDescent="0.2">
      <c r="A19" s="7">
        <v>45162</v>
      </c>
      <c r="B19" s="11"/>
      <c r="C19" s="10"/>
      <c r="D19" s="10"/>
      <c r="E19" s="10" t="e">
        <f t="shared" si="1"/>
        <v>#DIV/0!</v>
      </c>
      <c r="F19" s="10" t="e">
        <f t="shared" si="2"/>
        <v>#DIV/0!</v>
      </c>
      <c r="G19" s="4">
        <v>10</v>
      </c>
      <c r="H19" s="38" t="e">
        <f t="shared" si="3"/>
        <v>#DIV/0!</v>
      </c>
      <c r="J19" s="7">
        <v>45162</v>
      </c>
      <c r="K19" s="10"/>
      <c r="L19" s="11"/>
      <c r="M19" s="11"/>
      <c r="N19" s="11"/>
      <c r="O19" s="11"/>
      <c r="P19" s="11"/>
      <c r="Q19" s="11"/>
      <c r="R19" s="11"/>
      <c r="S19" s="10"/>
      <c r="T19" s="11"/>
      <c r="U19" s="11"/>
      <c r="V19" s="11"/>
      <c r="W19" s="11"/>
      <c r="X19" s="11"/>
      <c r="Y19" s="11"/>
      <c r="Z19" s="11"/>
      <c r="AA19" s="11"/>
      <c r="AC19" s="7">
        <v>45162</v>
      </c>
      <c r="AD19" s="11"/>
      <c r="AE19" s="11"/>
      <c r="AF19" s="13" t="e">
        <f t="shared" si="0"/>
        <v>#DIV/0!</v>
      </c>
    </row>
    <row r="20" spans="1:32" x14ac:dyDescent="0.2">
      <c r="A20" s="7">
        <v>45163</v>
      </c>
      <c r="B20" s="11"/>
      <c r="C20" s="10"/>
      <c r="D20" s="10"/>
      <c r="E20" s="10" t="e">
        <f t="shared" si="1"/>
        <v>#DIV/0!</v>
      </c>
      <c r="F20" s="10" t="e">
        <f t="shared" si="2"/>
        <v>#DIV/0!</v>
      </c>
      <c r="G20" s="4">
        <v>10</v>
      </c>
      <c r="H20" s="38" t="e">
        <f t="shared" si="3"/>
        <v>#DIV/0!</v>
      </c>
      <c r="J20" s="7">
        <v>45163</v>
      </c>
      <c r="K20" s="10"/>
      <c r="L20" s="11"/>
      <c r="M20" s="11"/>
      <c r="N20" s="11"/>
      <c r="O20" s="11"/>
      <c r="P20" s="11"/>
      <c r="Q20" s="11"/>
      <c r="R20" s="11"/>
      <c r="S20" s="10"/>
      <c r="T20" s="11"/>
      <c r="U20" s="11"/>
      <c r="V20" s="11"/>
      <c r="W20" s="11"/>
      <c r="X20" s="11"/>
      <c r="Y20" s="11"/>
      <c r="Z20" s="11"/>
      <c r="AA20" s="11"/>
      <c r="AC20" s="7">
        <v>45163</v>
      </c>
      <c r="AD20" s="11"/>
      <c r="AE20" s="11"/>
      <c r="AF20" s="13" t="e">
        <f t="shared" si="0"/>
        <v>#DIV/0!</v>
      </c>
    </row>
    <row r="21" spans="1:32" x14ac:dyDescent="0.2">
      <c r="A21" s="7">
        <v>45166</v>
      </c>
      <c r="B21" s="11"/>
      <c r="C21" s="10"/>
      <c r="D21" s="10"/>
      <c r="E21" s="10" t="e">
        <f t="shared" ref="E21:E22" si="4">D21/C21</f>
        <v>#DIV/0!</v>
      </c>
      <c r="F21" s="10" t="e">
        <f t="shared" si="2"/>
        <v>#DIV/0!</v>
      </c>
      <c r="G21" s="4">
        <v>10</v>
      </c>
      <c r="H21" s="38" t="e">
        <f t="shared" si="3"/>
        <v>#DIV/0!</v>
      </c>
      <c r="J21" s="7">
        <v>45166</v>
      </c>
      <c r="K21" s="10"/>
      <c r="L21" s="11"/>
      <c r="M21" s="11"/>
      <c r="N21" s="11"/>
      <c r="O21" s="11"/>
      <c r="P21" s="11"/>
      <c r="Q21" s="11"/>
      <c r="R21" s="11"/>
      <c r="S21" s="10"/>
      <c r="T21" s="11"/>
      <c r="U21" s="11"/>
      <c r="V21" s="11"/>
      <c r="W21" s="11"/>
      <c r="X21" s="11"/>
      <c r="Y21" s="11"/>
      <c r="Z21" s="11"/>
      <c r="AA21" s="11"/>
      <c r="AC21" s="7">
        <v>45166</v>
      </c>
      <c r="AD21" s="11"/>
      <c r="AE21" s="11"/>
      <c r="AF21" s="13" t="e">
        <f t="shared" si="0"/>
        <v>#DIV/0!</v>
      </c>
    </row>
    <row r="22" spans="1:32" x14ac:dyDescent="0.2">
      <c r="A22" s="7">
        <v>45167</v>
      </c>
      <c r="B22" s="11"/>
      <c r="C22" s="10"/>
      <c r="D22" s="10"/>
      <c r="E22" s="10" t="e">
        <f t="shared" si="4"/>
        <v>#DIV/0!</v>
      </c>
      <c r="F22" s="10" t="e">
        <f t="shared" si="2"/>
        <v>#DIV/0!</v>
      </c>
      <c r="G22" s="4">
        <v>10</v>
      </c>
      <c r="H22" s="38" t="e">
        <f t="shared" si="3"/>
        <v>#DIV/0!</v>
      </c>
      <c r="J22" s="7">
        <v>45167</v>
      </c>
      <c r="K22" s="10"/>
      <c r="L22" s="11"/>
      <c r="M22" s="11"/>
      <c r="N22" s="11"/>
      <c r="O22" s="11"/>
      <c r="P22" s="11"/>
      <c r="Q22" s="11"/>
      <c r="R22" s="11"/>
      <c r="S22" s="10"/>
      <c r="T22" s="11"/>
      <c r="U22" s="11"/>
      <c r="V22" s="11"/>
      <c r="W22" s="11"/>
      <c r="X22" s="11"/>
      <c r="Y22" s="11"/>
      <c r="Z22" s="11"/>
      <c r="AA22" s="11"/>
      <c r="AC22" s="7">
        <v>45167</v>
      </c>
      <c r="AD22" s="11"/>
      <c r="AE22" s="11"/>
      <c r="AF22" s="13" t="e">
        <f t="shared" si="0"/>
        <v>#DIV/0!</v>
      </c>
    </row>
    <row r="23" spans="1:32" x14ac:dyDescent="0.2">
      <c r="A23" s="7">
        <v>45168</v>
      </c>
      <c r="B23" s="11"/>
      <c r="C23" s="10"/>
      <c r="D23" s="10"/>
      <c r="E23" s="10" t="e">
        <f t="shared" si="1"/>
        <v>#DIV/0!</v>
      </c>
      <c r="F23" s="10" t="e">
        <f t="shared" si="2"/>
        <v>#DIV/0!</v>
      </c>
      <c r="G23" s="4">
        <v>10</v>
      </c>
      <c r="H23" s="38" t="e">
        <f t="shared" si="3"/>
        <v>#DIV/0!</v>
      </c>
      <c r="J23" s="7">
        <v>45168</v>
      </c>
      <c r="K23" s="10"/>
      <c r="L23" s="11"/>
      <c r="M23" s="11"/>
      <c r="N23" s="11"/>
      <c r="O23" s="11"/>
      <c r="P23" s="11"/>
      <c r="Q23" s="11"/>
      <c r="R23" s="11"/>
      <c r="S23" s="10"/>
      <c r="T23" s="11"/>
      <c r="U23" s="11"/>
      <c r="V23" s="11"/>
      <c r="W23" s="11"/>
      <c r="X23" s="11"/>
      <c r="Y23" s="11"/>
      <c r="Z23" s="11"/>
      <c r="AA23" s="11"/>
      <c r="AC23" s="7">
        <v>45168</v>
      </c>
      <c r="AD23" s="11"/>
      <c r="AE23" s="11"/>
      <c r="AF23" s="13" t="e">
        <f t="shared" si="0"/>
        <v>#DIV/0!</v>
      </c>
    </row>
    <row r="24" spans="1:32" x14ac:dyDescent="0.2">
      <c r="A24" s="7">
        <v>45169</v>
      </c>
      <c r="B24" s="11"/>
      <c r="C24" s="10"/>
      <c r="D24" s="10"/>
      <c r="E24" s="10" t="e">
        <f t="shared" si="1"/>
        <v>#DIV/0!</v>
      </c>
      <c r="F24" s="10" t="e">
        <f t="shared" si="2"/>
        <v>#DIV/0!</v>
      </c>
      <c r="G24" s="4">
        <v>10</v>
      </c>
      <c r="H24" s="38" t="e">
        <f t="shared" si="3"/>
        <v>#DIV/0!</v>
      </c>
      <c r="J24" s="7">
        <v>45169</v>
      </c>
      <c r="K24" s="10"/>
      <c r="L24" s="11"/>
      <c r="M24" s="11"/>
      <c r="N24" s="11"/>
      <c r="O24" s="11"/>
      <c r="P24" s="11"/>
      <c r="Q24" s="11"/>
      <c r="R24" s="11"/>
      <c r="S24" s="10"/>
      <c r="T24" s="11"/>
      <c r="U24" s="11"/>
      <c r="V24" s="11"/>
      <c r="W24" s="11"/>
      <c r="X24" s="11"/>
      <c r="Y24" s="11"/>
      <c r="Z24" s="11"/>
      <c r="AA24" s="11"/>
      <c r="AC24" s="7">
        <v>45169</v>
      </c>
      <c r="AD24" s="11"/>
      <c r="AE24" s="11"/>
      <c r="AF24" s="13" t="e">
        <f t="shared" si="0"/>
        <v>#DIV/0!</v>
      </c>
    </row>
    <row r="25" spans="1:32" x14ac:dyDescent="0.2">
      <c r="A25" s="7" t="s">
        <v>9</v>
      </c>
      <c r="B25" s="11" t="e">
        <f>AVERAGE(B2:B24)</f>
        <v>#DIV/0!</v>
      </c>
      <c r="C25" s="10" t="e">
        <f>AVERAGE(C2:C24)</f>
        <v>#DIV/0!</v>
      </c>
      <c r="D25" s="10" t="e">
        <f>AVERAGE(D2:D24)</f>
        <v>#DIV/0!</v>
      </c>
      <c r="E25" s="10" t="e">
        <f>AVERAGE(E2:E24)</f>
        <v>#DIV/0!</v>
      </c>
      <c r="F25" s="10" t="e">
        <f t="shared" si="2"/>
        <v>#DIV/0!</v>
      </c>
      <c r="G25" s="4">
        <v>10</v>
      </c>
      <c r="H25" s="38" t="e">
        <f t="shared" si="3"/>
        <v>#DIV/0!</v>
      </c>
      <c r="J25" s="8" t="s">
        <v>9</v>
      </c>
      <c r="K25" s="11" t="e">
        <f t="shared" ref="K25:R25" si="5">AVERAGE(K2:K24)</f>
        <v>#DIV/0!</v>
      </c>
      <c r="L25" s="11" t="e">
        <f t="shared" si="5"/>
        <v>#DIV/0!</v>
      </c>
      <c r="M25" s="11" t="e">
        <f t="shared" si="5"/>
        <v>#DIV/0!</v>
      </c>
      <c r="N25" s="11" t="e">
        <f t="shared" si="5"/>
        <v>#DIV/0!</v>
      </c>
      <c r="O25" s="11" t="e">
        <f t="shared" si="5"/>
        <v>#DIV/0!</v>
      </c>
      <c r="P25" s="11" t="e">
        <f t="shared" si="5"/>
        <v>#DIV/0!</v>
      </c>
      <c r="Q25" s="11" t="e">
        <f t="shared" si="5"/>
        <v>#DIV/0!</v>
      </c>
      <c r="R25" s="11" t="e">
        <f t="shared" si="5"/>
        <v>#DIV/0!</v>
      </c>
      <c r="S25" s="11" t="e">
        <f t="shared" ref="S25:AA25" si="6">AVERAGE(S2:S24)</f>
        <v>#DIV/0!</v>
      </c>
      <c r="T25" s="11" t="e">
        <f t="shared" si="6"/>
        <v>#DIV/0!</v>
      </c>
      <c r="U25" s="11" t="e">
        <f t="shared" si="6"/>
        <v>#DIV/0!</v>
      </c>
      <c r="V25" s="11" t="e">
        <f t="shared" si="6"/>
        <v>#DIV/0!</v>
      </c>
      <c r="W25" s="11" t="e">
        <f t="shared" si="6"/>
        <v>#DIV/0!</v>
      </c>
      <c r="X25" s="11" t="e">
        <f t="shared" si="6"/>
        <v>#DIV/0!</v>
      </c>
      <c r="Y25" s="11" t="e">
        <f t="shared" si="6"/>
        <v>#DIV/0!</v>
      </c>
      <c r="Z25" s="11" t="e">
        <f t="shared" si="6"/>
        <v>#DIV/0!</v>
      </c>
      <c r="AA25" s="11" t="e">
        <f t="shared" si="6"/>
        <v>#DIV/0!</v>
      </c>
      <c r="AC25" s="8" t="s">
        <v>9</v>
      </c>
      <c r="AD25" s="11" t="e">
        <f t="shared" ref="AD25:AF25" si="7">AVERAGE(AD2:AD24)</f>
        <v>#DIV/0!</v>
      </c>
      <c r="AE25" s="11" t="e">
        <f t="shared" si="7"/>
        <v>#DIV/0!</v>
      </c>
      <c r="AF25" s="13" t="e">
        <f t="shared" si="7"/>
        <v>#DIV/0!</v>
      </c>
    </row>
    <row r="26" spans="1:32" x14ac:dyDescent="0.2">
      <c r="A26" s="3"/>
      <c r="C26" s="2"/>
      <c r="D26" s="2"/>
      <c r="E26" s="4"/>
      <c r="F26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22EE-2B5B-4001-8C7A-01064E8B1711}">
  <dimension ref="A1:AF25"/>
  <sheetViews>
    <sheetView topLeftCell="E1" workbookViewId="0">
      <selection activeCell="J30" sqref="J30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7" width="9.140625" style="1"/>
    <col min="8" max="8" width="11.28515625" style="1" customWidth="1"/>
    <col min="9" max="29" width="9.140625" style="1"/>
    <col min="30" max="32" width="11.140625" style="1" customWidth="1"/>
    <col min="33" max="16384" width="9.140625" style="1"/>
  </cols>
  <sheetData>
    <row r="1" spans="1:32" ht="30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C1" s="5" t="s">
        <v>0</v>
      </c>
      <c r="AD1" s="12" t="s">
        <v>10</v>
      </c>
      <c r="AE1" s="12" t="s">
        <v>11</v>
      </c>
      <c r="AF1" s="12" t="s">
        <v>12</v>
      </c>
    </row>
    <row r="2" spans="1:32" x14ac:dyDescent="0.2">
      <c r="A2" s="7">
        <v>37500</v>
      </c>
      <c r="B2" s="11"/>
      <c r="C2" s="10"/>
      <c r="D2" s="10"/>
      <c r="E2" s="10" t="e">
        <f>D2/C2</f>
        <v>#DIV/0!</v>
      </c>
      <c r="F2" s="10" t="e">
        <f>E2/7.5</f>
        <v>#DIV/0!</v>
      </c>
      <c r="G2" s="4">
        <v>10</v>
      </c>
      <c r="H2" s="38" t="e">
        <f>F2/G2</f>
        <v>#DIV/0!</v>
      </c>
      <c r="J2" s="7">
        <v>37500</v>
      </c>
      <c r="K2" s="10"/>
      <c r="L2" s="11"/>
      <c r="M2" s="11"/>
      <c r="N2" s="11"/>
      <c r="O2" s="11"/>
      <c r="P2" s="11"/>
      <c r="Q2" s="11"/>
      <c r="R2" s="11"/>
      <c r="S2" s="10"/>
      <c r="T2" s="11"/>
      <c r="U2" s="11"/>
      <c r="V2" s="11"/>
      <c r="W2" s="11"/>
      <c r="X2" s="11"/>
      <c r="Y2" s="11"/>
      <c r="Z2" s="11"/>
      <c r="AA2" s="11"/>
      <c r="AC2" s="7">
        <v>37500</v>
      </c>
      <c r="AD2" s="11"/>
      <c r="AE2" s="11"/>
      <c r="AF2" s="13" t="e">
        <f t="shared" ref="AF2:AF21" si="0">(D2-AD2-AE2)/D2</f>
        <v>#DIV/0!</v>
      </c>
    </row>
    <row r="3" spans="1:32" x14ac:dyDescent="0.2">
      <c r="A3" s="7">
        <v>45174</v>
      </c>
      <c r="B3" s="11"/>
      <c r="C3" s="10"/>
      <c r="D3" s="10"/>
      <c r="E3" s="10" t="e">
        <f t="shared" ref="E3:E21" si="1">D3/C3</f>
        <v>#DIV/0!</v>
      </c>
      <c r="F3" s="10" t="e">
        <f t="shared" ref="F3:F22" si="2">E3/7.5</f>
        <v>#DIV/0!</v>
      </c>
      <c r="G3" s="4">
        <v>10</v>
      </c>
      <c r="H3" s="38" t="e">
        <f t="shared" ref="H3:H22" si="3">F3/G3</f>
        <v>#DIV/0!</v>
      </c>
      <c r="J3" s="7">
        <v>45174</v>
      </c>
      <c r="K3" s="10"/>
      <c r="L3" s="11"/>
      <c r="M3" s="11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C3" s="7">
        <v>45174</v>
      </c>
      <c r="AD3" s="11"/>
      <c r="AE3" s="11"/>
      <c r="AF3" s="13" t="e">
        <f t="shared" si="0"/>
        <v>#DIV/0!</v>
      </c>
    </row>
    <row r="4" spans="1:32" x14ac:dyDescent="0.2">
      <c r="A4" s="7">
        <v>45175</v>
      </c>
      <c r="B4" s="11"/>
      <c r="C4" s="10"/>
      <c r="D4" s="10"/>
      <c r="E4" s="10" t="e">
        <f t="shared" si="1"/>
        <v>#DIV/0!</v>
      </c>
      <c r="F4" s="10" t="e">
        <f t="shared" si="2"/>
        <v>#DIV/0!</v>
      </c>
      <c r="G4" s="4">
        <v>10</v>
      </c>
      <c r="H4" s="38" t="e">
        <f t="shared" si="3"/>
        <v>#DIV/0!</v>
      </c>
      <c r="J4" s="7">
        <v>45175</v>
      </c>
      <c r="K4" s="10"/>
      <c r="L4" s="11"/>
      <c r="M4" s="11"/>
      <c r="N4" s="11"/>
      <c r="O4" s="11"/>
      <c r="P4" s="11"/>
      <c r="Q4" s="11"/>
      <c r="R4" s="11"/>
      <c r="S4" s="10"/>
      <c r="T4" s="11"/>
      <c r="U4" s="11"/>
      <c r="V4" s="11"/>
      <c r="W4" s="11"/>
      <c r="X4" s="11"/>
      <c r="Y4" s="11"/>
      <c r="Z4" s="11"/>
      <c r="AA4" s="11"/>
      <c r="AC4" s="7">
        <v>45175</v>
      </c>
      <c r="AD4" s="11"/>
      <c r="AE4" s="11"/>
      <c r="AF4" s="13" t="e">
        <f t="shared" si="0"/>
        <v>#DIV/0!</v>
      </c>
    </row>
    <row r="5" spans="1:32" x14ac:dyDescent="0.2">
      <c r="A5" s="7">
        <v>45176</v>
      </c>
      <c r="B5" s="11"/>
      <c r="C5" s="10"/>
      <c r="D5" s="10"/>
      <c r="E5" s="10" t="e">
        <f t="shared" si="1"/>
        <v>#DIV/0!</v>
      </c>
      <c r="F5" s="10" t="e">
        <f t="shared" si="2"/>
        <v>#DIV/0!</v>
      </c>
      <c r="G5" s="4">
        <v>10</v>
      </c>
      <c r="H5" s="38" t="e">
        <f t="shared" si="3"/>
        <v>#DIV/0!</v>
      </c>
      <c r="J5" s="7">
        <v>45176</v>
      </c>
      <c r="K5" s="10"/>
      <c r="L5" s="11"/>
      <c r="M5" s="11"/>
      <c r="N5" s="11"/>
      <c r="O5" s="11"/>
      <c r="P5" s="11"/>
      <c r="Q5" s="11"/>
      <c r="R5" s="11"/>
      <c r="S5" s="10"/>
      <c r="T5" s="11"/>
      <c r="U5" s="11"/>
      <c r="V5" s="11"/>
      <c r="W5" s="11"/>
      <c r="X5" s="11"/>
      <c r="Y5" s="11"/>
      <c r="Z5" s="11"/>
      <c r="AA5" s="11"/>
      <c r="AC5" s="7">
        <v>45176</v>
      </c>
      <c r="AD5" s="11"/>
      <c r="AE5" s="11"/>
      <c r="AF5" s="13" t="e">
        <f t="shared" si="0"/>
        <v>#DIV/0!</v>
      </c>
    </row>
    <row r="6" spans="1:32" x14ac:dyDescent="0.2">
      <c r="A6" s="7">
        <v>45177</v>
      </c>
      <c r="B6" s="11"/>
      <c r="C6" s="10"/>
      <c r="D6" s="10"/>
      <c r="E6" s="10" t="e">
        <f t="shared" si="1"/>
        <v>#DIV/0!</v>
      </c>
      <c r="F6" s="10" t="e">
        <f t="shared" si="2"/>
        <v>#DIV/0!</v>
      </c>
      <c r="G6" s="4">
        <v>10</v>
      </c>
      <c r="H6" s="38" t="e">
        <f t="shared" si="3"/>
        <v>#DIV/0!</v>
      </c>
      <c r="J6" s="7">
        <v>45177</v>
      </c>
      <c r="K6" s="10"/>
      <c r="L6" s="11"/>
      <c r="M6" s="11"/>
      <c r="N6" s="11"/>
      <c r="O6" s="11"/>
      <c r="P6" s="11"/>
      <c r="Q6" s="11"/>
      <c r="R6" s="11"/>
      <c r="S6" s="10"/>
      <c r="T6" s="11"/>
      <c r="U6" s="11"/>
      <c r="V6" s="11"/>
      <c r="W6" s="11"/>
      <c r="X6" s="11"/>
      <c r="Y6" s="11"/>
      <c r="Z6" s="11"/>
      <c r="AA6" s="11"/>
      <c r="AC6" s="7">
        <v>45177</v>
      </c>
      <c r="AD6" s="11"/>
      <c r="AE6" s="11"/>
      <c r="AF6" s="13" t="e">
        <f t="shared" si="0"/>
        <v>#DIV/0!</v>
      </c>
    </row>
    <row r="7" spans="1:32" x14ac:dyDescent="0.2">
      <c r="A7" s="7">
        <v>45180</v>
      </c>
      <c r="B7" s="11"/>
      <c r="C7" s="10"/>
      <c r="D7" s="10"/>
      <c r="E7" s="10" t="e">
        <f t="shared" si="1"/>
        <v>#DIV/0!</v>
      </c>
      <c r="F7" s="10" t="e">
        <f t="shared" si="2"/>
        <v>#DIV/0!</v>
      </c>
      <c r="G7" s="4">
        <v>10</v>
      </c>
      <c r="H7" s="38" t="e">
        <f t="shared" si="3"/>
        <v>#DIV/0!</v>
      </c>
      <c r="J7" s="7">
        <v>45180</v>
      </c>
      <c r="K7" s="10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  <c r="Z7" s="11"/>
      <c r="AA7" s="11"/>
      <c r="AC7" s="7">
        <v>45180</v>
      </c>
      <c r="AD7" s="11"/>
      <c r="AE7" s="11"/>
      <c r="AF7" s="13" t="e">
        <f t="shared" si="0"/>
        <v>#DIV/0!</v>
      </c>
    </row>
    <row r="8" spans="1:32" x14ac:dyDescent="0.2">
      <c r="A8" s="7">
        <v>45181</v>
      </c>
      <c r="B8" s="11"/>
      <c r="C8" s="10"/>
      <c r="D8" s="10"/>
      <c r="E8" s="10" t="e">
        <f t="shared" si="1"/>
        <v>#DIV/0!</v>
      </c>
      <c r="F8" s="10" t="e">
        <f t="shared" si="2"/>
        <v>#DIV/0!</v>
      </c>
      <c r="G8" s="4">
        <v>10</v>
      </c>
      <c r="H8" s="38" t="e">
        <f t="shared" si="3"/>
        <v>#DIV/0!</v>
      </c>
      <c r="J8" s="7">
        <v>45181</v>
      </c>
      <c r="K8" s="10"/>
      <c r="L8" s="11"/>
      <c r="M8" s="11"/>
      <c r="N8" s="11"/>
      <c r="O8" s="11"/>
      <c r="P8" s="11"/>
      <c r="Q8" s="11"/>
      <c r="R8" s="11"/>
      <c r="S8" s="10"/>
      <c r="T8" s="11"/>
      <c r="U8" s="11"/>
      <c r="V8" s="11"/>
      <c r="W8" s="11"/>
      <c r="X8" s="11"/>
      <c r="Y8" s="11"/>
      <c r="Z8" s="11"/>
      <c r="AA8" s="11"/>
      <c r="AC8" s="7">
        <v>45181</v>
      </c>
      <c r="AD8" s="11"/>
      <c r="AE8" s="11"/>
      <c r="AF8" s="13" t="e">
        <f t="shared" si="0"/>
        <v>#DIV/0!</v>
      </c>
    </row>
    <row r="9" spans="1:32" x14ac:dyDescent="0.2">
      <c r="A9" s="7">
        <v>45182</v>
      </c>
      <c r="B9" s="11"/>
      <c r="C9" s="10"/>
      <c r="D9" s="10"/>
      <c r="E9" s="10" t="e">
        <f t="shared" si="1"/>
        <v>#DIV/0!</v>
      </c>
      <c r="F9" s="10" t="e">
        <f t="shared" si="2"/>
        <v>#DIV/0!</v>
      </c>
      <c r="G9" s="4">
        <v>10</v>
      </c>
      <c r="H9" s="38" t="e">
        <f t="shared" si="3"/>
        <v>#DIV/0!</v>
      </c>
      <c r="J9" s="7">
        <v>45182</v>
      </c>
      <c r="K9" s="10"/>
      <c r="L9" s="11"/>
      <c r="M9" s="11"/>
      <c r="N9" s="11"/>
      <c r="O9" s="11"/>
      <c r="P9" s="11"/>
      <c r="Q9" s="11"/>
      <c r="R9" s="11"/>
      <c r="S9" s="10"/>
      <c r="T9" s="11"/>
      <c r="U9" s="11"/>
      <c r="V9" s="11"/>
      <c r="W9" s="11"/>
      <c r="X9" s="11"/>
      <c r="Y9" s="11"/>
      <c r="Z9" s="11"/>
      <c r="AA9" s="11"/>
      <c r="AC9" s="7">
        <v>45182</v>
      </c>
      <c r="AD9" s="11"/>
      <c r="AE9" s="11"/>
      <c r="AF9" s="13" t="e">
        <f t="shared" si="0"/>
        <v>#DIV/0!</v>
      </c>
    </row>
    <row r="10" spans="1:32" x14ac:dyDescent="0.2">
      <c r="A10" s="7">
        <v>45183</v>
      </c>
      <c r="B10" s="11"/>
      <c r="C10" s="10"/>
      <c r="D10" s="10"/>
      <c r="E10" s="10" t="e">
        <f t="shared" si="1"/>
        <v>#DIV/0!</v>
      </c>
      <c r="F10" s="10" t="e">
        <f t="shared" si="2"/>
        <v>#DIV/0!</v>
      </c>
      <c r="G10" s="4">
        <v>10</v>
      </c>
      <c r="H10" s="38" t="e">
        <f t="shared" si="3"/>
        <v>#DIV/0!</v>
      </c>
      <c r="J10" s="7">
        <v>45183</v>
      </c>
      <c r="K10" s="10"/>
      <c r="L10" s="11"/>
      <c r="M10" s="11"/>
      <c r="N10" s="11"/>
      <c r="O10" s="11"/>
      <c r="P10" s="11"/>
      <c r="Q10" s="11"/>
      <c r="R10" s="11"/>
      <c r="S10" s="10"/>
      <c r="T10" s="11"/>
      <c r="U10" s="11"/>
      <c r="V10" s="11"/>
      <c r="W10" s="11"/>
      <c r="X10" s="11"/>
      <c r="Y10" s="11"/>
      <c r="Z10" s="11"/>
      <c r="AA10" s="11"/>
      <c r="AC10" s="7">
        <v>45183</v>
      </c>
      <c r="AD10" s="11"/>
      <c r="AE10" s="11"/>
      <c r="AF10" s="13" t="e">
        <f t="shared" si="0"/>
        <v>#DIV/0!</v>
      </c>
    </row>
    <row r="11" spans="1:32" x14ac:dyDescent="0.2">
      <c r="A11" s="7">
        <v>45184</v>
      </c>
      <c r="B11" s="11"/>
      <c r="C11" s="10"/>
      <c r="D11" s="10"/>
      <c r="E11" s="10" t="e">
        <f t="shared" si="1"/>
        <v>#DIV/0!</v>
      </c>
      <c r="F11" s="10" t="e">
        <f t="shared" si="2"/>
        <v>#DIV/0!</v>
      </c>
      <c r="G11" s="4">
        <v>10</v>
      </c>
      <c r="H11" s="38" t="e">
        <f t="shared" si="3"/>
        <v>#DIV/0!</v>
      </c>
      <c r="J11" s="7">
        <v>45184</v>
      </c>
      <c r="K11" s="10"/>
      <c r="L11" s="11"/>
      <c r="M11" s="11"/>
      <c r="N11" s="11"/>
      <c r="O11" s="11"/>
      <c r="P11" s="11"/>
      <c r="Q11" s="11"/>
      <c r="R11" s="11"/>
      <c r="S11" s="10"/>
      <c r="T11" s="11"/>
      <c r="U11" s="11"/>
      <c r="V11" s="11"/>
      <c r="W11" s="11"/>
      <c r="X11" s="11"/>
      <c r="Y11" s="11"/>
      <c r="Z11" s="11"/>
      <c r="AA11" s="11"/>
      <c r="AC11" s="7">
        <v>45184</v>
      </c>
      <c r="AD11" s="11"/>
      <c r="AE11" s="11"/>
      <c r="AF11" s="13" t="e">
        <f t="shared" si="0"/>
        <v>#DIV/0!</v>
      </c>
    </row>
    <row r="12" spans="1:32" x14ac:dyDescent="0.2">
      <c r="A12" s="7">
        <v>45187</v>
      </c>
      <c r="B12" s="11"/>
      <c r="C12" s="10"/>
      <c r="D12" s="10"/>
      <c r="E12" s="10" t="e">
        <f t="shared" si="1"/>
        <v>#DIV/0!</v>
      </c>
      <c r="F12" s="10" t="e">
        <f t="shared" si="2"/>
        <v>#DIV/0!</v>
      </c>
      <c r="G12" s="4">
        <v>10</v>
      </c>
      <c r="H12" s="38" t="e">
        <f t="shared" si="3"/>
        <v>#DIV/0!</v>
      </c>
      <c r="J12" s="7">
        <v>45187</v>
      </c>
      <c r="K12" s="10"/>
      <c r="L12" s="11"/>
      <c r="M12" s="11"/>
      <c r="N12" s="11"/>
      <c r="O12" s="11"/>
      <c r="P12" s="11"/>
      <c r="Q12" s="11"/>
      <c r="R12" s="11"/>
      <c r="S12" s="10"/>
      <c r="T12" s="11"/>
      <c r="U12" s="11"/>
      <c r="V12" s="11"/>
      <c r="W12" s="11"/>
      <c r="X12" s="11"/>
      <c r="Y12" s="11"/>
      <c r="Z12" s="11"/>
      <c r="AA12" s="11"/>
      <c r="AC12" s="7">
        <v>45187</v>
      </c>
      <c r="AD12" s="11"/>
      <c r="AE12" s="11"/>
      <c r="AF12" s="13" t="e">
        <f t="shared" si="0"/>
        <v>#DIV/0!</v>
      </c>
    </row>
    <row r="13" spans="1:32" x14ac:dyDescent="0.2">
      <c r="A13" s="7">
        <v>45188</v>
      </c>
      <c r="B13" s="11"/>
      <c r="C13" s="10"/>
      <c r="D13" s="10"/>
      <c r="E13" s="10" t="e">
        <f t="shared" si="1"/>
        <v>#DIV/0!</v>
      </c>
      <c r="F13" s="10" t="e">
        <f t="shared" si="2"/>
        <v>#DIV/0!</v>
      </c>
      <c r="G13" s="4">
        <v>10</v>
      </c>
      <c r="H13" s="38" t="e">
        <f t="shared" si="3"/>
        <v>#DIV/0!</v>
      </c>
      <c r="J13" s="7">
        <v>45188</v>
      </c>
      <c r="K13" s="10"/>
      <c r="L13" s="11"/>
      <c r="M13" s="11"/>
      <c r="N13" s="11"/>
      <c r="O13" s="11"/>
      <c r="P13" s="11"/>
      <c r="Q13" s="11"/>
      <c r="R13" s="11"/>
      <c r="S13" s="10"/>
      <c r="T13" s="11"/>
      <c r="U13" s="11"/>
      <c r="V13" s="11"/>
      <c r="W13" s="11"/>
      <c r="X13" s="11"/>
      <c r="Y13" s="11"/>
      <c r="Z13" s="11"/>
      <c r="AA13" s="11"/>
      <c r="AC13" s="7">
        <v>45188</v>
      </c>
      <c r="AD13" s="11"/>
      <c r="AE13" s="11"/>
      <c r="AF13" s="13" t="e">
        <f t="shared" si="0"/>
        <v>#DIV/0!</v>
      </c>
    </row>
    <row r="14" spans="1:32" x14ac:dyDescent="0.2">
      <c r="A14" s="7">
        <v>45189</v>
      </c>
      <c r="B14" s="11"/>
      <c r="C14" s="10"/>
      <c r="D14" s="10"/>
      <c r="E14" s="10" t="e">
        <f t="shared" si="1"/>
        <v>#DIV/0!</v>
      </c>
      <c r="F14" s="10" t="e">
        <f t="shared" si="2"/>
        <v>#DIV/0!</v>
      </c>
      <c r="G14" s="4">
        <v>10</v>
      </c>
      <c r="H14" s="38" t="e">
        <f t="shared" si="3"/>
        <v>#DIV/0!</v>
      </c>
      <c r="J14" s="7">
        <v>45189</v>
      </c>
      <c r="K14" s="10"/>
      <c r="L14" s="11"/>
      <c r="M14" s="11"/>
      <c r="N14" s="11"/>
      <c r="O14" s="11"/>
      <c r="P14" s="11"/>
      <c r="Q14" s="11"/>
      <c r="R14" s="11"/>
      <c r="S14" s="10"/>
      <c r="T14" s="11"/>
      <c r="U14" s="11"/>
      <c r="V14" s="11"/>
      <c r="W14" s="11"/>
      <c r="X14" s="11"/>
      <c r="Y14" s="11"/>
      <c r="Z14" s="11"/>
      <c r="AA14" s="11"/>
      <c r="AC14" s="7">
        <v>45189</v>
      </c>
      <c r="AD14" s="11"/>
      <c r="AE14" s="11"/>
      <c r="AF14" s="13" t="e">
        <f t="shared" si="0"/>
        <v>#DIV/0!</v>
      </c>
    </row>
    <row r="15" spans="1:32" x14ac:dyDescent="0.2">
      <c r="A15" s="7">
        <v>45190</v>
      </c>
      <c r="B15" s="11"/>
      <c r="C15" s="10"/>
      <c r="D15" s="10"/>
      <c r="E15" s="10" t="e">
        <f t="shared" si="1"/>
        <v>#DIV/0!</v>
      </c>
      <c r="F15" s="10" t="e">
        <f t="shared" si="2"/>
        <v>#DIV/0!</v>
      </c>
      <c r="G15" s="4">
        <v>10</v>
      </c>
      <c r="H15" s="38" t="e">
        <f t="shared" si="3"/>
        <v>#DIV/0!</v>
      </c>
      <c r="J15" s="7">
        <v>45190</v>
      </c>
      <c r="K15" s="10"/>
      <c r="L15" s="11"/>
      <c r="M15" s="11"/>
      <c r="N15" s="11"/>
      <c r="O15" s="11"/>
      <c r="P15" s="11"/>
      <c r="Q15" s="11"/>
      <c r="R15" s="11"/>
      <c r="S15" s="10"/>
      <c r="T15" s="11"/>
      <c r="U15" s="11"/>
      <c r="V15" s="11"/>
      <c r="W15" s="11"/>
      <c r="X15" s="11"/>
      <c r="Y15" s="11"/>
      <c r="Z15" s="11"/>
      <c r="AA15" s="11"/>
      <c r="AC15" s="7">
        <v>45190</v>
      </c>
      <c r="AD15" s="11"/>
      <c r="AE15" s="11"/>
      <c r="AF15" s="13" t="e">
        <f t="shared" si="0"/>
        <v>#DIV/0!</v>
      </c>
    </row>
    <row r="16" spans="1:32" x14ac:dyDescent="0.2">
      <c r="A16" s="7">
        <v>45191</v>
      </c>
      <c r="B16" s="11"/>
      <c r="C16" s="10"/>
      <c r="D16" s="10"/>
      <c r="E16" s="10" t="e">
        <f t="shared" si="1"/>
        <v>#DIV/0!</v>
      </c>
      <c r="F16" s="10" t="e">
        <f t="shared" si="2"/>
        <v>#DIV/0!</v>
      </c>
      <c r="G16" s="4">
        <v>10</v>
      </c>
      <c r="H16" s="38" t="e">
        <f t="shared" si="3"/>
        <v>#DIV/0!</v>
      </c>
      <c r="J16" s="7">
        <v>45191</v>
      </c>
      <c r="K16" s="10"/>
      <c r="L16" s="11"/>
      <c r="M16" s="11"/>
      <c r="N16" s="11"/>
      <c r="O16" s="11"/>
      <c r="P16" s="11"/>
      <c r="Q16" s="11"/>
      <c r="R16" s="11"/>
      <c r="S16" s="10"/>
      <c r="T16" s="11"/>
      <c r="U16" s="11"/>
      <c r="V16" s="11"/>
      <c r="W16" s="11"/>
      <c r="X16" s="11"/>
      <c r="Y16" s="11"/>
      <c r="Z16" s="11"/>
      <c r="AA16" s="11"/>
      <c r="AC16" s="7">
        <v>45191</v>
      </c>
      <c r="AD16" s="11"/>
      <c r="AE16" s="11"/>
      <c r="AF16" s="13" t="e">
        <f t="shared" si="0"/>
        <v>#DIV/0!</v>
      </c>
    </row>
    <row r="17" spans="1:32" x14ac:dyDescent="0.2">
      <c r="A17" s="7">
        <v>45194</v>
      </c>
      <c r="B17" s="11"/>
      <c r="C17" s="10"/>
      <c r="D17" s="10"/>
      <c r="E17" s="10" t="e">
        <f t="shared" si="1"/>
        <v>#DIV/0!</v>
      </c>
      <c r="F17" s="10" t="e">
        <f t="shared" si="2"/>
        <v>#DIV/0!</v>
      </c>
      <c r="G17" s="4">
        <v>10</v>
      </c>
      <c r="H17" s="38" t="e">
        <f t="shared" si="3"/>
        <v>#DIV/0!</v>
      </c>
      <c r="J17" s="7">
        <v>45194</v>
      </c>
      <c r="K17" s="10"/>
      <c r="L17" s="11"/>
      <c r="M17" s="11"/>
      <c r="N17" s="11"/>
      <c r="O17" s="11"/>
      <c r="P17" s="11"/>
      <c r="Q17" s="11"/>
      <c r="R17" s="11"/>
      <c r="S17" s="10"/>
      <c r="T17" s="11"/>
      <c r="U17" s="11"/>
      <c r="V17" s="11"/>
      <c r="W17" s="11"/>
      <c r="X17" s="11"/>
      <c r="Y17" s="11"/>
      <c r="Z17" s="11"/>
      <c r="AA17" s="11"/>
      <c r="AC17" s="7">
        <v>45194</v>
      </c>
      <c r="AD17" s="11"/>
      <c r="AE17" s="11"/>
      <c r="AF17" s="13" t="e">
        <f t="shared" si="0"/>
        <v>#DIV/0!</v>
      </c>
    </row>
    <row r="18" spans="1:32" x14ac:dyDescent="0.2">
      <c r="A18" s="7">
        <v>45195</v>
      </c>
      <c r="B18" s="11"/>
      <c r="C18" s="10"/>
      <c r="D18" s="10"/>
      <c r="E18" s="10" t="e">
        <f t="shared" si="1"/>
        <v>#DIV/0!</v>
      </c>
      <c r="F18" s="10" t="e">
        <f t="shared" si="2"/>
        <v>#DIV/0!</v>
      </c>
      <c r="G18" s="4">
        <v>10</v>
      </c>
      <c r="H18" s="38" t="e">
        <f t="shared" si="3"/>
        <v>#DIV/0!</v>
      </c>
      <c r="J18" s="7">
        <v>45195</v>
      </c>
      <c r="K18" s="10"/>
      <c r="L18" s="11"/>
      <c r="M18" s="11"/>
      <c r="N18" s="11"/>
      <c r="O18" s="11"/>
      <c r="P18" s="11"/>
      <c r="Q18" s="11"/>
      <c r="R18" s="11"/>
      <c r="S18" s="10"/>
      <c r="T18" s="11"/>
      <c r="U18" s="11"/>
      <c r="V18" s="11"/>
      <c r="W18" s="11"/>
      <c r="X18" s="11"/>
      <c r="Y18" s="11"/>
      <c r="Z18" s="11"/>
      <c r="AA18" s="11"/>
      <c r="AC18" s="7">
        <v>45195</v>
      </c>
      <c r="AD18" s="11"/>
      <c r="AE18" s="11"/>
      <c r="AF18" s="13" t="e">
        <f t="shared" si="0"/>
        <v>#DIV/0!</v>
      </c>
    </row>
    <row r="19" spans="1:32" x14ac:dyDescent="0.2">
      <c r="A19" s="7">
        <v>45196</v>
      </c>
      <c r="B19" s="11"/>
      <c r="C19" s="10"/>
      <c r="D19" s="10"/>
      <c r="E19" s="10" t="e">
        <f t="shared" si="1"/>
        <v>#DIV/0!</v>
      </c>
      <c r="F19" s="10" t="e">
        <f t="shared" si="2"/>
        <v>#DIV/0!</v>
      </c>
      <c r="G19" s="4">
        <v>10</v>
      </c>
      <c r="H19" s="38" t="e">
        <f t="shared" si="3"/>
        <v>#DIV/0!</v>
      </c>
      <c r="J19" s="7">
        <v>45196</v>
      </c>
      <c r="K19" s="10"/>
      <c r="L19" s="11"/>
      <c r="M19" s="11"/>
      <c r="N19" s="11"/>
      <c r="O19" s="11"/>
      <c r="P19" s="11"/>
      <c r="Q19" s="11"/>
      <c r="R19" s="11"/>
      <c r="S19" s="10"/>
      <c r="T19" s="11"/>
      <c r="U19" s="11"/>
      <c r="V19" s="11"/>
      <c r="W19" s="11"/>
      <c r="X19" s="11"/>
      <c r="Y19" s="11"/>
      <c r="Z19" s="11"/>
      <c r="AA19" s="11"/>
      <c r="AC19" s="7">
        <v>45196</v>
      </c>
      <c r="AD19" s="11"/>
      <c r="AE19" s="11"/>
      <c r="AF19" s="13" t="e">
        <f t="shared" si="0"/>
        <v>#DIV/0!</v>
      </c>
    </row>
    <row r="20" spans="1:32" x14ac:dyDescent="0.2">
      <c r="A20" s="7">
        <v>45197</v>
      </c>
      <c r="B20" s="11"/>
      <c r="C20" s="10"/>
      <c r="D20" s="10"/>
      <c r="E20" s="10" t="e">
        <f t="shared" si="1"/>
        <v>#DIV/0!</v>
      </c>
      <c r="F20" s="10" t="e">
        <f t="shared" si="2"/>
        <v>#DIV/0!</v>
      </c>
      <c r="G20" s="4">
        <v>10</v>
      </c>
      <c r="H20" s="38" t="e">
        <f t="shared" si="3"/>
        <v>#DIV/0!</v>
      </c>
      <c r="J20" s="7">
        <v>45197</v>
      </c>
      <c r="K20" s="10"/>
      <c r="L20" s="11"/>
      <c r="M20" s="11"/>
      <c r="N20" s="11"/>
      <c r="O20" s="11"/>
      <c r="P20" s="11"/>
      <c r="Q20" s="11"/>
      <c r="R20" s="11"/>
      <c r="S20" s="10"/>
      <c r="T20" s="11"/>
      <c r="U20" s="11"/>
      <c r="V20" s="11"/>
      <c r="W20" s="11"/>
      <c r="X20" s="11"/>
      <c r="Y20" s="11"/>
      <c r="Z20" s="11"/>
      <c r="AA20" s="11"/>
      <c r="AC20" s="7">
        <v>45197</v>
      </c>
      <c r="AD20" s="11"/>
      <c r="AE20" s="11"/>
      <c r="AF20" s="13" t="e">
        <f t="shared" si="0"/>
        <v>#DIV/0!</v>
      </c>
    </row>
    <row r="21" spans="1:32" x14ac:dyDescent="0.2">
      <c r="A21" s="7">
        <v>45198</v>
      </c>
      <c r="B21" s="11"/>
      <c r="C21" s="10"/>
      <c r="D21" s="10"/>
      <c r="E21" s="10" t="e">
        <f t="shared" si="1"/>
        <v>#DIV/0!</v>
      </c>
      <c r="F21" s="10" t="e">
        <f t="shared" si="2"/>
        <v>#DIV/0!</v>
      </c>
      <c r="G21" s="4">
        <v>10</v>
      </c>
      <c r="H21" s="38" t="e">
        <f t="shared" si="3"/>
        <v>#DIV/0!</v>
      </c>
      <c r="J21" s="7">
        <v>45198</v>
      </c>
      <c r="K21" s="10"/>
      <c r="L21" s="11"/>
      <c r="M21" s="11"/>
      <c r="N21" s="11"/>
      <c r="O21" s="11"/>
      <c r="P21" s="11"/>
      <c r="Q21" s="11"/>
      <c r="R21" s="11"/>
      <c r="S21" s="10"/>
      <c r="T21" s="11"/>
      <c r="U21" s="11"/>
      <c r="V21" s="11"/>
      <c r="W21" s="11"/>
      <c r="X21" s="11"/>
      <c r="Y21" s="11"/>
      <c r="Z21" s="11"/>
      <c r="AA21" s="11"/>
      <c r="AC21" s="7">
        <v>45198</v>
      </c>
      <c r="AD21" s="11"/>
      <c r="AE21" s="11"/>
      <c r="AF21" s="13" t="e">
        <f t="shared" si="0"/>
        <v>#DIV/0!</v>
      </c>
    </row>
    <row r="22" spans="1:32" x14ac:dyDescent="0.2">
      <c r="A22" s="7" t="s">
        <v>9</v>
      </c>
      <c r="B22" s="11"/>
      <c r="C22" s="10" t="e">
        <f>AVERAGE(C2:C21)</f>
        <v>#DIV/0!</v>
      </c>
      <c r="D22" s="10" t="e">
        <f>AVERAGE(D2:D21)</f>
        <v>#DIV/0!</v>
      </c>
      <c r="E22" s="10" t="e">
        <f>AVERAGE(E2:E21)</f>
        <v>#DIV/0!</v>
      </c>
      <c r="F22" s="10" t="e">
        <f t="shared" si="2"/>
        <v>#DIV/0!</v>
      </c>
      <c r="G22" s="4">
        <v>10</v>
      </c>
      <c r="H22" s="38" t="e">
        <f t="shared" si="3"/>
        <v>#DIV/0!</v>
      </c>
      <c r="J22" s="8" t="s">
        <v>9</v>
      </c>
      <c r="K22" s="11" t="e">
        <f t="shared" ref="K22:R22" si="4">AVERAGE(K2:K21)</f>
        <v>#DIV/0!</v>
      </c>
      <c r="L22" s="11" t="e">
        <f t="shared" si="4"/>
        <v>#DIV/0!</v>
      </c>
      <c r="M22" s="11" t="e">
        <f t="shared" si="4"/>
        <v>#DIV/0!</v>
      </c>
      <c r="N22" s="11" t="e">
        <f t="shared" si="4"/>
        <v>#DIV/0!</v>
      </c>
      <c r="O22" s="11" t="e">
        <f t="shared" si="4"/>
        <v>#DIV/0!</v>
      </c>
      <c r="P22" s="11" t="e">
        <f t="shared" si="4"/>
        <v>#DIV/0!</v>
      </c>
      <c r="Q22" s="11" t="e">
        <f t="shared" si="4"/>
        <v>#DIV/0!</v>
      </c>
      <c r="R22" s="11" t="e">
        <f t="shared" si="4"/>
        <v>#DIV/0!</v>
      </c>
      <c r="S22" s="11" t="e">
        <f t="shared" ref="S22:AA22" si="5">AVERAGE(S2:S21)</f>
        <v>#DIV/0!</v>
      </c>
      <c r="T22" s="11" t="e">
        <f t="shared" si="5"/>
        <v>#DIV/0!</v>
      </c>
      <c r="U22" s="11" t="e">
        <f t="shared" si="5"/>
        <v>#DIV/0!</v>
      </c>
      <c r="V22" s="11" t="e">
        <f t="shared" si="5"/>
        <v>#DIV/0!</v>
      </c>
      <c r="W22" s="11" t="e">
        <f t="shared" si="5"/>
        <v>#DIV/0!</v>
      </c>
      <c r="X22" s="11" t="e">
        <f t="shared" si="5"/>
        <v>#DIV/0!</v>
      </c>
      <c r="Y22" s="11" t="e">
        <f t="shared" si="5"/>
        <v>#DIV/0!</v>
      </c>
      <c r="Z22" s="11" t="e">
        <f t="shared" si="5"/>
        <v>#DIV/0!</v>
      </c>
      <c r="AA22" s="11" t="e">
        <f t="shared" si="5"/>
        <v>#DIV/0!</v>
      </c>
      <c r="AC22" s="8" t="s">
        <v>9</v>
      </c>
      <c r="AD22" s="11" t="e">
        <f t="shared" ref="AD22:AF22" si="6">AVERAGE(AD2:AD21)</f>
        <v>#DIV/0!</v>
      </c>
      <c r="AE22" s="11" t="e">
        <f t="shared" si="6"/>
        <v>#DIV/0!</v>
      </c>
      <c r="AF22" s="13" t="e">
        <f t="shared" si="6"/>
        <v>#DIV/0!</v>
      </c>
    </row>
    <row r="23" spans="1:32" x14ac:dyDescent="0.2">
      <c r="A23" s="3"/>
      <c r="C23" s="2"/>
      <c r="D23" s="2"/>
      <c r="E23" s="4"/>
      <c r="F23" s="4"/>
      <c r="G23" s="4"/>
      <c r="H23" s="38"/>
    </row>
    <row r="24" spans="1:32" x14ac:dyDescent="0.2">
      <c r="G24" s="4"/>
      <c r="H24" s="38"/>
    </row>
    <row r="25" spans="1:32" x14ac:dyDescent="0.2">
      <c r="G25" s="4"/>
      <c r="H25" s="38"/>
    </row>
  </sheetData>
  <pageMargins left="0.7" right="0.7" top="0.75" bottom="0.75" header="0.3" footer="0.3"/>
  <pageSetup scale="115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A124-593F-4EE5-91AD-88051B240A30}">
  <dimension ref="A1:AF25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AD2" sqref="AD2:AE22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7" width="9.140625" style="1"/>
    <col min="8" max="8" width="11.28515625" style="1" customWidth="1"/>
    <col min="9" max="29" width="9.140625" style="1"/>
    <col min="30" max="32" width="11.140625" style="1" customWidth="1"/>
    <col min="33" max="16384" width="9.140625" style="1"/>
  </cols>
  <sheetData>
    <row r="1" spans="1:32" ht="30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C1" s="5" t="s">
        <v>0</v>
      </c>
      <c r="AD1" s="12" t="s">
        <v>10</v>
      </c>
      <c r="AE1" s="12" t="s">
        <v>11</v>
      </c>
      <c r="AF1" s="12" t="s">
        <v>12</v>
      </c>
    </row>
    <row r="2" spans="1:32" x14ac:dyDescent="0.2">
      <c r="A2" s="7">
        <v>45201</v>
      </c>
      <c r="B2" s="11"/>
      <c r="C2" s="10"/>
      <c r="D2" s="10"/>
      <c r="E2" s="10" t="e">
        <f>D2/C2</f>
        <v>#DIV/0!</v>
      </c>
      <c r="F2" s="10" t="e">
        <f>E2/7.5</f>
        <v>#DIV/0!</v>
      </c>
      <c r="G2" s="4">
        <v>10</v>
      </c>
      <c r="H2" s="38" t="e">
        <f>F2/G2</f>
        <v>#DIV/0!</v>
      </c>
      <c r="J2" s="7">
        <v>45201</v>
      </c>
      <c r="K2" s="10"/>
      <c r="L2" s="11"/>
      <c r="M2" s="11"/>
      <c r="N2" s="11"/>
      <c r="O2" s="11"/>
      <c r="P2" s="11"/>
      <c r="Q2" s="11"/>
      <c r="R2" s="11"/>
      <c r="S2" s="10"/>
      <c r="T2" s="11"/>
      <c r="U2" s="11"/>
      <c r="V2" s="11"/>
      <c r="W2" s="11"/>
      <c r="X2" s="11"/>
      <c r="Y2" s="11"/>
      <c r="Z2" s="11"/>
      <c r="AA2" s="11"/>
      <c r="AC2" s="7">
        <v>45201</v>
      </c>
      <c r="AD2" s="11"/>
      <c r="AE2" s="11"/>
      <c r="AF2" s="13" t="e">
        <f t="shared" ref="AF2:AF22" si="0">(D2-AD2-AE2)/D2</f>
        <v>#DIV/0!</v>
      </c>
    </row>
    <row r="3" spans="1:32" x14ac:dyDescent="0.2">
      <c r="A3" s="7">
        <v>45202</v>
      </c>
      <c r="B3" s="11"/>
      <c r="C3" s="10"/>
      <c r="D3" s="10"/>
      <c r="E3" s="10" t="e">
        <f t="shared" ref="E3:E22" si="1">D3/C3</f>
        <v>#DIV/0!</v>
      </c>
      <c r="F3" s="10" t="e">
        <f t="shared" ref="F3:F22" si="2">E3/7.5</f>
        <v>#DIV/0!</v>
      </c>
      <c r="G3" s="4">
        <v>10</v>
      </c>
      <c r="H3" s="38" t="e">
        <f t="shared" ref="H3:H23" si="3">F3/G3</f>
        <v>#DIV/0!</v>
      </c>
      <c r="J3" s="7">
        <v>45202</v>
      </c>
      <c r="K3" s="10"/>
      <c r="L3" s="11"/>
      <c r="M3" s="11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C3" s="7">
        <v>45202</v>
      </c>
      <c r="AD3" s="11"/>
      <c r="AE3" s="11"/>
      <c r="AF3" s="13" t="e">
        <f t="shared" si="0"/>
        <v>#DIV/0!</v>
      </c>
    </row>
    <row r="4" spans="1:32" x14ac:dyDescent="0.2">
      <c r="A4" s="7">
        <v>45203</v>
      </c>
      <c r="B4" s="11"/>
      <c r="C4" s="10"/>
      <c r="D4" s="10"/>
      <c r="E4" s="10" t="e">
        <f t="shared" si="1"/>
        <v>#DIV/0!</v>
      </c>
      <c r="F4" s="10" t="e">
        <f t="shared" si="2"/>
        <v>#DIV/0!</v>
      </c>
      <c r="G4" s="4">
        <v>10</v>
      </c>
      <c r="H4" s="38" t="e">
        <f t="shared" si="3"/>
        <v>#DIV/0!</v>
      </c>
      <c r="J4" s="7">
        <v>45203</v>
      </c>
      <c r="K4" s="10"/>
      <c r="L4" s="11"/>
      <c r="M4" s="11"/>
      <c r="N4" s="11"/>
      <c r="O4" s="11"/>
      <c r="P4" s="11"/>
      <c r="Q4" s="11"/>
      <c r="R4" s="11"/>
      <c r="S4" s="10"/>
      <c r="T4" s="11"/>
      <c r="U4" s="11"/>
      <c r="V4" s="11"/>
      <c r="W4" s="11"/>
      <c r="X4" s="11"/>
      <c r="Y4" s="11"/>
      <c r="Z4" s="11"/>
      <c r="AA4" s="11"/>
      <c r="AC4" s="7">
        <v>45203</v>
      </c>
      <c r="AD4" s="11"/>
      <c r="AE4" s="11"/>
      <c r="AF4" s="13" t="e">
        <f t="shared" si="0"/>
        <v>#DIV/0!</v>
      </c>
    </row>
    <row r="5" spans="1:32" x14ac:dyDescent="0.2">
      <c r="A5" s="7">
        <v>45204</v>
      </c>
      <c r="B5" s="11"/>
      <c r="C5" s="10"/>
      <c r="D5" s="10"/>
      <c r="E5" s="10" t="e">
        <f t="shared" si="1"/>
        <v>#DIV/0!</v>
      </c>
      <c r="F5" s="10" t="e">
        <f t="shared" si="2"/>
        <v>#DIV/0!</v>
      </c>
      <c r="G5" s="4">
        <v>10</v>
      </c>
      <c r="H5" s="38" t="e">
        <f t="shared" si="3"/>
        <v>#DIV/0!</v>
      </c>
      <c r="J5" s="7">
        <v>45204</v>
      </c>
      <c r="K5" s="10"/>
      <c r="L5" s="11"/>
      <c r="M5" s="11"/>
      <c r="N5" s="11"/>
      <c r="O5" s="11"/>
      <c r="P5" s="11"/>
      <c r="Q5" s="11"/>
      <c r="R5" s="11"/>
      <c r="S5" s="10"/>
      <c r="T5" s="11"/>
      <c r="U5" s="11"/>
      <c r="V5" s="11"/>
      <c r="W5" s="11"/>
      <c r="X5" s="11"/>
      <c r="Y5" s="11"/>
      <c r="Z5" s="11"/>
      <c r="AA5" s="11"/>
      <c r="AC5" s="7">
        <v>45204</v>
      </c>
      <c r="AD5" s="11"/>
      <c r="AE5" s="11"/>
      <c r="AF5" s="13" t="e">
        <f t="shared" si="0"/>
        <v>#DIV/0!</v>
      </c>
    </row>
    <row r="6" spans="1:32" x14ac:dyDescent="0.2">
      <c r="A6" s="7">
        <v>45205</v>
      </c>
      <c r="B6" s="11"/>
      <c r="C6" s="10"/>
      <c r="D6" s="10"/>
      <c r="E6" s="10" t="e">
        <f t="shared" si="1"/>
        <v>#DIV/0!</v>
      </c>
      <c r="F6" s="10" t="e">
        <f t="shared" si="2"/>
        <v>#DIV/0!</v>
      </c>
      <c r="G6" s="4">
        <v>10</v>
      </c>
      <c r="H6" s="38" t="e">
        <f t="shared" si="3"/>
        <v>#DIV/0!</v>
      </c>
      <c r="J6" s="7">
        <v>45205</v>
      </c>
      <c r="K6" s="10"/>
      <c r="L6" s="11"/>
      <c r="M6" s="11"/>
      <c r="N6" s="11"/>
      <c r="O6" s="11"/>
      <c r="P6" s="11"/>
      <c r="Q6" s="11"/>
      <c r="R6" s="11"/>
      <c r="S6" s="10"/>
      <c r="T6" s="11"/>
      <c r="U6" s="11"/>
      <c r="V6" s="11"/>
      <c r="W6" s="11"/>
      <c r="X6" s="11"/>
      <c r="Y6" s="11"/>
      <c r="Z6" s="11"/>
      <c r="AA6" s="11"/>
      <c r="AC6" s="7">
        <v>45205</v>
      </c>
      <c r="AD6" s="11"/>
      <c r="AE6" s="11"/>
      <c r="AF6" s="13" t="e">
        <f t="shared" si="0"/>
        <v>#DIV/0!</v>
      </c>
    </row>
    <row r="7" spans="1:32" x14ac:dyDescent="0.2">
      <c r="A7" s="7">
        <v>45209</v>
      </c>
      <c r="B7" s="11"/>
      <c r="C7" s="10"/>
      <c r="D7" s="10"/>
      <c r="E7" s="10" t="e">
        <f t="shared" si="1"/>
        <v>#DIV/0!</v>
      </c>
      <c r="F7" s="10" t="e">
        <f t="shared" si="2"/>
        <v>#DIV/0!</v>
      </c>
      <c r="G7" s="4">
        <v>10</v>
      </c>
      <c r="H7" s="38" t="e">
        <f t="shared" si="3"/>
        <v>#DIV/0!</v>
      </c>
      <c r="J7" s="7">
        <v>45209</v>
      </c>
      <c r="K7" s="10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  <c r="Z7" s="11"/>
      <c r="AA7" s="11"/>
      <c r="AC7" s="7">
        <v>45209</v>
      </c>
      <c r="AD7" s="11"/>
      <c r="AE7" s="11"/>
      <c r="AF7" s="13" t="e">
        <f t="shared" si="0"/>
        <v>#DIV/0!</v>
      </c>
    </row>
    <row r="8" spans="1:32" x14ac:dyDescent="0.2">
      <c r="A8" s="7">
        <v>45210</v>
      </c>
      <c r="B8" s="11"/>
      <c r="C8" s="10"/>
      <c r="D8" s="10"/>
      <c r="E8" s="10" t="e">
        <f t="shared" si="1"/>
        <v>#DIV/0!</v>
      </c>
      <c r="F8" s="10" t="e">
        <f t="shared" si="2"/>
        <v>#DIV/0!</v>
      </c>
      <c r="G8" s="4">
        <v>10</v>
      </c>
      <c r="H8" s="38" t="e">
        <f t="shared" si="3"/>
        <v>#DIV/0!</v>
      </c>
      <c r="J8" s="7">
        <v>45210</v>
      </c>
      <c r="K8" s="10"/>
      <c r="L8" s="11"/>
      <c r="M8" s="11"/>
      <c r="N8" s="11"/>
      <c r="O8" s="11"/>
      <c r="P8" s="11"/>
      <c r="Q8" s="11"/>
      <c r="R8" s="11"/>
      <c r="S8" s="10"/>
      <c r="T8" s="11"/>
      <c r="U8" s="11"/>
      <c r="V8" s="11"/>
      <c r="W8" s="11"/>
      <c r="X8" s="11"/>
      <c r="Y8" s="11"/>
      <c r="Z8" s="11"/>
      <c r="AA8" s="11"/>
      <c r="AC8" s="7">
        <v>45210</v>
      </c>
      <c r="AD8" s="11"/>
      <c r="AE8" s="11"/>
      <c r="AF8" s="13" t="e">
        <f t="shared" si="0"/>
        <v>#DIV/0!</v>
      </c>
    </row>
    <row r="9" spans="1:32" x14ac:dyDescent="0.2">
      <c r="A9" s="7">
        <v>45211</v>
      </c>
      <c r="B9" s="11"/>
      <c r="C9" s="10"/>
      <c r="D9" s="10"/>
      <c r="E9" s="10" t="e">
        <f t="shared" si="1"/>
        <v>#DIV/0!</v>
      </c>
      <c r="F9" s="10" t="e">
        <f t="shared" si="2"/>
        <v>#DIV/0!</v>
      </c>
      <c r="G9" s="4">
        <v>10</v>
      </c>
      <c r="H9" s="38" t="e">
        <f t="shared" si="3"/>
        <v>#DIV/0!</v>
      </c>
      <c r="J9" s="7">
        <v>45211</v>
      </c>
      <c r="K9" s="10"/>
      <c r="L9" s="11"/>
      <c r="M9" s="11"/>
      <c r="N9" s="11"/>
      <c r="O9" s="11"/>
      <c r="P9" s="11"/>
      <c r="Q9" s="11"/>
      <c r="R9" s="11"/>
      <c r="S9" s="10"/>
      <c r="T9" s="11"/>
      <c r="U9" s="11"/>
      <c r="V9" s="11"/>
      <c r="W9" s="11"/>
      <c r="X9" s="11"/>
      <c r="Y9" s="11"/>
      <c r="Z9" s="11"/>
      <c r="AA9" s="11"/>
      <c r="AC9" s="7">
        <v>45211</v>
      </c>
      <c r="AD9" s="11"/>
      <c r="AE9" s="11"/>
      <c r="AF9" s="13" t="e">
        <f t="shared" si="0"/>
        <v>#DIV/0!</v>
      </c>
    </row>
    <row r="10" spans="1:32" x14ac:dyDescent="0.2">
      <c r="A10" s="7">
        <v>45212</v>
      </c>
      <c r="B10" s="11"/>
      <c r="C10" s="10"/>
      <c r="D10" s="10"/>
      <c r="E10" s="10" t="e">
        <f t="shared" si="1"/>
        <v>#DIV/0!</v>
      </c>
      <c r="F10" s="10" t="e">
        <f t="shared" si="2"/>
        <v>#DIV/0!</v>
      </c>
      <c r="G10" s="4">
        <v>10</v>
      </c>
      <c r="H10" s="38" t="e">
        <f t="shared" si="3"/>
        <v>#DIV/0!</v>
      </c>
      <c r="J10" s="7">
        <v>45212</v>
      </c>
      <c r="K10" s="10"/>
      <c r="L10" s="11"/>
      <c r="M10" s="11"/>
      <c r="N10" s="11"/>
      <c r="O10" s="11"/>
      <c r="P10" s="11"/>
      <c r="Q10" s="11"/>
      <c r="R10" s="11"/>
      <c r="S10" s="10"/>
      <c r="T10" s="11"/>
      <c r="U10" s="11"/>
      <c r="V10" s="11"/>
      <c r="W10" s="11"/>
      <c r="X10" s="11"/>
      <c r="Y10" s="11"/>
      <c r="Z10" s="11"/>
      <c r="AA10" s="11"/>
      <c r="AC10" s="7">
        <v>45212</v>
      </c>
      <c r="AD10" s="11"/>
      <c r="AE10" s="11"/>
      <c r="AF10" s="13" t="e">
        <f t="shared" si="0"/>
        <v>#DIV/0!</v>
      </c>
    </row>
    <row r="11" spans="1:32" x14ac:dyDescent="0.2">
      <c r="A11" s="7">
        <v>45215</v>
      </c>
      <c r="B11" s="11"/>
      <c r="C11" s="10"/>
      <c r="D11" s="10"/>
      <c r="E11" s="10" t="e">
        <f t="shared" si="1"/>
        <v>#DIV/0!</v>
      </c>
      <c r="F11" s="10" t="e">
        <f t="shared" si="2"/>
        <v>#DIV/0!</v>
      </c>
      <c r="G11" s="4">
        <v>10</v>
      </c>
      <c r="H11" s="38" t="e">
        <f t="shared" si="3"/>
        <v>#DIV/0!</v>
      </c>
      <c r="J11" s="7">
        <v>45215</v>
      </c>
      <c r="K11" s="10"/>
      <c r="L11" s="11"/>
      <c r="M11" s="11"/>
      <c r="N11" s="11"/>
      <c r="O11" s="11"/>
      <c r="P11" s="11"/>
      <c r="Q11" s="11"/>
      <c r="R11" s="11"/>
      <c r="S11" s="10"/>
      <c r="T11" s="11"/>
      <c r="U11" s="11"/>
      <c r="V11" s="11"/>
      <c r="W11" s="11"/>
      <c r="X11" s="11"/>
      <c r="Y11" s="11"/>
      <c r="Z11" s="11"/>
      <c r="AA11" s="11"/>
      <c r="AC11" s="7">
        <v>45215</v>
      </c>
      <c r="AD11" s="11"/>
      <c r="AE11" s="11"/>
      <c r="AF11" s="13" t="e">
        <f t="shared" si="0"/>
        <v>#DIV/0!</v>
      </c>
    </row>
    <row r="12" spans="1:32" x14ac:dyDescent="0.2">
      <c r="A12" s="7">
        <v>45216</v>
      </c>
      <c r="B12" s="11"/>
      <c r="C12" s="10"/>
      <c r="D12" s="10"/>
      <c r="E12" s="10" t="e">
        <f t="shared" si="1"/>
        <v>#DIV/0!</v>
      </c>
      <c r="F12" s="10" t="e">
        <f t="shared" si="2"/>
        <v>#DIV/0!</v>
      </c>
      <c r="G12" s="4">
        <v>10</v>
      </c>
      <c r="H12" s="38" t="e">
        <f t="shared" si="3"/>
        <v>#DIV/0!</v>
      </c>
      <c r="J12" s="7">
        <v>45216</v>
      </c>
      <c r="K12" s="10"/>
      <c r="L12" s="11"/>
      <c r="M12" s="11"/>
      <c r="N12" s="11"/>
      <c r="O12" s="11"/>
      <c r="P12" s="11"/>
      <c r="Q12" s="11"/>
      <c r="R12" s="11"/>
      <c r="S12" s="10"/>
      <c r="T12" s="11"/>
      <c r="U12" s="11"/>
      <c r="V12" s="11"/>
      <c r="W12" s="11"/>
      <c r="X12" s="11"/>
      <c r="Y12" s="11"/>
      <c r="Z12" s="11"/>
      <c r="AA12" s="11"/>
      <c r="AC12" s="7">
        <v>45216</v>
      </c>
      <c r="AD12" s="11"/>
      <c r="AE12" s="11"/>
      <c r="AF12" s="13" t="e">
        <f t="shared" si="0"/>
        <v>#DIV/0!</v>
      </c>
    </row>
    <row r="13" spans="1:32" x14ac:dyDescent="0.2">
      <c r="A13" s="7">
        <v>45217</v>
      </c>
      <c r="B13" s="11"/>
      <c r="C13" s="10"/>
      <c r="D13" s="10"/>
      <c r="E13" s="10" t="e">
        <f t="shared" si="1"/>
        <v>#DIV/0!</v>
      </c>
      <c r="F13" s="10" t="e">
        <f t="shared" si="2"/>
        <v>#DIV/0!</v>
      </c>
      <c r="G13" s="4">
        <v>10</v>
      </c>
      <c r="H13" s="38" t="e">
        <f t="shared" si="3"/>
        <v>#DIV/0!</v>
      </c>
      <c r="J13" s="7">
        <v>45217</v>
      </c>
      <c r="K13" s="10"/>
      <c r="L13" s="11"/>
      <c r="M13" s="11"/>
      <c r="N13" s="11"/>
      <c r="O13" s="11"/>
      <c r="P13" s="11"/>
      <c r="Q13" s="11"/>
      <c r="R13" s="11"/>
      <c r="S13" s="10"/>
      <c r="T13" s="11"/>
      <c r="U13" s="11"/>
      <c r="V13" s="11"/>
      <c r="W13" s="11"/>
      <c r="X13" s="11"/>
      <c r="Y13" s="11"/>
      <c r="Z13" s="11"/>
      <c r="AA13" s="11"/>
      <c r="AC13" s="7">
        <v>45217</v>
      </c>
      <c r="AD13" s="11"/>
      <c r="AE13" s="11"/>
      <c r="AF13" s="13" t="e">
        <f t="shared" si="0"/>
        <v>#DIV/0!</v>
      </c>
    </row>
    <row r="14" spans="1:32" x14ac:dyDescent="0.2">
      <c r="A14" s="7">
        <v>45218</v>
      </c>
      <c r="B14" s="11"/>
      <c r="C14" s="10"/>
      <c r="D14" s="10"/>
      <c r="E14" s="10" t="e">
        <f t="shared" si="1"/>
        <v>#DIV/0!</v>
      </c>
      <c r="F14" s="10" t="e">
        <f t="shared" si="2"/>
        <v>#DIV/0!</v>
      </c>
      <c r="G14" s="4">
        <v>10</v>
      </c>
      <c r="H14" s="38" t="e">
        <f t="shared" si="3"/>
        <v>#DIV/0!</v>
      </c>
      <c r="J14" s="7">
        <v>45218</v>
      </c>
      <c r="K14" s="10"/>
      <c r="L14" s="11"/>
      <c r="M14" s="11"/>
      <c r="N14" s="11"/>
      <c r="O14" s="11"/>
      <c r="P14" s="11"/>
      <c r="Q14" s="11"/>
      <c r="R14" s="11"/>
      <c r="S14" s="10"/>
      <c r="T14" s="11"/>
      <c r="U14" s="11"/>
      <c r="V14" s="11"/>
      <c r="W14" s="11"/>
      <c r="X14" s="11"/>
      <c r="Y14" s="11"/>
      <c r="Z14" s="11"/>
      <c r="AA14" s="11"/>
      <c r="AC14" s="7">
        <v>45218</v>
      </c>
      <c r="AD14" s="11"/>
      <c r="AE14" s="11"/>
      <c r="AF14" s="13" t="e">
        <f t="shared" si="0"/>
        <v>#DIV/0!</v>
      </c>
    </row>
    <row r="15" spans="1:32" x14ac:dyDescent="0.2">
      <c r="A15" s="7">
        <v>45219</v>
      </c>
      <c r="B15" s="11"/>
      <c r="C15" s="10"/>
      <c r="D15" s="10"/>
      <c r="E15" s="10" t="e">
        <f t="shared" si="1"/>
        <v>#DIV/0!</v>
      </c>
      <c r="F15" s="10" t="e">
        <f t="shared" si="2"/>
        <v>#DIV/0!</v>
      </c>
      <c r="G15" s="4">
        <v>10</v>
      </c>
      <c r="H15" s="38" t="e">
        <f t="shared" si="3"/>
        <v>#DIV/0!</v>
      </c>
      <c r="J15" s="7">
        <v>45219</v>
      </c>
      <c r="K15" s="10"/>
      <c r="L15" s="11"/>
      <c r="M15" s="11"/>
      <c r="N15" s="11"/>
      <c r="O15" s="11"/>
      <c r="P15" s="11"/>
      <c r="Q15" s="11"/>
      <c r="R15" s="11"/>
      <c r="S15" s="10"/>
      <c r="T15" s="11"/>
      <c r="U15" s="11"/>
      <c r="V15" s="11"/>
      <c r="W15" s="11"/>
      <c r="X15" s="11"/>
      <c r="Y15" s="11"/>
      <c r="Z15" s="11"/>
      <c r="AA15" s="11"/>
      <c r="AC15" s="7">
        <v>45219</v>
      </c>
      <c r="AD15" s="11"/>
      <c r="AE15" s="11"/>
      <c r="AF15" s="13" t="e">
        <f t="shared" si="0"/>
        <v>#DIV/0!</v>
      </c>
    </row>
    <row r="16" spans="1:32" x14ac:dyDescent="0.2">
      <c r="A16" s="7">
        <v>45222</v>
      </c>
      <c r="B16" s="11"/>
      <c r="C16" s="10"/>
      <c r="D16" s="10"/>
      <c r="E16" s="10" t="e">
        <f t="shared" si="1"/>
        <v>#DIV/0!</v>
      </c>
      <c r="F16" s="10" t="e">
        <f t="shared" si="2"/>
        <v>#DIV/0!</v>
      </c>
      <c r="G16" s="4">
        <v>10</v>
      </c>
      <c r="H16" s="38" t="e">
        <f t="shared" si="3"/>
        <v>#DIV/0!</v>
      </c>
      <c r="J16" s="7">
        <v>45222</v>
      </c>
      <c r="K16" s="10"/>
      <c r="L16" s="11"/>
      <c r="M16" s="11"/>
      <c r="N16" s="11"/>
      <c r="O16" s="11"/>
      <c r="P16" s="11"/>
      <c r="Q16" s="11"/>
      <c r="R16" s="11"/>
      <c r="S16" s="10"/>
      <c r="T16" s="11"/>
      <c r="U16" s="11"/>
      <c r="V16" s="11"/>
      <c r="W16" s="11"/>
      <c r="X16" s="11"/>
      <c r="Y16" s="11"/>
      <c r="Z16" s="11"/>
      <c r="AA16" s="11"/>
      <c r="AC16" s="7">
        <v>45222</v>
      </c>
      <c r="AD16" s="11"/>
      <c r="AE16" s="11"/>
      <c r="AF16" s="13" t="e">
        <f t="shared" si="0"/>
        <v>#DIV/0!</v>
      </c>
    </row>
    <row r="17" spans="1:32" x14ac:dyDescent="0.2">
      <c r="A17" s="7">
        <v>45223</v>
      </c>
      <c r="B17" s="11"/>
      <c r="C17" s="10"/>
      <c r="D17" s="10"/>
      <c r="E17" s="10" t="e">
        <f t="shared" si="1"/>
        <v>#DIV/0!</v>
      </c>
      <c r="F17" s="10" t="e">
        <f t="shared" si="2"/>
        <v>#DIV/0!</v>
      </c>
      <c r="G17" s="4">
        <v>10</v>
      </c>
      <c r="H17" s="38" t="e">
        <f t="shared" si="3"/>
        <v>#DIV/0!</v>
      </c>
      <c r="J17" s="7">
        <v>45223</v>
      </c>
      <c r="K17" s="10"/>
      <c r="L17" s="11"/>
      <c r="M17" s="11"/>
      <c r="N17" s="11"/>
      <c r="O17" s="11"/>
      <c r="P17" s="11"/>
      <c r="Q17" s="11"/>
      <c r="R17" s="11"/>
      <c r="S17" s="10"/>
      <c r="T17" s="11"/>
      <c r="U17" s="11"/>
      <c r="V17" s="11"/>
      <c r="W17" s="11"/>
      <c r="X17" s="11"/>
      <c r="Y17" s="11"/>
      <c r="Z17" s="11"/>
      <c r="AA17" s="11"/>
      <c r="AC17" s="7">
        <v>45223</v>
      </c>
      <c r="AD17" s="11"/>
      <c r="AE17" s="11"/>
      <c r="AF17" s="13" t="e">
        <f t="shared" si="0"/>
        <v>#DIV/0!</v>
      </c>
    </row>
    <row r="18" spans="1:32" x14ac:dyDescent="0.2">
      <c r="A18" s="7">
        <v>45224</v>
      </c>
      <c r="B18" s="11"/>
      <c r="C18" s="10"/>
      <c r="D18" s="10"/>
      <c r="E18" s="10" t="e">
        <f t="shared" si="1"/>
        <v>#DIV/0!</v>
      </c>
      <c r="F18" s="10" t="e">
        <f t="shared" si="2"/>
        <v>#DIV/0!</v>
      </c>
      <c r="G18" s="4">
        <v>10</v>
      </c>
      <c r="H18" s="38" t="e">
        <f t="shared" si="3"/>
        <v>#DIV/0!</v>
      </c>
      <c r="J18" s="7">
        <v>45224</v>
      </c>
      <c r="K18" s="10"/>
      <c r="L18" s="11"/>
      <c r="M18" s="11"/>
      <c r="N18" s="11"/>
      <c r="O18" s="11"/>
      <c r="P18" s="11"/>
      <c r="Q18" s="11"/>
      <c r="R18" s="11"/>
      <c r="S18" s="10"/>
      <c r="T18" s="11"/>
      <c r="U18" s="11"/>
      <c r="V18" s="11"/>
      <c r="W18" s="11"/>
      <c r="X18" s="11"/>
      <c r="Y18" s="11"/>
      <c r="Z18" s="11"/>
      <c r="AA18" s="11"/>
      <c r="AC18" s="7">
        <v>45224</v>
      </c>
      <c r="AD18" s="11"/>
      <c r="AE18" s="11"/>
      <c r="AF18" s="13" t="e">
        <f t="shared" si="0"/>
        <v>#DIV/0!</v>
      </c>
    </row>
    <row r="19" spans="1:32" x14ac:dyDescent="0.2">
      <c r="A19" s="7">
        <v>45225</v>
      </c>
      <c r="B19" s="11"/>
      <c r="C19" s="10"/>
      <c r="D19" s="10"/>
      <c r="E19" s="10" t="e">
        <f t="shared" si="1"/>
        <v>#DIV/0!</v>
      </c>
      <c r="F19" s="10" t="e">
        <f t="shared" si="2"/>
        <v>#DIV/0!</v>
      </c>
      <c r="G19" s="4">
        <v>10</v>
      </c>
      <c r="H19" s="38" t="e">
        <f t="shared" si="3"/>
        <v>#DIV/0!</v>
      </c>
      <c r="J19" s="7">
        <v>45225</v>
      </c>
      <c r="K19" s="10"/>
      <c r="L19" s="11"/>
      <c r="M19" s="11"/>
      <c r="N19" s="11"/>
      <c r="O19" s="11"/>
      <c r="P19" s="11"/>
      <c r="Q19" s="11"/>
      <c r="R19" s="11"/>
      <c r="S19" s="10"/>
      <c r="T19" s="11"/>
      <c r="U19" s="11"/>
      <c r="V19" s="11"/>
      <c r="W19" s="11"/>
      <c r="X19" s="11"/>
      <c r="Y19" s="11"/>
      <c r="Z19" s="11"/>
      <c r="AA19" s="11"/>
      <c r="AC19" s="7">
        <v>45225</v>
      </c>
      <c r="AD19" s="11"/>
      <c r="AE19" s="11"/>
      <c r="AF19" s="13" t="e">
        <f t="shared" si="0"/>
        <v>#DIV/0!</v>
      </c>
    </row>
    <row r="20" spans="1:32" x14ac:dyDescent="0.2">
      <c r="A20" s="7">
        <v>45226</v>
      </c>
      <c r="B20" s="11"/>
      <c r="C20" s="10"/>
      <c r="D20" s="10"/>
      <c r="E20" s="10" t="e">
        <f t="shared" si="1"/>
        <v>#DIV/0!</v>
      </c>
      <c r="F20" s="10" t="e">
        <f t="shared" si="2"/>
        <v>#DIV/0!</v>
      </c>
      <c r="G20" s="4">
        <v>10</v>
      </c>
      <c r="H20" s="38" t="e">
        <f t="shared" si="3"/>
        <v>#DIV/0!</v>
      </c>
      <c r="J20" s="7">
        <v>45226</v>
      </c>
      <c r="K20" s="10"/>
      <c r="L20" s="11"/>
      <c r="M20" s="11"/>
      <c r="N20" s="11"/>
      <c r="O20" s="11"/>
      <c r="P20" s="11"/>
      <c r="Q20" s="11"/>
      <c r="R20" s="11"/>
      <c r="S20" s="10"/>
      <c r="T20" s="11"/>
      <c r="U20" s="11"/>
      <c r="V20" s="11"/>
      <c r="W20" s="11"/>
      <c r="X20" s="11"/>
      <c r="Y20" s="11"/>
      <c r="Z20" s="11"/>
      <c r="AA20" s="11"/>
      <c r="AC20" s="7">
        <v>45226</v>
      </c>
      <c r="AD20" s="11"/>
      <c r="AE20" s="11"/>
      <c r="AF20" s="13" t="e">
        <f t="shared" si="0"/>
        <v>#DIV/0!</v>
      </c>
    </row>
    <row r="21" spans="1:32" x14ac:dyDescent="0.2">
      <c r="A21" s="7">
        <v>45229</v>
      </c>
      <c r="B21" s="11"/>
      <c r="C21" s="10"/>
      <c r="D21" s="10"/>
      <c r="E21" s="10" t="e">
        <f t="shared" ref="E21" si="4">D21/C21</f>
        <v>#DIV/0!</v>
      </c>
      <c r="F21" s="10" t="e">
        <f t="shared" si="2"/>
        <v>#DIV/0!</v>
      </c>
      <c r="G21" s="4">
        <v>10</v>
      </c>
      <c r="H21" s="38" t="e">
        <f t="shared" si="3"/>
        <v>#DIV/0!</v>
      </c>
      <c r="J21" s="7">
        <v>45229</v>
      </c>
      <c r="K21" s="10"/>
      <c r="L21" s="11"/>
      <c r="M21" s="11"/>
      <c r="N21" s="11"/>
      <c r="O21" s="11"/>
      <c r="P21" s="11"/>
      <c r="Q21" s="11"/>
      <c r="R21" s="11"/>
      <c r="S21" s="10"/>
      <c r="T21" s="11"/>
      <c r="U21" s="11"/>
      <c r="V21" s="11"/>
      <c r="W21" s="11"/>
      <c r="X21" s="11"/>
      <c r="Y21" s="11"/>
      <c r="Z21" s="11"/>
      <c r="AA21" s="11"/>
      <c r="AC21" s="7">
        <v>45229</v>
      </c>
      <c r="AD21" s="11"/>
      <c r="AE21" s="11"/>
      <c r="AF21" s="13" t="e">
        <f t="shared" si="0"/>
        <v>#DIV/0!</v>
      </c>
    </row>
    <row r="22" spans="1:32" x14ac:dyDescent="0.2">
      <c r="A22" s="7">
        <v>45230</v>
      </c>
      <c r="B22" s="11"/>
      <c r="C22" s="10"/>
      <c r="D22" s="10"/>
      <c r="E22" s="10" t="e">
        <f t="shared" si="1"/>
        <v>#DIV/0!</v>
      </c>
      <c r="F22" s="10" t="e">
        <f t="shared" si="2"/>
        <v>#DIV/0!</v>
      </c>
      <c r="G22" s="4">
        <v>10</v>
      </c>
      <c r="H22" s="38" t="e">
        <f t="shared" si="3"/>
        <v>#DIV/0!</v>
      </c>
      <c r="J22" s="7">
        <v>45230</v>
      </c>
      <c r="K22" s="10"/>
      <c r="L22" s="11"/>
      <c r="M22" s="11"/>
      <c r="N22" s="11"/>
      <c r="O22" s="11"/>
      <c r="P22" s="11"/>
      <c r="Q22" s="11"/>
      <c r="R22" s="11"/>
      <c r="S22" s="10"/>
      <c r="T22" s="11"/>
      <c r="U22" s="11"/>
      <c r="V22" s="11"/>
      <c r="W22" s="11"/>
      <c r="X22" s="11"/>
      <c r="Y22" s="11"/>
      <c r="Z22" s="11"/>
      <c r="AA22" s="11"/>
      <c r="AC22" s="7">
        <v>45230</v>
      </c>
      <c r="AD22" s="11"/>
      <c r="AE22" s="11"/>
      <c r="AF22" s="13" t="e">
        <f t="shared" si="0"/>
        <v>#DIV/0!</v>
      </c>
    </row>
    <row r="23" spans="1:32" x14ac:dyDescent="0.2">
      <c r="A23" s="7" t="s">
        <v>9</v>
      </c>
      <c r="B23" s="11"/>
      <c r="C23" s="10"/>
      <c r="D23" s="10" t="e">
        <f>AVERAGE(D2:D22)</f>
        <v>#DIV/0!</v>
      </c>
      <c r="E23" s="10" t="e">
        <f>AVERAGE(E2:E22)</f>
        <v>#DIV/0!</v>
      </c>
      <c r="F23" s="10" t="e">
        <f>E23/7.5</f>
        <v>#DIV/0!</v>
      </c>
      <c r="G23" s="4">
        <v>10</v>
      </c>
      <c r="H23" s="38" t="e">
        <f t="shared" si="3"/>
        <v>#DIV/0!</v>
      </c>
      <c r="J23" s="8" t="s">
        <v>9</v>
      </c>
      <c r="K23" s="11" t="e">
        <f t="shared" ref="K23:R23" si="5">AVERAGE(K2:K22)</f>
        <v>#DIV/0!</v>
      </c>
      <c r="L23" s="11" t="e">
        <f t="shared" si="5"/>
        <v>#DIV/0!</v>
      </c>
      <c r="M23" s="11" t="e">
        <f t="shared" si="5"/>
        <v>#DIV/0!</v>
      </c>
      <c r="N23" s="11" t="e">
        <f t="shared" si="5"/>
        <v>#DIV/0!</v>
      </c>
      <c r="O23" s="11" t="e">
        <f t="shared" si="5"/>
        <v>#DIV/0!</v>
      </c>
      <c r="P23" s="11" t="e">
        <f t="shared" si="5"/>
        <v>#DIV/0!</v>
      </c>
      <c r="Q23" s="11" t="e">
        <f t="shared" si="5"/>
        <v>#DIV/0!</v>
      </c>
      <c r="R23" s="11" t="e">
        <f t="shared" si="5"/>
        <v>#DIV/0!</v>
      </c>
      <c r="S23" s="11" t="e">
        <f t="shared" ref="S23:AA23" si="6">AVERAGE(S2:S22)</f>
        <v>#DIV/0!</v>
      </c>
      <c r="T23" s="11" t="e">
        <f t="shared" si="6"/>
        <v>#DIV/0!</v>
      </c>
      <c r="U23" s="11" t="e">
        <f t="shared" si="6"/>
        <v>#DIV/0!</v>
      </c>
      <c r="V23" s="11" t="e">
        <f t="shared" si="6"/>
        <v>#DIV/0!</v>
      </c>
      <c r="W23" s="11" t="e">
        <f t="shared" si="6"/>
        <v>#DIV/0!</v>
      </c>
      <c r="X23" s="11" t="e">
        <f t="shared" si="6"/>
        <v>#DIV/0!</v>
      </c>
      <c r="Y23" s="11" t="e">
        <f t="shared" si="6"/>
        <v>#DIV/0!</v>
      </c>
      <c r="Z23" s="11" t="e">
        <f t="shared" si="6"/>
        <v>#DIV/0!</v>
      </c>
      <c r="AA23" s="11" t="e">
        <f t="shared" si="6"/>
        <v>#DIV/0!</v>
      </c>
      <c r="AC23" s="8" t="s">
        <v>9</v>
      </c>
      <c r="AD23" s="11" t="e">
        <f t="shared" ref="AD23:AF23" si="7">AVERAGE(AD2:AD22)</f>
        <v>#DIV/0!</v>
      </c>
      <c r="AE23" s="11" t="e">
        <f t="shared" si="7"/>
        <v>#DIV/0!</v>
      </c>
      <c r="AF23" s="13" t="e">
        <f t="shared" si="7"/>
        <v>#DIV/0!</v>
      </c>
    </row>
    <row r="24" spans="1:32" x14ac:dyDescent="0.2">
      <c r="A24" s="54" t="s">
        <v>53</v>
      </c>
      <c r="B24" s="34">
        <f>SUM(B2:B22)</f>
        <v>0</v>
      </c>
      <c r="C24" s="34"/>
      <c r="D24" s="34">
        <f t="shared" ref="D24" si="8">SUM(D2:D22)</f>
        <v>0</v>
      </c>
      <c r="E24" s="4"/>
      <c r="F24" s="10"/>
      <c r="G24" s="4"/>
      <c r="H24" s="38"/>
      <c r="AC24" s="57" t="s">
        <v>53</v>
      </c>
      <c r="AD24" s="34">
        <f>SUM(AD2:AD22)</f>
        <v>0</v>
      </c>
      <c r="AE24" s="34">
        <f>SUM(AE2:AE22)</f>
        <v>0</v>
      </c>
      <c r="AF24" s="35">
        <v>0.91</v>
      </c>
    </row>
    <row r="25" spans="1:32" x14ac:dyDescent="0.2">
      <c r="G25" s="4"/>
      <c r="H25" s="38"/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9571-DCBA-4BEA-835B-13DE031DCE34}">
  <dimension ref="A1:B30"/>
  <sheetViews>
    <sheetView tabSelected="1" view="pageBreakPreview" zoomScaleNormal="100" zoomScaleSheetLayoutView="100" workbookViewId="0">
      <selection activeCell="A9" sqref="A9"/>
    </sheetView>
  </sheetViews>
  <sheetFormatPr defaultColWidth="9.140625" defaultRowHeight="14.25" x14ac:dyDescent="0.2"/>
  <cols>
    <col min="1" max="1" width="82" style="1" customWidth="1"/>
    <col min="2" max="2" width="17.5703125" style="1" customWidth="1"/>
    <col min="3" max="16384" width="9.140625" style="1"/>
  </cols>
  <sheetData>
    <row r="1" spans="1:2" ht="34.5" customHeight="1" x14ac:dyDescent="0.7">
      <c r="A1" s="17" t="s">
        <v>13</v>
      </c>
      <c r="B1" s="40">
        <v>45310</v>
      </c>
    </row>
    <row r="2" spans="1:2" ht="30" x14ac:dyDescent="0.4">
      <c r="A2" s="58"/>
      <c r="B2" s="55">
        <v>742</v>
      </c>
    </row>
    <row r="3" spans="1:2" ht="37.5" customHeight="1" x14ac:dyDescent="0.4">
      <c r="A3" s="18" t="s">
        <v>20</v>
      </c>
      <c r="B3" s="55">
        <v>472</v>
      </c>
    </row>
    <row r="4" spans="1:2" ht="50.25" customHeight="1" x14ac:dyDescent="0.4">
      <c r="A4" s="19" t="s">
        <v>23</v>
      </c>
      <c r="B4" s="20"/>
    </row>
    <row r="5" spans="1:2" ht="30" x14ac:dyDescent="0.4">
      <c r="A5" s="18" t="s">
        <v>14</v>
      </c>
      <c r="B5" s="15">
        <v>157</v>
      </c>
    </row>
    <row r="6" spans="1:2" ht="30" x14ac:dyDescent="0.4">
      <c r="A6" s="18" t="s">
        <v>37</v>
      </c>
      <c r="B6" s="15">
        <v>21</v>
      </c>
    </row>
    <row r="7" spans="1:2" ht="30" x14ac:dyDescent="0.4">
      <c r="A7" s="18" t="s">
        <v>32</v>
      </c>
      <c r="B7" s="16">
        <v>2.1</v>
      </c>
    </row>
    <row r="8" spans="1:2" ht="30" x14ac:dyDescent="0.4">
      <c r="A8" s="18"/>
      <c r="B8" s="15"/>
    </row>
    <row r="9" spans="1:2" ht="30" x14ac:dyDescent="0.4">
      <c r="A9" s="18"/>
      <c r="B9" s="15"/>
    </row>
    <row r="10" spans="1:2" ht="30" x14ac:dyDescent="0.4">
      <c r="A10" s="18" t="s">
        <v>57</v>
      </c>
      <c r="B10" s="15">
        <v>15</v>
      </c>
    </row>
    <row r="11" spans="1:2" ht="30" x14ac:dyDescent="0.4">
      <c r="A11" s="18" t="s">
        <v>16</v>
      </c>
      <c r="B11" s="15">
        <v>40</v>
      </c>
    </row>
    <row r="12" spans="1:2" ht="30" x14ac:dyDescent="0.4">
      <c r="A12" s="18" t="s">
        <v>17</v>
      </c>
      <c r="B12" s="16">
        <v>0.88</v>
      </c>
    </row>
    <row r="13" spans="1:2" ht="18" x14ac:dyDescent="0.25">
      <c r="A13" s="14"/>
    </row>
    <row r="14" spans="1:2" ht="18" x14ac:dyDescent="0.25">
      <c r="A14" s="14"/>
    </row>
    <row r="15" spans="1:2" ht="18" x14ac:dyDescent="0.25">
      <c r="A15" s="14"/>
    </row>
    <row r="16" spans="1:2" ht="18" x14ac:dyDescent="0.25">
      <c r="A16" s="14"/>
    </row>
    <row r="17" spans="1:1" ht="18" x14ac:dyDescent="0.25">
      <c r="A17" s="14"/>
    </row>
    <row r="18" spans="1:1" ht="18" x14ac:dyDescent="0.25">
      <c r="A18" s="14"/>
    </row>
    <row r="19" spans="1:1" ht="18" x14ac:dyDescent="0.25">
      <c r="A19" s="14"/>
    </row>
    <row r="20" spans="1:1" ht="18" x14ac:dyDescent="0.25">
      <c r="A20" s="14"/>
    </row>
    <row r="21" spans="1:1" ht="18" x14ac:dyDescent="0.25">
      <c r="A21" s="14"/>
    </row>
    <row r="22" spans="1:1" ht="18" x14ac:dyDescent="0.25">
      <c r="A22" s="14"/>
    </row>
    <row r="23" spans="1:1" ht="18" x14ac:dyDescent="0.25">
      <c r="A23" s="14"/>
    </row>
    <row r="24" spans="1:1" ht="18" x14ac:dyDescent="0.25">
      <c r="A24" s="14"/>
    </row>
    <row r="25" spans="1:1" ht="18" x14ac:dyDescent="0.25">
      <c r="A25" s="14"/>
    </row>
    <row r="26" spans="1:1" ht="18" x14ac:dyDescent="0.25">
      <c r="A26" s="14"/>
    </row>
    <row r="27" spans="1:1" ht="18" x14ac:dyDescent="0.25">
      <c r="A27" s="14"/>
    </row>
    <row r="28" spans="1:1" ht="18" x14ac:dyDescent="0.25">
      <c r="A28" s="14"/>
    </row>
    <row r="29" spans="1:1" ht="18" x14ac:dyDescent="0.25">
      <c r="A29" s="14"/>
    </row>
    <row r="30" spans="1:1" ht="18" x14ac:dyDescent="0.25">
      <c r="A30" s="14"/>
    </row>
  </sheetData>
  <pageMargins left="0.23622047244094491" right="0.23622047244094491" top="0.23622047244094491" bottom="0.23622047244094491" header="0" footer="0"/>
  <pageSetup orientation="portrait" r:id="rId1"/>
  <headerFooter>
    <oddFooter>&amp;L8.2.2.30 Buffing Summary Template.xlsx&amp;RCreated: 01/22/24AS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924A-38AB-480F-B52B-BB77D6F495FC}">
  <dimension ref="A1:AF25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AD2" sqref="AD2:AE23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7" width="9.140625" style="1"/>
    <col min="8" max="8" width="11.28515625" style="1" customWidth="1"/>
    <col min="9" max="29" width="9.140625" style="1"/>
    <col min="30" max="32" width="11.140625" style="1" customWidth="1"/>
    <col min="33" max="16384" width="9.140625" style="1"/>
  </cols>
  <sheetData>
    <row r="1" spans="1:32" ht="30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C1" s="5" t="s">
        <v>0</v>
      </c>
      <c r="AD1" s="12" t="s">
        <v>10</v>
      </c>
      <c r="AE1" s="12" t="s">
        <v>11</v>
      </c>
      <c r="AF1" s="12" t="s">
        <v>12</v>
      </c>
    </row>
    <row r="2" spans="1:32" x14ac:dyDescent="0.2">
      <c r="A2" s="7">
        <v>45231</v>
      </c>
      <c r="B2" s="11"/>
      <c r="C2" s="10"/>
      <c r="D2" s="10"/>
      <c r="E2" s="10" t="e">
        <f>D2/C2</f>
        <v>#DIV/0!</v>
      </c>
      <c r="F2" s="10" t="e">
        <f>E2/8.5</f>
        <v>#DIV/0!</v>
      </c>
      <c r="G2" s="4">
        <v>10</v>
      </c>
      <c r="H2" s="38" t="e">
        <f>F2/G2</f>
        <v>#DIV/0!</v>
      </c>
      <c r="J2" s="7">
        <v>45231</v>
      </c>
      <c r="K2" s="10"/>
      <c r="L2" s="11"/>
      <c r="M2" s="11"/>
      <c r="N2" s="11"/>
      <c r="O2" s="11"/>
      <c r="P2" s="11"/>
      <c r="Q2" s="11"/>
      <c r="R2" s="11"/>
      <c r="S2" s="10"/>
      <c r="T2" s="11"/>
      <c r="U2" s="11"/>
      <c r="V2" s="11"/>
      <c r="W2" s="11"/>
      <c r="X2" s="11"/>
      <c r="Y2" s="11"/>
      <c r="Z2" s="11"/>
      <c r="AA2" s="11"/>
      <c r="AC2" s="7">
        <v>45231</v>
      </c>
      <c r="AD2" s="11"/>
      <c r="AE2" s="11"/>
      <c r="AF2" s="13" t="e">
        <f t="shared" ref="AF2:AF23" si="0">(D2-AD2-AE2)/D2</f>
        <v>#DIV/0!</v>
      </c>
    </row>
    <row r="3" spans="1:32" x14ac:dyDescent="0.2">
      <c r="A3" s="59">
        <v>45232</v>
      </c>
      <c r="B3" s="11"/>
      <c r="C3" s="10"/>
      <c r="D3" s="10"/>
      <c r="E3" s="10" t="e">
        <f t="shared" ref="E3:E23" si="1">D3/C3</f>
        <v>#DIV/0!</v>
      </c>
      <c r="F3" s="10" t="e">
        <f t="shared" ref="F3:F24" si="2">E3/8.5</f>
        <v>#DIV/0!</v>
      </c>
      <c r="G3" s="4">
        <v>10</v>
      </c>
      <c r="H3" s="38" t="e">
        <f t="shared" ref="H3:H24" si="3">F3/G3</f>
        <v>#DIV/0!</v>
      </c>
      <c r="J3" s="7">
        <v>45232</v>
      </c>
      <c r="K3" s="10"/>
      <c r="L3" s="11"/>
      <c r="M3" s="11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C3" s="7">
        <v>45232</v>
      </c>
      <c r="AD3" s="11"/>
      <c r="AE3" s="11"/>
      <c r="AF3" s="13" t="e">
        <f t="shared" si="0"/>
        <v>#DIV/0!</v>
      </c>
    </row>
    <row r="4" spans="1:32" x14ac:dyDescent="0.2">
      <c r="A4" s="59">
        <v>45233</v>
      </c>
      <c r="B4" s="11"/>
      <c r="C4" s="10"/>
      <c r="D4" s="10"/>
      <c r="E4" s="10" t="e">
        <f t="shared" si="1"/>
        <v>#DIV/0!</v>
      </c>
      <c r="F4" s="10" t="e">
        <f t="shared" si="2"/>
        <v>#DIV/0!</v>
      </c>
      <c r="G4" s="4">
        <v>10</v>
      </c>
      <c r="H4" s="38" t="e">
        <f t="shared" si="3"/>
        <v>#DIV/0!</v>
      </c>
      <c r="J4" s="7">
        <v>45233</v>
      </c>
      <c r="K4" s="10"/>
      <c r="L4" s="11"/>
      <c r="M4" s="11"/>
      <c r="N4" s="11"/>
      <c r="O4" s="11"/>
      <c r="P4" s="11"/>
      <c r="Q4" s="11"/>
      <c r="R4" s="11"/>
      <c r="S4" s="10"/>
      <c r="T4" s="11"/>
      <c r="U4" s="11"/>
      <c r="V4" s="11"/>
      <c r="W4" s="11"/>
      <c r="X4" s="11"/>
      <c r="Y4" s="11"/>
      <c r="Z4" s="11"/>
      <c r="AA4" s="11"/>
      <c r="AC4" s="7">
        <v>45233</v>
      </c>
      <c r="AD4" s="11"/>
      <c r="AE4" s="11"/>
      <c r="AF4" s="13" t="e">
        <f t="shared" si="0"/>
        <v>#DIV/0!</v>
      </c>
    </row>
    <row r="5" spans="1:32" x14ac:dyDescent="0.2">
      <c r="A5" s="7">
        <v>45236</v>
      </c>
      <c r="B5" s="11"/>
      <c r="C5" s="10"/>
      <c r="D5" s="10"/>
      <c r="E5" s="10" t="e">
        <f t="shared" si="1"/>
        <v>#DIV/0!</v>
      </c>
      <c r="F5" s="10" t="e">
        <f t="shared" si="2"/>
        <v>#DIV/0!</v>
      </c>
      <c r="G5" s="4">
        <v>10</v>
      </c>
      <c r="H5" s="38" t="e">
        <f t="shared" si="3"/>
        <v>#DIV/0!</v>
      </c>
      <c r="J5" s="7">
        <v>45236</v>
      </c>
      <c r="K5" s="10"/>
      <c r="L5" s="11"/>
      <c r="M5" s="11"/>
      <c r="N5" s="11"/>
      <c r="O5" s="11"/>
      <c r="P5" s="11"/>
      <c r="Q5" s="11"/>
      <c r="R5" s="11"/>
      <c r="S5" s="10"/>
      <c r="T5" s="11"/>
      <c r="U5" s="11"/>
      <c r="V5" s="11"/>
      <c r="W5" s="11"/>
      <c r="X5" s="11"/>
      <c r="Y5" s="11"/>
      <c r="Z5" s="11"/>
      <c r="AA5" s="11"/>
      <c r="AC5" s="7">
        <v>45236</v>
      </c>
      <c r="AD5" s="11"/>
      <c r="AE5" s="11"/>
      <c r="AF5" s="13" t="e">
        <f t="shared" si="0"/>
        <v>#DIV/0!</v>
      </c>
    </row>
    <row r="6" spans="1:32" x14ac:dyDescent="0.2">
      <c r="A6" s="7">
        <v>45237</v>
      </c>
      <c r="B6" s="11"/>
      <c r="C6" s="10"/>
      <c r="D6" s="10"/>
      <c r="E6" s="10" t="e">
        <f t="shared" si="1"/>
        <v>#DIV/0!</v>
      </c>
      <c r="F6" s="10" t="e">
        <f t="shared" si="2"/>
        <v>#DIV/0!</v>
      </c>
      <c r="G6" s="4">
        <v>10</v>
      </c>
      <c r="H6" s="38" t="e">
        <f t="shared" si="3"/>
        <v>#DIV/0!</v>
      </c>
      <c r="J6" s="7">
        <v>45237</v>
      </c>
      <c r="K6" s="10"/>
      <c r="L6" s="11"/>
      <c r="M6" s="11"/>
      <c r="N6" s="11"/>
      <c r="O6" s="11"/>
      <c r="P6" s="11"/>
      <c r="Q6" s="11"/>
      <c r="R6" s="11"/>
      <c r="S6" s="10"/>
      <c r="T6" s="11"/>
      <c r="U6" s="11"/>
      <c r="V6" s="11"/>
      <c r="W6" s="11"/>
      <c r="X6" s="11"/>
      <c r="Y6" s="11"/>
      <c r="Z6" s="11"/>
      <c r="AA6" s="11"/>
      <c r="AC6" s="7">
        <v>45237</v>
      </c>
      <c r="AD6" s="11"/>
      <c r="AE6" s="11"/>
      <c r="AF6" s="13" t="e">
        <f t="shared" si="0"/>
        <v>#DIV/0!</v>
      </c>
    </row>
    <row r="7" spans="1:32" x14ac:dyDescent="0.2">
      <c r="A7" s="7">
        <v>45238</v>
      </c>
      <c r="B7" s="11"/>
      <c r="C7" s="10"/>
      <c r="D7" s="10"/>
      <c r="E7" s="10" t="e">
        <f t="shared" si="1"/>
        <v>#DIV/0!</v>
      </c>
      <c r="F7" s="10" t="e">
        <f t="shared" si="2"/>
        <v>#DIV/0!</v>
      </c>
      <c r="G7" s="4">
        <v>10</v>
      </c>
      <c r="H7" s="38" t="e">
        <f t="shared" si="3"/>
        <v>#DIV/0!</v>
      </c>
      <c r="J7" s="7">
        <v>45238</v>
      </c>
      <c r="K7" s="10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  <c r="Z7" s="11"/>
      <c r="AA7" s="11"/>
      <c r="AC7" s="7">
        <v>45238</v>
      </c>
      <c r="AD7" s="11"/>
      <c r="AE7" s="11"/>
      <c r="AF7" s="13" t="e">
        <f t="shared" si="0"/>
        <v>#DIV/0!</v>
      </c>
    </row>
    <row r="8" spans="1:32" x14ac:dyDescent="0.2">
      <c r="A8" s="7">
        <v>45239</v>
      </c>
      <c r="B8" s="11"/>
      <c r="C8" s="10"/>
      <c r="D8" s="10"/>
      <c r="E8" s="10" t="e">
        <f t="shared" si="1"/>
        <v>#DIV/0!</v>
      </c>
      <c r="F8" s="10" t="e">
        <f t="shared" si="2"/>
        <v>#DIV/0!</v>
      </c>
      <c r="G8" s="4">
        <v>10</v>
      </c>
      <c r="H8" s="38" t="e">
        <f t="shared" si="3"/>
        <v>#DIV/0!</v>
      </c>
      <c r="J8" s="7">
        <v>45239</v>
      </c>
      <c r="K8" s="10"/>
      <c r="L8" s="11"/>
      <c r="M8" s="11"/>
      <c r="N8" s="11"/>
      <c r="O8" s="11"/>
      <c r="P8" s="11"/>
      <c r="Q8" s="11"/>
      <c r="R8" s="11"/>
      <c r="S8" s="10"/>
      <c r="T8" s="11"/>
      <c r="U8" s="11"/>
      <c r="V8" s="11"/>
      <c r="W8" s="11"/>
      <c r="X8" s="11"/>
      <c r="Y8" s="11"/>
      <c r="Z8" s="11"/>
      <c r="AA8" s="11"/>
      <c r="AC8" s="7">
        <v>45239</v>
      </c>
      <c r="AD8" s="11"/>
      <c r="AE8" s="11"/>
      <c r="AF8" s="13" t="e">
        <f t="shared" si="0"/>
        <v>#DIV/0!</v>
      </c>
    </row>
    <row r="9" spans="1:32" x14ac:dyDescent="0.2">
      <c r="A9" s="7">
        <v>45240</v>
      </c>
      <c r="B9" s="11"/>
      <c r="C9" s="10"/>
      <c r="D9" s="10"/>
      <c r="E9" s="10" t="e">
        <f t="shared" si="1"/>
        <v>#DIV/0!</v>
      </c>
      <c r="F9" s="10" t="e">
        <f t="shared" si="2"/>
        <v>#DIV/0!</v>
      </c>
      <c r="G9" s="4">
        <v>10</v>
      </c>
      <c r="H9" s="38" t="e">
        <f t="shared" si="3"/>
        <v>#DIV/0!</v>
      </c>
      <c r="J9" s="7">
        <v>45240</v>
      </c>
      <c r="K9" s="10"/>
      <c r="L9" s="11"/>
      <c r="M9" s="11"/>
      <c r="N9" s="11"/>
      <c r="O9" s="11"/>
      <c r="P9" s="11"/>
      <c r="Q9" s="11"/>
      <c r="R9" s="11"/>
      <c r="S9" s="10"/>
      <c r="T9" s="11"/>
      <c r="U9" s="11"/>
      <c r="V9" s="11"/>
      <c r="W9" s="11"/>
      <c r="X9" s="11"/>
      <c r="Y9" s="11"/>
      <c r="Z9" s="11"/>
      <c r="AA9" s="11"/>
      <c r="AC9" s="7">
        <v>45240</v>
      </c>
      <c r="AD9" s="11"/>
      <c r="AE9" s="11"/>
      <c r="AF9" s="13" t="e">
        <f t="shared" si="0"/>
        <v>#DIV/0!</v>
      </c>
    </row>
    <row r="10" spans="1:32" x14ac:dyDescent="0.2">
      <c r="A10" s="7">
        <v>45243</v>
      </c>
      <c r="B10" s="11"/>
      <c r="C10" s="10"/>
      <c r="D10" s="10"/>
      <c r="E10" s="10" t="e">
        <f t="shared" si="1"/>
        <v>#DIV/0!</v>
      </c>
      <c r="F10" s="10" t="e">
        <f t="shared" si="2"/>
        <v>#DIV/0!</v>
      </c>
      <c r="G10" s="4">
        <v>10</v>
      </c>
      <c r="H10" s="38" t="e">
        <f t="shared" si="3"/>
        <v>#DIV/0!</v>
      </c>
      <c r="J10" s="7">
        <v>45243</v>
      </c>
      <c r="K10" s="10"/>
      <c r="L10" s="11"/>
      <c r="M10" s="11"/>
      <c r="N10" s="11"/>
      <c r="O10" s="11"/>
      <c r="P10" s="11"/>
      <c r="Q10" s="11"/>
      <c r="R10" s="11"/>
      <c r="S10" s="10"/>
      <c r="T10" s="11"/>
      <c r="U10" s="11"/>
      <c r="V10" s="11"/>
      <c r="W10" s="11"/>
      <c r="X10" s="11"/>
      <c r="Y10" s="11"/>
      <c r="Z10" s="11"/>
      <c r="AA10" s="11"/>
      <c r="AC10" s="7">
        <v>45243</v>
      </c>
      <c r="AD10" s="11"/>
      <c r="AE10" s="11"/>
      <c r="AF10" s="13" t="e">
        <f t="shared" si="0"/>
        <v>#DIV/0!</v>
      </c>
    </row>
    <row r="11" spans="1:32" x14ac:dyDescent="0.2">
      <c r="A11" s="7">
        <v>45244</v>
      </c>
      <c r="B11" s="11"/>
      <c r="C11" s="10"/>
      <c r="D11" s="10"/>
      <c r="E11" s="10" t="e">
        <f t="shared" si="1"/>
        <v>#DIV/0!</v>
      </c>
      <c r="F11" s="10" t="e">
        <f t="shared" si="2"/>
        <v>#DIV/0!</v>
      </c>
      <c r="G11" s="4">
        <v>10</v>
      </c>
      <c r="H11" s="38" t="e">
        <f t="shared" si="3"/>
        <v>#DIV/0!</v>
      </c>
      <c r="J11" s="7">
        <v>45244</v>
      </c>
      <c r="K11" s="10"/>
      <c r="L11" s="11"/>
      <c r="M11" s="11"/>
      <c r="N11" s="11"/>
      <c r="O11" s="11"/>
      <c r="P11" s="11"/>
      <c r="Q11" s="11"/>
      <c r="R11" s="11"/>
      <c r="S11" s="10"/>
      <c r="T11" s="11"/>
      <c r="U11" s="11"/>
      <c r="V11" s="11"/>
      <c r="W11" s="11"/>
      <c r="X11" s="11"/>
      <c r="Y11" s="11"/>
      <c r="Z11" s="11"/>
      <c r="AA11" s="11"/>
      <c r="AC11" s="7">
        <v>45244</v>
      </c>
      <c r="AD11" s="11"/>
      <c r="AE11" s="11"/>
      <c r="AF11" s="13" t="e">
        <f t="shared" si="0"/>
        <v>#DIV/0!</v>
      </c>
    </row>
    <row r="12" spans="1:32" x14ac:dyDescent="0.2">
      <c r="A12" s="7">
        <v>45245</v>
      </c>
      <c r="B12" s="11"/>
      <c r="C12" s="10"/>
      <c r="D12" s="10"/>
      <c r="E12" s="10" t="e">
        <f t="shared" si="1"/>
        <v>#DIV/0!</v>
      </c>
      <c r="F12" s="10" t="e">
        <f t="shared" si="2"/>
        <v>#DIV/0!</v>
      </c>
      <c r="G12" s="4">
        <v>10</v>
      </c>
      <c r="H12" s="38" t="e">
        <f t="shared" si="3"/>
        <v>#DIV/0!</v>
      </c>
      <c r="J12" s="7">
        <v>45245</v>
      </c>
      <c r="K12" s="10"/>
      <c r="L12" s="11"/>
      <c r="M12" s="11"/>
      <c r="N12" s="11"/>
      <c r="O12" s="11"/>
      <c r="P12" s="11"/>
      <c r="Q12" s="11"/>
      <c r="R12" s="11"/>
      <c r="S12" s="10"/>
      <c r="T12" s="11"/>
      <c r="U12" s="11"/>
      <c r="V12" s="11"/>
      <c r="W12" s="11"/>
      <c r="X12" s="11"/>
      <c r="Y12" s="11"/>
      <c r="Z12" s="11"/>
      <c r="AA12" s="11"/>
      <c r="AC12" s="7">
        <v>45245</v>
      </c>
      <c r="AD12" s="11"/>
      <c r="AE12" s="11"/>
      <c r="AF12" s="13" t="e">
        <f t="shared" si="0"/>
        <v>#DIV/0!</v>
      </c>
    </row>
    <row r="13" spans="1:32" x14ac:dyDescent="0.2">
      <c r="A13" s="7">
        <v>45246</v>
      </c>
      <c r="B13" s="11"/>
      <c r="C13" s="10"/>
      <c r="D13" s="10"/>
      <c r="E13" s="10" t="e">
        <f t="shared" si="1"/>
        <v>#DIV/0!</v>
      </c>
      <c r="F13" s="10" t="e">
        <f t="shared" si="2"/>
        <v>#DIV/0!</v>
      </c>
      <c r="G13" s="4">
        <v>10</v>
      </c>
      <c r="H13" s="38" t="e">
        <f t="shared" si="3"/>
        <v>#DIV/0!</v>
      </c>
      <c r="J13" s="7">
        <v>45246</v>
      </c>
      <c r="K13" s="10"/>
      <c r="L13" s="11"/>
      <c r="M13" s="11"/>
      <c r="N13" s="11"/>
      <c r="O13" s="11"/>
      <c r="P13" s="11"/>
      <c r="Q13" s="11"/>
      <c r="R13" s="11"/>
      <c r="S13" s="10"/>
      <c r="T13" s="11"/>
      <c r="U13" s="11"/>
      <c r="V13" s="11"/>
      <c r="W13" s="11"/>
      <c r="X13" s="11"/>
      <c r="Y13" s="11"/>
      <c r="Z13" s="11"/>
      <c r="AA13" s="11"/>
      <c r="AC13" s="7">
        <v>45246</v>
      </c>
      <c r="AD13" s="11"/>
      <c r="AE13" s="11"/>
      <c r="AF13" s="13" t="e">
        <f t="shared" si="0"/>
        <v>#DIV/0!</v>
      </c>
    </row>
    <row r="14" spans="1:32" x14ac:dyDescent="0.2">
      <c r="A14" s="7">
        <v>45247</v>
      </c>
      <c r="B14" s="11"/>
      <c r="C14" s="10"/>
      <c r="D14" s="10"/>
      <c r="E14" s="10" t="e">
        <f t="shared" si="1"/>
        <v>#DIV/0!</v>
      </c>
      <c r="F14" s="10" t="e">
        <f t="shared" si="2"/>
        <v>#DIV/0!</v>
      </c>
      <c r="G14" s="4">
        <v>10</v>
      </c>
      <c r="H14" s="38" t="e">
        <f t="shared" si="3"/>
        <v>#DIV/0!</v>
      </c>
      <c r="J14" s="7">
        <v>45247</v>
      </c>
      <c r="K14" s="10"/>
      <c r="L14" s="11"/>
      <c r="M14" s="11"/>
      <c r="N14" s="11"/>
      <c r="O14" s="11"/>
      <c r="P14" s="11"/>
      <c r="Q14" s="11"/>
      <c r="R14" s="11"/>
      <c r="S14" s="10"/>
      <c r="T14" s="11"/>
      <c r="U14" s="11"/>
      <c r="V14" s="11"/>
      <c r="W14" s="11"/>
      <c r="X14" s="11"/>
      <c r="Y14" s="11"/>
      <c r="Z14" s="11"/>
      <c r="AA14" s="11"/>
      <c r="AC14" s="7">
        <v>45247</v>
      </c>
      <c r="AD14" s="11"/>
      <c r="AE14" s="11"/>
      <c r="AF14" s="13" t="e">
        <f t="shared" si="0"/>
        <v>#DIV/0!</v>
      </c>
    </row>
    <row r="15" spans="1:32" x14ac:dyDescent="0.2">
      <c r="A15" s="7">
        <v>45250</v>
      </c>
      <c r="B15" s="11"/>
      <c r="C15" s="10"/>
      <c r="D15" s="10"/>
      <c r="E15" s="10" t="e">
        <f t="shared" si="1"/>
        <v>#DIV/0!</v>
      </c>
      <c r="F15" s="10" t="e">
        <f t="shared" si="2"/>
        <v>#DIV/0!</v>
      </c>
      <c r="G15" s="4">
        <v>10</v>
      </c>
      <c r="H15" s="38" t="e">
        <f t="shared" si="3"/>
        <v>#DIV/0!</v>
      </c>
      <c r="J15" s="7">
        <v>45250</v>
      </c>
      <c r="K15" s="10"/>
      <c r="L15" s="11"/>
      <c r="M15" s="11"/>
      <c r="N15" s="11"/>
      <c r="O15" s="11"/>
      <c r="P15" s="11"/>
      <c r="Q15" s="11"/>
      <c r="R15" s="11"/>
      <c r="S15" s="10"/>
      <c r="T15" s="11"/>
      <c r="U15" s="11"/>
      <c r="V15" s="11"/>
      <c r="W15" s="11"/>
      <c r="X15" s="11"/>
      <c r="Y15" s="11"/>
      <c r="Z15" s="11"/>
      <c r="AA15" s="11"/>
      <c r="AC15" s="7">
        <v>45250</v>
      </c>
      <c r="AD15" s="11"/>
      <c r="AE15" s="11"/>
      <c r="AF15" s="13" t="e">
        <f t="shared" si="0"/>
        <v>#DIV/0!</v>
      </c>
    </row>
    <row r="16" spans="1:32" x14ac:dyDescent="0.2">
      <c r="A16" s="7">
        <v>45251</v>
      </c>
      <c r="B16" s="11"/>
      <c r="C16" s="10"/>
      <c r="D16" s="10"/>
      <c r="E16" s="10" t="e">
        <f t="shared" si="1"/>
        <v>#DIV/0!</v>
      </c>
      <c r="F16" s="10" t="e">
        <f t="shared" si="2"/>
        <v>#DIV/0!</v>
      </c>
      <c r="G16" s="4">
        <v>10</v>
      </c>
      <c r="H16" s="38" t="e">
        <f t="shared" si="3"/>
        <v>#DIV/0!</v>
      </c>
      <c r="J16" s="7">
        <v>45251</v>
      </c>
      <c r="K16" s="10"/>
      <c r="L16" s="11"/>
      <c r="M16" s="11"/>
      <c r="N16" s="11"/>
      <c r="O16" s="11"/>
      <c r="P16" s="11"/>
      <c r="Q16" s="11"/>
      <c r="R16" s="11"/>
      <c r="S16" s="10"/>
      <c r="T16" s="11"/>
      <c r="U16" s="11"/>
      <c r="V16" s="11"/>
      <c r="W16" s="11"/>
      <c r="X16" s="11"/>
      <c r="Y16" s="11"/>
      <c r="Z16" s="11"/>
      <c r="AA16" s="11"/>
      <c r="AC16" s="7">
        <v>45251</v>
      </c>
      <c r="AD16" s="11"/>
      <c r="AE16" s="11"/>
      <c r="AF16" s="13" t="e">
        <f t="shared" si="0"/>
        <v>#DIV/0!</v>
      </c>
    </row>
    <row r="17" spans="1:32" x14ac:dyDescent="0.2">
      <c r="A17" s="7">
        <v>45252</v>
      </c>
      <c r="B17" s="11"/>
      <c r="C17" s="10"/>
      <c r="D17" s="10"/>
      <c r="E17" s="10" t="e">
        <f t="shared" si="1"/>
        <v>#DIV/0!</v>
      </c>
      <c r="F17" s="10" t="e">
        <f t="shared" si="2"/>
        <v>#DIV/0!</v>
      </c>
      <c r="G17" s="4">
        <v>10</v>
      </c>
      <c r="H17" s="38" t="e">
        <f t="shared" si="3"/>
        <v>#DIV/0!</v>
      </c>
      <c r="J17" s="7">
        <v>45252</v>
      </c>
      <c r="K17" s="10"/>
      <c r="L17" s="11"/>
      <c r="M17" s="11"/>
      <c r="N17" s="11"/>
      <c r="O17" s="11"/>
      <c r="P17" s="11"/>
      <c r="Q17" s="11"/>
      <c r="R17" s="11"/>
      <c r="S17" s="10"/>
      <c r="T17" s="11"/>
      <c r="U17" s="11"/>
      <c r="V17" s="11"/>
      <c r="W17" s="11"/>
      <c r="X17" s="11"/>
      <c r="Y17" s="11"/>
      <c r="Z17" s="11"/>
      <c r="AA17" s="11"/>
      <c r="AC17" s="7">
        <v>45252</v>
      </c>
      <c r="AD17" s="11"/>
      <c r="AE17" s="11"/>
      <c r="AF17" s="13" t="e">
        <f t="shared" si="0"/>
        <v>#DIV/0!</v>
      </c>
    </row>
    <row r="18" spans="1:32" x14ac:dyDescent="0.2">
      <c r="A18" s="7">
        <v>45253</v>
      </c>
      <c r="B18" s="11"/>
      <c r="C18" s="10"/>
      <c r="D18" s="10"/>
      <c r="E18" s="10" t="e">
        <f t="shared" si="1"/>
        <v>#DIV/0!</v>
      </c>
      <c r="F18" s="10" t="e">
        <f t="shared" si="2"/>
        <v>#DIV/0!</v>
      </c>
      <c r="G18" s="4">
        <v>10</v>
      </c>
      <c r="H18" s="38" t="e">
        <f t="shared" si="3"/>
        <v>#DIV/0!</v>
      </c>
      <c r="J18" s="7">
        <v>45253</v>
      </c>
      <c r="K18" s="10"/>
      <c r="L18" s="11"/>
      <c r="M18" s="11"/>
      <c r="N18" s="11"/>
      <c r="O18" s="11"/>
      <c r="P18" s="11"/>
      <c r="Q18" s="11"/>
      <c r="R18" s="11"/>
      <c r="S18" s="10"/>
      <c r="T18" s="11"/>
      <c r="U18" s="11"/>
      <c r="V18" s="11"/>
      <c r="W18" s="11"/>
      <c r="X18" s="11"/>
      <c r="Y18" s="11"/>
      <c r="Z18" s="11"/>
      <c r="AA18" s="11"/>
      <c r="AC18" s="7">
        <v>45253</v>
      </c>
      <c r="AD18" s="11"/>
      <c r="AE18" s="11"/>
      <c r="AF18" s="13" t="e">
        <f t="shared" si="0"/>
        <v>#DIV/0!</v>
      </c>
    </row>
    <row r="19" spans="1:32" x14ac:dyDescent="0.2">
      <c r="A19" s="7">
        <v>45254</v>
      </c>
      <c r="B19" s="11"/>
      <c r="C19" s="10"/>
      <c r="D19" s="10"/>
      <c r="E19" s="10" t="e">
        <f t="shared" si="1"/>
        <v>#DIV/0!</v>
      </c>
      <c r="F19" s="10" t="e">
        <f t="shared" si="2"/>
        <v>#DIV/0!</v>
      </c>
      <c r="G19" s="4">
        <v>10</v>
      </c>
      <c r="H19" s="38" t="e">
        <f t="shared" si="3"/>
        <v>#DIV/0!</v>
      </c>
      <c r="J19" s="7">
        <v>45254</v>
      </c>
      <c r="K19" s="10"/>
      <c r="L19" s="11"/>
      <c r="M19" s="11"/>
      <c r="N19" s="11"/>
      <c r="O19" s="11"/>
      <c r="P19" s="11"/>
      <c r="Q19" s="11"/>
      <c r="R19" s="11"/>
      <c r="S19" s="10"/>
      <c r="T19" s="11"/>
      <c r="U19" s="11"/>
      <c r="V19" s="11"/>
      <c r="W19" s="11"/>
      <c r="X19" s="11"/>
      <c r="Y19" s="11"/>
      <c r="Z19" s="11"/>
      <c r="AA19" s="11"/>
      <c r="AC19" s="7">
        <v>45254</v>
      </c>
      <c r="AD19" s="11"/>
      <c r="AE19" s="11"/>
      <c r="AF19" s="13" t="e">
        <f t="shared" si="0"/>
        <v>#DIV/0!</v>
      </c>
    </row>
    <row r="20" spans="1:32" x14ac:dyDescent="0.2">
      <c r="A20" s="7">
        <v>45257</v>
      </c>
      <c r="B20" s="11"/>
      <c r="C20" s="10"/>
      <c r="D20" s="10"/>
      <c r="E20" s="10" t="e">
        <f t="shared" ref="E20" si="4">D20/C20</f>
        <v>#DIV/0!</v>
      </c>
      <c r="F20" s="10" t="e">
        <f t="shared" si="2"/>
        <v>#DIV/0!</v>
      </c>
      <c r="G20" s="4">
        <v>10</v>
      </c>
      <c r="H20" s="38" t="e">
        <f t="shared" si="3"/>
        <v>#DIV/0!</v>
      </c>
      <c r="J20" s="7">
        <v>45257</v>
      </c>
      <c r="K20" s="10"/>
      <c r="L20" s="11"/>
      <c r="M20" s="11"/>
      <c r="N20" s="11"/>
      <c r="O20" s="11"/>
      <c r="P20" s="11"/>
      <c r="Q20" s="11"/>
      <c r="R20" s="11"/>
      <c r="S20" s="10"/>
      <c r="T20" s="11"/>
      <c r="U20" s="11"/>
      <c r="V20" s="11"/>
      <c r="W20" s="11"/>
      <c r="X20" s="11"/>
      <c r="Y20" s="11"/>
      <c r="Z20" s="11"/>
      <c r="AA20" s="11"/>
      <c r="AC20" s="7">
        <v>45257</v>
      </c>
      <c r="AD20" s="11"/>
      <c r="AE20" s="11"/>
      <c r="AF20" s="13" t="e">
        <f t="shared" si="0"/>
        <v>#DIV/0!</v>
      </c>
    </row>
    <row r="21" spans="1:32" x14ac:dyDescent="0.2">
      <c r="A21" s="7">
        <v>45258</v>
      </c>
      <c r="B21" s="11"/>
      <c r="C21" s="10"/>
      <c r="D21" s="10"/>
      <c r="E21" s="10" t="e">
        <f t="shared" si="1"/>
        <v>#DIV/0!</v>
      </c>
      <c r="F21" s="10" t="e">
        <f t="shared" si="2"/>
        <v>#DIV/0!</v>
      </c>
      <c r="G21" s="4">
        <v>10</v>
      </c>
      <c r="H21" s="38" t="e">
        <f t="shared" si="3"/>
        <v>#DIV/0!</v>
      </c>
      <c r="J21" s="7">
        <v>45258</v>
      </c>
      <c r="K21" s="10"/>
      <c r="L21" s="11"/>
      <c r="M21" s="11"/>
      <c r="N21" s="11"/>
      <c r="O21" s="11"/>
      <c r="P21" s="11"/>
      <c r="Q21" s="11"/>
      <c r="R21" s="11"/>
      <c r="S21" s="10"/>
      <c r="T21" s="11"/>
      <c r="U21" s="11"/>
      <c r="V21" s="11"/>
      <c r="W21" s="11"/>
      <c r="X21" s="11"/>
      <c r="Y21" s="11"/>
      <c r="Z21" s="11"/>
      <c r="AA21" s="11"/>
      <c r="AC21" s="7">
        <v>45258</v>
      </c>
      <c r="AD21" s="11"/>
      <c r="AE21" s="11"/>
      <c r="AF21" s="13" t="e">
        <f t="shared" si="0"/>
        <v>#DIV/0!</v>
      </c>
    </row>
    <row r="22" spans="1:32" x14ac:dyDescent="0.2">
      <c r="A22" s="7">
        <v>45259</v>
      </c>
      <c r="B22" s="11"/>
      <c r="C22" s="10"/>
      <c r="D22" s="10"/>
      <c r="E22" s="10" t="e">
        <f t="shared" si="1"/>
        <v>#DIV/0!</v>
      </c>
      <c r="F22" s="10" t="e">
        <f t="shared" si="2"/>
        <v>#DIV/0!</v>
      </c>
      <c r="G22" s="4">
        <v>10</v>
      </c>
      <c r="H22" s="38" t="e">
        <f t="shared" si="3"/>
        <v>#DIV/0!</v>
      </c>
      <c r="J22" s="7">
        <v>45259</v>
      </c>
      <c r="K22" s="10"/>
      <c r="L22" s="11"/>
      <c r="M22" s="11"/>
      <c r="N22" s="11"/>
      <c r="O22" s="11"/>
      <c r="P22" s="11"/>
      <c r="Q22" s="11"/>
      <c r="R22" s="11"/>
      <c r="S22" s="10"/>
      <c r="T22" s="11"/>
      <c r="U22" s="11"/>
      <c r="V22" s="11"/>
      <c r="W22" s="11"/>
      <c r="X22" s="11"/>
      <c r="Y22" s="11"/>
      <c r="Z22" s="11"/>
      <c r="AA22" s="11"/>
      <c r="AC22" s="7">
        <v>45259</v>
      </c>
      <c r="AD22" s="11"/>
      <c r="AE22" s="11"/>
      <c r="AF22" s="13" t="e">
        <f t="shared" si="0"/>
        <v>#DIV/0!</v>
      </c>
    </row>
    <row r="23" spans="1:32" x14ac:dyDescent="0.2">
      <c r="A23" s="7">
        <v>45260</v>
      </c>
      <c r="B23" s="11"/>
      <c r="C23" s="10"/>
      <c r="D23" s="10"/>
      <c r="E23" s="10" t="e">
        <f t="shared" si="1"/>
        <v>#DIV/0!</v>
      </c>
      <c r="F23" s="10" t="e">
        <f t="shared" si="2"/>
        <v>#DIV/0!</v>
      </c>
      <c r="G23" s="4">
        <v>10</v>
      </c>
      <c r="H23" s="38" t="e">
        <f t="shared" si="3"/>
        <v>#DIV/0!</v>
      </c>
      <c r="J23" s="7">
        <v>45260</v>
      </c>
      <c r="K23" s="10"/>
      <c r="L23" s="11"/>
      <c r="M23" s="11"/>
      <c r="N23" s="11"/>
      <c r="O23" s="11"/>
      <c r="P23" s="11"/>
      <c r="Q23" s="11"/>
      <c r="R23" s="11"/>
      <c r="S23" s="10"/>
      <c r="T23" s="11"/>
      <c r="U23" s="11"/>
      <c r="V23" s="11"/>
      <c r="W23" s="11"/>
      <c r="X23" s="11"/>
      <c r="Y23" s="11"/>
      <c r="Z23" s="11"/>
      <c r="AA23" s="11"/>
      <c r="AC23" s="7">
        <v>45260</v>
      </c>
      <c r="AD23" s="11"/>
      <c r="AE23" s="11"/>
      <c r="AF23" s="13" t="e">
        <f t="shared" si="0"/>
        <v>#DIV/0!</v>
      </c>
    </row>
    <row r="24" spans="1:32" x14ac:dyDescent="0.2">
      <c r="A24" s="7" t="s">
        <v>9</v>
      </c>
      <c r="B24" s="11"/>
      <c r="C24" s="10"/>
      <c r="D24" s="10" t="e">
        <f>AVERAGE(D2:D23)</f>
        <v>#DIV/0!</v>
      </c>
      <c r="E24" s="10" t="e">
        <f>AVERAGE(E2:E23)</f>
        <v>#DIV/0!</v>
      </c>
      <c r="F24" s="10" t="e">
        <f t="shared" si="2"/>
        <v>#DIV/0!</v>
      </c>
      <c r="G24" s="4">
        <v>10</v>
      </c>
      <c r="H24" s="38" t="e">
        <f t="shared" si="3"/>
        <v>#DIV/0!</v>
      </c>
      <c r="J24" s="8" t="s">
        <v>9</v>
      </c>
      <c r="K24" s="11" t="e">
        <f t="shared" ref="K24:R24" si="5">AVERAGE(K2:K23)</f>
        <v>#DIV/0!</v>
      </c>
      <c r="L24" s="11" t="e">
        <f t="shared" si="5"/>
        <v>#DIV/0!</v>
      </c>
      <c r="M24" s="11" t="e">
        <f t="shared" si="5"/>
        <v>#DIV/0!</v>
      </c>
      <c r="N24" s="11" t="e">
        <f t="shared" si="5"/>
        <v>#DIV/0!</v>
      </c>
      <c r="O24" s="11" t="e">
        <f t="shared" si="5"/>
        <v>#DIV/0!</v>
      </c>
      <c r="P24" s="11" t="e">
        <f t="shared" si="5"/>
        <v>#DIV/0!</v>
      </c>
      <c r="Q24" s="11" t="e">
        <f t="shared" si="5"/>
        <v>#DIV/0!</v>
      </c>
      <c r="R24" s="11" t="e">
        <f t="shared" si="5"/>
        <v>#DIV/0!</v>
      </c>
      <c r="S24" s="11" t="e">
        <f t="shared" ref="S24:AA24" si="6">AVERAGE(S2:S23)</f>
        <v>#DIV/0!</v>
      </c>
      <c r="T24" s="11" t="e">
        <f t="shared" si="6"/>
        <v>#DIV/0!</v>
      </c>
      <c r="U24" s="11" t="e">
        <f t="shared" si="6"/>
        <v>#DIV/0!</v>
      </c>
      <c r="V24" s="11" t="e">
        <f t="shared" si="6"/>
        <v>#DIV/0!</v>
      </c>
      <c r="W24" s="11" t="e">
        <f t="shared" si="6"/>
        <v>#DIV/0!</v>
      </c>
      <c r="X24" s="11" t="e">
        <f t="shared" si="6"/>
        <v>#DIV/0!</v>
      </c>
      <c r="Y24" s="11" t="e">
        <f t="shared" si="6"/>
        <v>#DIV/0!</v>
      </c>
      <c r="Z24" s="11" t="e">
        <f t="shared" si="6"/>
        <v>#DIV/0!</v>
      </c>
      <c r="AA24" s="11" t="e">
        <f t="shared" si="6"/>
        <v>#DIV/0!</v>
      </c>
      <c r="AC24" s="8" t="s">
        <v>9</v>
      </c>
      <c r="AD24" s="11" t="e">
        <f t="shared" ref="AD24:AF24" si="7">AVERAGE(AD2:AD23)</f>
        <v>#DIV/0!</v>
      </c>
      <c r="AE24" s="11" t="e">
        <f t="shared" si="7"/>
        <v>#DIV/0!</v>
      </c>
      <c r="AF24" s="13" t="e">
        <f t="shared" si="7"/>
        <v>#DIV/0!</v>
      </c>
    </row>
    <row r="25" spans="1:32" x14ac:dyDescent="0.2">
      <c r="A25" s="3"/>
      <c r="C25" s="2"/>
      <c r="D25" s="2"/>
      <c r="E25" s="4"/>
      <c r="F25" s="4"/>
      <c r="G25" s="4"/>
      <c r="H25" s="38"/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8D96-543D-4F20-A146-24030582442B}">
  <dimension ref="A1:AF28"/>
  <sheetViews>
    <sheetView topLeftCell="E1" workbookViewId="0">
      <selection activeCell="AA27" sqref="AA27"/>
    </sheetView>
  </sheetViews>
  <sheetFormatPr defaultColWidth="9.140625" defaultRowHeight="14.25" x14ac:dyDescent="0.2"/>
  <cols>
    <col min="1" max="1" width="9.140625" style="1"/>
    <col min="2" max="2" width="11.140625" style="1" customWidth="1"/>
    <col min="3" max="7" width="9.140625" style="1"/>
    <col min="8" max="8" width="11.28515625" style="1" customWidth="1"/>
    <col min="9" max="29" width="9.140625" style="1"/>
    <col min="30" max="32" width="11.140625" style="1" customWidth="1"/>
    <col min="33" max="16384" width="9.140625" style="1"/>
  </cols>
  <sheetData>
    <row r="1" spans="1:32" ht="30" x14ac:dyDescent="0.25">
      <c r="A1" s="5" t="s">
        <v>0</v>
      </c>
      <c r="B1" s="12" t="s">
        <v>22</v>
      </c>
      <c r="C1" s="5" t="s">
        <v>1</v>
      </c>
      <c r="D1" s="5" t="s">
        <v>2</v>
      </c>
      <c r="E1" s="9" t="s">
        <v>3</v>
      </c>
      <c r="F1" s="9" t="s">
        <v>29</v>
      </c>
      <c r="G1" s="37" t="s">
        <v>31</v>
      </c>
      <c r="H1" s="37" t="s">
        <v>30</v>
      </c>
      <c r="J1" s="5" t="s">
        <v>0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C1" s="5" t="s">
        <v>0</v>
      </c>
      <c r="AD1" s="12" t="s">
        <v>10</v>
      </c>
      <c r="AE1" s="12" t="s">
        <v>11</v>
      </c>
      <c r="AF1" s="12" t="s">
        <v>12</v>
      </c>
    </row>
    <row r="2" spans="1:32" x14ac:dyDescent="0.2">
      <c r="A2" s="7">
        <v>45261</v>
      </c>
      <c r="B2" s="11"/>
      <c r="C2" s="10"/>
      <c r="D2" s="10"/>
      <c r="E2" s="10" t="e">
        <f>D2/C2</f>
        <v>#DIV/0!</v>
      </c>
      <c r="F2" s="10" t="e">
        <f>E2/8.5</f>
        <v>#DIV/0!</v>
      </c>
      <c r="G2" s="4">
        <v>10</v>
      </c>
      <c r="H2" s="38" t="e">
        <f>F2/G2</f>
        <v>#DIV/0!</v>
      </c>
      <c r="J2" s="7">
        <v>45261</v>
      </c>
      <c r="K2" s="10"/>
      <c r="L2" s="11"/>
      <c r="M2" s="11"/>
      <c r="N2" s="11"/>
      <c r="O2" s="11"/>
      <c r="P2" s="11"/>
      <c r="Q2" s="11"/>
      <c r="R2" s="11"/>
      <c r="S2" s="10"/>
      <c r="T2" s="11"/>
      <c r="U2" s="11"/>
      <c r="V2" s="11"/>
      <c r="W2" s="11"/>
      <c r="X2" s="11"/>
      <c r="Y2" s="11"/>
      <c r="Z2" s="11"/>
      <c r="AA2" s="11"/>
      <c r="AC2" s="7">
        <v>45261</v>
      </c>
      <c r="AD2" s="11"/>
      <c r="AE2" s="11"/>
      <c r="AF2" s="13" t="e">
        <f t="shared" ref="AF2:AF19" si="0">(D2-AD2-AE2)/D2</f>
        <v>#DIV/0!</v>
      </c>
    </row>
    <row r="3" spans="1:32" x14ac:dyDescent="0.2">
      <c r="A3" s="7">
        <v>45264</v>
      </c>
      <c r="B3" s="11"/>
      <c r="C3" s="10"/>
      <c r="D3" s="10"/>
      <c r="E3" s="10" t="e">
        <f t="shared" ref="E3:E20" si="1">D3/C3</f>
        <v>#DIV/0!</v>
      </c>
      <c r="F3" s="10" t="e">
        <f t="shared" ref="F3:F21" si="2">E3/8.5</f>
        <v>#DIV/0!</v>
      </c>
      <c r="G3" s="4">
        <v>10</v>
      </c>
      <c r="H3" s="38" t="e">
        <f t="shared" ref="H3:H21" si="3">F3/G3</f>
        <v>#DIV/0!</v>
      </c>
      <c r="J3" s="7">
        <v>45264</v>
      </c>
      <c r="K3" s="10"/>
      <c r="L3" s="11"/>
      <c r="M3" s="11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C3" s="7">
        <v>45264</v>
      </c>
      <c r="AD3" s="11"/>
      <c r="AE3" s="11"/>
      <c r="AF3" s="13" t="e">
        <f t="shared" si="0"/>
        <v>#DIV/0!</v>
      </c>
    </row>
    <row r="4" spans="1:32" x14ac:dyDescent="0.2">
      <c r="A4" s="7">
        <v>45265</v>
      </c>
      <c r="B4" s="11"/>
      <c r="C4" s="10"/>
      <c r="D4" s="10"/>
      <c r="E4" s="10" t="e">
        <f t="shared" si="1"/>
        <v>#DIV/0!</v>
      </c>
      <c r="F4" s="10" t="e">
        <f t="shared" si="2"/>
        <v>#DIV/0!</v>
      </c>
      <c r="G4" s="4">
        <v>10</v>
      </c>
      <c r="H4" s="38" t="e">
        <f t="shared" si="3"/>
        <v>#DIV/0!</v>
      </c>
      <c r="J4" s="7">
        <v>45265</v>
      </c>
      <c r="K4" s="10"/>
      <c r="L4" s="11"/>
      <c r="M4" s="11"/>
      <c r="N4" s="11"/>
      <c r="O4" s="11"/>
      <c r="P4" s="11"/>
      <c r="Q4" s="11"/>
      <c r="R4" s="11"/>
      <c r="S4" s="10"/>
      <c r="T4" s="11"/>
      <c r="U4" s="11"/>
      <c r="V4" s="11"/>
      <c r="W4" s="11"/>
      <c r="X4" s="11"/>
      <c r="Y4" s="11"/>
      <c r="Z4" s="11"/>
      <c r="AA4" s="11"/>
      <c r="AC4" s="7">
        <v>45265</v>
      </c>
      <c r="AD4" s="11"/>
      <c r="AE4" s="11"/>
      <c r="AF4" s="13" t="e">
        <f t="shared" si="0"/>
        <v>#DIV/0!</v>
      </c>
    </row>
    <row r="5" spans="1:32" x14ac:dyDescent="0.2">
      <c r="A5" s="7">
        <v>45266</v>
      </c>
      <c r="B5" s="11"/>
      <c r="C5" s="10"/>
      <c r="D5" s="10"/>
      <c r="E5" s="10" t="e">
        <f t="shared" si="1"/>
        <v>#DIV/0!</v>
      </c>
      <c r="F5" s="10" t="e">
        <f t="shared" si="2"/>
        <v>#DIV/0!</v>
      </c>
      <c r="G5" s="4">
        <v>10</v>
      </c>
      <c r="H5" s="38" t="e">
        <f t="shared" si="3"/>
        <v>#DIV/0!</v>
      </c>
      <c r="J5" s="7">
        <v>45266</v>
      </c>
      <c r="K5" s="10"/>
      <c r="L5" s="11"/>
      <c r="M5" s="11"/>
      <c r="N5" s="11"/>
      <c r="O5" s="11"/>
      <c r="P5" s="11"/>
      <c r="Q5" s="11"/>
      <c r="R5" s="11"/>
      <c r="S5" s="10"/>
      <c r="T5" s="11"/>
      <c r="U5" s="11"/>
      <c r="V5" s="11"/>
      <c r="W5" s="11"/>
      <c r="X5" s="11"/>
      <c r="Y5" s="11"/>
      <c r="Z5" s="11"/>
      <c r="AA5" s="11"/>
      <c r="AC5" s="7">
        <v>45266</v>
      </c>
      <c r="AD5" s="11"/>
      <c r="AE5" s="11"/>
      <c r="AF5" s="13" t="e">
        <f t="shared" si="0"/>
        <v>#DIV/0!</v>
      </c>
    </row>
    <row r="6" spans="1:32" x14ac:dyDescent="0.2">
      <c r="A6" s="7">
        <v>45267</v>
      </c>
      <c r="B6" s="11"/>
      <c r="C6" s="10"/>
      <c r="D6" s="10"/>
      <c r="E6" s="10" t="e">
        <f t="shared" si="1"/>
        <v>#DIV/0!</v>
      </c>
      <c r="F6" s="10" t="e">
        <f t="shared" si="2"/>
        <v>#DIV/0!</v>
      </c>
      <c r="G6" s="4">
        <v>10</v>
      </c>
      <c r="H6" s="38" t="e">
        <f t="shared" si="3"/>
        <v>#DIV/0!</v>
      </c>
      <c r="J6" s="7">
        <v>45267</v>
      </c>
      <c r="K6" s="10"/>
      <c r="L6" s="11"/>
      <c r="M6" s="11"/>
      <c r="N6" s="11"/>
      <c r="O6" s="11"/>
      <c r="P6" s="11"/>
      <c r="Q6" s="11"/>
      <c r="R6" s="11"/>
      <c r="S6" s="10"/>
      <c r="T6" s="11"/>
      <c r="U6" s="11"/>
      <c r="V6" s="11"/>
      <c r="W6" s="11"/>
      <c r="X6" s="11"/>
      <c r="Y6" s="11"/>
      <c r="Z6" s="11"/>
      <c r="AA6" s="11"/>
      <c r="AC6" s="7">
        <v>45267</v>
      </c>
      <c r="AD6" s="11"/>
      <c r="AE6" s="11"/>
      <c r="AF6" s="13" t="e">
        <f t="shared" si="0"/>
        <v>#DIV/0!</v>
      </c>
    </row>
    <row r="7" spans="1:32" x14ac:dyDescent="0.2">
      <c r="A7" s="7">
        <v>45268</v>
      </c>
      <c r="B7" s="11"/>
      <c r="C7" s="10"/>
      <c r="D7" s="10"/>
      <c r="E7" s="10" t="e">
        <f t="shared" si="1"/>
        <v>#DIV/0!</v>
      </c>
      <c r="F7" s="10" t="e">
        <f t="shared" si="2"/>
        <v>#DIV/0!</v>
      </c>
      <c r="G7" s="4">
        <v>10</v>
      </c>
      <c r="H7" s="38" t="e">
        <f t="shared" si="3"/>
        <v>#DIV/0!</v>
      </c>
      <c r="J7" s="7">
        <v>45268</v>
      </c>
      <c r="K7" s="10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  <c r="Z7" s="11"/>
      <c r="AA7" s="11"/>
      <c r="AC7" s="7">
        <v>45268</v>
      </c>
      <c r="AD7" s="11"/>
      <c r="AE7" s="11"/>
      <c r="AF7" s="13" t="e">
        <f t="shared" si="0"/>
        <v>#DIV/0!</v>
      </c>
    </row>
    <row r="8" spans="1:32" x14ac:dyDescent="0.2">
      <c r="A8" s="7">
        <v>45271</v>
      </c>
      <c r="B8" s="11"/>
      <c r="C8" s="10"/>
      <c r="D8" s="10"/>
      <c r="E8" s="10" t="e">
        <f t="shared" si="1"/>
        <v>#DIV/0!</v>
      </c>
      <c r="F8" s="10" t="e">
        <f t="shared" si="2"/>
        <v>#DIV/0!</v>
      </c>
      <c r="G8" s="4">
        <v>10</v>
      </c>
      <c r="H8" s="38" t="e">
        <f t="shared" si="3"/>
        <v>#DIV/0!</v>
      </c>
      <c r="J8" s="7">
        <v>45271</v>
      </c>
      <c r="K8" s="10"/>
      <c r="L8" s="11"/>
      <c r="M8" s="11"/>
      <c r="N8" s="11"/>
      <c r="O8" s="11"/>
      <c r="P8" s="11"/>
      <c r="Q8" s="11"/>
      <c r="R8" s="11"/>
      <c r="S8" s="10"/>
      <c r="T8" s="11"/>
      <c r="U8" s="11"/>
      <c r="V8" s="11"/>
      <c r="W8" s="11"/>
      <c r="X8" s="11"/>
      <c r="Y8" s="11"/>
      <c r="Z8" s="11"/>
      <c r="AA8" s="11"/>
      <c r="AC8" s="7">
        <v>45271</v>
      </c>
      <c r="AD8" s="11"/>
      <c r="AE8" s="11"/>
      <c r="AF8" s="13" t="e">
        <f t="shared" si="0"/>
        <v>#DIV/0!</v>
      </c>
    </row>
    <row r="9" spans="1:32" x14ac:dyDescent="0.2">
      <c r="A9" s="7">
        <v>45272</v>
      </c>
      <c r="B9" s="11"/>
      <c r="C9" s="10"/>
      <c r="D9" s="10"/>
      <c r="E9" s="10" t="e">
        <f t="shared" si="1"/>
        <v>#DIV/0!</v>
      </c>
      <c r="F9" s="10" t="e">
        <f t="shared" si="2"/>
        <v>#DIV/0!</v>
      </c>
      <c r="G9" s="4">
        <v>10</v>
      </c>
      <c r="H9" s="38" t="e">
        <f t="shared" si="3"/>
        <v>#DIV/0!</v>
      </c>
      <c r="J9" s="7">
        <v>45272</v>
      </c>
      <c r="K9" s="10"/>
      <c r="L9" s="11"/>
      <c r="M9" s="11"/>
      <c r="N9" s="11"/>
      <c r="O9" s="11"/>
      <c r="P9" s="11"/>
      <c r="Q9" s="11"/>
      <c r="R9" s="11"/>
      <c r="S9" s="10"/>
      <c r="T9" s="11"/>
      <c r="U9" s="11"/>
      <c r="V9" s="11"/>
      <c r="W9" s="11"/>
      <c r="X9" s="11"/>
      <c r="Y9" s="11"/>
      <c r="Z9" s="11"/>
      <c r="AA9" s="11"/>
      <c r="AC9" s="7">
        <v>45272</v>
      </c>
      <c r="AD9" s="11"/>
      <c r="AE9" s="11"/>
      <c r="AF9" s="13" t="e">
        <f t="shared" si="0"/>
        <v>#DIV/0!</v>
      </c>
    </row>
    <row r="10" spans="1:32" x14ac:dyDescent="0.2">
      <c r="A10" s="7">
        <v>45273</v>
      </c>
      <c r="B10" s="11"/>
      <c r="C10" s="10"/>
      <c r="D10" s="10"/>
      <c r="E10" s="10" t="e">
        <f t="shared" si="1"/>
        <v>#DIV/0!</v>
      </c>
      <c r="F10" s="10" t="e">
        <f t="shared" si="2"/>
        <v>#DIV/0!</v>
      </c>
      <c r="G10" s="4">
        <v>10</v>
      </c>
      <c r="H10" s="38" t="e">
        <f t="shared" si="3"/>
        <v>#DIV/0!</v>
      </c>
      <c r="J10" s="7">
        <v>45273</v>
      </c>
      <c r="K10" s="10"/>
      <c r="L10" s="11"/>
      <c r="M10" s="11"/>
      <c r="N10" s="11"/>
      <c r="O10" s="11"/>
      <c r="P10" s="11"/>
      <c r="Q10" s="11"/>
      <c r="R10" s="11"/>
      <c r="S10" s="10"/>
      <c r="T10" s="11"/>
      <c r="U10" s="11"/>
      <c r="V10" s="11"/>
      <c r="W10" s="11"/>
      <c r="X10" s="11"/>
      <c r="Y10" s="11"/>
      <c r="Z10" s="11"/>
      <c r="AA10" s="11"/>
      <c r="AC10" s="7">
        <v>45273</v>
      </c>
      <c r="AD10" s="11"/>
      <c r="AE10" s="11"/>
      <c r="AF10" s="13" t="e">
        <f t="shared" si="0"/>
        <v>#DIV/0!</v>
      </c>
    </row>
    <row r="11" spans="1:32" x14ac:dyDescent="0.2">
      <c r="A11" s="7">
        <v>45274</v>
      </c>
      <c r="B11" s="11"/>
      <c r="C11" s="10"/>
      <c r="D11" s="10"/>
      <c r="E11" s="10" t="e">
        <f t="shared" si="1"/>
        <v>#DIV/0!</v>
      </c>
      <c r="F11" s="10" t="e">
        <f t="shared" si="2"/>
        <v>#DIV/0!</v>
      </c>
      <c r="G11" s="4">
        <v>10</v>
      </c>
      <c r="H11" s="38" t="e">
        <f t="shared" si="3"/>
        <v>#DIV/0!</v>
      </c>
      <c r="J11" s="7">
        <v>45274</v>
      </c>
      <c r="K11" s="10"/>
      <c r="L11" s="11"/>
      <c r="M11" s="11"/>
      <c r="N11" s="11"/>
      <c r="O11" s="11"/>
      <c r="P11" s="11"/>
      <c r="Q11" s="11"/>
      <c r="R11" s="11"/>
      <c r="S11" s="10"/>
      <c r="T11" s="11"/>
      <c r="U11" s="11"/>
      <c r="V11" s="11"/>
      <c r="W11" s="11"/>
      <c r="X11" s="11"/>
      <c r="Y11" s="11"/>
      <c r="Z11" s="11"/>
      <c r="AA11" s="11"/>
      <c r="AC11" s="7">
        <v>45274</v>
      </c>
      <c r="AD11" s="11"/>
      <c r="AE11" s="11"/>
      <c r="AF11" s="13" t="e">
        <f t="shared" si="0"/>
        <v>#DIV/0!</v>
      </c>
    </row>
    <row r="12" spans="1:32" x14ac:dyDescent="0.2">
      <c r="A12" s="7">
        <v>45275</v>
      </c>
      <c r="B12" s="11"/>
      <c r="C12" s="10"/>
      <c r="D12" s="10"/>
      <c r="E12" s="10" t="e">
        <f t="shared" si="1"/>
        <v>#DIV/0!</v>
      </c>
      <c r="F12" s="10" t="e">
        <f t="shared" si="2"/>
        <v>#DIV/0!</v>
      </c>
      <c r="G12" s="4">
        <v>10</v>
      </c>
      <c r="H12" s="38" t="e">
        <f t="shared" si="3"/>
        <v>#DIV/0!</v>
      </c>
      <c r="J12" s="7">
        <v>45275</v>
      </c>
      <c r="K12" s="10"/>
      <c r="L12" s="11"/>
      <c r="M12" s="11"/>
      <c r="N12" s="11"/>
      <c r="O12" s="11"/>
      <c r="P12" s="11"/>
      <c r="Q12" s="11"/>
      <c r="R12" s="11"/>
      <c r="S12" s="10"/>
      <c r="T12" s="11"/>
      <c r="U12" s="11"/>
      <c r="V12" s="11"/>
      <c r="W12" s="11"/>
      <c r="X12" s="11"/>
      <c r="Y12" s="11"/>
      <c r="Z12" s="11"/>
      <c r="AA12" s="11"/>
      <c r="AC12" s="7">
        <v>45275</v>
      </c>
      <c r="AD12" s="11"/>
      <c r="AE12" s="11"/>
      <c r="AF12" s="13" t="e">
        <f t="shared" si="0"/>
        <v>#DIV/0!</v>
      </c>
    </row>
    <row r="13" spans="1:32" x14ac:dyDescent="0.2">
      <c r="A13" s="7">
        <v>45278</v>
      </c>
      <c r="B13" s="11"/>
      <c r="C13" s="10"/>
      <c r="D13" s="10"/>
      <c r="E13" s="10" t="e">
        <f t="shared" si="1"/>
        <v>#DIV/0!</v>
      </c>
      <c r="F13" s="10" t="e">
        <f t="shared" si="2"/>
        <v>#DIV/0!</v>
      </c>
      <c r="G13" s="4">
        <v>10</v>
      </c>
      <c r="H13" s="38" t="e">
        <f t="shared" si="3"/>
        <v>#DIV/0!</v>
      </c>
      <c r="J13" s="7">
        <v>45278</v>
      </c>
      <c r="K13" s="10"/>
      <c r="L13" s="11"/>
      <c r="M13" s="11"/>
      <c r="N13" s="11"/>
      <c r="O13" s="11"/>
      <c r="P13" s="11"/>
      <c r="Q13" s="11"/>
      <c r="R13" s="11"/>
      <c r="S13" s="10"/>
      <c r="T13" s="11"/>
      <c r="U13" s="11"/>
      <c r="V13" s="11"/>
      <c r="W13" s="11"/>
      <c r="X13" s="11"/>
      <c r="Y13" s="11"/>
      <c r="Z13" s="11"/>
      <c r="AA13" s="11"/>
      <c r="AC13" s="7">
        <v>45278</v>
      </c>
      <c r="AD13" s="11"/>
      <c r="AE13" s="11"/>
      <c r="AF13" s="13" t="e">
        <f t="shared" si="0"/>
        <v>#DIV/0!</v>
      </c>
    </row>
    <row r="14" spans="1:32" x14ac:dyDescent="0.2">
      <c r="A14" s="7">
        <v>45279</v>
      </c>
      <c r="B14" s="11"/>
      <c r="C14" s="10"/>
      <c r="D14" s="10"/>
      <c r="E14" s="10" t="e">
        <f t="shared" si="1"/>
        <v>#DIV/0!</v>
      </c>
      <c r="F14" s="10" t="e">
        <f t="shared" si="2"/>
        <v>#DIV/0!</v>
      </c>
      <c r="G14" s="4">
        <v>10</v>
      </c>
      <c r="H14" s="38" t="e">
        <f t="shared" si="3"/>
        <v>#DIV/0!</v>
      </c>
      <c r="J14" s="7">
        <v>45279</v>
      </c>
      <c r="K14" s="10"/>
      <c r="L14" s="11"/>
      <c r="M14" s="11"/>
      <c r="N14" s="11"/>
      <c r="O14" s="11"/>
      <c r="P14" s="11"/>
      <c r="Q14" s="11"/>
      <c r="R14" s="11"/>
      <c r="S14" s="10"/>
      <c r="T14" s="11"/>
      <c r="U14" s="11"/>
      <c r="V14" s="11"/>
      <c r="W14" s="11"/>
      <c r="X14" s="11"/>
      <c r="Y14" s="11"/>
      <c r="Z14" s="11"/>
      <c r="AA14" s="11"/>
      <c r="AC14" s="7">
        <v>45279</v>
      </c>
      <c r="AD14" s="11"/>
      <c r="AE14" s="11"/>
      <c r="AF14" s="13" t="e">
        <f t="shared" si="0"/>
        <v>#DIV/0!</v>
      </c>
    </row>
    <row r="15" spans="1:32" x14ac:dyDescent="0.2">
      <c r="A15" s="7">
        <v>45280</v>
      </c>
      <c r="B15" s="11"/>
      <c r="C15" s="10"/>
      <c r="D15" s="10"/>
      <c r="E15" s="10" t="e">
        <f t="shared" si="1"/>
        <v>#DIV/0!</v>
      </c>
      <c r="F15" s="10" t="e">
        <f t="shared" si="2"/>
        <v>#DIV/0!</v>
      </c>
      <c r="G15" s="4">
        <v>10</v>
      </c>
      <c r="H15" s="38" t="e">
        <f t="shared" si="3"/>
        <v>#DIV/0!</v>
      </c>
      <c r="J15" s="7">
        <v>45280</v>
      </c>
      <c r="K15" s="10"/>
      <c r="L15" s="11"/>
      <c r="M15" s="11"/>
      <c r="N15" s="11"/>
      <c r="O15" s="11"/>
      <c r="P15" s="11"/>
      <c r="Q15" s="11"/>
      <c r="R15" s="11"/>
      <c r="S15" s="10"/>
      <c r="T15" s="11"/>
      <c r="U15" s="11"/>
      <c r="V15" s="11"/>
      <c r="W15" s="11"/>
      <c r="X15" s="11"/>
      <c r="Y15" s="11"/>
      <c r="Z15" s="11"/>
      <c r="AA15" s="11"/>
      <c r="AC15" s="7">
        <v>45280</v>
      </c>
      <c r="AD15" s="11"/>
      <c r="AE15" s="11"/>
      <c r="AF15" s="13" t="e">
        <f t="shared" si="0"/>
        <v>#DIV/0!</v>
      </c>
    </row>
    <row r="16" spans="1:32" x14ac:dyDescent="0.2">
      <c r="A16" s="7">
        <v>45281</v>
      </c>
      <c r="B16" s="11"/>
      <c r="C16" s="10"/>
      <c r="D16" s="10"/>
      <c r="E16" s="10" t="e">
        <f t="shared" si="1"/>
        <v>#DIV/0!</v>
      </c>
      <c r="F16" s="10" t="e">
        <f t="shared" si="2"/>
        <v>#DIV/0!</v>
      </c>
      <c r="G16" s="4">
        <v>10</v>
      </c>
      <c r="H16" s="38" t="e">
        <f t="shared" si="3"/>
        <v>#DIV/0!</v>
      </c>
      <c r="J16" s="7">
        <v>45281</v>
      </c>
      <c r="K16" s="10"/>
      <c r="L16" s="11"/>
      <c r="M16" s="11"/>
      <c r="N16" s="11"/>
      <c r="O16" s="11"/>
      <c r="P16" s="11"/>
      <c r="Q16" s="11"/>
      <c r="R16" s="11"/>
      <c r="S16" s="10"/>
      <c r="T16" s="11"/>
      <c r="U16" s="11"/>
      <c r="V16" s="11"/>
      <c r="W16" s="11"/>
      <c r="X16" s="11"/>
      <c r="Y16" s="11"/>
      <c r="Z16" s="11"/>
      <c r="AA16" s="11"/>
      <c r="AC16" s="7">
        <v>45281</v>
      </c>
      <c r="AD16" s="11"/>
      <c r="AE16" s="11"/>
      <c r="AF16" s="13" t="e">
        <f t="shared" si="0"/>
        <v>#DIV/0!</v>
      </c>
    </row>
    <row r="17" spans="1:32" x14ac:dyDescent="0.2">
      <c r="A17" s="7">
        <v>45282</v>
      </c>
      <c r="B17" s="11"/>
      <c r="C17" s="10"/>
      <c r="D17" s="10"/>
      <c r="E17" s="10" t="e">
        <f t="shared" si="1"/>
        <v>#DIV/0!</v>
      </c>
      <c r="F17" s="10" t="e">
        <f t="shared" si="2"/>
        <v>#DIV/0!</v>
      </c>
      <c r="G17" s="4">
        <v>10</v>
      </c>
      <c r="H17" s="38" t="e">
        <f t="shared" si="3"/>
        <v>#DIV/0!</v>
      </c>
      <c r="J17" s="7">
        <v>45282</v>
      </c>
      <c r="K17" s="10"/>
      <c r="L17" s="11"/>
      <c r="M17" s="11"/>
      <c r="N17" s="11"/>
      <c r="O17" s="11"/>
      <c r="P17" s="11"/>
      <c r="Q17" s="11"/>
      <c r="R17" s="11"/>
      <c r="S17" s="10"/>
      <c r="T17" s="11"/>
      <c r="U17" s="11"/>
      <c r="V17" s="11"/>
      <c r="W17" s="11"/>
      <c r="X17" s="11"/>
      <c r="Y17" s="11"/>
      <c r="Z17" s="11"/>
      <c r="AA17" s="11"/>
      <c r="AC17" s="7">
        <v>45282</v>
      </c>
      <c r="AD17" s="11"/>
      <c r="AE17" s="11"/>
      <c r="AF17" s="13" t="e">
        <f t="shared" si="0"/>
        <v>#DIV/0!</v>
      </c>
    </row>
    <row r="18" spans="1:32" x14ac:dyDescent="0.2">
      <c r="A18" s="7">
        <v>45287</v>
      </c>
      <c r="B18" s="11"/>
      <c r="C18" s="10"/>
      <c r="D18" s="10"/>
      <c r="E18" s="10" t="e">
        <f t="shared" si="1"/>
        <v>#DIV/0!</v>
      </c>
      <c r="F18" s="10" t="e">
        <f t="shared" si="2"/>
        <v>#DIV/0!</v>
      </c>
      <c r="G18" s="4">
        <v>10</v>
      </c>
      <c r="H18" s="38" t="e">
        <f t="shared" si="3"/>
        <v>#DIV/0!</v>
      </c>
      <c r="J18" s="7">
        <v>45287</v>
      </c>
      <c r="K18" s="10"/>
      <c r="L18" s="11"/>
      <c r="M18" s="11"/>
      <c r="N18" s="11"/>
      <c r="O18" s="11"/>
      <c r="P18" s="11"/>
      <c r="Q18" s="11"/>
      <c r="R18" s="11"/>
      <c r="S18" s="10"/>
      <c r="T18" s="11"/>
      <c r="U18" s="11"/>
      <c r="V18" s="11"/>
      <c r="W18" s="11"/>
      <c r="X18" s="11"/>
      <c r="Y18" s="11"/>
      <c r="Z18" s="11"/>
      <c r="AA18" s="11"/>
      <c r="AC18" s="7">
        <v>45287</v>
      </c>
      <c r="AD18" s="11"/>
      <c r="AE18" s="11"/>
      <c r="AF18" s="13" t="e">
        <f t="shared" si="0"/>
        <v>#DIV/0!</v>
      </c>
    </row>
    <row r="19" spans="1:32" x14ac:dyDescent="0.2">
      <c r="A19" s="7">
        <v>45288</v>
      </c>
      <c r="B19" s="11"/>
      <c r="C19" s="10"/>
      <c r="D19" s="10"/>
      <c r="E19" s="10" t="e">
        <f t="shared" si="1"/>
        <v>#DIV/0!</v>
      </c>
      <c r="F19" s="10" t="e">
        <f t="shared" si="2"/>
        <v>#DIV/0!</v>
      </c>
      <c r="G19" s="4">
        <v>10</v>
      </c>
      <c r="H19" s="38" t="e">
        <f t="shared" si="3"/>
        <v>#DIV/0!</v>
      </c>
      <c r="J19" s="7">
        <v>45288</v>
      </c>
      <c r="K19" s="10"/>
      <c r="L19" s="11"/>
      <c r="M19" s="11"/>
      <c r="N19" s="11"/>
      <c r="O19" s="11"/>
      <c r="P19" s="11"/>
      <c r="Q19" s="11"/>
      <c r="R19" s="11"/>
      <c r="S19" s="10"/>
      <c r="T19" s="11"/>
      <c r="U19" s="11"/>
      <c r="V19" s="11"/>
      <c r="W19" s="11"/>
      <c r="X19" s="11"/>
      <c r="Y19" s="11"/>
      <c r="Z19" s="11"/>
      <c r="AA19" s="11"/>
      <c r="AC19" s="7">
        <v>45288</v>
      </c>
      <c r="AD19" s="11"/>
      <c r="AE19" s="11"/>
      <c r="AF19" s="13" t="e">
        <f t="shared" si="0"/>
        <v>#DIV/0!</v>
      </c>
    </row>
    <row r="20" spans="1:32" x14ac:dyDescent="0.2">
      <c r="A20" s="7">
        <v>45289</v>
      </c>
      <c r="B20" s="11"/>
      <c r="C20" s="10"/>
      <c r="D20" s="10"/>
      <c r="E20" s="10" t="e">
        <f t="shared" si="1"/>
        <v>#DIV/0!</v>
      </c>
      <c r="F20" s="10" t="e">
        <f t="shared" si="2"/>
        <v>#DIV/0!</v>
      </c>
      <c r="G20" s="4">
        <v>10</v>
      </c>
      <c r="H20" s="38" t="e">
        <f t="shared" si="3"/>
        <v>#DIV/0!</v>
      </c>
      <c r="J20" s="7">
        <v>45289</v>
      </c>
      <c r="K20" s="10"/>
      <c r="L20" s="11"/>
      <c r="M20" s="11"/>
      <c r="N20" s="11"/>
      <c r="O20" s="11"/>
      <c r="P20" s="11"/>
      <c r="Q20" s="11"/>
      <c r="R20" s="11"/>
      <c r="S20" s="10"/>
      <c r="T20" s="11"/>
      <c r="U20" s="11"/>
      <c r="V20" s="11"/>
      <c r="W20" s="11"/>
      <c r="X20" s="11"/>
      <c r="Y20" s="11"/>
      <c r="Z20" s="11"/>
      <c r="AA20" s="11"/>
      <c r="AC20" s="7">
        <v>45289</v>
      </c>
      <c r="AD20" s="11"/>
      <c r="AE20" s="11"/>
      <c r="AF20" s="13"/>
    </row>
    <row r="21" spans="1:32" x14ac:dyDescent="0.2">
      <c r="A21" s="7" t="s">
        <v>9</v>
      </c>
      <c r="B21" s="11"/>
      <c r="C21" s="10"/>
      <c r="D21" s="10" t="e">
        <f>AVERAGE(D2:D20)</f>
        <v>#DIV/0!</v>
      </c>
      <c r="E21" s="10" t="e">
        <f>AVERAGE(E2:E17)</f>
        <v>#DIV/0!</v>
      </c>
      <c r="F21" s="10" t="e">
        <f t="shared" si="2"/>
        <v>#DIV/0!</v>
      </c>
      <c r="G21" s="4">
        <v>10</v>
      </c>
      <c r="H21" s="38" t="e">
        <f t="shared" si="3"/>
        <v>#DIV/0!</v>
      </c>
      <c r="J21" s="8" t="s">
        <v>9</v>
      </c>
      <c r="K21" s="11" t="e">
        <f t="shared" ref="K21:R21" si="4">AVERAGE(K2:K17)</f>
        <v>#DIV/0!</v>
      </c>
      <c r="L21" s="11" t="e">
        <f t="shared" si="4"/>
        <v>#DIV/0!</v>
      </c>
      <c r="M21" s="11" t="e">
        <f t="shared" si="4"/>
        <v>#DIV/0!</v>
      </c>
      <c r="N21" s="11" t="e">
        <f t="shared" si="4"/>
        <v>#DIV/0!</v>
      </c>
      <c r="O21" s="11" t="e">
        <f t="shared" si="4"/>
        <v>#DIV/0!</v>
      </c>
      <c r="P21" s="11" t="e">
        <f t="shared" si="4"/>
        <v>#DIV/0!</v>
      </c>
      <c r="Q21" s="11" t="e">
        <f t="shared" si="4"/>
        <v>#DIV/0!</v>
      </c>
      <c r="R21" s="11" t="e">
        <f t="shared" si="4"/>
        <v>#DIV/0!</v>
      </c>
      <c r="S21" s="11" t="e">
        <f t="shared" ref="S21:AA21" si="5">AVERAGE(S2:S17)</f>
        <v>#DIV/0!</v>
      </c>
      <c r="T21" s="11" t="e">
        <f t="shared" si="5"/>
        <v>#DIV/0!</v>
      </c>
      <c r="U21" s="11" t="e">
        <f t="shared" si="5"/>
        <v>#DIV/0!</v>
      </c>
      <c r="V21" s="11" t="e">
        <f t="shared" si="5"/>
        <v>#DIV/0!</v>
      </c>
      <c r="W21" s="11" t="e">
        <f t="shared" si="5"/>
        <v>#DIV/0!</v>
      </c>
      <c r="X21" s="11" t="e">
        <f t="shared" si="5"/>
        <v>#DIV/0!</v>
      </c>
      <c r="Y21" s="11" t="e">
        <f t="shared" si="5"/>
        <v>#DIV/0!</v>
      </c>
      <c r="Z21" s="11" t="e">
        <f t="shared" si="5"/>
        <v>#DIV/0!</v>
      </c>
      <c r="AA21" s="11" t="e">
        <f t="shared" si="5"/>
        <v>#DIV/0!</v>
      </c>
      <c r="AC21" s="8" t="s">
        <v>9</v>
      </c>
      <c r="AD21" s="11" t="e">
        <f>AVERAGE(AD2:AD19)</f>
        <v>#DIV/0!</v>
      </c>
      <c r="AE21" s="11" t="e">
        <f>AVERAGE(AE2:AE19)</f>
        <v>#DIV/0!</v>
      </c>
      <c r="AF21" s="13" t="e">
        <f>AVERAGE(AF2:AF19)</f>
        <v>#DIV/0!</v>
      </c>
    </row>
    <row r="22" spans="1:32" x14ac:dyDescent="0.2">
      <c r="A22" s="3"/>
      <c r="C22" s="2"/>
      <c r="D22" s="2"/>
      <c r="E22" s="4"/>
      <c r="F22" s="4"/>
      <c r="G22" s="4"/>
      <c r="H22" s="38"/>
    </row>
    <row r="23" spans="1:32" x14ac:dyDescent="0.2">
      <c r="G23" s="4"/>
      <c r="H23" s="38"/>
    </row>
    <row r="24" spans="1:32" x14ac:dyDescent="0.2">
      <c r="G24" s="4"/>
      <c r="H24" s="38"/>
    </row>
    <row r="25" spans="1:32" x14ac:dyDescent="0.2">
      <c r="G25" s="4"/>
      <c r="H25" s="38"/>
    </row>
    <row r="26" spans="1:32" x14ac:dyDescent="0.2">
      <c r="G26" s="4"/>
      <c r="H26" s="38"/>
    </row>
    <row r="27" spans="1:32" x14ac:dyDescent="0.2">
      <c r="G27" s="4"/>
      <c r="H27" s="38"/>
    </row>
    <row r="28" spans="1:32" x14ac:dyDescent="0.2">
      <c r="G28" s="4"/>
      <c r="H28" s="38"/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88B4-B8E0-4928-9216-D315AFDECE49}">
  <dimension ref="A1:B27"/>
  <sheetViews>
    <sheetView workbookViewId="0">
      <selection activeCell="D2" sqref="D2"/>
    </sheetView>
  </sheetViews>
  <sheetFormatPr defaultColWidth="9.140625" defaultRowHeight="14.25" x14ac:dyDescent="0.2"/>
  <cols>
    <col min="1" max="1" width="82" style="1" customWidth="1"/>
    <col min="2" max="2" width="19.7109375" style="1" bestFit="1" customWidth="1"/>
    <col min="3" max="16384" width="9.140625" style="1"/>
  </cols>
  <sheetData>
    <row r="1" spans="1:2" ht="34.5" customHeight="1" x14ac:dyDescent="0.7">
      <c r="A1" s="17" t="s">
        <v>13</v>
      </c>
      <c r="B1" s="46" t="s">
        <v>59</v>
      </c>
    </row>
    <row r="2" spans="1:2" ht="34.5" customHeight="1" x14ac:dyDescent="0.4">
      <c r="A2" s="18" t="s">
        <v>19</v>
      </c>
      <c r="B2" s="55">
        <f>Oct!B24</f>
        <v>0</v>
      </c>
    </row>
    <row r="3" spans="1:2" ht="37.5" customHeight="1" x14ac:dyDescent="0.4">
      <c r="A3" s="18" t="s">
        <v>20</v>
      </c>
      <c r="B3" s="55">
        <f>Oct!D24</f>
        <v>0</v>
      </c>
    </row>
    <row r="4" spans="1:2" ht="30" x14ac:dyDescent="0.4">
      <c r="A4" s="18" t="s">
        <v>14</v>
      </c>
      <c r="B4" s="56">
        <v>120</v>
      </c>
    </row>
    <row r="5" spans="1:2" ht="30" x14ac:dyDescent="0.4">
      <c r="A5" s="18" t="s">
        <v>37</v>
      </c>
      <c r="B5" s="56">
        <v>16</v>
      </c>
    </row>
    <row r="6" spans="1:2" ht="30" x14ac:dyDescent="0.4">
      <c r="A6" s="18" t="s">
        <v>32</v>
      </c>
      <c r="B6" s="16">
        <v>1.59</v>
      </c>
    </row>
    <row r="7" spans="1:2" ht="30" x14ac:dyDescent="0.4">
      <c r="A7" s="18" t="s">
        <v>15</v>
      </c>
      <c r="B7" s="56">
        <f>Oct!AD24</f>
        <v>0</v>
      </c>
    </row>
    <row r="8" spans="1:2" ht="30" x14ac:dyDescent="0.4">
      <c r="A8" s="18" t="s">
        <v>16</v>
      </c>
      <c r="B8" s="56">
        <f>Oct!AE24</f>
        <v>0</v>
      </c>
    </row>
    <row r="9" spans="1:2" ht="30" x14ac:dyDescent="0.4">
      <c r="A9" s="18" t="s">
        <v>17</v>
      </c>
      <c r="B9" s="16">
        <v>0.91</v>
      </c>
    </row>
    <row r="10" spans="1:2" ht="18" x14ac:dyDescent="0.25">
      <c r="A10" s="14"/>
    </row>
    <row r="11" spans="1:2" ht="18" x14ac:dyDescent="0.25">
      <c r="A11" s="14"/>
    </row>
    <row r="12" spans="1:2" ht="18" x14ac:dyDescent="0.25">
      <c r="A12" s="14"/>
    </row>
    <row r="13" spans="1:2" ht="18" x14ac:dyDescent="0.25">
      <c r="A13" s="14"/>
    </row>
    <row r="14" spans="1:2" ht="18" x14ac:dyDescent="0.25">
      <c r="A14" s="14"/>
    </row>
    <row r="15" spans="1:2" ht="18" x14ac:dyDescent="0.25">
      <c r="A15" s="14"/>
    </row>
    <row r="16" spans="1:2" ht="18" x14ac:dyDescent="0.25">
      <c r="A16" s="14"/>
    </row>
    <row r="17" spans="1:1" ht="18" x14ac:dyDescent="0.25">
      <c r="A17" s="14"/>
    </row>
    <row r="18" spans="1:1" ht="18" x14ac:dyDescent="0.25">
      <c r="A18" s="14"/>
    </row>
    <row r="19" spans="1:1" ht="18" x14ac:dyDescent="0.25">
      <c r="A19" s="14"/>
    </row>
    <row r="20" spans="1:1" ht="18" x14ac:dyDescent="0.25">
      <c r="A20" s="14"/>
    </row>
    <row r="21" spans="1:1" ht="18" x14ac:dyDescent="0.25">
      <c r="A21" s="14"/>
    </row>
    <row r="22" spans="1:1" ht="18" x14ac:dyDescent="0.25">
      <c r="A22" s="14"/>
    </row>
    <row r="23" spans="1:1" ht="18" x14ac:dyDescent="0.25">
      <c r="A23" s="14"/>
    </row>
    <row r="24" spans="1:1" ht="18" x14ac:dyDescent="0.25">
      <c r="A24" s="14"/>
    </row>
    <row r="25" spans="1:1" ht="18" x14ac:dyDescent="0.25">
      <c r="A25" s="14"/>
    </row>
    <row r="26" spans="1:1" ht="18" x14ac:dyDescent="0.25">
      <c r="A26" s="14"/>
    </row>
    <row r="27" spans="1:1" ht="18" x14ac:dyDescent="0.25">
      <c r="A27" s="14"/>
    </row>
  </sheetData>
  <pageMargins left="0.25" right="0.25" top="0.25" bottom="0.25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93FA-9E86-4E66-A222-6048F12FB96E}">
  <dimension ref="A1:G272"/>
  <sheetViews>
    <sheetView topLeftCell="A203" workbookViewId="0">
      <selection activeCell="G102" sqref="G102"/>
    </sheetView>
  </sheetViews>
  <sheetFormatPr defaultColWidth="9.140625" defaultRowHeight="14.25" x14ac:dyDescent="0.2"/>
  <cols>
    <col min="1" max="1" width="9.140625" style="1"/>
    <col min="2" max="2" width="11.28515625" style="1" customWidth="1"/>
    <col min="3" max="4" width="9.140625" style="1"/>
    <col min="5" max="5" width="10.42578125" style="1" customWidth="1"/>
    <col min="6" max="6" width="9.5703125" style="1" customWidth="1"/>
    <col min="7" max="16384" width="9.140625" style="1"/>
  </cols>
  <sheetData>
    <row r="1" spans="1:7" ht="36" customHeight="1" x14ac:dyDescent="0.25">
      <c r="A1" s="33" t="s">
        <v>0</v>
      </c>
      <c r="B1" s="21" t="s">
        <v>22</v>
      </c>
      <c r="C1" s="22" t="s">
        <v>2</v>
      </c>
      <c r="D1" s="23" t="s">
        <v>29</v>
      </c>
      <c r="E1" s="21" t="s">
        <v>10</v>
      </c>
      <c r="F1" s="21" t="s">
        <v>11</v>
      </c>
      <c r="G1" s="24" t="s">
        <v>12</v>
      </c>
    </row>
    <row r="2" spans="1:7" x14ac:dyDescent="0.2">
      <c r="A2" s="25">
        <v>44929</v>
      </c>
      <c r="B2" s="8">
        <f>Jan!B3</f>
        <v>0</v>
      </c>
      <c r="C2" s="8">
        <f>Jan!D3</f>
        <v>560</v>
      </c>
      <c r="D2" s="11" t="e">
        <f>Jan!F3</f>
        <v>#DIV/0!</v>
      </c>
      <c r="E2" s="8">
        <f>Jan!AH3</f>
        <v>0</v>
      </c>
      <c r="F2" s="8">
        <f>Jan!AI3</f>
        <v>0</v>
      </c>
      <c r="G2" s="30">
        <f>Jan!AJ3</f>
        <v>1</v>
      </c>
    </row>
    <row r="3" spans="1:7" x14ac:dyDescent="0.2">
      <c r="A3" s="25">
        <v>44930</v>
      </c>
      <c r="B3" s="8">
        <f>Jan!B4</f>
        <v>0</v>
      </c>
      <c r="C3" s="8">
        <f>Jan!D4</f>
        <v>419</v>
      </c>
      <c r="D3" s="11" t="e">
        <f>Jan!F4</f>
        <v>#DIV/0!</v>
      </c>
      <c r="E3" s="8">
        <f>Jan!AH4</f>
        <v>0</v>
      </c>
      <c r="F3" s="8">
        <f>Jan!AI4</f>
        <v>0</v>
      </c>
      <c r="G3" s="30">
        <f>Jan!AJ4</f>
        <v>1</v>
      </c>
    </row>
    <row r="4" spans="1:7" x14ac:dyDescent="0.2">
      <c r="A4" s="25">
        <v>44931</v>
      </c>
      <c r="B4" s="8">
        <f>Jan!B5</f>
        <v>0</v>
      </c>
      <c r="C4" s="8">
        <f>Jan!D5</f>
        <v>402</v>
      </c>
      <c r="D4" s="11" t="e">
        <f>Jan!F5</f>
        <v>#DIV/0!</v>
      </c>
      <c r="E4" s="8">
        <f>Jan!AH5</f>
        <v>0</v>
      </c>
      <c r="F4" s="8">
        <f>Jan!AI5</f>
        <v>0</v>
      </c>
      <c r="G4" s="30">
        <f>Jan!AJ5</f>
        <v>1</v>
      </c>
    </row>
    <row r="5" spans="1:7" x14ac:dyDescent="0.2">
      <c r="A5" s="25">
        <v>44932</v>
      </c>
      <c r="B5" s="8">
        <f>Jan!B6</f>
        <v>0</v>
      </c>
      <c r="C5" s="8">
        <f>Jan!D6</f>
        <v>369</v>
      </c>
      <c r="D5" s="11" t="e">
        <f>Jan!F6</f>
        <v>#DIV/0!</v>
      </c>
      <c r="E5" s="8">
        <f>Jan!AH6</f>
        <v>0</v>
      </c>
      <c r="F5" s="8">
        <f>Jan!AI6</f>
        <v>0</v>
      </c>
      <c r="G5" s="30">
        <f>Jan!AJ6</f>
        <v>1</v>
      </c>
    </row>
    <row r="6" spans="1:7" x14ac:dyDescent="0.2">
      <c r="A6" s="25">
        <v>44935</v>
      </c>
      <c r="B6" s="8">
        <f>Jan!B7</f>
        <v>0</v>
      </c>
      <c r="C6" s="8">
        <f>Jan!D7</f>
        <v>532</v>
      </c>
      <c r="D6" s="11" t="e">
        <f>Jan!F7</f>
        <v>#DIV/0!</v>
      </c>
      <c r="E6" s="8">
        <f>Jan!AH7</f>
        <v>0</v>
      </c>
      <c r="F6" s="8">
        <f>Jan!AI7</f>
        <v>0</v>
      </c>
      <c r="G6" s="30">
        <f>Jan!AJ7</f>
        <v>1</v>
      </c>
    </row>
    <row r="7" spans="1:7" x14ac:dyDescent="0.2">
      <c r="A7" s="25">
        <v>44936</v>
      </c>
      <c r="B7" s="8">
        <f>Jan!B8</f>
        <v>0</v>
      </c>
      <c r="C7" s="8">
        <f>Jan!D8</f>
        <v>525</v>
      </c>
      <c r="D7" s="11" t="e">
        <f>Jan!F8</f>
        <v>#DIV/0!</v>
      </c>
      <c r="E7" s="8">
        <f>Jan!AH8</f>
        <v>0</v>
      </c>
      <c r="F7" s="8">
        <f>Jan!AI8</f>
        <v>0</v>
      </c>
      <c r="G7" s="30">
        <f>Jan!AJ8</f>
        <v>1</v>
      </c>
    </row>
    <row r="8" spans="1:7" x14ac:dyDescent="0.2">
      <c r="A8" s="25">
        <v>44937</v>
      </c>
      <c r="B8" s="8">
        <f>Jan!B9</f>
        <v>0</v>
      </c>
      <c r="C8" s="8">
        <f>Jan!D9</f>
        <v>855</v>
      </c>
      <c r="D8" s="11" t="e">
        <f>Jan!F9</f>
        <v>#DIV/0!</v>
      </c>
      <c r="E8" s="8">
        <f>Jan!AH9</f>
        <v>0</v>
      </c>
      <c r="F8" s="8">
        <f>Jan!AI9</f>
        <v>0</v>
      </c>
      <c r="G8" s="30">
        <f>Jan!AJ9</f>
        <v>1</v>
      </c>
    </row>
    <row r="9" spans="1:7" x14ac:dyDescent="0.2">
      <c r="A9" s="25">
        <v>44938</v>
      </c>
      <c r="B9" s="8">
        <f>Jan!B10</f>
        <v>0</v>
      </c>
      <c r="C9" s="8">
        <f>Jan!D10</f>
        <v>565</v>
      </c>
      <c r="D9" s="11" t="e">
        <f>Jan!F10</f>
        <v>#DIV/0!</v>
      </c>
      <c r="E9" s="8">
        <f>Jan!AH10</f>
        <v>0</v>
      </c>
      <c r="F9" s="8">
        <f>Jan!AI10</f>
        <v>0</v>
      </c>
      <c r="G9" s="30">
        <f>Jan!AJ10</f>
        <v>1</v>
      </c>
    </row>
    <row r="10" spans="1:7" x14ac:dyDescent="0.2">
      <c r="A10" s="25">
        <v>44939</v>
      </c>
      <c r="B10" s="8">
        <f>Jan!B11</f>
        <v>0</v>
      </c>
      <c r="C10" s="8">
        <f>Jan!D11</f>
        <v>603</v>
      </c>
      <c r="D10" s="11" t="e">
        <f>Jan!F11</f>
        <v>#DIV/0!</v>
      </c>
      <c r="E10" s="8">
        <f>Jan!AH11</f>
        <v>0</v>
      </c>
      <c r="F10" s="8">
        <f>Jan!AI11</f>
        <v>0</v>
      </c>
      <c r="G10" s="30">
        <f>Jan!AJ11</f>
        <v>1</v>
      </c>
    </row>
    <row r="11" spans="1:7" x14ac:dyDescent="0.2">
      <c r="A11" s="25">
        <v>44942</v>
      </c>
      <c r="B11" s="8">
        <f>Jan!B12</f>
        <v>0</v>
      </c>
      <c r="C11" s="8">
        <f>Jan!D12</f>
        <v>570</v>
      </c>
      <c r="D11" s="11" t="e">
        <f>Jan!F12</f>
        <v>#DIV/0!</v>
      </c>
      <c r="E11" s="8">
        <f>Jan!AH12</f>
        <v>0</v>
      </c>
      <c r="F11" s="8">
        <f>Jan!AI12</f>
        <v>0</v>
      </c>
      <c r="G11" s="30">
        <f>Jan!AJ12</f>
        <v>1</v>
      </c>
    </row>
    <row r="12" spans="1:7" x14ac:dyDescent="0.2">
      <c r="A12" s="25">
        <v>44943</v>
      </c>
      <c r="B12" s="8">
        <f>Jan!B13</f>
        <v>0</v>
      </c>
      <c r="C12" s="8">
        <f>Jan!D13</f>
        <v>562</v>
      </c>
      <c r="D12" s="11" t="e">
        <f>Jan!F13</f>
        <v>#DIV/0!</v>
      </c>
      <c r="E12" s="8">
        <f>Jan!AH13</f>
        <v>0</v>
      </c>
      <c r="F12" s="8">
        <f>Jan!AI13</f>
        <v>0</v>
      </c>
      <c r="G12" s="30">
        <f>Jan!AJ13</f>
        <v>1</v>
      </c>
    </row>
    <row r="13" spans="1:7" x14ac:dyDescent="0.2">
      <c r="A13" s="25">
        <v>44944</v>
      </c>
      <c r="B13" s="8">
        <f>Jan!B14</f>
        <v>0</v>
      </c>
      <c r="C13" s="8">
        <f>Jan!D14</f>
        <v>598</v>
      </c>
      <c r="D13" s="11" t="e">
        <f>Jan!F14</f>
        <v>#DIV/0!</v>
      </c>
      <c r="E13" s="8">
        <f>Jan!AH14</f>
        <v>0</v>
      </c>
      <c r="F13" s="8">
        <f>Jan!AI14</f>
        <v>0</v>
      </c>
      <c r="G13" s="30">
        <f>Jan!AJ14</f>
        <v>1</v>
      </c>
    </row>
    <row r="14" spans="1:7" x14ac:dyDescent="0.2">
      <c r="A14" s="25">
        <v>44945</v>
      </c>
      <c r="B14" s="8">
        <f>Jan!B15</f>
        <v>0</v>
      </c>
      <c r="C14" s="8">
        <f>Jan!D15</f>
        <v>472</v>
      </c>
      <c r="D14" s="11" t="e">
        <f>Jan!F15</f>
        <v>#DIV/0!</v>
      </c>
      <c r="E14" s="8">
        <f>Jan!AH15</f>
        <v>0</v>
      </c>
      <c r="F14" s="8">
        <f>Jan!AI15</f>
        <v>0</v>
      </c>
      <c r="G14" s="30">
        <f>Jan!AJ15</f>
        <v>1</v>
      </c>
    </row>
    <row r="15" spans="1:7" x14ac:dyDescent="0.2">
      <c r="A15" s="25">
        <v>44946</v>
      </c>
      <c r="B15" s="8">
        <f>Jan!B16</f>
        <v>0</v>
      </c>
      <c r="C15" s="8">
        <f>Jan!D16</f>
        <v>0</v>
      </c>
      <c r="D15" s="11" t="e">
        <f>Jan!F16</f>
        <v>#DIV/0!</v>
      </c>
      <c r="E15" s="8">
        <f>Jan!AH16</f>
        <v>0</v>
      </c>
      <c r="F15" s="8">
        <f>Jan!AI16</f>
        <v>0</v>
      </c>
      <c r="G15" s="30" t="e">
        <f>Jan!AJ16</f>
        <v>#DIV/0!</v>
      </c>
    </row>
    <row r="16" spans="1:7" x14ac:dyDescent="0.2">
      <c r="A16" s="25">
        <v>44949</v>
      </c>
      <c r="B16" s="8">
        <f>Jan!B17</f>
        <v>0</v>
      </c>
      <c r="C16" s="8">
        <f>Jan!D17</f>
        <v>0</v>
      </c>
      <c r="D16" s="11" t="e">
        <f>Jan!F17</f>
        <v>#DIV/0!</v>
      </c>
      <c r="E16" s="8">
        <f>Jan!AH17</f>
        <v>0</v>
      </c>
      <c r="F16" s="8">
        <f>Jan!AI17</f>
        <v>0</v>
      </c>
      <c r="G16" s="30" t="e">
        <f>Jan!AJ17</f>
        <v>#DIV/0!</v>
      </c>
    </row>
    <row r="17" spans="1:7" x14ac:dyDescent="0.2">
      <c r="A17" s="25">
        <v>44950</v>
      </c>
      <c r="B17" s="8">
        <f>Jan!B18</f>
        <v>0</v>
      </c>
      <c r="C17" s="8">
        <f>Jan!D18</f>
        <v>0</v>
      </c>
      <c r="D17" s="11" t="e">
        <f>Jan!F18</f>
        <v>#DIV/0!</v>
      </c>
      <c r="E17" s="8">
        <f>Jan!AH18</f>
        <v>0</v>
      </c>
      <c r="F17" s="8">
        <f>Jan!AI18</f>
        <v>0</v>
      </c>
      <c r="G17" s="30" t="e">
        <f>Jan!AJ18</f>
        <v>#DIV/0!</v>
      </c>
    </row>
    <row r="18" spans="1:7" x14ac:dyDescent="0.2">
      <c r="A18" s="25">
        <v>44951</v>
      </c>
      <c r="B18" s="8">
        <f>Jan!B19</f>
        <v>0</v>
      </c>
      <c r="C18" s="8">
        <f>Jan!D19</f>
        <v>0</v>
      </c>
      <c r="D18" s="11" t="e">
        <f>Jan!F19</f>
        <v>#DIV/0!</v>
      </c>
      <c r="E18" s="8">
        <f>Jan!AH19</f>
        <v>0</v>
      </c>
      <c r="F18" s="8">
        <f>Jan!AI19</f>
        <v>0</v>
      </c>
      <c r="G18" s="30" t="e">
        <f>Jan!AJ19</f>
        <v>#DIV/0!</v>
      </c>
    </row>
    <row r="19" spans="1:7" x14ac:dyDescent="0.2">
      <c r="A19" s="25">
        <v>44952</v>
      </c>
      <c r="B19" s="8">
        <f>Jan!B20</f>
        <v>0</v>
      </c>
      <c r="C19" s="8">
        <f>Jan!D20</f>
        <v>0</v>
      </c>
      <c r="D19" s="11" t="e">
        <f>Jan!F20</f>
        <v>#DIV/0!</v>
      </c>
      <c r="E19" s="8">
        <f>Jan!AH20</f>
        <v>0</v>
      </c>
      <c r="F19" s="8">
        <f>Jan!AI20</f>
        <v>0</v>
      </c>
      <c r="G19" s="30" t="e">
        <f>Jan!AJ20</f>
        <v>#DIV/0!</v>
      </c>
    </row>
    <row r="20" spans="1:7" x14ac:dyDescent="0.2">
      <c r="A20" s="25">
        <v>44953</v>
      </c>
      <c r="B20" s="8">
        <f>Jan!B21</f>
        <v>0</v>
      </c>
      <c r="C20" s="8">
        <f>Jan!D21</f>
        <v>0</v>
      </c>
      <c r="D20" s="11" t="e">
        <f>Jan!F21</f>
        <v>#DIV/0!</v>
      </c>
      <c r="E20" s="8">
        <f>Jan!AH21</f>
        <v>0</v>
      </c>
      <c r="F20" s="8">
        <f>Jan!AI21</f>
        <v>0</v>
      </c>
      <c r="G20" s="30" t="e">
        <f>Jan!AJ21</f>
        <v>#DIV/0!</v>
      </c>
    </row>
    <row r="21" spans="1:7" x14ac:dyDescent="0.2">
      <c r="A21" s="25">
        <v>44956</v>
      </c>
      <c r="B21" s="8">
        <f>Jan!B22</f>
        <v>0</v>
      </c>
      <c r="C21" s="8">
        <f>Jan!D22</f>
        <v>0</v>
      </c>
      <c r="D21" s="11" t="e">
        <f>Jan!F22</f>
        <v>#DIV/0!</v>
      </c>
      <c r="E21" s="8">
        <f>Jan!AH22</f>
        <v>0</v>
      </c>
      <c r="F21" s="8">
        <f>Jan!AI22</f>
        <v>0</v>
      </c>
      <c r="G21" s="30" t="e">
        <f>Jan!AJ22</f>
        <v>#DIV/0!</v>
      </c>
    </row>
    <row r="22" spans="1:7" ht="15" thickBot="1" x14ac:dyDescent="0.25">
      <c r="A22" s="26">
        <v>44957</v>
      </c>
      <c r="B22" s="28">
        <f>Jan!B23</f>
        <v>0</v>
      </c>
      <c r="C22" s="28">
        <f>Jan!D23</f>
        <v>0</v>
      </c>
      <c r="D22" s="31" t="e">
        <f>Jan!F23</f>
        <v>#DIV/0!</v>
      </c>
      <c r="E22" s="28">
        <f>Jan!AH23</f>
        <v>0</v>
      </c>
      <c r="F22" s="28">
        <f>Jan!AI23</f>
        <v>0</v>
      </c>
      <c r="G22" s="32" t="e">
        <f>Jan!AJ23</f>
        <v>#DIV/0!</v>
      </c>
    </row>
    <row r="23" spans="1:7" ht="15" thickBot="1" x14ac:dyDescent="0.25">
      <c r="A23" s="3"/>
      <c r="D23" s="34"/>
      <c r="G23" s="35"/>
    </row>
    <row r="24" spans="1:7" ht="45" x14ac:dyDescent="0.25">
      <c r="A24" s="33" t="s">
        <v>0</v>
      </c>
      <c r="B24" s="21" t="s">
        <v>22</v>
      </c>
      <c r="C24" s="22" t="s">
        <v>2</v>
      </c>
      <c r="D24" s="23" t="s">
        <v>29</v>
      </c>
      <c r="E24" s="21" t="s">
        <v>10</v>
      </c>
      <c r="F24" s="21" t="s">
        <v>11</v>
      </c>
      <c r="G24" s="24" t="s">
        <v>12</v>
      </c>
    </row>
    <row r="25" spans="1:7" x14ac:dyDescent="0.2">
      <c r="A25" s="36">
        <v>44958</v>
      </c>
      <c r="B25" s="8">
        <f>Feb!B2</f>
        <v>0</v>
      </c>
      <c r="C25" s="8">
        <f>Feb!D2</f>
        <v>0</v>
      </c>
      <c r="D25" s="11" t="e">
        <f>Feb!F2</f>
        <v>#DIV/0!</v>
      </c>
      <c r="E25" s="8">
        <f>Feb!AS2</f>
        <v>0</v>
      </c>
      <c r="F25" s="8">
        <f>Feb!AT2</f>
        <v>0</v>
      </c>
      <c r="G25" s="30" t="e">
        <f>Feb!AU2</f>
        <v>#DIV/0!</v>
      </c>
    </row>
    <row r="26" spans="1:7" x14ac:dyDescent="0.2">
      <c r="A26" s="25">
        <v>44959</v>
      </c>
      <c r="B26" s="8">
        <f>Feb!B3</f>
        <v>0</v>
      </c>
      <c r="C26" s="8">
        <f>Feb!D3</f>
        <v>0</v>
      </c>
      <c r="D26" s="11" t="e">
        <f>Mar!F3</f>
        <v>#DIV/0!</v>
      </c>
      <c r="E26" s="8">
        <f>Feb!AS3</f>
        <v>0</v>
      </c>
      <c r="F26" s="8">
        <f>Feb!AT3</f>
        <v>0</v>
      </c>
      <c r="G26" s="30" t="e">
        <f>Feb!AU3</f>
        <v>#DIV/0!</v>
      </c>
    </row>
    <row r="27" spans="1:7" x14ac:dyDescent="0.2">
      <c r="A27" s="25">
        <v>44960</v>
      </c>
      <c r="B27" s="8">
        <f>Feb!B4</f>
        <v>0</v>
      </c>
      <c r="C27" s="8">
        <f>Feb!D4</f>
        <v>0</v>
      </c>
      <c r="D27" s="8" t="e">
        <f>Feb!F4</f>
        <v>#DIV/0!</v>
      </c>
      <c r="E27" s="8">
        <f>Feb!AS4</f>
        <v>0</v>
      </c>
      <c r="F27" s="8">
        <f>Feb!AT4</f>
        <v>0</v>
      </c>
      <c r="G27" s="27" t="e">
        <f>Feb!AU4</f>
        <v>#DIV/0!</v>
      </c>
    </row>
    <row r="28" spans="1:7" x14ac:dyDescent="0.2">
      <c r="A28" s="25">
        <v>44963</v>
      </c>
      <c r="B28" s="8">
        <f>Feb!B6</f>
        <v>0</v>
      </c>
      <c r="C28" s="8">
        <f>Feb!D6</f>
        <v>0</v>
      </c>
      <c r="D28" s="8" t="e">
        <f>Mar!F6</f>
        <v>#DIV/0!</v>
      </c>
      <c r="E28" s="8">
        <f>Feb!AS6</f>
        <v>0</v>
      </c>
      <c r="F28" s="8">
        <f>Feb!AT6</f>
        <v>0</v>
      </c>
      <c r="G28" s="27" t="e">
        <f>Feb!AU6</f>
        <v>#DIV/0!</v>
      </c>
    </row>
    <row r="29" spans="1:7" x14ac:dyDescent="0.2">
      <c r="A29" s="25">
        <v>44964</v>
      </c>
      <c r="B29" s="8">
        <f>Feb!B7</f>
        <v>0</v>
      </c>
      <c r="C29" s="8">
        <f>Feb!D7</f>
        <v>0</v>
      </c>
      <c r="D29" s="8" t="e">
        <f>Feb!F7</f>
        <v>#DIV/0!</v>
      </c>
      <c r="E29" s="8">
        <f>Feb!AS7</f>
        <v>0</v>
      </c>
      <c r="F29" s="8">
        <f>Feb!AT7</f>
        <v>0</v>
      </c>
      <c r="G29" s="27" t="e">
        <f>Feb!AU7</f>
        <v>#DIV/0!</v>
      </c>
    </row>
    <row r="30" spans="1:7" x14ac:dyDescent="0.2">
      <c r="A30" s="25">
        <v>44965</v>
      </c>
      <c r="B30" s="8">
        <f>Feb!B8</f>
        <v>0</v>
      </c>
      <c r="C30" s="8">
        <f>Feb!D8</f>
        <v>0</v>
      </c>
      <c r="D30" s="8" t="e">
        <f>Mar!F8</f>
        <v>#DIV/0!</v>
      </c>
      <c r="E30" s="8">
        <f>Feb!AS8</f>
        <v>0</v>
      </c>
      <c r="F30" s="8">
        <f>Feb!AT8</f>
        <v>0</v>
      </c>
      <c r="G30" s="27" t="e">
        <f>Feb!AU8</f>
        <v>#DIV/0!</v>
      </c>
    </row>
    <row r="31" spans="1:7" x14ac:dyDescent="0.2">
      <c r="A31" s="25">
        <v>44966</v>
      </c>
      <c r="B31" s="8">
        <f>Feb!B9</f>
        <v>0</v>
      </c>
      <c r="C31" s="8">
        <f>Feb!D9</f>
        <v>0</v>
      </c>
      <c r="D31" s="8" t="e">
        <f>Feb!F9</f>
        <v>#DIV/0!</v>
      </c>
      <c r="E31" s="8">
        <f>Feb!AS9</f>
        <v>0</v>
      </c>
      <c r="F31" s="8">
        <f>Feb!AT9</f>
        <v>0</v>
      </c>
      <c r="G31" s="27" t="e">
        <f>Feb!AU9</f>
        <v>#DIV/0!</v>
      </c>
    </row>
    <row r="32" spans="1:7" x14ac:dyDescent="0.2">
      <c r="A32" s="25">
        <v>44967</v>
      </c>
      <c r="B32" s="8">
        <f>Feb!B10</f>
        <v>0</v>
      </c>
      <c r="C32" s="8">
        <f>Feb!D10</f>
        <v>0</v>
      </c>
      <c r="D32" s="8" t="e">
        <f>Mar!F10</f>
        <v>#DIV/0!</v>
      </c>
      <c r="E32" s="8">
        <f>Feb!AS10</f>
        <v>0</v>
      </c>
      <c r="F32" s="8">
        <f>Feb!AT10</f>
        <v>0</v>
      </c>
      <c r="G32" s="27" t="e">
        <f>Feb!AU10</f>
        <v>#DIV/0!</v>
      </c>
    </row>
    <row r="33" spans="1:7" x14ac:dyDescent="0.2">
      <c r="A33" s="25">
        <v>44970</v>
      </c>
      <c r="B33" s="8">
        <f>Feb!B12</f>
        <v>0</v>
      </c>
      <c r="C33" s="8">
        <f>Feb!D12</f>
        <v>0</v>
      </c>
      <c r="D33" s="8" t="e">
        <f>Feb!F12</f>
        <v>#DIV/0!</v>
      </c>
      <c r="E33" s="8">
        <f>Feb!AS12</f>
        <v>0</v>
      </c>
      <c r="F33" s="8">
        <f>Feb!AT12</f>
        <v>0</v>
      </c>
      <c r="G33" s="27" t="e">
        <f>Feb!AU12</f>
        <v>#DIV/0!</v>
      </c>
    </row>
    <row r="34" spans="1:7" x14ac:dyDescent="0.2">
      <c r="A34" s="25">
        <v>44971</v>
      </c>
      <c r="B34" s="8">
        <f>Feb!B13</f>
        <v>0</v>
      </c>
      <c r="C34" s="8">
        <f>Feb!D13</f>
        <v>0</v>
      </c>
      <c r="D34" s="8" t="e">
        <f>Mar!F13</f>
        <v>#DIV/0!</v>
      </c>
      <c r="E34" s="8">
        <f>Feb!AS13</f>
        <v>0</v>
      </c>
      <c r="F34" s="8">
        <f>Feb!AT13</f>
        <v>0</v>
      </c>
      <c r="G34" s="27" t="e">
        <f>Feb!AU13</f>
        <v>#DIV/0!</v>
      </c>
    </row>
    <row r="35" spans="1:7" x14ac:dyDescent="0.2">
      <c r="A35" s="25">
        <v>44972</v>
      </c>
      <c r="B35" s="8">
        <f>Feb!B14</f>
        <v>0</v>
      </c>
      <c r="C35" s="8">
        <f>Feb!D14</f>
        <v>0</v>
      </c>
      <c r="D35" s="8" t="e">
        <f>Feb!F14</f>
        <v>#DIV/0!</v>
      </c>
      <c r="E35" s="8">
        <f>Feb!AS14</f>
        <v>0</v>
      </c>
      <c r="F35" s="8">
        <f>Feb!AT14</f>
        <v>0</v>
      </c>
      <c r="G35" s="27" t="e">
        <f>Feb!AU14</f>
        <v>#DIV/0!</v>
      </c>
    </row>
    <row r="36" spans="1:7" x14ac:dyDescent="0.2">
      <c r="A36" s="25">
        <v>44973</v>
      </c>
      <c r="B36" s="8">
        <f>Feb!B15</f>
        <v>0</v>
      </c>
      <c r="C36" s="8">
        <f>Feb!D15</f>
        <v>0</v>
      </c>
      <c r="D36" s="8" t="e">
        <f>Mar!F15</f>
        <v>#DIV/0!</v>
      </c>
      <c r="E36" s="8">
        <f>Feb!AS15</f>
        <v>0</v>
      </c>
      <c r="F36" s="8">
        <f>Feb!AT15</f>
        <v>0</v>
      </c>
      <c r="G36" s="27" t="e">
        <f>Feb!AU15</f>
        <v>#DIV/0!</v>
      </c>
    </row>
    <row r="37" spans="1:7" x14ac:dyDescent="0.2">
      <c r="A37" s="25">
        <v>44974</v>
      </c>
      <c r="B37" s="8">
        <f>Feb!B16</f>
        <v>0</v>
      </c>
      <c r="C37" s="8">
        <f>Feb!D16</f>
        <v>0</v>
      </c>
      <c r="D37" s="8" t="e">
        <f>Feb!F16</f>
        <v>#DIV/0!</v>
      </c>
      <c r="E37" s="8">
        <f>Feb!AS16</f>
        <v>0</v>
      </c>
      <c r="F37" s="8">
        <f>Feb!AT16</f>
        <v>0</v>
      </c>
      <c r="G37" s="27" t="e">
        <f>Feb!AU16</f>
        <v>#DIV/0!</v>
      </c>
    </row>
    <row r="38" spans="1:7" x14ac:dyDescent="0.2">
      <c r="A38" s="25">
        <v>44978</v>
      </c>
      <c r="B38" s="8">
        <f>Feb!B19</f>
        <v>0</v>
      </c>
      <c r="C38" s="8">
        <f>Feb!D19</f>
        <v>0</v>
      </c>
      <c r="D38" s="8" t="e">
        <f>Mar!F17</f>
        <v>#DIV/0!</v>
      </c>
      <c r="E38" s="8">
        <f>Feb!AS19</f>
        <v>0</v>
      </c>
      <c r="F38" s="8">
        <f>Feb!AT19</f>
        <v>0</v>
      </c>
      <c r="G38" s="27" t="e">
        <f>Feb!AU19</f>
        <v>#DIV/0!</v>
      </c>
    </row>
    <row r="39" spans="1:7" x14ac:dyDescent="0.2">
      <c r="A39" s="25">
        <v>44979</v>
      </c>
      <c r="B39" s="8">
        <f>Feb!B20</f>
        <v>0</v>
      </c>
      <c r="C39" s="8">
        <f>Feb!D20</f>
        <v>0</v>
      </c>
      <c r="D39" s="8" t="e">
        <f>Feb!F20</f>
        <v>#DIV/0!</v>
      </c>
      <c r="E39" s="8">
        <f>Feb!AS20</f>
        <v>0</v>
      </c>
      <c r="F39" s="8">
        <f>Feb!AT20</f>
        <v>0</v>
      </c>
      <c r="G39" s="27" t="e">
        <f>Feb!AU20</f>
        <v>#DIV/0!</v>
      </c>
    </row>
    <row r="40" spans="1:7" x14ac:dyDescent="0.2">
      <c r="A40" s="25">
        <v>44980</v>
      </c>
      <c r="B40" s="8">
        <f>Feb!B21</f>
        <v>0</v>
      </c>
      <c r="C40" s="8">
        <f>Feb!D21</f>
        <v>0</v>
      </c>
      <c r="D40" s="8" t="e">
        <f>Mar!F19</f>
        <v>#DIV/0!</v>
      </c>
      <c r="E40" s="8">
        <f>Feb!AS21</f>
        <v>0</v>
      </c>
      <c r="F40" s="8">
        <f>Feb!AT21</f>
        <v>0</v>
      </c>
      <c r="G40" s="27" t="e">
        <f>Feb!AU21</f>
        <v>#DIV/0!</v>
      </c>
    </row>
    <row r="41" spans="1:7" x14ac:dyDescent="0.2">
      <c r="A41" s="25">
        <v>44981</v>
      </c>
      <c r="B41" s="8">
        <f>Feb!B22</f>
        <v>0</v>
      </c>
      <c r="C41" s="8">
        <f>Feb!D22</f>
        <v>0</v>
      </c>
      <c r="D41" s="8" t="e">
        <f>Feb!F22</f>
        <v>#DIV/0!</v>
      </c>
      <c r="E41" s="8">
        <f>Feb!AS22</f>
        <v>0</v>
      </c>
      <c r="F41" s="8">
        <f>Feb!AT22</f>
        <v>0</v>
      </c>
      <c r="G41" s="27" t="e">
        <f>Feb!AU22</f>
        <v>#DIV/0!</v>
      </c>
    </row>
    <row r="42" spans="1:7" x14ac:dyDescent="0.2">
      <c r="A42" s="25">
        <v>44984</v>
      </c>
      <c r="B42" s="8">
        <f>Feb!B24</f>
        <v>0</v>
      </c>
      <c r="C42" s="8">
        <f>Feb!D24</f>
        <v>0</v>
      </c>
      <c r="D42" s="8" t="e">
        <f>Mar!F21</f>
        <v>#DIV/0!</v>
      </c>
      <c r="E42" s="8">
        <f>Feb!AS24</f>
        <v>0</v>
      </c>
      <c r="F42" s="8">
        <f>Feb!AT24</f>
        <v>0</v>
      </c>
      <c r="G42" s="27" t="e">
        <f>Feb!AU24</f>
        <v>#DIV/0!</v>
      </c>
    </row>
    <row r="43" spans="1:7" ht="15" thickBot="1" x14ac:dyDescent="0.25">
      <c r="A43" s="26">
        <v>44985</v>
      </c>
      <c r="B43" s="28">
        <f>Feb!B25</f>
        <v>0</v>
      </c>
      <c r="C43" s="28">
        <f>Feb!D25</f>
        <v>0</v>
      </c>
      <c r="D43" s="28" t="e">
        <f>Mar!F23</f>
        <v>#DIV/0!</v>
      </c>
      <c r="E43" s="28">
        <f>Feb!AS25</f>
        <v>0</v>
      </c>
      <c r="F43" s="28">
        <f>Feb!AT25</f>
        <v>0</v>
      </c>
      <c r="G43" s="29" t="e">
        <f>Feb!AU25</f>
        <v>#DIV/0!</v>
      </c>
    </row>
    <row r="44" spans="1:7" ht="15" thickBot="1" x14ac:dyDescent="0.25">
      <c r="A44" s="3"/>
      <c r="D44" s="34"/>
      <c r="G44" s="35"/>
    </row>
    <row r="45" spans="1:7" ht="45" x14ac:dyDescent="0.25">
      <c r="A45" s="33" t="s">
        <v>0</v>
      </c>
      <c r="B45" s="21" t="s">
        <v>22</v>
      </c>
      <c r="C45" s="22" t="s">
        <v>2</v>
      </c>
      <c r="D45" s="23" t="s">
        <v>29</v>
      </c>
      <c r="E45" s="21" t="s">
        <v>10</v>
      </c>
      <c r="F45" s="21" t="s">
        <v>11</v>
      </c>
      <c r="G45" s="24" t="s">
        <v>12</v>
      </c>
    </row>
    <row r="46" spans="1:7" x14ac:dyDescent="0.2">
      <c r="A46" s="25">
        <v>44986</v>
      </c>
      <c r="B46" s="8">
        <f>Mar!B2</f>
        <v>0</v>
      </c>
      <c r="C46" s="8">
        <f>Mar!D2</f>
        <v>0</v>
      </c>
      <c r="D46" s="11" t="e">
        <f>Mar!F2</f>
        <v>#DIV/0!</v>
      </c>
      <c r="E46" s="8">
        <f>Mar!AI2</f>
        <v>0</v>
      </c>
      <c r="F46" s="8">
        <f>Mar!AJ2</f>
        <v>0</v>
      </c>
      <c r="G46" s="30" t="e">
        <f>Mar!AK2</f>
        <v>#DIV/0!</v>
      </c>
    </row>
    <row r="47" spans="1:7" x14ac:dyDescent="0.2">
      <c r="A47" s="25">
        <v>44987</v>
      </c>
      <c r="B47" s="8">
        <f>Mar!B3</f>
        <v>0</v>
      </c>
      <c r="C47" s="8">
        <f>Mar!D3</f>
        <v>0</v>
      </c>
      <c r="D47" s="11" t="e">
        <f>Mar!F3</f>
        <v>#DIV/0!</v>
      </c>
      <c r="E47" s="8">
        <f>Mar!AI3</f>
        <v>0</v>
      </c>
      <c r="F47" s="8">
        <f>Mar!AJ3</f>
        <v>0</v>
      </c>
      <c r="G47" s="30" t="e">
        <f>Mar!AK3</f>
        <v>#DIV/0!</v>
      </c>
    </row>
    <row r="48" spans="1:7" x14ac:dyDescent="0.2">
      <c r="A48" s="25">
        <v>44988</v>
      </c>
      <c r="B48" s="8">
        <f>Mar!B4</f>
        <v>0</v>
      </c>
      <c r="C48" s="8">
        <f>Mar!D4</f>
        <v>0</v>
      </c>
      <c r="D48" s="8" t="e">
        <f>Mar!F4</f>
        <v>#DIV/0!</v>
      </c>
      <c r="E48" s="8">
        <f>Mar!AI4</f>
        <v>0</v>
      </c>
      <c r="F48" s="8">
        <f>Mar!AJ4</f>
        <v>0</v>
      </c>
      <c r="G48" s="27" t="e">
        <f>Mar!AK4</f>
        <v>#DIV/0!</v>
      </c>
    </row>
    <row r="49" spans="1:7" x14ac:dyDescent="0.2">
      <c r="A49" s="25">
        <v>44991</v>
      </c>
      <c r="B49" s="8">
        <f>Mar!B6</f>
        <v>0</v>
      </c>
      <c r="C49" s="8">
        <f>Mar!D6</f>
        <v>0</v>
      </c>
      <c r="D49" s="8" t="e">
        <f>Mar!F6</f>
        <v>#DIV/0!</v>
      </c>
      <c r="E49" s="8">
        <f>Mar!AI6</f>
        <v>0</v>
      </c>
      <c r="F49" s="8">
        <f>Mar!AJ6</f>
        <v>0</v>
      </c>
      <c r="G49" s="27" t="e">
        <f>Mar!AK6</f>
        <v>#DIV/0!</v>
      </c>
    </row>
    <row r="50" spans="1:7" x14ac:dyDescent="0.2">
      <c r="A50" s="25">
        <v>44992</v>
      </c>
      <c r="B50" s="8">
        <f>Mar!B7</f>
        <v>0</v>
      </c>
      <c r="C50" s="8">
        <f>Mar!D7</f>
        <v>0</v>
      </c>
      <c r="D50" s="8" t="e">
        <f>Mar!F7</f>
        <v>#DIV/0!</v>
      </c>
      <c r="E50" s="8">
        <f>Mar!AI7</f>
        <v>0</v>
      </c>
      <c r="F50" s="8">
        <f>Mar!AJ7</f>
        <v>0</v>
      </c>
      <c r="G50" s="27" t="e">
        <f>Mar!AK7</f>
        <v>#DIV/0!</v>
      </c>
    </row>
    <row r="51" spans="1:7" x14ac:dyDescent="0.2">
      <c r="A51" s="25">
        <v>44993</v>
      </c>
      <c r="B51" s="8">
        <f>Mar!B8</f>
        <v>0</v>
      </c>
      <c r="C51" s="8">
        <f>Mar!D8</f>
        <v>0</v>
      </c>
      <c r="D51" s="8" t="e">
        <f>Mar!F8</f>
        <v>#DIV/0!</v>
      </c>
      <c r="E51" s="8">
        <f>Mar!AI8</f>
        <v>0</v>
      </c>
      <c r="F51" s="8">
        <f>Mar!AJ8</f>
        <v>0</v>
      </c>
      <c r="G51" s="27" t="e">
        <f>Mar!AK8</f>
        <v>#DIV/0!</v>
      </c>
    </row>
    <row r="52" spans="1:7" x14ac:dyDescent="0.2">
      <c r="A52" s="25">
        <v>44994</v>
      </c>
      <c r="B52" s="8">
        <f>Mar!B9</f>
        <v>0</v>
      </c>
      <c r="C52" s="8">
        <f>Mar!D9</f>
        <v>0</v>
      </c>
      <c r="D52" s="8" t="e">
        <f>Mar!F9</f>
        <v>#DIV/0!</v>
      </c>
      <c r="E52" s="8">
        <f>Mar!AI9</f>
        <v>0</v>
      </c>
      <c r="F52" s="8">
        <f>Mar!AJ9</f>
        <v>0</v>
      </c>
      <c r="G52" s="27" t="e">
        <f>Mar!AK9</f>
        <v>#DIV/0!</v>
      </c>
    </row>
    <row r="53" spans="1:7" x14ac:dyDescent="0.2">
      <c r="A53" s="25">
        <v>44995</v>
      </c>
      <c r="B53" s="8">
        <f>Mar!B10</f>
        <v>0</v>
      </c>
      <c r="C53" s="8">
        <f>Mar!D10</f>
        <v>0</v>
      </c>
      <c r="D53" s="8" t="e">
        <f>Mar!F10</f>
        <v>#DIV/0!</v>
      </c>
      <c r="E53" s="8">
        <f>Mar!AI10</f>
        <v>0</v>
      </c>
      <c r="F53" s="8">
        <f>Mar!AJ10</f>
        <v>0</v>
      </c>
      <c r="G53" s="27" t="e">
        <f>Mar!AK10</f>
        <v>#DIV/0!</v>
      </c>
    </row>
    <row r="54" spans="1:7" x14ac:dyDescent="0.2">
      <c r="A54" s="25">
        <v>44998</v>
      </c>
      <c r="B54" s="8">
        <f>Mar!B12</f>
        <v>0</v>
      </c>
      <c r="C54" s="8">
        <f>Mar!D12</f>
        <v>0</v>
      </c>
      <c r="D54" s="8" t="e">
        <f>Mar!F12</f>
        <v>#DIV/0!</v>
      </c>
      <c r="E54" s="8">
        <f>Mar!AI12</f>
        <v>0</v>
      </c>
      <c r="F54" s="8">
        <f>Mar!AJ12</f>
        <v>0</v>
      </c>
      <c r="G54" s="27" t="e">
        <f>Mar!AK12</f>
        <v>#DIV/0!</v>
      </c>
    </row>
    <row r="55" spans="1:7" x14ac:dyDescent="0.2">
      <c r="A55" s="25">
        <v>44999</v>
      </c>
      <c r="B55" s="8">
        <f>Mar!B13</f>
        <v>0</v>
      </c>
      <c r="C55" s="8">
        <f>Mar!D13</f>
        <v>0</v>
      </c>
      <c r="D55" s="8" t="e">
        <f>Mar!F13</f>
        <v>#DIV/0!</v>
      </c>
      <c r="E55" s="8">
        <f>Mar!AI13</f>
        <v>0</v>
      </c>
      <c r="F55" s="8">
        <f>Mar!AJ13</f>
        <v>0</v>
      </c>
      <c r="G55" s="27" t="e">
        <f>Mar!AK13</f>
        <v>#DIV/0!</v>
      </c>
    </row>
    <row r="56" spans="1:7" x14ac:dyDescent="0.2">
      <c r="A56" s="25">
        <v>45000</v>
      </c>
      <c r="B56" s="8">
        <f>Mar!B14</f>
        <v>0</v>
      </c>
      <c r="C56" s="8">
        <f>Mar!D14</f>
        <v>0</v>
      </c>
      <c r="D56" s="8" t="e">
        <f>Mar!F14</f>
        <v>#DIV/0!</v>
      </c>
      <c r="E56" s="8">
        <f>Mar!AI14</f>
        <v>0</v>
      </c>
      <c r="F56" s="8">
        <f>Mar!AJ14</f>
        <v>0</v>
      </c>
      <c r="G56" s="27" t="e">
        <f>Mar!AK14</f>
        <v>#DIV/0!</v>
      </c>
    </row>
    <row r="57" spans="1:7" x14ac:dyDescent="0.2">
      <c r="A57" s="25">
        <v>45001</v>
      </c>
      <c r="B57" s="8">
        <f>Mar!B15</f>
        <v>0</v>
      </c>
      <c r="C57" s="8">
        <f>Mar!D15</f>
        <v>0</v>
      </c>
      <c r="D57" s="8" t="e">
        <f>Mar!F15</f>
        <v>#DIV/0!</v>
      </c>
      <c r="E57" s="8">
        <f>Mar!AI15</f>
        <v>0</v>
      </c>
      <c r="F57" s="8">
        <f>Mar!AJ15</f>
        <v>0</v>
      </c>
      <c r="G57" s="27" t="e">
        <f>Mar!AK15</f>
        <v>#DIV/0!</v>
      </c>
    </row>
    <row r="58" spans="1:7" x14ac:dyDescent="0.2">
      <c r="A58" s="25">
        <v>45002</v>
      </c>
      <c r="B58" s="8">
        <f>Mar!B16</f>
        <v>0</v>
      </c>
      <c r="C58" s="8">
        <f>Mar!D16</f>
        <v>0</v>
      </c>
      <c r="D58" s="8" t="e">
        <f>Mar!F16</f>
        <v>#DIV/0!</v>
      </c>
      <c r="E58" s="8">
        <f>Mar!AI16</f>
        <v>0</v>
      </c>
      <c r="F58" s="8">
        <f>Mar!AJ16</f>
        <v>0</v>
      </c>
      <c r="G58" s="27" t="e">
        <f>Mar!AK16</f>
        <v>#DIV/0!</v>
      </c>
    </row>
    <row r="59" spans="1:7" x14ac:dyDescent="0.2">
      <c r="A59" s="25">
        <v>45005</v>
      </c>
      <c r="B59" s="8">
        <f>Mar!B17</f>
        <v>0</v>
      </c>
      <c r="C59" s="8">
        <f>Mar!D17</f>
        <v>0</v>
      </c>
      <c r="D59" s="8" t="e">
        <f>Mar!F17</f>
        <v>#DIV/0!</v>
      </c>
      <c r="E59" s="8">
        <f>Mar!AI17</f>
        <v>0</v>
      </c>
      <c r="F59" s="8">
        <f>Mar!AJ17</f>
        <v>0</v>
      </c>
      <c r="G59" s="27" t="e">
        <f>Mar!AK17</f>
        <v>#DIV/0!</v>
      </c>
    </row>
    <row r="60" spans="1:7" x14ac:dyDescent="0.2">
      <c r="A60" s="25">
        <v>45006</v>
      </c>
      <c r="B60" s="8">
        <f>Mar!B18</f>
        <v>0</v>
      </c>
      <c r="C60" s="8">
        <f>Mar!D18</f>
        <v>0</v>
      </c>
      <c r="D60" s="8" t="e">
        <f>Mar!F18</f>
        <v>#DIV/0!</v>
      </c>
      <c r="E60" s="8">
        <f>Mar!AI18</f>
        <v>0</v>
      </c>
      <c r="F60" s="8">
        <f>Mar!AJ18</f>
        <v>0</v>
      </c>
      <c r="G60" s="27" t="e">
        <f>Mar!AK18</f>
        <v>#DIV/0!</v>
      </c>
    </row>
    <row r="61" spans="1:7" x14ac:dyDescent="0.2">
      <c r="A61" s="25">
        <v>45007</v>
      </c>
      <c r="B61" s="8">
        <f>Mar!B19</f>
        <v>0</v>
      </c>
      <c r="C61" s="8">
        <f>Mar!D19</f>
        <v>0</v>
      </c>
      <c r="D61" s="8" t="e">
        <f>Mar!F19</f>
        <v>#DIV/0!</v>
      </c>
      <c r="E61" s="8">
        <f>Mar!AI19</f>
        <v>0</v>
      </c>
      <c r="F61" s="8">
        <f>Mar!AJ19</f>
        <v>0</v>
      </c>
      <c r="G61" s="27" t="e">
        <f>Mar!AK19</f>
        <v>#DIV/0!</v>
      </c>
    </row>
    <row r="62" spans="1:7" x14ac:dyDescent="0.2">
      <c r="A62" s="25">
        <v>45008</v>
      </c>
      <c r="B62" s="8">
        <f>Mar!B20</f>
        <v>0</v>
      </c>
      <c r="C62" s="8">
        <f>Mar!D20</f>
        <v>0</v>
      </c>
      <c r="D62" s="8" t="e">
        <f>Mar!F20</f>
        <v>#DIV/0!</v>
      </c>
      <c r="E62" s="8">
        <f>Mar!AI20</f>
        <v>0</v>
      </c>
      <c r="F62" s="8">
        <f>Mar!AJ20</f>
        <v>0</v>
      </c>
      <c r="G62" s="27" t="e">
        <f>Mar!AK20</f>
        <v>#DIV/0!</v>
      </c>
    </row>
    <row r="63" spans="1:7" x14ac:dyDescent="0.2">
      <c r="A63" s="25">
        <v>45009</v>
      </c>
      <c r="B63" s="8">
        <f>Mar!B21</f>
        <v>0</v>
      </c>
      <c r="C63" s="8">
        <f>Mar!D21</f>
        <v>0</v>
      </c>
      <c r="D63" s="8" t="e">
        <f>Mar!F21</f>
        <v>#DIV/0!</v>
      </c>
      <c r="E63" s="8">
        <f>Mar!AI21</f>
        <v>0</v>
      </c>
      <c r="F63" s="8">
        <f>Mar!AJ21</f>
        <v>0</v>
      </c>
      <c r="G63" s="27" t="e">
        <f>Mar!AK21</f>
        <v>#DIV/0!</v>
      </c>
    </row>
    <row r="64" spans="1:7" x14ac:dyDescent="0.2">
      <c r="A64" s="25">
        <v>45012</v>
      </c>
      <c r="B64" s="8">
        <f>Mar!B23</f>
        <v>0</v>
      </c>
      <c r="C64" s="8">
        <f>Mar!D23</f>
        <v>0</v>
      </c>
      <c r="D64" s="8" t="e">
        <f>Mar!F23</f>
        <v>#DIV/0!</v>
      </c>
      <c r="E64" s="8">
        <f>Mar!AI23</f>
        <v>0</v>
      </c>
      <c r="F64" s="8">
        <f>Mar!AJ23</f>
        <v>0</v>
      </c>
      <c r="G64" s="27" t="e">
        <f>Mar!AK23</f>
        <v>#DIV/0!</v>
      </c>
    </row>
    <row r="65" spans="1:7" x14ac:dyDescent="0.2">
      <c r="A65" s="25">
        <v>45013</v>
      </c>
      <c r="B65" s="8">
        <f>Mar!B24</f>
        <v>0</v>
      </c>
      <c r="C65" s="8">
        <f>Mar!D24</f>
        <v>0</v>
      </c>
      <c r="D65" s="8" t="e">
        <f>Mar!F24</f>
        <v>#DIV/0!</v>
      </c>
      <c r="E65" s="8">
        <f>Mar!AI24</f>
        <v>0</v>
      </c>
      <c r="F65" s="8">
        <f>Mar!AJ24</f>
        <v>0</v>
      </c>
      <c r="G65" s="27" t="e">
        <f>Mar!AK24</f>
        <v>#DIV/0!</v>
      </c>
    </row>
    <row r="66" spans="1:7" x14ac:dyDescent="0.2">
      <c r="A66" s="25">
        <v>45014</v>
      </c>
      <c r="B66" s="8">
        <f>Mar!B25</f>
        <v>0</v>
      </c>
      <c r="C66" s="8">
        <f>Mar!D25</f>
        <v>0</v>
      </c>
      <c r="D66" s="8" t="e">
        <f>Mar!F25</f>
        <v>#DIV/0!</v>
      </c>
      <c r="E66" s="8">
        <f>Mar!AI25</f>
        <v>0</v>
      </c>
      <c r="F66" s="8">
        <f>Mar!AJ25</f>
        <v>0</v>
      </c>
      <c r="G66" s="27" t="e">
        <f>Mar!AK25</f>
        <v>#DIV/0!</v>
      </c>
    </row>
    <row r="67" spans="1:7" x14ac:dyDescent="0.2">
      <c r="A67" s="25">
        <v>45015</v>
      </c>
      <c r="B67" s="8">
        <f>Mar!B26</f>
        <v>0</v>
      </c>
      <c r="C67" s="8">
        <f>Mar!D26</f>
        <v>0</v>
      </c>
      <c r="D67" s="8" t="e">
        <f>Mar!F26</f>
        <v>#DIV/0!</v>
      </c>
      <c r="E67" s="8">
        <f>Mar!AI26</f>
        <v>0</v>
      </c>
      <c r="F67" s="8">
        <f>Mar!AJ26</f>
        <v>0</v>
      </c>
      <c r="G67" s="27" t="e">
        <f>Mar!AK26</f>
        <v>#DIV/0!</v>
      </c>
    </row>
    <row r="68" spans="1:7" ht="15" thickBot="1" x14ac:dyDescent="0.25">
      <c r="A68" s="26">
        <v>45016</v>
      </c>
      <c r="B68" s="28">
        <f>Mar!B27</f>
        <v>0</v>
      </c>
      <c r="C68" s="28">
        <f>Mar!D27</f>
        <v>0</v>
      </c>
      <c r="D68" s="28" t="e">
        <f>Mar!F27</f>
        <v>#DIV/0!</v>
      </c>
      <c r="E68" s="28">
        <f>Mar!AI27</f>
        <v>0</v>
      </c>
      <c r="F68" s="28">
        <f>Mar!AJ27</f>
        <v>0</v>
      </c>
      <c r="G68" s="29" t="e">
        <f>Mar!AK27</f>
        <v>#DIV/0!</v>
      </c>
    </row>
    <row r="69" spans="1:7" ht="15" thickBot="1" x14ac:dyDescent="0.25">
      <c r="A69" s="3"/>
      <c r="D69" s="34"/>
      <c r="G69" s="35"/>
    </row>
    <row r="70" spans="1:7" ht="45" x14ac:dyDescent="0.25">
      <c r="A70" s="33" t="s">
        <v>0</v>
      </c>
      <c r="B70" s="21" t="s">
        <v>22</v>
      </c>
      <c r="C70" s="22" t="s">
        <v>2</v>
      </c>
      <c r="D70" s="23" t="s">
        <v>29</v>
      </c>
      <c r="E70" s="21" t="s">
        <v>10</v>
      </c>
      <c r="F70" s="21" t="s">
        <v>11</v>
      </c>
      <c r="G70" s="24" t="s">
        <v>12</v>
      </c>
    </row>
    <row r="71" spans="1:7" x14ac:dyDescent="0.2">
      <c r="A71" s="25">
        <v>45019</v>
      </c>
      <c r="B71" s="8">
        <f>Apr!B2</f>
        <v>0</v>
      </c>
      <c r="C71" s="8">
        <f>Apr!D2</f>
        <v>0</v>
      </c>
      <c r="D71" s="11" t="e">
        <f>Apr!F2</f>
        <v>#DIV/0!</v>
      </c>
      <c r="E71" s="8">
        <f>Apr!V2</f>
        <v>0</v>
      </c>
      <c r="F71" s="8">
        <f>Apr!W2</f>
        <v>0</v>
      </c>
      <c r="G71" s="30" t="e">
        <f>Apr!X2</f>
        <v>#DIV/0!</v>
      </c>
    </row>
    <row r="72" spans="1:7" x14ac:dyDescent="0.2">
      <c r="A72" s="25">
        <v>45020</v>
      </c>
      <c r="B72" s="8">
        <f>Apr!B3</f>
        <v>0</v>
      </c>
      <c r="C72" s="8">
        <f>Apr!D3</f>
        <v>0</v>
      </c>
      <c r="D72" s="8" t="e">
        <f>Apr!F3</f>
        <v>#DIV/0!</v>
      </c>
      <c r="E72" s="8">
        <f>Apr!V3</f>
        <v>0</v>
      </c>
      <c r="F72" s="8">
        <f>Apr!W3</f>
        <v>0</v>
      </c>
      <c r="G72" s="27" t="e">
        <f>Apr!X3</f>
        <v>#DIV/0!</v>
      </c>
    </row>
    <row r="73" spans="1:7" x14ac:dyDescent="0.2">
      <c r="A73" s="25">
        <v>45021</v>
      </c>
      <c r="B73" s="8">
        <f>Apr!B4</f>
        <v>0</v>
      </c>
      <c r="C73" s="8">
        <f>Apr!D4</f>
        <v>0</v>
      </c>
      <c r="D73" s="8" t="e">
        <f>Apr!F4</f>
        <v>#DIV/0!</v>
      </c>
      <c r="E73" s="8">
        <f>Apr!V4</f>
        <v>0</v>
      </c>
      <c r="F73" s="8">
        <f>Apr!W4</f>
        <v>0</v>
      </c>
      <c r="G73" s="27" t="e">
        <f>Apr!X4</f>
        <v>#DIV/0!</v>
      </c>
    </row>
    <row r="74" spans="1:7" x14ac:dyDescent="0.2">
      <c r="A74" s="25">
        <v>45022</v>
      </c>
      <c r="B74" s="8">
        <f>Apr!B5</f>
        <v>0</v>
      </c>
      <c r="C74" s="8">
        <f>Apr!D5</f>
        <v>0</v>
      </c>
      <c r="D74" s="8" t="e">
        <f>Apr!F5</f>
        <v>#DIV/0!</v>
      </c>
      <c r="E74" s="8">
        <f>Apr!V5</f>
        <v>0</v>
      </c>
      <c r="F74" s="8">
        <f>Apr!W5</f>
        <v>0</v>
      </c>
      <c r="G74" s="27" t="e">
        <f>Apr!X5</f>
        <v>#DIV/0!</v>
      </c>
    </row>
    <row r="75" spans="1:7" x14ac:dyDescent="0.2">
      <c r="A75" s="25">
        <v>45026</v>
      </c>
      <c r="B75" s="8">
        <f>Apr!B6</f>
        <v>0</v>
      </c>
      <c r="C75" s="8">
        <f>Apr!D6</f>
        <v>0</v>
      </c>
      <c r="D75" s="8" t="e">
        <f>Apr!F6</f>
        <v>#DIV/0!</v>
      </c>
      <c r="E75" s="8">
        <f>Apr!V6</f>
        <v>0</v>
      </c>
      <c r="F75" s="8">
        <f>Apr!W6</f>
        <v>0</v>
      </c>
      <c r="G75" s="27" t="e">
        <f>Apr!X6</f>
        <v>#DIV/0!</v>
      </c>
    </row>
    <row r="76" spans="1:7" x14ac:dyDescent="0.2">
      <c r="A76" s="25">
        <v>45027</v>
      </c>
      <c r="B76" s="8">
        <f>Apr!B7</f>
        <v>0</v>
      </c>
      <c r="C76" s="8">
        <f>Apr!D7</f>
        <v>0</v>
      </c>
      <c r="D76" s="8" t="e">
        <f>Apr!F7</f>
        <v>#DIV/0!</v>
      </c>
      <c r="E76" s="8">
        <f>Apr!V7</f>
        <v>0</v>
      </c>
      <c r="F76" s="8">
        <f>Apr!W7</f>
        <v>0</v>
      </c>
      <c r="G76" s="27" t="e">
        <f>Apr!X7</f>
        <v>#DIV/0!</v>
      </c>
    </row>
    <row r="77" spans="1:7" x14ac:dyDescent="0.2">
      <c r="A77" s="25">
        <v>45028</v>
      </c>
      <c r="B77" s="8">
        <f>Apr!B8</f>
        <v>0</v>
      </c>
      <c r="C77" s="8">
        <f>Apr!D8</f>
        <v>0</v>
      </c>
      <c r="D77" s="8" t="e">
        <f>Apr!F8</f>
        <v>#DIV/0!</v>
      </c>
      <c r="E77" s="8">
        <f>Apr!V8</f>
        <v>0</v>
      </c>
      <c r="F77" s="8">
        <f>Apr!W8</f>
        <v>0</v>
      </c>
      <c r="G77" s="27" t="e">
        <f>Apr!X8</f>
        <v>#DIV/0!</v>
      </c>
    </row>
    <row r="78" spans="1:7" x14ac:dyDescent="0.2">
      <c r="A78" s="25">
        <v>45029</v>
      </c>
      <c r="B78" s="8">
        <f>Apr!B9</f>
        <v>0</v>
      </c>
      <c r="C78" s="8">
        <f>Apr!D9</f>
        <v>0</v>
      </c>
      <c r="D78" s="8" t="e">
        <f>Apr!F9</f>
        <v>#DIV/0!</v>
      </c>
      <c r="E78" s="8">
        <f>Apr!V9</f>
        <v>0</v>
      </c>
      <c r="F78" s="8">
        <f>Apr!W9</f>
        <v>0</v>
      </c>
      <c r="G78" s="27" t="e">
        <f>Apr!X9</f>
        <v>#DIV/0!</v>
      </c>
    </row>
    <row r="79" spans="1:7" x14ac:dyDescent="0.2">
      <c r="A79" s="25">
        <v>45030</v>
      </c>
      <c r="B79" s="8">
        <f>Apr!B10</f>
        <v>0</v>
      </c>
      <c r="C79" s="8">
        <f>Apr!D10</f>
        <v>0</v>
      </c>
      <c r="D79" s="8" t="e">
        <f>Apr!F10</f>
        <v>#DIV/0!</v>
      </c>
      <c r="E79" s="8">
        <f>Apr!V10</f>
        <v>0</v>
      </c>
      <c r="F79" s="8">
        <f>Apr!W10</f>
        <v>0</v>
      </c>
      <c r="G79" s="27" t="e">
        <f>Apr!X10</f>
        <v>#DIV/0!</v>
      </c>
    </row>
    <row r="80" spans="1:7" x14ac:dyDescent="0.2">
      <c r="A80" s="25">
        <v>45033</v>
      </c>
      <c r="B80" s="8">
        <f>Apr!B11</f>
        <v>0</v>
      </c>
      <c r="C80" s="8">
        <f>Apr!D11</f>
        <v>0</v>
      </c>
      <c r="D80" s="8" t="e">
        <f>Apr!F11</f>
        <v>#DIV/0!</v>
      </c>
      <c r="E80" s="8">
        <f>Apr!V11</f>
        <v>0</v>
      </c>
      <c r="F80" s="8">
        <f>Apr!W11</f>
        <v>0</v>
      </c>
      <c r="G80" s="27" t="e">
        <f>Apr!X11</f>
        <v>#DIV/0!</v>
      </c>
    </row>
    <row r="81" spans="1:7" x14ac:dyDescent="0.2">
      <c r="A81" s="25">
        <v>45034</v>
      </c>
      <c r="B81" s="8">
        <f>Apr!B12</f>
        <v>0</v>
      </c>
      <c r="C81" s="8">
        <f>Apr!D12</f>
        <v>0</v>
      </c>
      <c r="D81" s="8" t="e">
        <f>Apr!F12</f>
        <v>#DIV/0!</v>
      </c>
      <c r="E81" s="8">
        <f>Apr!V12</f>
        <v>0</v>
      </c>
      <c r="F81" s="8">
        <f>Apr!W12</f>
        <v>0</v>
      </c>
      <c r="G81" s="27" t="e">
        <f>Apr!X12</f>
        <v>#DIV/0!</v>
      </c>
    </row>
    <row r="82" spans="1:7" x14ac:dyDescent="0.2">
      <c r="A82" s="25">
        <v>45035</v>
      </c>
      <c r="B82" s="8">
        <f>Apr!B13</f>
        <v>0</v>
      </c>
      <c r="C82" s="8">
        <f>Apr!D13</f>
        <v>0</v>
      </c>
      <c r="D82" s="8" t="e">
        <f>Apr!F13</f>
        <v>#DIV/0!</v>
      </c>
      <c r="E82" s="8">
        <f>Apr!V13</f>
        <v>0</v>
      </c>
      <c r="F82" s="8">
        <f>Apr!W13</f>
        <v>0</v>
      </c>
      <c r="G82" s="27" t="e">
        <f>Apr!X13</f>
        <v>#DIV/0!</v>
      </c>
    </row>
    <row r="83" spans="1:7" x14ac:dyDescent="0.2">
      <c r="A83" s="25">
        <v>45036</v>
      </c>
      <c r="B83" s="8">
        <f>Apr!B14</f>
        <v>0</v>
      </c>
      <c r="C83" s="8">
        <f>Apr!D14</f>
        <v>0</v>
      </c>
      <c r="D83" s="8" t="e">
        <f>Apr!F14</f>
        <v>#DIV/0!</v>
      </c>
      <c r="E83" s="8">
        <f>Apr!V14</f>
        <v>0</v>
      </c>
      <c r="F83" s="8">
        <f>Apr!W14</f>
        <v>0</v>
      </c>
      <c r="G83" s="27" t="e">
        <f>Apr!X14</f>
        <v>#DIV/0!</v>
      </c>
    </row>
    <row r="84" spans="1:7" x14ac:dyDescent="0.2">
      <c r="A84" s="25">
        <v>45037</v>
      </c>
      <c r="B84" s="8">
        <f>Apr!B15</f>
        <v>0</v>
      </c>
      <c r="C84" s="8">
        <f>Apr!D15</f>
        <v>0</v>
      </c>
      <c r="D84" s="8" t="e">
        <f>Apr!F15</f>
        <v>#DIV/0!</v>
      </c>
      <c r="E84" s="8">
        <f>Apr!V15</f>
        <v>0</v>
      </c>
      <c r="F84" s="8">
        <f>Apr!W15</f>
        <v>0</v>
      </c>
      <c r="G84" s="27" t="e">
        <f>Apr!X15</f>
        <v>#DIV/0!</v>
      </c>
    </row>
    <row r="85" spans="1:7" x14ac:dyDescent="0.2">
      <c r="A85" s="25">
        <v>45040</v>
      </c>
      <c r="B85" s="8">
        <f>Apr!C15</f>
        <v>0</v>
      </c>
      <c r="C85" s="8">
        <f>Apr!D16</f>
        <v>0</v>
      </c>
      <c r="D85" s="8" t="e">
        <f>Apr!F16</f>
        <v>#DIV/0!</v>
      </c>
      <c r="E85" s="8">
        <f>Apr!V16</f>
        <v>0</v>
      </c>
      <c r="F85" s="8">
        <f>Apr!W16</f>
        <v>0</v>
      </c>
      <c r="G85" s="27" t="e">
        <f>Apr!X16</f>
        <v>#DIV/0!</v>
      </c>
    </row>
    <row r="86" spans="1:7" x14ac:dyDescent="0.2">
      <c r="A86" s="25">
        <v>45041</v>
      </c>
      <c r="B86" s="8">
        <f>Apr!B17</f>
        <v>0</v>
      </c>
      <c r="C86" s="8">
        <f>Apr!D17</f>
        <v>0</v>
      </c>
      <c r="D86" s="8" t="e">
        <f>Apr!F17</f>
        <v>#DIV/0!</v>
      </c>
      <c r="E86" s="8">
        <f>Apr!V17</f>
        <v>0</v>
      </c>
      <c r="F86" s="8">
        <f>Apr!W17</f>
        <v>0</v>
      </c>
      <c r="G86" s="27" t="e">
        <f>Apr!X17</f>
        <v>#DIV/0!</v>
      </c>
    </row>
    <row r="87" spans="1:7" x14ac:dyDescent="0.2">
      <c r="A87" s="25">
        <v>45042</v>
      </c>
      <c r="B87" s="8">
        <f>Apr!B18</f>
        <v>0</v>
      </c>
      <c r="C87" s="8">
        <f>Apr!D18</f>
        <v>0</v>
      </c>
      <c r="D87" s="8" t="e">
        <f>Apr!F18</f>
        <v>#DIV/0!</v>
      </c>
      <c r="E87" s="8">
        <f>Apr!V18</f>
        <v>0</v>
      </c>
      <c r="F87" s="8">
        <f>Apr!W18</f>
        <v>0</v>
      </c>
      <c r="G87" s="27" t="e">
        <f>Apr!X18</f>
        <v>#DIV/0!</v>
      </c>
    </row>
    <row r="88" spans="1:7" x14ac:dyDescent="0.2">
      <c r="A88" s="25">
        <v>45043</v>
      </c>
      <c r="B88" s="8">
        <f>Apr!B19</f>
        <v>0</v>
      </c>
      <c r="C88" s="8">
        <f>Apr!D19</f>
        <v>0</v>
      </c>
      <c r="D88" s="8" t="e">
        <f>Apr!F19</f>
        <v>#DIV/0!</v>
      </c>
      <c r="E88" s="8">
        <f>Apr!V19</f>
        <v>0</v>
      </c>
      <c r="F88" s="8">
        <f>Apr!W19</f>
        <v>0</v>
      </c>
      <c r="G88" s="27" t="e">
        <f>Apr!X19</f>
        <v>#DIV/0!</v>
      </c>
    </row>
    <row r="89" spans="1:7" ht="15" thickBot="1" x14ac:dyDescent="0.25">
      <c r="A89" s="26">
        <v>45044</v>
      </c>
      <c r="B89" s="28">
        <f>Apr!B20</f>
        <v>0</v>
      </c>
      <c r="C89" s="28">
        <f>Apr!D20</f>
        <v>0</v>
      </c>
      <c r="D89" s="28" t="e">
        <f>Apr!F20</f>
        <v>#DIV/0!</v>
      </c>
      <c r="E89" s="28">
        <f>Apr!V20</f>
        <v>0</v>
      </c>
      <c r="F89" s="28">
        <f>Apr!W20</f>
        <v>0</v>
      </c>
      <c r="G89" s="29" t="e">
        <f>Apr!X20</f>
        <v>#DIV/0!</v>
      </c>
    </row>
    <row r="90" spans="1:7" ht="15" thickBot="1" x14ac:dyDescent="0.25">
      <c r="A90" s="3"/>
      <c r="D90" s="34"/>
      <c r="G90" s="35"/>
    </row>
    <row r="91" spans="1:7" ht="45" x14ac:dyDescent="0.25">
      <c r="A91" s="33" t="s">
        <v>0</v>
      </c>
      <c r="B91" s="21" t="s">
        <v>22</v>
      </c>
      <c r="C91" s="22" t="s">
        <v>2</v>
      </c>
      <c r="D91" s="23" t="s">
        <v>29</v>
      </c>
      <c r="E91" s="21" t="s">
        <v>10</v>
      </c>
      <c r="F91" s="21" t="s">
        <v>11</v>
      </c>
      <c r="G91" s="24" t="s">
        <v>12</v>
      </c>
    </row>
    <row r="92" spans="1:7" x14ac:dyDescent="0.2">
      <c r="A92" s="25">
        <v>45047</v>
      </c>
      <c r="B92" s="8">
        <f>May!B2</f>
        <v>0</v>
      </c>
      <c r="C92" s="8">
        <f>May!D2</f>
        <v>0</v>
      </c>
      <c r="D92" s="11" t="e">
        <f>May!F2</f>
        <v>#DIV/0!</v>
      </c>
      <c r="E92" s="8">
        <f>May!Z2</f>
        <v>0</v>
      </c>
      <c r="F92" s="8">
        <f>May!AA2</f>
        <v>0</v>
      </c>
      <c r="G92" s="30" t="e">
        <f>May!AB2</f>
        <v>#DIV/0!</v>
      </c>
    </row>
    <row r="93" spans="1:7" x14ac:dyDescent="0.2">
      <c r="A93" s="25">
        <v>45048</v>
      </c>
      <c r="B93" s="8">
        <f>May!B3</f>
        <v>0</v>
      </c>
      <c r="C93" s="8">
        <f>May!D3</f>
        <v>0</v>
      </c>
      <c r="D93" s="8" t="e">
        <f>May!F3</f>
        <v>#DIV/0!</v>
      </c>
      <c r="E93" s="8">
        <f>May!Z3</f>
        <v>0</v>
      </c>
      <c r="F93" s="8">
        <f>May!AA3</f>
        <v>0</v>
      </c>
      <c r="G93" s="30" t="e">
        <f>May!AB3</f>
        <v>#DIV/0!</v>
      </c>
    </row>
    <row r="94" spans="1:7" x14ac:dyDescent="0.2">
      <c r="A94" s="25">
        <v>45049</v>
      </c>
      <c r="B94" s="8">
        <f>May!B4</f>
        <v>0</v>
      </c>
      <c r="C94" s="8">
        <f>May!D4</f>
        <v>0</v>
      </c>
      <c r="D94" s="8" t="e">
        <f>May!F4</f>
        <v>#DIV/0!</v>
      </c>
      <c r="E94" s="8">
        <f>May!Z4</f>
        <v>0</v>
      </c>
      <c r="F94" s="8">
        <f>May!AA4</f>
        <v>0</v>
      </c>
      <c r="G94" s="30" t="e">
        <f>May!AB4</f>
        <v>#DIV/0!</v>
      </c>
    </row>
    <row r="95" spans="1:7" x14ac:dyDescent="0.2">
      <c r="A95" s="25">
        <v>45050</v>
      </c>
      <c r="B95" s="8">
        <f>May!B5</f>
        <v>0</v>
      </c>
      <c r="C95" s="8">
        <f>May!D5</f>
        <v>0</v>
      </c>
      <c r="D95" s="8" t="e">
        <f>May!F5</f>
        <v>#DIV/0!</v>
      </c>
      <c r="E95" s="8">
        <f>May!Z5</f>
        <v>0</v>
      </c>
      <c r="F95" s="8">
        <f>May!AA5</f>
        <v>0</v>
      </c>
      <c r="G95" s="30" t="e">
        <f>May!AB5</f>
        <v>#DIV/0!</v>
      </c>
    </row>
    <row r="96" spans="1:7" x14ac:dyDescent="0.2">
      <c r="A96" s="25">
        <v>45051</v>
      </c>
      <c r="B96" s="8">
        <f>May!B6</f>
        <v>0</v>
      </c>
      <c r="C96" s="8">
        <f>May!D6</f>
        <v>0</v>
      </c>
      <c r="D96" s="8" t="e">
        <f>May!F6</f>
        <v>#DIV/0!</v>
      </c>
      <c r="E96" s="8">
        <f>May!Z6</f>
        <v>0</v>
      </c>
      <c r="F96" s="8">
        <f>May!AA6</f>
        <v>0</v>
      </c>
      <c r="G96" s="30" t="e">
        <f>May!AB6</f>
        <v>#DIV/0!</v>
      </c>
    </row>
    <row r="97" spans="1:7" x14ac:dyDescent="0.2">
      <c r="A97" s="25">
        <v>45054</v>
      </c>
      <c r="B97" s="8">
        <f>May!B7</f>
        <v>0</v>
      </c>
      <c r="C97" s="8">
        <f>May!D7</f>
        <v>0</v>
      </c>
      <c r="D97" s="8" t="e">
        <f>May!F7</f>
        <v>#DIV/0!</v>
      </c>
      <c r="E97" s="8">
        <f>May!Z7</f>
        <v>0</v>
      </c>
      <c r="F97" s="8">
        <f>May!AA7</f>
        <v>0</v>
      </c>
      <c r="G97" s="30" t="e">
        <f>May!AB7</f>
        <v>#DIV/0!</v>
      </c>
    </row>
    <row r="98" spans="1:7" x14ac:dyDescent="0.2">
      <c r="A98" s="25">
        <v>45055</v>
      </c>
      <c r="B98" s="8">
        <f>May!B8</f>
        <v>0</v>
      </c>
      <c r="C98" s="8">
        <f>May!D8</f>
        <v>0</v>
      </c>
      <c r="D98" s="8" t="e">
        <f>May!F8</f>
        <v>#DIV/0!</v>
      </c>
      <c r="E98" s="8">
        <f>May!Z8</f>
        <v>0</v>
      </c>
      <c r="F98" s="8">
        <f>May!AA8</f>
        <v>0</v>
      </c>
      <c r="G98" s="30" t="e">
        <f>May!AB8</f>
        <v>#DIV/0!</v>
      </c>
    </row>
    <row r="99" spans="1:7" x14ac:dyDescent="0.2">
      <c r="A99" s="25">
        <v>45056</v>
      </c>
      <c r="B99" s="8">
        <f>May!B9</f>
        <v>0</v>
      </c>
      <c r="C99" s="8">
        <f>May!D9</f>
        <v>0</v>
      </c>
      <c r="D99" s="8" t="e">
        <f>May!F9</f>
        <v>#DIV/0!</v>
      </c>
      <c r="E99" s="8">
        <f>May!Z9</f>
        <v>0</v>
      </c>
      <c r="F99" s="8">
        <f>May!AA9</f>
        <v>0</v>
      </c>
      <c r="G99" s="30" t="e">
        <f>May!AB9</f>
        <v>#DIV/0!</v>
      </c>
    </row>
    <row r="100" spans="1:7" x14ac:dyDescent="0.2">
      <c r="A100" s="25">
        <v>45057</v>
      </c>
      <c r="B100" s="8">
        <f>May!B10</f>
        <v>0</v>
      </c>
      <c r="C100" s="8">
        <f>May!D10</f>
        <v>0</v>
      </c>
      <c r="D100" s="8" t="e">
        <f>May!F10</f>
        <v>#DIV/0!</v>
      </c>
      <c r="E100" s="8">
        <f>May!Z10</f>
        <v>0</v>
      </c>
      <c r="F100" s="8">
        <f>May!AA10</f>
        <v>0</v>
      </c>
      <c r="G100" s="30" t="e">
        <f>May!AB10</f>
        <v>#DIV/0!</v>
      </c>
    </row>
    <row r="101" spans="1:7" x14ac:dyDescent="0.2">
      <c r="A101" s="25">
        <v>45058</v>
      </c>
      <c r="B101" s="8">
        <f>May!B11</f>
        <v>0</v>
      </c>
      <c r="C101" s="8">
        <f>May!D11</f>
        <v>0</v>
      </c>
      <c r="D101" s="8" t="e">
        <f>May!F11</f>
        <v>#DIV/0!</v>
      </c>
      <c r="E101" s="8">
        <f>May!Z11</f>
        <v>0</v>
      </c>
      <c r="F101" s="8">
        <f>May!AA11</f>
        <v>0</v>
      </c>
      <c r="G101" s="30" t="e">
        <f>May!AB11</f>
        <v>#DIV/0!</v>
      </c>
    </row>
    <row r="102" spans="1:7" x14ac:dyDescent="0.2">
      <c r="A102" s="25">
        <v>45061</v>
      </c>
      <c r="B102" s="8">
        <f>May!B12</f>
        <v>0</v>
      </c>
      <c r="C102" s="8">
        <f>May!D12</f>
        <v>0</v>
      </c>
      <c r="D102" s="8" t="e">
        <f>May!F12</f>
        <v>#DIV/0!</v>
      </c>
      <c r="E102" s="8">
        <f>May!Z12</f>
        <v>0</v>
      </c>
      <c r="F102" s="8">
        <f>May!AA12</f>
        <v>0</v>
      </c>
      <c r="G102" s="30" t="e">
        <f>May!AB12</f>
        <v>#DIV/0!</v>
      </c>
    </row>
    <row r="103" spans="1:7" x14ac:dyDescent="0.2">
      <c r="A103" s="25">
        <v>45062</v>
      </c>
      <c r="B103" s="8">
        <f>May!B13</f>
        <v>0</v>
      </c>
      <c r="C103" s="8">
        <f>May!D13</f>
        <v>0</v>
      </c>
      <c r="D103" s="8" t="e">
        <f>May!F13</f>
        <v>#DIV/0!</v>
      </c>
      <c r="E103" s="8">
        <f>May!Z13</f>
        <v>0</v>
      </c>
      <c r="F103" s="8">
        <f>May!AA13</f>
        <v>0</v>
      </c>
      <c r="G103" s="30" t="e">
        <f>May!AB13</f>
        <v>#DIV/0!</v>
      </c>
    </row>
    <row r="104" spans="1:7" x14ac:dyDescent="0.2">
      <c r="A104" s="25">
        <v>45063</v>
      </c>
      <c r="B104" s="8">
        <f>May!B14</f>
        <v>0</v>
      </c>
      <c r="C104" s="8">
        <f>May!D14</f>
        <v>0</v>
      </c>
      <c r="D104" s="8" t="e">
        <f>May!F14</f>
        <v>#DIV/0!</v>
      </c>
      <c r="E104" s="8">
        <f>May!Z14</f>
        <v>0</v>
      </c>
      <c r="F104" s="8">
        <f>May!AA14</f>
        <v>0</v>
      </c>
      <c r="G104" s="30" t="e">
        <f>May!AB14</f>
        <v>#DIV/0!</v>
      </c>
    </row>
    <row r="105" spans="1:7" x14ac:dyDescent="0.2">
      <c r="A105" s="25">
        <v>45064</v>
      </c>
      <c r="B105" s="8">
        <f>May!B15</f>
        <v>0</v>
      </c>
      <c r="C105" s="8">
        <f>May!D15</f>
        <v>0</v>
      </c>
      <c r="D105" s="8" t="e">
        <f>May!F15</f>
        <v>#DIV/0!</v>
      </c>
      <c r="E105" s="8">
        <f>May!Z15</f>
        <v>0</v>
      </c>
      <c r="F105" s="8">
        <f>May!AA15</f>
        <v>0</v>
      </c>
      <c r="G105" s="30" t="e">
        <f>May!AB15</f>
        <v>#DIV/0!</v>
      </c>
    </row>
    <row r="106" spans="1:7" x14ac:dyDescent="0.2">
      <c r="A106" s="25">
        <v>45065</v>
      </c>
      <c r="B106" s="8">
        <f>May!B16</f>
        <v>0</v>
      </c>
      <c r="C106" s="8">
        <f>May!D16</f>
        <v>0</v>
      </c>
      <c r="D106" s="8" t="e">
        <f>May!F16</f>
        <v>#DIV/0!</v>
      </c>
      <c r="E106" s="8">
        <f>May!Z16</f>
        <v>0</v>
      </c>
      <c r="F106" s="8">
        <f>May!AA16</f>
        <v>0</v>
      </c>
      <c r="G106" s="30" t="e">
        <f>May!AB16</f>
        <v>#DIV/0!</v>
      </c>
    </row>
    <row r="107" spans="1:7" x14ac:dyDescent="0.2">
      <c r="A107" s="25">
        <v>45069</v>
      </c>
      <c r="B107" s="8">
        <f>May!B17</f>
        <v>0</v>
      </c>
      <c r="C107" s="8">
        <f>May!D17</f>
        <v>0</v>
      </c>
      <c r="D107" s="8" t="e">
        <f>May!F17</f>
        <v>#DIV/0!</v>
      </c>
      <c r="E107" s="8">
        <f>May!Z17</f>
        <v>0</v>
      </c>
      <c r="F107" s="8">
        <f>May!AA17</f>
        <v>0</v>
      </c>
      <c r="G107" s="30" t="e">
        <f>May!AB17</f>
        <v>#DIV/0!</v>
      </c>
    </row>
    <row r="108" spans="1:7" x14ac:dyDescent="0.2">
      <c r="A108" s="25">
        <v>45070</v>
      </c>
      <c r="B108" s="8">
        <f>May!B18</f>
        <v>0</v>
      </c>
      <c r="C108" s="8">
        <f>May!D18</f>
        <v>0</v>
      </c>
      <c r="D108" s="8" t="e">
        <f>May!F18</f>
        <v>#DIV/0!</v>
      </c>
      <c r="E108" s="8">
        <f>May!Z18</f>
        <v>0</v>
      </c>
      <c r="F108" s="8">
        <f>May!AA18</f>
        <v>0</v>
      </c>
      <c r="G108" s="30" t="e">
        <f>May!AB18</f>
        <v>#DIV/0!</v>
      </c>
    </row>
    <row r="109" spans="1:7" x14ac:dyDescent="0.2">
      <c r="A109" s="25">
        <v>45071</v>
      </c>
      <c r="B109" s="8">
        <f>May!B19</f>
        <v>0</v>
      </c>
      <c r="C109" s="8">
        <f>May!D19</f>
        <v>0</v>
      </c>
      <c r="D109" s="8" t="e">
        <f>May!F19</f>
        <v>#DIV/0!</v>
      </c>
      <c r="E109" s="8">
        <f>May!Z19</f>
        <v>0</v>
      </c>
      <c r="F109" s="8">
        <f>May!AA19</f>
        <v>0</v>
      </c>
      <c r="G109" s="30" t="e">
        <f>May!AB19</f>
        <v>#DIV/0!</v>
      </c>
    </row>
    <row r="110" spans="1:7" x14ac:dyDescent="0.2">
      <c r="A110" s="25">
        <v>45072</v>
      </c>
      <c r="B110" s="8">
        <f>May!B20</f>
        <v>0</v>
      </c>
      <c r="C110" s="8">
        <f>May!D20</f>
        <v>0</v>
      </c>
      <c r="D110" s="8" t="e">
        <f>May!F20</f>
        <v>#DIV/0!</v>
      </c>
      <c r="E110" s="8">
        <f>May!Z20</f>
        <v>0</v>
      </c>
      <c r="F110" s="8">
        <f>May!AA20</f>
        <v>0</v>
      </c>
      <c r="G110" s="30" t="e">
        <f>May!AB20</f>
        <v>#DIV/0!</v>
      </c>
    </row>
    <row r="111" spans="1:7" x14ac:dyDescent="0.2">
      <c r="A111" s="25">
        <v>45073</v>
      </c>
      <c r="B111" s="8">
        <f>May!B21</f>
        <v>0</v>
      </c>
      <c r="C111" s="8">
        <f>May!D21</f>
        <v>0</v>
      </c>
      <c r="D111" s="8" t="e">
        <f>May!F21</f>
        <v>#DIV/0!</v>
      </c>
      <c r="E111" s="8">
        <f>May!Z21</f>
        <v>0</v>
      </c>
      <c r="F111" s="8">
        <f>May!AA21</f>
        <v>0</v>
      </c>
      <c r="G111" s="30" t="e">
        <f>May!AB21</f>
        <v>#DIV/0!</v>
      </c>
    </row>
    <row r="112" spans="1:7" x14ac:dyDescent="0.2">
      <c r="A112" s="25">
        <v>45076</v>
      </c>
      <c r="B112" s="8">
        <f>May!B22</f>
        <v>0</v>
      </c>
      <c r="C112" s="8">
        <f>May!D22</f>
        <v>0</v>
      </c>
      <c r="D112" s="8" t="e">
        <f>May!F22</f>
        <v>#DIV/0!</v>
      </c>
      <c r="E112" s="8">
        <f>May!Z22</f>
        <v>0</v>
      </c>
      <c r="F112" s="8">
        <f>May!AA22</f>
        <v>0</v>
      </c>
      <c r="G112" s="30" t="e">
        <f>May!AB22</f>
        <v>#DIV/0!</v>
      </c>
    </row>
    <row r="113" spans="1:7" ht="15" thickBot="1" x14ac:dyDescent="0.25">
      <c r="A113" s="26">
        <v>45077</v>
      </c>
      <c r="B113" s="28">
        <f>May!B23</f>
        <v>0</v>
      </c>
      <c r="C113" s="28">
        <f>May!D23</f>
        <v>0</v>
      </c>
      <c r="D113" s="28" t="e">
        <f>May!F23</f>
        <v>#DIV/0!</v>
      </c>
      <c r="E113" s="28">
        <f>May!Z23</f>
        <v>0</v>
      </c>
      <c r="F113" s="28">
        <f>May!AA23</f>
        <v>0</v>
      </c>
      <c r="G113" s="32" t="e">
        <f>May!AB23</f>
        <v>#DIV/0!</v>
      </c>
    </row>
    <row r="114" spans="1:7" ht="15" thickBot="1" x14ac:dyDescent="0.25">
      <c r="A114" s="3"/>
      <c r="D114" s="34"/>
      <c r="G114" s="35"/>
    </row>
    <row r="115" spans="1:7" ht="45" x14ac:dyDescent="0.25">
      <c r="A115" s="33" t="s">
        <v>0</v>
      </c>
      <c r="B115" s="21" t="s">
        <v>22</v>
      </c>
      <c r="C115" s="22" t="s">
        <v>2</v>
      </c>
      <c r="D115" s="23" t="s">
        <v>29</v>
      </c>
      <c r="E115" s="21" t="s">
        <v>10</v>
      </c>
      <c r="F115" s="21" t="s">
        <v>11</v>
      </c>
      <c r="G115" s="24" t="s">
        <v>12</v>
      </c>
    </row>
    <row r="116" spans="1:7" x14ac:dyDescent="0.2">
      <c r="A116" s="25">
        <v>45078</v>
      </c>
      <c r="B116" s="8">
        <f>June!B2</f>
        <v>0</v>
      </c>
      <c r="C116" s="8">
        <f>June!D2</f>
        <v>0</v>
      </c>
      <c r="D116" s="11" t="e">
        <f>June!F2</f>
        <v>#DIV/0!</v>
      </c>
      <c r="E116" s="8">
        <f>June!AC2</f>
        <v>0</v>
      </c>
      <c r="F116" s="8">
        <f>June!AD2</f>
        <v>0</v>
      </c>
      <c r="G116" s="13" t="e">
        <f>June!AE2</f>
        <v>#DIV/0!</v>
      </c>
    </row>
    <row r="117" spans="1:7" x14ac:dyDescent="0.2">
      <c r="A117" s="25">
        <v>45079</v>
      </c>
      <c r="B117" s="8">
        <f>June!B3</f>
        <v>0</v>
      </c>
      <c r="C117" s="8">
        <f>June!D3</f>
        <v>0</v>
      </c>
      <c r="D117" s="8" t="e">
        <f>June!F3</f>
        <v>#DIV/0!</v>
      </c>
      <c r="E117" s="8">
        <f>June!AC3</f>
        <v>0</v>
      </c>
      <c r="F117" s="8">
        <f>June!AD3</f>
        <v>0</v>
      </c>
      <c r="G117" s="27" t="e">
        <f>June!AE3</f>
        <v>#DIV/0!</v>
      </c>
    </row>
    <row r="118" spans="1:7" x14ac:dyDescent="0.2">
      <c r="A118" s="25">
        <v>45082</v>
      </c>
      <c r="B118" s="8">
        <f>June!B4</f>
        <v>0</v>
      </c>
      <c r="C118" s="8">
        <f>June!D4</f>
        <v>0</v>
      </c>
      <c r="D118" s="8" t="e">
        <f>June!F4</f>
        <v>#DIV/0!</v>
      </c>
      <c r="E118" s="8">
        <f>June!AC4</f>
        <v>0</v>
      </c>
      <c r="F118" s="8">
        <f>June!AD4</f>
        <v>0</v>
      </c>
      <c r="G118" s="27" t="e">
        <f>June!AE4</f>
        <v>#DIV/0!</v>
      </c>
    </row>
    <row r="119" spans="1:7" x14ac:dyDescent="0.2">
      <c r="A119" s="25">
        <v>45083</v>
      </c>
      <c r="B119" s="8">
        <f>June!B5</f>
        <v>0</v>
      </c>
      <c r="C119" s="8">
        <f>June!D5</f>
        <v>0</v>
      </c>
      <c r="D119" s="8" t="e">
        <f>June!F5</f>
        <v>#DIV/0!</v>
      </c>
      <c r="E119" s="8">
        <f>June!AC5</f>
        <v>0</v>
      </c>
      <c r="F119" s="8">
        <f>June!AD5</f>
        <v>0</v>
      </c>
      <c r="G119" s="27" t="e">
        <f>June!AE5</f>
        <v>#DIV/0!</v>
      </c>
    </row>
    <row r="120" spans="1:7" x14ac:dyDescent="0.2">
      <c r="A120" s="25">
        <v>45084</v>
      </c>
      <c r="B120" s="8">
        <f>June!B6</f>
        <v>0</v>
      </c>
      <c r="C120" s="8">
        <f>June!D6</f>
        <v>0</v>
      </c>
      <c r="D120" s="8" t="e">
        <f>June!F6</f>
        <v>#DIV/0!</v>
      </c>
      <c r="E120" s="8">
        <f>June!AC6</f>
        <v>0</v>
      </c>
      <c r="F120" s="8">
        <f>June!AD6</f>
        <v>0</v>
      </c>
      <c r="G120" s="27" t="e">
        <f>June!AE6</f>
        <v>#DIV/0!</v>
      </c>
    </row>
    <row r="121" spans="1:7" x14ac:dyDescent="0.2">
      <c r="A121" s="25">
        <v>45085</v>
      </c>
      <c r="B121" s="8">
        <f>June!B7</f>
        <v>0</v>
      </c>
      <c r="C121" s="8">
        <f>June!D7</f>
        <v>0</v>
      </c>
      <c r="D121" s="8" t="e">
        <f>June!F7</f>
        <v>#DIV/0!</v>
      </c>
      <c r="E121" s="8">
        <f>June!AC7</f>
        <v>0</v>
      </c>
      <c r="F121" s="8">
        <f>June!AD7</f>
        <v>0</v>
      </c>
      <c r="G121" s="27" t="e">
        <f>June!AE7</f>
        <v>#DIV/0!</v>
      </c>
    </row>
    <row r="122" spans="1:7" x14ac:dyDescent="0.2">
      <c r="A122" s="25">
        <v>45086</v>
      </c>
      <c r="B122" s="8">
        <f>June!B8</f>
        <v>0</v>
      </c>
      <c r="C122" s="8">
        <f>June!D8</f>
        <v>0</v>
      </c>
      <c r="D122" s="8" t="e">
        <f>June!F8</f>
        <v>#DIV/0!</v>
      </c>
      <c r="E122" s="8">
        <f>June!AC8</f>
        <v>0</v>
      </c>
      <c r="F122" s="8">
        <f>June!AD8</f>
        <v>0</v>
      </c>
      <c r="G122" s="27" t="e">
        <f>June!AE8</f>
        <v>#DIV/0!</v>
      </c>
    </row>
    <row r="123" spans="1:7" x14ac:dyDescent="0.2">
      <c r="A123" s="25">
        <v>45089</v>
      </c>
      <c r="B123" s="8">
        <f>June!B9</f>
        <v>0</v>
      </c>
      <c r="C123" s="8">
        <f>June!D9</f>
        <v>0</v>
      </c>
      <c r="D123" s="8" t="e">
        <f>June!F9</f>
        <v>#DIV/0!</v>
      </c>
      <c r="E123" s="8">
        <f>June!AC9</f>
        <v>0</v>
      </c>
      <c r="F123" s="8">
        <f>June!AD9</f>
        <v>0</v>
      </c>
      <c r="G123" s="27" t="e">
        <f>June!AE9</f>
        <v>#DIV/0!</v>
      </c>
    </row>
    <row r="124" spans="1:7" x14ac:dyDescent="0.2">
      <c r="A124" s="25">
        <v>45090</v>
      </c>
      <c r="B124" s="8">
        <f>June!B10</f>
        <v>0</v>
      </c>
      <c r="C124" s="8">
        <f>June!D10</f>
        <v>0</v>
      </c>
      <c r="D124" s="8" t="e">
        <f>June!F10</f>
        <v>#DIV/0!</v>
      </c>
      <c r="E124" s="8">
        <f>June!AC10</f>
        <v>0</v>
      </c>
      <c r="F124" s="8">
        <f>June!AD10</f>
        <v>0</v>
      </c>
      <c r="G124" s="27" t="e">
        <f>June!AE10</f>
        <v>#DIV/0!</v>
      </c>
    </row>
    <row r="125" spans="1:7" x14ac:dyDescent="0.2">
      <c r="A125" s="25">
        <v>45091</v>
      </c>
      <c r="B125" s="8" t="e">
        <f>June!#REF!</f>
        <v>#REF!</v>
      </c>
      <c r="C125" s="8" t="e">
        <f>June!#REF!</f>
        <v>#REF!</v>
      </c>
      <c r="D125" s="8" t="e">
        <f>June!#REF!</f>
        <v>#REF!</v>
      </c>
      <c r="E125" s="8" t="e">
        <f>June!#REF!</f>
        <v>#REF!</v>
      </c>
      <c r="F125" s="8" t="e">
        <f>June!#REF!</f>
        <v>#REF!</v>
      </c>
      <c r="G125" s="27" t="e">
        <f>June!#REF!</f>
        <v>#REF!</v>
      </c>
    </row>
    <row r="126" spans="1:7" x14ac:dyDescent="0.2">
      <c r="A126" s="25">
        <v>45092</v>
      </c>
      <c r="B126" s="8" t="e">
        <f>June!#REF!</f>
        <v>#REF!</v>
      </c>
      <c r="C126" s="8" t="e">
        <f>June!#REF!</f>
        <v>#REF!</v>
      </c>
      <c r="D126" s="8" t="e">
        <f>June!#REF!</f>
        <v>#REF!</v>
      </c>
      <c r="E126" s="8" t="e">
        <f>June!#REF!</f>
        <v>#REF!</v>
      </c>
      <c r="F126" s="8" t="e">
        <f>June!#REF!</f>
        <v>#REF!</v>
      </c>
      <c r="G126" s="27" t="e">
        <f>June!#REF!</f>
        <v>#REF!</v>
      </c>
    </row>
    <row r="127" spans="1:7" x14ac:dyDescent="0.2">
      <c r="A127" s="25">
        <v>45093</v>
      </c>
      <c r="B127" s="8" t="e">
        <f>June!#REF!</f>
        <v>#REF!</v>
      </c>
      <c r="C127" s="8" t="e">
        <f>June!#REF!</f>
        <v>#REF!</v>
      </c>
      <c r="D127" s="8" t="e">
        <f>June!#REF!</f>
        <v>#REF!</v>
      </c>
      <c r="E127" s="8" t="e">
        <f>June!#REF!</f>
        <v>#REF!</v>
      </c>
      <c r="F127" s="8" t="e">
        <f>June!#REF!</f>
        <v>#REF!</v>
      </c>
      <c r="G127" s="27" t="e">
        <f>June!#REF!</f>
        <v>#REF!</v>
      </c>
    </row>
    <row r="128" spans="1:7" x14ac:dyDescent="0.2">
      <c r="A128" s="25">
        <v>45096</v>
      </c>
      <c r="B128" s="8" t="e">
        <f>June!#REF!</f>
        <v>#REF!</v>
      </c>
      <c r="C128" s="8" t="e">
        <f>June!#REF!</f>
        <v>#REF!</v>
      </c>
      <c r="D128" s="8" t="e">
        <f>June!#REF!</f>
        <v>#REF!</v>
      </c>
      <c r="E128" s="8" t="e">
        <f>June!#REF!</f>
        <v>#REF!</v>
      </c>
      <c r="F128" s="8" t="e">
        <f>June!#REF!</f>
        <v>#REF!</v>
      </c>
      <c r="G128" s="27" t="e">
        <f>June!#REF!</f>
        <v>#REF!</v>
      </c>
    </row>
    <row r="129" spans="1:7" x14ac:dyDescent="0.2">
      <c r="A129" s="25">
        <v>45097</v>
      </c>
      <c r="B129" s="8" t="e">
        <f>June!#REF!</f>
        <v>#REF!</v>
      </c>
      <c r="C129" s="8" t="e">
        <f>June!#REF!</f>
        <v>#REF!</v>
      </c>
      <c r="D129" s="8" t="e">
        <f>June!#REF!</f>
        <v>#REF!</v>
      </c>
      <c r="E129" s="8" t="e">
        <f>June!#REF!</f>
        <v>#REF!</v>
      </c>
      <c r="F129" s="8" t="e">
        <f>June!#REF!</f>
        <v>#REF!</v>
      </c>
      <c r="G129" s="27" t="e">
        <f>June!#REF!</f>
        <v>#REF!</v>
      </c>
    </row>
    <row r="130" spans="1:7" x14ac:dyDescent="0.2">
      <c r="A130" s="25">
        <v>45098</v>
      </c>
      <c r="B130" s="8">
        <f>June!B11</f>
        <v>0</v>
      </c>
      <c r="C130" s="8">
        <f>June!D11</f>
        <v>0</v>
      </c>
      <c r="D130" s="8" t="e">
        <f>June!F11</f>
        <v>#DIV/0!</v>
      </c>
      <c r="E130" s="8">
        <f>June!AC11</f>
        <v>0</v>
      </c>
      <c r="F130" s="8">
        <f>June!AD11</f>
        <v>0</v>
      </c>
      <c r="G130" s="27" t="e">
        <f>June!AE11</f>
        <v>#DIV/0!</v>
      </c>
    </row>
    <row r="131" spans="1:7" x14ac:dyDescent="0.2">
      <c r="A131" s="25">
        <v>45099</v>
      </c>
      <c r="B131" s="8">
        <f>June!B12</f>
        <v>0</v>
      </c>
      <c r="C131" s="8">
        <f>June!D12</f>
        <v>0</v>
      </c>
      <c r="D131" s="8" t="e">
        <f>June!F12</f>
        <v>#DIV/0!</v>
      </c>
      <c r="E131" s="8">
        <f>June!AC12</f>
        <v>0</v>
      </c>
      <c r="F131" s="8">
        <f>June!AD12</f>
        <v>0</v>
      </c>
      <c r="G131" s="27" t="e">
        <f>June!AE12</f>
        <v>#DIV/0!</v>
      </c>
    </row>
    <row r="132" spans="1:7" x14ac:dyDescent="0.2">
      <c r="A132" s="25">
        <v>45100</v>
      </c>
      <c r="B132" s="8">
        <f>June!B13</f>
        <v>0</v>
      </c>
      <c r="C132" s="8">
        <f>June!D13</f>
        <v>0</v>
      </c>
      <c r="D132" s="8" t="e">
        <f>June!F13</f>
        <v>#DIV/0!</v>
      </c>
      <c r="E132" s="8">
        <f>June!AC13</f>
        <v>0</v>
      </c>
      <c r="F132" s="8">
        <f>June!AD13</f>
        <v>0</v>
      </c>
      <c r="G132" s="27" t="e">
        <f>June!AE13</f>
        <v>#DIV/0!</v>
      </c>
    </row>
    <row r="133" spans="1:7" x14ac:dyDescent="0.2">
      <c r="A133" s="25">
        <v>45103</v>
      </c>
      <c r="B133" s="8">
        <f>June!B14</f>
        <v>0</v>
      </c>
      <c r="C133" s="8">
        <f>June!D14</f>
        <v>0</v>
      </c>
      <c r="D133" s="8" t="e">
        <f>June!F14</f>
        <v>#DIV/0!</v>
      </c>
      <c r="E133" s="8">
        <f>June!AC14</f>
        <v>0</v>
      </c>
      <c r="F133" s="8">
        <f>June!AD14</f>
        <v>0</v>
      </c>
      <c r="G133" s="27" t="e">
        <f>June!AE14</f>
        <v>#DIV/0!</v>
      </c>
    </row>
    <row r="134" spans="1:7" x14ac:dyDescent="0.2">
      <c r="A134" s="25">
        <v>45104</v>
      </c>
      <c r="B134" s="8">
        <f>June!B15</f>
        <v>0</v>
      </c>
      <c r="C134" s="8">
        <f>June!D15</f>
        <v>0</v>
      </c>
      <c r="D134" s="8" t="e">
        <f>June!F15</f>
        <v>#DIV/0!</v>
      </c>
      <c r="E134" s="8">
        <f>June!AC15</f>
        <v>0</v>
      </c>
      <c r="F134" s="8">
        <f>June!AD15</f>
        <v>0</v>
      </c>
      <c r="G134" s="27" t="e">
        <f>June!AE15</f>
        <v>#DIV/0!</v>
      </c>
    </row>
    <row r="135" spans="1:7" x14ac:dyDescent="0.2">
      <c r="A135" s="25">
        <v>45105</v>
      </c>
      <c r="B135" s="8">
        <f>June!B16</f>
        <v>0</v>
      </c>
      <c r="C135" s="8">
        <f>June!D16</f>
        <v>0</v>
      </c>
      <c r="D135" s="8" t="e">
        <f>June!F16</f>
        <v>#DIV/0!</v>
      </c>
      <c r="E135" s="8">
        <f>June!AC16</f>
        <v>0</v>
      </c>
      <c r="F135" s="8">
        <f>June!AD16</f>
        <v>0</v>
      </c>
      <c r="G135" s="27" t="e">
        <f>June!AE16</f>
        <v>#DIV/0!</v>
      </c>
    </row>
    <row r="136" spans="1:7" x14ac:dyDescent="0.2">
      <c r="A136" s="25">
        <v>45106</v>
      </c>
      <c r="B136" s="8" t="e">
        <f>June!#REF!</f>
        <v>#REF!</v>
      </c>
      <c r="C136" s="8" t="e">
        <f>June!#REF!</f>
        <v>#REF!</v>
      </c>
      <c r="D136" s="8" t="e">
        <f>June!#REF!</f>
        <v>#REF!</v>
      </c>
      <c r="E136" s="8" t="e">
        <f>June!#REF!</f>
        <v>#REF!</v>
      </c>
      <c r="F136" s="8" t="e">
        <f>June!#REF!</f>
        <v>#REF!</v>
      </c>
      <c r="G136" s="27" t="e">
        <f>June!#REF!</f>
        <v>#REF!</v>
      </c>
    </row>
    <row r="137" spans="1:7" ht="15" thickBot="1" x14ac:dyDescent="0.25">
      <c r="A137" s="26">
        <v>45107</v>
      </c>
      <c r="B137" s="28">
        <f>June!B17</f>
        <v>0</v>
      </c>
      <c r="C137" s="28">
        <f>June!D17</f>
        <v>0</v>
      </c>
      <c r="D137" s="28" t="e">
        <f>June!F17</f>
        <v>#DIV/0!</v>
      </c>
      <c r="E137" s="28">
        <f>June!AC17</f>
        <v>0</v>
      </c>
      <c r="F137" s="28">
        <f>June!AD17</f>
        <v>0</v>
      </c>
      <c r="G137" s="29" t="e">
        <f>June!AE17</f>
        <v>#DIV/0!</v>
      </c>
    </row>
    <row r="138" spans="1:7" ht="15" thickBot="1" x14ac:dyDescent="0.25">
      <c r="A138" s="3"/>
      <c r="D138" s="34"/>
      <c r="G138" s="35"/>
    </row>
    <row r="139" spans="1:7" ht="45" x14ac:dyDescent="0.25">
      <c r="A139" s="33" t="s">
        <v>0</v>
      </c>
      <c r="B139" s="21" t="s">
        <v>22</v>
      </c>
      <c r="C139" s="22" t="s">
        <v>2</v>
      </c>
      <c r="D139" s="23" t="s">
        <v>29</v>
      </c>
      <c r="E139" s="21" t="s">
        <v>10</v>
      </c>
      <c r="F139" s="21" t="s">
        <v>11</v>
      </c>
      <c r="G139" s="24" t="s">
        <v>12</v>
      </c>
    </row>
    <row r="140" spans="1:7" x14ac:dyDescent="0.2">
      <c r="A140" s="25">
        <v>45110</v>
      </c>
      <c r="B140" s="8" t="e">
        <f>July!#REF!</f>
        <v>#REF!</v>
      </c>
      <c r="C140" s="8" t="e">
        <f>July!#REF!</f>
        <v>#REF!</v>
      </c>
      <c r="D140" s="11" t="e">
        <f>July!#REF!</f>
        <v>#REF!</v>
      </c>
      <c r="E140" s="8" t="e">
        <f>July!#REF!</f>
        <v>#REF!</v>
      </c>
      <c r="F140" s="8" t="e">
        <f>July!#REF!</f>
        <v>#REF!</v>
      </c>
      <c r="G140" s="30" t="e">
        <f>July!#REF!</f>
        <v>#REF!</v>
      </c>
    </row>
    <row r="141" spans="1:7" x14ac:dyDescent="0.2">
      <c r="A141" s="25">
        <v>45111</v>
      </c>
      <c r="B141" s="8">
        <f>July!B2</f>
        <v>0</v>
      </c>
      <c r="C141" s="8">
        <f>July!D2</f>
        <v>0</v>
      </c>
      <c r="D141" s="8" t="e">
        <f>July!F2</f>
        <v>#DIV/0!</v>
      </c>
      <c r="E141" s="8">
        <f>July!AD2</f>
        <v>0</v>
      </c>
      <c r="F141" s="8">
        <f>July!AE2</f>
        <v>0</v>
      </c>
      <c r="G141" s="27" t="e">
        <f>July!AF2</f>
        <v>#DIV/0!</v>
      </c>
    </row>
    <row r="142" spans="1:7" x14ac:dyDescent="0.2">
      <c r="A142" s="25">
        <v>45112</v>
      </c>
      <c r="B142" s="8">
        <f>July!B3</f>
        <v>0</v>
      </c>
      <c r="C142" s="8">
        <f>July!D3</f>
        <v>0</v>
      </c>
      <c r="D142" s="8" t="e">
        <f>July!F3</f>
        <v>#DIV/0!</v>
      </c>
      <c r="E142" s="8">
        <f>July!AD3</f>
        <v>0</v>
      </c>
      <c r="F142" s="8">
        <f>July!AE3</f>
        <v>0</v>
      </c>
      <c r="G142" s="27" t="e">
        <f>July!AF3</f>
        <v>#DIV/0!</v>
      </c>
    </row>
    <row r="143" spans="1:7" x14ac:dyDescent="0.2">
      <c r="A143" s="25">
        <v>45113</v>
      </c>
      <c r="B143" s="8">
        <f>July!B4</f>
        <v>0</v>
      </c>
      <c r="C143" s="8">
        <f>July!D4</f>
        <v>0</v>
      </c>
      <c r="D143" s="8" t="e">
        <f>July!F4</f>
        <v>#DIV/0!</v>
      </c>
      <c r="E143" s="8">
        <f>July!AD4</f>
        <v>0</v>
      </c>
      <c r="F143" s="8">
        <f>July!AE4</f>
        <v>0</v>
      </c>
      <c r="G143" s="27" t="e">
        <f>July!AF4</f>
        <v>#DIV/0!</v>
      </c>
    </row>
    <row r="144" spans="1:7" x14ac:dyDescent="0.2">
      <c r="A144" s="25">
        <v>45114</v>
      </c>
      <c r="B144" s="8">
        <f>July!B5</f>
        <v>0</v>
      </c>
      <c r="C144" s="8">
        <f>July!D5</f>
        <v>0</v>
      </c>
      <c r="D144" s="8" t="e">
        <f>July!F5</f>
        <v>#DIV/0!</v>
      </c>
      <c r="E144" s="8">
        <f>July!AD5</f>
        <v>0</v>
      </c>
      <c r="F144" s="8">
        <f>July!AE5</f>
        <v>0</v>
      </c>
      <c r="G144" s="27" t="e">
        <f>July!AF5</f>
        <v>#DIV/0!</v>
      </c>
    </row>
    <row r="145" spans="1:7" x14ac:dyDescent="0.2">
      <c r="A145" s="25">
        <v>45117</v>
      </c>
      <c r="B145" s="8">
        <f>July!B6</f>
        <v>0</v>
      </c>
      <c r="C145" s="8">
        <f>July!D6</f>
        <v>0</v>
      </c>
      <c r="D145" s="8" t="e">
        <f>July!F6</f>
        <v>#DIV/0!</v>
      </c>
      <c r="E145" s="8">
        <f>July!AD6</f>
        <v>0</v>
      </c>
      <c r="F145" s="8">
        <f>July!AE6</f>
        <v>0</v>
      </c>
      <c r="G145" s="27" t="e">
        <f>July!AF6</f>
        <v>#DIV/0!</v>
      </c>
    </row>
    <row r="146" spans="1:7" x14ac:dyDescent="0.2">
      <c r="A146" s="25">
        <v>45118</v>
      </c>
      <c r="B146" s="8">
        <f>July!B7</f>
        <v>0</v>
      </c>
      <c r="C146" s="8">
        <f>July!D7</f>
        <v>0</v>
      </c>
      <c r="D146" s="8" t="e">
        <f>July!F7</f>
        <v>#DIV/0!</v>
      </c>
      <c r="E146" s="8">
        <f>July!AD7</f>
        <v>0</v>
      </c>
      <c r="F146" s="8">
        <f>July!AE7</f>
        <v>0</v>
      </c>
      <c r="G146" s="27" t="e">
        <f>July!AF7</f>
        <v>#DIV/0!</v>
      </c>
    </row>
    <row r="147" spans="1:7" x14ac:dyDescent="0.2">
      <c r="A147" s="25">
        <v>45119</v>
      </c>
      <c r="B147" s="8">
        <f>July!B8</f>
        <v>0</v>
      </c>
      <c r="C147" s="8">
        <f>July!D8</f>
        <v>0</v>
      </c>
      <c r="D147" s="8" t="e">
        <f>July!F8</f>
        <v>#DIV/0!</v>
      </c>
      <c r="E147" s="8">
        <f>July!AD8</f>
        <v>0</v>
      </c>
      <c r="F147" s="8">
        <f>July!AE8</f>
        <v>0</v>
      </c>
      <c r="G147" s="27" t="e">
        <f>July!AF8</f>
        <v>#DIV/0!</v>
      </c>
    </row>
    <row r="148" spans="1:7" x14ac:dyDescent="0.2">
      <c r="A148" s="25">
        <v>45120</v>
      </c>
      <c r="B148" s="8">
        <f>July!B9</f>
        <v>0</v>
      </c>
      <c r="C148" s="8">
        <f>July!D9</f>
        <v>0</v>
      </c>
      <c r="D148" s="8" t="e">
        <f>July!F9</f>
        <v>#DIV/0!</v>
      </c>
      <c r="E148" s="8">
        <f>July!AD9</f>
        <v>0</v>
      </c>
      <c r="F148" s="8">
        <f>July!AE9</f>
        <v>0</v>
      </c>
      <c r="G148" s="27" t="e">
        <f>July!AF9</f>
        <v>#DIV/0!</v>
      </c>
    </row>
    <row r="149" spans="1:7" x14ac:dyDescent="0.2">
      <c r="A149" s="25">
        <v>45121</v>
      </c>
      <c r="B149" s="8">
        <f>July!B10</f>
        <v>0</v>
      </c>
      <c r="C149" s="8">
        <f>July!D10</f>
        <v>0</v>
      </c>
      <c r="D149" s="8" t="e">
        <f>July!F10</f>
        <v>#DIV/0!</v>
      </c>
      <c r="E149" s="8">
        <f>July!AD10</f>
        <v>0</v>
      </c>
      <c r="F149" s="8">
        <f>July!AE10</f>
        <v>0</v>
      </c>
      <c r="G149" s="27" t="e">
        <f>July!AF10</f>
        <v>#DIV/0!</v>
      </c>
    </row>
    <row r="150" spans="1:7" x14ac:dyDescent="0.2">
      <c r="A150" s="25">
        <v>45124</v>
      </c>
      <c r="B150" s="8">
        <f>July!B11</f>
        <v>0</v>
      </c>
      <c r="C150" s="8">
        <f>July!D11</f>
        <v>0</v>
      </c>
      <c r="D150" s="8" t="e">
        <f>July!F11</f>
        <v>#DIV/0!</v>
      </c>
      <c r="E150" s="8">
        <f>July!AD11</f>
        <v>0</v>
      </c>
      <c r="F150" s="8">
        <f>July!AE11</f>
        <v>0</v>
      </c>
      <c r="G150" s="27" t="e">
        <f>July!AF11</f>
        <v>#DIV/0!</v>
      </c>
    </row>
    <row r="151" spans="1:7" x14ac:dyDescent="0.2">
      <c r="A151" s="25">
        <v>45125</v>
      </c>
      <c r="B151" s="8">
        <f>July!B12</f>
        <v>0</v>
      </c>
      <c r="C151" s="8">
        <f>July!D12</f>
        <v>0</v>
      </c>
      <c r="D151" s="8" t="e">
        <f>July!F12</f>
        <v>#DIV/0!</v>
      </c>
      <c r="E151" s="8">
        <f>July!AD12</f>
        <v>0</v>
      </c>
      <c r="F151" s="8">
        <f>July!AE12</f>
        <v>0</v>
      </c>
      <c r="G151" s="27" t="e">
        <f>July!AF12</f>
        <v>#DIV/0!</v>
      </c>
    </row>
    <row r="152" spans="1:7" x14ac:dyDescent="0.2">
      <c r="A152" s="25">
        <v>45126</v>
      </c>
      <c r="B152" s="8">
        <f>July!B13</f>
        <v>0</v>
      </c>
      <c r="C152" s="8">
        <f>July!D13</f>
        <v>0</v>
      </c>
      <c r="D152" s="8" t="e">
        <f>July!F13</f>
        <v>#DIV/0!</v>
      </c>
      <c r="E152" s="8">
        <f>July!AD13</f>
        <v>0</v>
      </c>
      <c r="F152" s="8">
        <f>July!AE13</f>
        <v>0</v>
      </c>
      <c r="G152" s="27" t="e">
        <f>July!AF13</f>
        <v>#DIV/0!</v>
      </c>
    </row>
    <row r="153" spans="1:7" x14ac:dyDescent="0.2">
      <c r="A153" s="25">
        <v>45127</v>
      </c>
      <c r="B153" s="8">
        <f>July!B14</f>
        <v>0</v>
      </c>
      <c r="C153" s="8">
        <f>July!D14</f>
        <v>0</v>
      </c>
      <c r="D153" s="8" t="e">
        <f>July!F14</f>
        <v>#DIV/0!</v>
      </c>
      <c r="E153" s="8">
        <f>July!AD14</f>
        <v>0</v>
      </c>
      <c r="F153" s="8">
        <f>July!AE14</f>
        <v>0</v>
      </c>
      <c r="G153" s="27" t="e">
        <f>July!AF14</f>
        <v>#DIV/0!</v>
      </c>
    </row>
    <row r="154" spans="1:7" x14ac:dyDescent="0.2">
      <c r="A154" s="25">
        <v>45128</v>
      </c>
      <c r="B154" s="8">
        <f>July!B15</f>
        <v>0</v>
      </c>
      <c r="C154" s="8">
        <f>July!D15</f>
        <v>0</v>
      </c>
      <c r="D154" s="8" t="e">
        <f>July!F15</f>
        <v>#DIV/0!</v>
      </c>
      <c r="E154" s="8">
        <f>July!AD15</f>
        <v>0</v>
      </c>
      <c r="F154" s="8">
        <f>July!AE15</f>
        <v>0</v>
      </c>
      <c r="G154" s="27" t="e">
        <f>July!AF15</f>
        <v>#DIV/0!</v>
      </c>
    </row>
    <row r="155" spans="1:7" x14ac:dyDescent="0.2">
      <c r="A155" s="25">
        <v>45131</v>
      </c>
      <c r="B155" s="8">
        <f>July!B16</f>
        <v>0</v>
      </c>
      <c r="C155" s="8">
        <f>July!D16</f>
        <v>0</v>
      </c>
      <c r="D155" s="8" t="e">
        <f>July!F16</f>
        <v>#DIV/0!</v>
      </c>
      <c r="E155" s="8">
        <f>July!AD16</f>
        <v>0</v>
      </c>
      <c r="F155" s="8">
        <f>July!AE16</f>
        <v>0</v>
      </c>
      <c r="G155" s="27" t="e">
        <f>July!AF16</f>
        <v>#DIV/0!</v>
      </c>
    </row>
    <row r="156" spans="1:7" x14ac:dyDescent="0.2">
      <c r="A156" s="25">
        <v>45132</v>
      </c>
      <c r="B156" s="8">
        <f>July!B17</f>
        <v>0</v>
      </c>
      <c r="C156" s="8">
        <f>July!D17</f>
        <v>0</v>
      </c>
      <c r="D156" s="8" t="e">
        <f>July!F17</f>
        <v>#DIV/0!</v>
      </c>
      <c r="E156" s="8">
        <f>July!AD17</f>
        <v>0</v>
      </c>
      <c r="F156" s="8">
        <f>July!AE17</f>
        <v>0</v>
      </c>
      <c r="G156" s="27" t="e">
        <f>July!AF17</f>
        <v>#DIV/0!</v>
      </c>
    </row>
    <row r="157" spans="1:7" x14ac:dyDescent="0.2">
      <c r="A157" s="25">
        <v>45133</v>
      </c>
      <c r="B157" s="8">
        <f>July!B18</f>
        <v>0</v>
      </c>
      <c r="C157" s="8">
        <f>July!D18</f>
        <v>0</v>
      </c>
      <c r="D157" s="8" t="e">
        <f>July!F18</f>
        <v>#DIV/0!</v>
      </c>
      <c r="E157" s="8">
        <f>July!AD18</f>
        <v>0</v>
      </c>
      <c r="F157" s="8">
        <f>July!AE18</f>
        <v>0</v>
      </c>
      <c r="G157" s="27" t="e">
        <f>July!AF18</f>
        <v>#DIV/0!</v>
      </c>
    </row>
    <row r="158" spans="1:7" x14ac:dyDescent="0.2">
      <c r="A158" s="25">
        <v>45134</v>
      </c>
      <c r="B158" s="8">
        <f>July!B19</f>
        <v>0</v>
      </c>
      <c r="C158" s="8">
        <f>July!D19</f>
        <v>0</v>
      </c>
      <c r="D158" s="8" t="e">
        <f>July!F19</f>
        <v>#DIV/0!</v>
      </c>
      <c r="E158" s="8">
        <f>July!AD19</f>
        <v>0</v>
      </c>
      <c r="F158" s="8">
        <f>July!AE19</f>
        <v>0</v>
      </c>
      <c r="G158" s="27" t="e">
        <f>July!AF19</f>
        <v>#DIV/0!</v>
      </c>
    </row>
    <row r="159" spans="1:7" x14ac:dyDescent="0.2">
      <c r="A159" s="25">
        <v>45135</v>
      </c>
      <c r="B159" s="8">
        <f>July!B20</f>
        <v>0</v>
      </c>
      <c r="C159" s="8">
        <f>July!D20</f>
        <v>0</v>
      </c>
      <c r="D159" s="8" t="e">
        <f>July!F20</f>
        <v>#DIV/0!</v>
      </c>
      <c r="E159" s="8">
        <f>July!AD20</f>
        <v>0</v>
      </c>
      <c r="F159" s="8">
        <f>July!AE20</f>
        <v>0</v>
      </c>
      <c r="G159" s="27" t="e">
        <f>July!AF20</f>
        <v>#DIV/0!</v>
      </c>
    </row>
    <row r="160" spans="1:7" ht="15" thickBot="1" x14ac:dyDescent="0.25">
      <c r="A160" s="26">
        <v>45138</v>
      </c>
      <c r="B160" s="28">
        <f>July!B21</f>
        <v>0</v>
      </c>
      <c r="C160" s="28">
        <f>July!D21</f>
        <v>0</v>
      </c>
      <c r="D160" s="28" t="e">
        <f>July!F21</f>
        <v>#DIV/0!</v>
      </c>
      <c r="E160" s="28">
        <f>July!AD21</f>
        <v>0</v>
      </c>
      <c r="F160" s="28">
        <f>July!AE21</f>
        <v>0</v>
      </c>
      <c r="G160" s="29" t="e">
        <f>July!AF21</f>
        <v>#DIV/0!</v>
      </c>
    </row>
    <row r="161" spans="1:7" ht="15" thickBot="1" x14ac:dyDescent="0.25">
      <c r="A161" s="3"/>
      <c r="D161" s="34"/>
      <c r="G161" s="35"/>
    </row>
    <row r="162" spans="1:7" ht="45" x14ac:dyDescent="0.25">
      <c r="A162" s="33" t="s">
        <v>0</v>
      </c>
      <c r="B162" s="21" t="s">
        <v>22</v>
      </c>
      <c r="C162" s="22" t="s">
        <v>2</v>
      </c>
      <c r="D162" s="23" t="s">
        <v>29</v>
      </c>
      <c r="E162" s="21" t="s">
        <v>10</v>
      </c>
      <c r="F162" s="21" t="s">
        <v>11</v>
      </c>
      <c r="G162" s="24" t="s">
        <v>12</v>
      </c>
    </row>
    <row r="163" spans="1:7" x14ac:dyDescent="0.2">
      <c r="A163" s="25">
        <v>45139</v>
      </c>
      <c r="B163" s="8">
        <f>Aug!B2</f>
        <v>0</v>
      </c>
      <c r="C163" s="8">
        <f>Aug!D2</f>
        <v>0</v>
      </c>
      <c r="D163" s="11" t="e">
        <f>Aug!F2</f>
        <v>#DIV/0!</v>
      </c>
      <c r="E163" s="8">
        <f>Aug!AD2</f>
        <v>0</v>
      </c>
      <c r="F163" s="8">
        <f>Aug!AE2</f>
        <v>0</v>
      </c>
      <c r="G163" s="30" t="e">
        <f>Aug!AF2</f>
        <v>#DIV/0!</v>
      </c>
    </row>
    <row r="164" spans="1:7" x14ac:dyDescent="0.2">
      <c r="A164" s="25">
        <v>45140</v>
      </c>
      <c r="B164" s="8">
        <f>Aug!B3</f>
        <v>0</v>
      </c>
      <c r="C164" s="8">
        <f>Aug!D3</f>
        <v>0</v>
      </c>
      <c r="D164" s="8" t="e">
        <f>Aug!F3</f>
        <v>#DIV/0!</v>
      </c>
      <c r="E164" s="8">
        <f>Aug!AD3</f>
        <v>0</v>
      </c>
      <c r="F164" s="8">
        <f>Aug!AE3</f>
        <v>0</v>
      </c>
      <c r="G164" s="27" t="e">
        <f>Aug!AF3</f>
        <v>#DIV/0!</v>
      </c>
    </row>
    <row r="165" spans="1:7" x14ac:dyDescent="0.2">
      <c r="A165" s="25">
        <v>45141</v>
      </c>
      <c r="B165" s="8">
        <f>Aug!B4</f>
        <v>0</v>
      </c>
      <c r="C165" s="8">
        <f>Aug!D4</f>
        <v>0</v>
      </c>
      <c r="D165" s="8" t="e">
        <f>Aug!F4</f>
        <v>#DIV/0!</v>
      </c>
      <c r="E165" s="8">
        <f>Aug!AD4</f>
        <v>0</v>
      </c>
      <c r="F165" s="8">
        <f>Aug!AE4</f>
        <v>0</v>
      </c>
      <c r="G165" s="27" t="e">
        <f>Aug!AF4</f>
        <v>#DIV/0!</v>
      </c>
    </row>
    <row r="166" spans="1:7" x14ac:dyDescent="0.2">
      <c r="A166" s="25">
        <v>45142</v>
      </c>
      <c r="B166" s="8">
        <f>Aug!B5</f>
        <v>0</v>
      </c>
      <c r="C166" s="8">
        <f>Aug!D5</f>
        <v>0</v>
      </c>
      <c r="D166" s="8" t="e">
        <f>Aug!F5</f>
        <v>#DIV/0!</v>
      </c>
      <c r="E166" s="8">
        <f>Aug!AD5</f>
        <v>0</v>
      </c>
      <c r="F166" s="8">
        <f>Aug!AE5</f>
        <v>0</v>
      </c>
      <c r="G166" s="27" t="e">
        <f>Aug!AF5</f>
        <v>#DIV/0!</v>
      </c>
    </row>
    <row r="167" spans="1:7" x14ac:dyDescent="0.2">
      <c r="A167" s="25">
        <v>45145</v>
      </c>
      <c r="B167" s="8">
        <f>Aug!B6</f>
        <v>0</v>
      </c>
      <c r="C167" s="8">
        <f>Aug!D6</f>
        <v>0</v>
      </c>
      <c r="D167" s="8" t="e">
        <f>Aug!F6</f>
        <v>#DIV/0!</v>
      </c>
      <c r="E167" s="8">
        <f>Aug!AD6</f>
        <v>0</v>
      </c>
      <c r="F167" s="8">
        <f>Aug!AE6</f>
        <v>0</v>
      </c>
      <c r="G167" s="27" t="e">
        <f>Aug!AF6</f>
        <v>#DIV/0!</v>
      </c>
    </row>
    <row r="168" spans="1:7" x14ac:dyDescent="0.2">
      <c r="A168" s="25">
        <v>45146</v>
      </c>
      <c r="B168" s="8">
        <f>Aug!B7</f>
        <v>0</v>
      </c>
      <c r="C168" s="8">
        <f>Aug!D7</f>
        <v>0</v>
      </c>
      <c r="D168" s="8" t="e">
        <f>Aug!F7</f>
        <v>#DIV/0!</v>
      </c>
      <c r="E168" s="8">
        <f>Aug!AD7</f>
        <v>0</v>
      </c>
      <c r="F168" s="8">
        <f>Aug!AE7</f>
        <v>0</v>
      </c>
      <c r="G168" s="27" t="e">
        <f>Aug!AF7</f>
        <v>#DIV/0!</v>
      </c>
    </row>
    <row r="169" spans="1:7" x14ac:dyDescent="0.2">
      <c r="A169" s="25">
        <v>45147</v>
      </c>
      <c r="B169" s="8">
        <f>Aug!B8</f>
        <v>0</v>
      </c>
      <c r="C169" s="8">
        <f>Aug!D8</f>
        <v>0</v>
      </c>
      <c r="D169" s="8" t="e">
        <f>Aug!F8</f>
        <v>#DIV/0!</v>
      </c>
      <c r="E169" s="8">
        <f>Aug!AD8</f>
        <v>0</v>
      </c>
      <c r="F169" s="8">
        <f>Aug!AE8</f>
        <v>0</v>
      </c>
      <c r="G169" s="27" t="e">
        <f>Aug!AF8</f>
        <v>#DIV/0!</v>
      </c>
    </row>
    <row r="170" spans="1:7" x14ac:dyDescent="0.2">
      <c r="A170" s="25">
        <v>45148</v>
      </c>
      <c r="B170" s="8">
        <f>Aug!B9</f>
        <v>0</v>
      </c>
      <c r="C170" s="8">
        <f>Aug!D9</f>
        <v>0</v>
      </c>
      <c r="D170" s="8" t="e">
        <f>Aug!F9</f>
        <v>#DIV/0!</v>
      </c>
      <c r="E170" s="8">
        <f>Aug!AD9</f>
        <v>0</v>
      </c>
      <c r="F170" s="8">
        <f>Aug!AE9</f>
        <v>0</v>
      </c>
      <c r="G170" s="27" t="e">
        <f>Aug!AF9</f>
        <v>#DIV/0!</v>
      </c>
    </row>
    <row r="171" spans="1:7" x14ac:dyDescent="0.2">
      <c r="A171" s="25">
        <v>45149</v>
      </c>
      <c r="B171" s="8">
        <f>Aug!B10</f>
        <v>0</v>
      </c>
      <c r="C171" s="8">
        <f>Aug!D10</f>
        <v>0</v>
      </c>
      <c r="D171" s="8" t="e">
        <f>Aug!F10</f>
        <v>#DIV/0!</v>
      </c>
      <c r="E171" s="8">
        <f>Aug!AD10</f>
        <v>0</v>
      </c>
      <c r="F171" s="8">
        <f>Aug!AE10</f>
        <v>0</v>
      </c>
      <c r="G171" s="27" t="e">
        <f>Aug!AF10</f>
        <v>#DIV/0!</v>
      </c>
    </row>
    <row r="172" spans="1:7" x14ac:dyDescent="0.2">
      <c r="A172" s="25">
        <v>45152</v>
      </c>
      <c r="B172" s="8">
        <f>Aug!B11</f>
        <v>0</v>
      </c>
      <c r="C172" s="8">
        <f>Aug!D11</f>
        <v>0</v>
      </c>
      <c r="D172" s="8" t="e">
        <f>Aug!F11</f>
        <v>#DIV/0!</v>
      </c>
      <c r="E172" s="8">
        <f>Aug!AD11</f>
        <v>0</v>
      </c>
      <c r="F172" s="8">
        <f>Aug!AE11</f>
        <v>0</v>
      </c>
      <c r="G172" s="27" t="e">
        <f>Aug!AF11</f>
        <v>#DIV/0!</v>
      </c>
    </row>
    <row r="173" spans="1:7" x14ac:dyDescent="0.2">
      <c r="A173" s="25">
        <v>45153</v>
      </c>
      <c r="B173" s="8">
        <f>Aug!B12</f>
        <v>0</v>
      </c>
      <c r="C173" s="8">
        <f>Aug!D12</f>
        <v>0</v>
      </c>
      <c r="D173" s="8" t="e">
        <f>Aug!F12</f>
        <v>#DIV/0!</v>
      </c>
      <c r="E173" s="8">
        <f>Aug!AD12</f>
        <v>0</v>
      </c>
      <c r="F173" s="8">
        <f>Aug!AE12</f>
        <v>0</v>
      </c>
      <c r="G173" s="27" t="e">
        <f>Aug!AF12</f>
        <v>#DIV/0!</v>
      </c>
    </row>
    <row r="174" spans="1:7" x14ac:dyDescent="0.2">
      <c r="A174" s="25">
        <v>45154</v>
      </c>
      <c r="B174" s="8">
        <f>Aug!B13</f>
        <v>0</v>
      </c>
      <c r="C174" s="8">
        <f>Aug!D13</f>
        <v>0</v>
      </c>
      <c r="D174" s="8" t="e">
        <f>Aug!F13</f>
        <v>#DIV/0!</v>
      </c>
      <c r="E174" s="8">
        <f>Aug!AD13</f>
        <v>0</v>
      </c>
      <c r="F174" s="8">
        <f>Aug!AE13</f>
        <v>0</v>
      </c>
      <c r="G174" s="27" t="e">
        <f>Aug!AF13</f>
        <v>#DIV/0!</v>
      </c>
    </row>
    <row r="175" spans="1:7" x14ac:dyDescent="0.2">
      <c r="A175" s="25">
        <v>45155</v>
      </c>
      <c r="B175" s="8">
        <f>Aug!B14</f>
        <v>0</v>
      </c>
      <c r="C175" s="8">
        <f>Aug!D14</f>
        <v>0</v>
      </c>
      <c r="D175" s="8" t="e">
        <f>Aug!F14</f>
        <v>#DIV/0!</v>
      </c>
      <c r="E175" s="8">
        <f>Aug!AD14</f>
        <v>0</v>
      </c>
      <c r="F175" s="8">
        <f>Aug!AE14</f>
        <v>0</v>
      </c>
      <c r="G175" s="27" t="e">
        <f>Aug!AF14</f>
        <v>#DIV/0!</v>
      </c>
    </row>
    <row r="176" spans="1:7" x14ac:dyDescent="0.2">
      <c r="A176" s="25">
        <v>45156</v>
      </c>
      <c r="B176" s="8">
        <f>Aug!B15</f>
        <v>0</v>
      </c>
      <c r="C176" s="8">
        <f>Aug!D15</f>
        <v>0</v>
      </c>
      <c r="D176" s="8" t="e">
        <f>Aug!F15</f>
        <v>#DIV/0!</v>
      </c>
      <c r="E176" s="8">
        <f>Aug!AD15</f>
        <v>0</v>
      </c>
      <c r="F176" s="8">
        <f>Aug!AE15</f>
        <v>0</v>
      </c>
      <c r="G176" s="27" t="e">
        <f>Aug!AF15</f>
        <v>#DIV/0!</v>
      </c>
    </row>
    <row r="177" spans="1:7" x14ac:dyDescent="0.2">
      <c r="A177" s="25">
        <v>45159</v>
      </c>
      <c r="B177" s="8">
        <f>Aug!B16</f>
        <v>0</v>
      </c>
      <c r="C177" s="8">
        <f>Aug!D16</f>
        <v>0</v>
      </c>
      <c r="D177" s="8" t="e">
        <f>Aug!F16</f>
        <v>#DIV/0!</v>
      </c>
      <c r="E177" s="8">
        <f>Aug!AD16</f>
        <v>0</v>
      </c>
      <c r="F177" s="8">
        <f>Aug!AE16</f>
        <v>0</v>
      </c>
      <c r="G177" s="27" t="e">
        <f>Aug!AF16</f>
        <v>#DIV/0!</v>
      </c>
    </row>
    <row r="178" spans="1:7" x14ac:dyDescent="0.2">
      <c r="A178" s="25">
        <v>45160</v>
      </c>
      <c r="B178" s="8">
        <f>Aug!B17</f>
        <v>0</v>
      </c>
      <c r="C178" s="8">
        <f>Aug!D17</f>
        <v>0</v>
      </c>
      <c r="D178" s="8" t="e">
        <f>Aug!F17</f>
        <v>#DIV/0!</v>
      </c>
      <c r="E178" s="8">
        <f>Aug!AD17</f>
        <v>0</v>
      </c>
      <c r="F178" s="8">
        <f>Aug!AE17</f>
        <v>0</v>
      </c>
      <c r="G178" s="27" t="e">
        <f>Aug!AF17</f>
        <v>#DIV/0!</v>
      </c>
    </row>
    <row r="179" spans="1:7" x14ac:dyDescent="0.2">
      <c r="A179" s="25">
        <v>45161</v>
      </c>
      <c r="B179" s="8">
        <f>Aug!B18</f>
        <v>0</v>
      </c>
      <c r="C179" s="8">
        <f>Aug!D18</f>
        <v>0</v>
      </c>
      <c r="D179" s="8" t="e">
        <f>Aug!F18</f>
        <v>#DIV/0!</v>
      </c>
      <c r="E179" s="8">
        <f>Aug!AD18</f>
        <v>0</v>
      </c>
      <c r="F179" s="8">
        <f>Aug!AE18</f>
        <v>0</v>
      </c>
      <c r="G179" s="27" t="e">
        <f>Aug!AF18</f>
        <v>#DIV/0!</v>
      </c>
    </row>
    <row r="180" spans="1:7" x14ac:dyDescent="0.2">
      <c r="A180" s="25">
        <v>45162</v>
      </c>
      <c r="B180" s="8">
        <f>Aug!B19</f>
        <v>0</v>
      </c>
      <c r="C180" s="8">
        <f>Aug!D19</f>
        <v>0</v>
      </c>
      <c r="D180" s="8" t="e">
        <f>Aug!F19</f>
        <v>#DIV/0!</v>
      </c>
      <c r="E180" s="8">
        <f>Aug!AD19</f>
        <v>0</v>
      </c>
      <c r="F180" s="8">
        <f>Aug!AE19</f>
        <v>0</v>
      </c>
      <c r="G180" s="27" t="e">
        <f>Aug!AF19</f>
        <v>#DIV/0!</v>
      </c>
    </row>
    <row r="181" spans="1:7" x14ac:dyDescent="0.2">
      <c r="A181" s="25">
        <v>45163</v>
      </c>
      <c r="B181" s="8">
        <f>Aug!B20</f>
        <v>0</v>
      </c>
      <c r="C181" s="8">
        <f>Aug!D20</f>
        <v>0</v>
      </c>
      <c r="D181" s="8" t="e">
        <f>Aug!F20</f>
        <v>#DIV/0!</v>
      </c>
      <c r="E181" s="8">
        <f>Aug!AD20</f>
        <v>0</v>
      </c>
      <c r="F181" s="8">
        <f>Aug!AE20</f>
        <v>0</v>
      </c>
      <c r="G181" s="27" t="e">
        <f>Aug!AF20</f>
        <v>#DIV/0!</v>
      </c>
    </row>
    <row r="182" spans="1:7" x14ac:dyDescent="0.2">
      <c r="A182" s="25">
        <v>45166</v>
      </c>
      <c r="B182" s="8">
        <f>Aug!B21</f>
        <v>0</v>
      </c>
      <c r="C182" s="8">
        <f>Aug!D21</f>
        <v>0</v>
      </c>
      <c r="D182" s="8" t="e">
        <f>Aug!F21</f>
        <v>#DIV/0!</v>
      </c>
      <c r="E182" s="8">
        <f>Aug!AD21</f>
        <v>0</v>
      </c>
      <c r="F182" s="8">
        <f>Aug!AE21</f>
        <v>0</v>
      </c>
      <c r="G182" s="27" t="e">
        <f>Aug!AF21</f>
        <v>#DIV/0!</v>
      </c>
    </row>
    <row r="183" spans="1:7" x14ac:dyDescent="0.2">
      <c r="A183" s="25">
        <v>45167</v>
      </c>
      <c r="B183" s="8">
        <f>Aug!B22</f>
        <v>0</v>
      </c>
      <c r="C183" s="8">
        <f>Aug!D22</f>
        <v>0</v>
      </c>
      <c r="D183" s="8" t="e">
        <f>Aug!F22</f>
        <v>#DIV/0!</v>
      </c>
      <c r="E183" s="8">
        <f>Aug!AD22</f>
        <v>0</v>
      </c>
      <c r="F183" s="8">
        <f>Aug!AE22</f>
        <v>0</v>
      </c>
      <c r="G183" s="27" t="e">
        <f>Aug!AF22</f>
        <v>#DIV/0!</v>
      </c>
    </row>
    <row r="184" spans="1:7" x14ac:dyDescent="0.2">
      <c r="A184" s="25">
        <v>45168</v>
      </c>
      <c r="B184" s="8">
        <f>Aug!B23</f>
        <v>0</v>
      </c>
      <c r="C184" s="8">
        <f>Aug!D23</f>
        <v>0</v>
      </c>
      <c r="D184" s="8" t="e">
        <f>Aug!F23</f>
        <v>#DIV/0!</v>
      </c>
      <c r="E184" s="8">
        <f>Aug!AD23</f>
        <v>0</v>
      </c>
      <c r="F184" s="8">
        <f>Aug!AE23</f>
        <v>0</v>
      </c>
      <c r="G184" s="27" t="e">
        <f>Aug!AF23</f>
        <v>#DIV/0!</v>
      </c>
    </row>
    <row r="185" spans="1:7" ht="15" thickBot="1" x14ac:dyDescent="0.25">
      <c r="A185" s="26">
        <v>45169</v>
      </c>
      <c r="B185" s="28">
        <f>Aug!B24</f>
        <v>0</v>
      </c>
      <c r="C185" s="28">
        <f>Aug!D24</f>
        <v>0</v>
      </c>
      <c r="D185" s="28" t="e">
        <f>Aug!F24</f>
        <v>#DIV/0!</v>
      </c>
      <c r="E185" s="28">
        <f>Aug!AD24</f>
        <v>0</v>
      </c>
      <c r="F185" s="28">
        <f>Aug!AE24</f>
        <v>0</v>
      </c>
      <c r="G185" s="29" t="e">
        <f>Aug!AF24</f>
        <v>#DIV/0!</v>
      </c>
    </row>
    <row r="186" spans="1:7" ht="15" thickBot="1" x14ac:dyDescent="0.25">
      <c r="A186" s="3"/>
      <c r="D186" s="34"/>
      <c r="G186" s="35"/>
    </row>
    <row r="187" spans="1:7" ht="45" x14ac:dyDescent="0.25">
      <c r="A187" s="33" t="s">
        <v>0</v>
      </c>
      <c r="B187" s="21" t="s">
        <v>22</v>
      </c>
      <c r="C187" s="22" t="s">
        <v>2</v>
      </c>
      <c r="D187" s="23" t="s">
        <v>29</v>
      </c>
      <c r="E187" s="21" t="s">
        <v>10</v>
      </c>
      <c r="F187" s="21" t="s">
        <v>11</v>
      </c>
      <c r="G187" s="24" t="s">
        <v>12</v>
      </c>
    </row>
    <row r="188" spans="1:7" x14ac:dyDescent="0.2">
      <c r="A188" s="25">
        <v>37500</v>
      </c>
      <c r="B188" s="8">
        <f>Sept!B2</f>
        <v>0</v>
      </c>
      <c r="C188" s="8">
        <f>Sept!D2</f>
        <v>0</v>
      </c>
      <c r="D188" s="11" t="e">
        <f>Sept!F2</f>
        <v>#DIV/0!</v>
      </c>
      <c r="E188" s="8">
        <f>Sept!AD2</f>
        <v>0</v>
      </c>
      <c r="F188" s="8">
        <f>Sept!AE2</f>
        <v>0</v>
      </c>
      <c r="G188" s="30" t="e">
        <f>Sept!AF2</f>
        <v>#DIV/0!</v>
      </c>
    </row>
    <row r="189" spans="1:7" x14ac:dyDescent="0.2">
      <c r="A189" s="25">
        <v>45174</v>
      </c>
      <c r="B189" s="8">
        <f>Sept!B3</f>
        <v>0</v>
      </c>
      <c r="C189" s="8">
        <f>Sept!D3</f>
        <v>0</v>
      </c>
      <c r="D189" s="8" t="e">
        <f>Sept!F3</f>
        <v>#DIV/0!</v>
      </c>
      <c r="E189" s="8">
        <f>Sept!AD3</f>
        <v>0</v>
      </c>
      <c r="F189" s="8">
        <f>Sept!AE3</f>
        <v>0</v>
      </c>
      <c r="G189" s="27" t="e">
        <f>Sept!AF3</f>
        <v>#DIV/0!</v>
      </c>
    </row>
    <row r="190" spans="1:7" x14ac:dyDescent="0.2">
      <c r="A190" s="25">
        <v>45175</v>
      </c>
      <c r="B190" s="8">
        <f>Sept!B4</f>
        <v>0</v>
      </c>
      <c r="C190" s="8">
        <f>Sept!D4</f>
        <v>0</v>
      </c>
      <c r="D190" s="8" t="e">
        <f>Sept!F4</f>
        <v>#DIV/0!</v>
      </c>
      <c r="E190" s="8">
        <f>Sept!AD4</f>
        <v>0</v>
      </c>
      <c r="F190" s="8">
        <f>Sept!AE4</f>
        <v>0</v>
      </c>
      <c r="G190" s="27" t="e">
        <f>Sept!AF4</f>
        <v>#DIV/0!</v>
      </c>
    </row>
    <row r="191" spans="1:7" x14ac:dyDescent="0.2">
      <c r="A191" s="25">
        <v>45176</v>
      </c>
      <c r="B191" s="8">
        <f>Sept!B5</f>
        <v>0</v>
      </c>
      <c r="C191" s="8">
        <f>Sept!D5</f>
        <v>0</v>
      </c>
      <c r="D191" s="8" t="e">
        <f>Sept!F5</f>
        <v>#DIV/0!</v>
      </c>
      <c r="E191" s="8">
        <f>Sept!AD5</f>
        <v>0</v>
      </c>
      <c r="F191" s="8">
        <f>Sept!AE5</f>
        <v>0</v>
      </c>
      <c r="G191" s="27" t="e">
        <f>Sept!AF5</f>
        <v>#DIV/0!</v>
      </c>
    </row>
    <row r="192" spans="1:7" x14ac:dyDescent="0.2">
      <c r="A192" s="25">
        <v>45177</v>
      </c>
      <c r="B192" s="8">
        <f>Sept!B6</f>
        <v>0</v>
      </c>
      <c r="C192" s="8">
        <f>Sept!D6</f>
        <v>0</v>
      </c>
      <c r="D192" s="8" t="e">
        <f>Sept!F6</f>
        <v>#DIV/0!</v>
      </c>
      <c r="E192" s="8">
        <f>Sept!AD6</f>
        <v>0</v>
      </c>
      <c r="F192" s="8">
        <f>Sept!AE6</f>
        <v>0</v>
      </c>
      <c r="G192" s="27" t="e">
        <f>Sept!AF6</f>
        <v>#DIV/0!</v>
      </c>
    </row>
    <row r="193" spans="1:7" x14ac:dyDescent="0.2">
      <c r="A193" s="25">
        <v>45180</v>
      </c>
      <c r="B193" s="8">
        <f>Sept!B7</f>
        <v>0</v>
      </c>
      <c r="C193" s="8">
        <f>Sept!D7</f>
        <v>0</v>
      </c>
      <c r="D193" s="8" t="e">
        <f>Sept!F7</f>
        <v>#DIV/0!</v>
      </c>
      <c r="E193" s="8">
        <f>Sept!AD7</f>
        <v>0</v>
      </c>
      <c r="F193" s="8">
        <f>Sept!AE7</f>
        <v>0</v>
      </c>
      <c r="G193" s="27" t="e">
        <f>Sept!AF7</f>
        <v>#DIV/0!</v>
      </c>
    </row>
    <row r="194" spans="1:7" x14ac:dyDescent="0.2">
      <c r="A194" s="25">
        <v>45181</v>
      </c>
      <c r="B194" s="8">
        <f>Sept!B8</f>
        <v>0</v>
      </c>
      <c r="C194" s="8">
        <f>Sept!D8</f>
        <v>0</v>
      </c>
      <c r="D194" s="8" t="e">
        <f>Sept!F8</f>
        <v>#DIV/0!</v>
      </c>
      <c r="E194" s="8">
        <f>Sept!AD8</f>
        <v>0</v>
      </c>
      <c r="F194" s="8">
        <f>Sept!AE8</f>
        <v>0</v>
      </c>
      <c r="G194" s="27" t="e">
        <f>Sept!AF8</f>
        <v>#DIV/0!</v>
      </c>
    </row>
    <row r="195" spans="1:7" x14ac:dyDescent="0.2">
      <c r="A195" s="25">
        <v>45182</v>
      </c>
      <c r="B195" s="8">
        <f>Sept!B9</f>
        <v>0</v>
      </c>
      <c r="C195" s="8">
        <f>Sept!D9</f>
        <v>0</v>
      </c>
      <c r="D195" s="8" t="e">
        <f>Sept!F9</f>
        <v>#DIV/0!</v>
      </c>
      <c r="E195" s="8">
        <f>Sept!AD9</f>
        <v>0</v>
      </c>
      <c r="F195" s="8">
        <f>Sept!AE9</f>
        <v>0</v>
      </c>
      <c r="G195" s="27" t="e">
        <f>Sept!AF9</f>
        <v>#DIV/0!</v>
      </c>
    </row>
    <row r="196" spans="1:7" x14ac:dyDescent="0.2">
      <c r="A196" s="25">
        <v>45183</v>
      </c>
      <c r="B196" s="8">
        <f>Sept!B10</f>
        <v>0</v>
      </c>
      <c r="C196" s="8">
        <f>Sept!D10</f>
        <v>0</v>
      </c>
      <c r="D196" s="8" t="e">
        <f>Sept!F10</f>
        <v>#DIV/0!</v>
      </c>
      <c r="E196" s="8">
        <f>Sept!AD10</f>
        <v>0</v>
      </c>
      <c r="F196" s="8">
        <f>Sept!AE10</f>
        <v>0</v>
      </c>
      <c r="G196" s="27" t="e">
        <f>Sept!AF10</f>
        <v>#DIV/0!</v>
      </c>
    </row>
    <row r="197" spans="1:7" x14ac:dyDescent="0.2">
      <c r="A197" s="25">
        <v>45184</v>
      </c>
      <c r="B197" s="8">
        <f>Sept!B11</f>
        <v>0</v>
      </c>
      <c r="C197" s="8">
        <f>Sept!D11</f>
        <v>0</v>
      </c>
      <c r="D197" s="8" t="e">
        <f>Sept!F11</f>
        <v>#DIV/0!</v>
      </c>
      <c r="E197" s="8">
        <f>Sept!AD11</f>
        <v>0</v>
      </c>
      <c r="F197" s="8">
        <f>Sept!AE11</f>
        <v>0</v>
      </c>
      <c r="G197" s="27" t="e">
        <f>Sept!AF11</f>
        <v>#DIV/0!</v>
      </c>
    </row>
    <row r="198" spans="1:7" x14ac:dyDescent="0.2">
      <c r="A198" s="25">
        <v>45187</v>
      </c>
      <c r="B198" s="8">
        <f>Sept!B12</f>
        <v>0</v>
      </c>
      <c r="C198" s="8">
        <f>Sept!D12</f>
        <v>0</v>
      </c>
      <c r="D198" s="8" t="e">
        <f>Sept!F12</f>
        <v>#DIV/0!</v>
      </c>
      <c r="E198" s="8">
        <f>Sept!AD12</f>
        <v>0</v>
      </c>
      <c r="F198" s="8">
        <f>Sept!AE12</f>
        <v>0</v>
      </c>
      <c r="G198" s="27" t="e">
        <f>Sept!AF12</f>
        <v>#DIV/0!</v>
      </c>
    </row>
    <row r="199" spans="1:7" x14ac:dyDescent="0.2">
      <c r="A199" s="25">
        <v>45188</v>
      </c>
      <c r="B199" s="8">
        <f>Sept!B13</f>
        <v>0</v>
      </c>
      <c r="C199" s="8">
        <f>Sept!D13</f>
        <v>0</v>
      </c>
      <c r="D199" s="8" t="e">
        <f>Sept!F13</f>
        <v>#DIV/0!</v>
      </c>
      <c r="E199" s="8">
        <f>Sept!AD13</f>
        <v>0</v>
      </c>
      <c r="F199" s="8">
        <f>Sept!AE13</f>
        <v>0</v>
      </c>
      <c r="G199" s="27" t="e">
        <f>Sept!AF13</f>
        <v>#DIV/0!</v>
      </c>
    </row>
    <row r="200" spans="1:7" x14ac:dyDescent="0.2">
      <c r="A200" s="25">
        <v>45189</v>
      </c>
      <c r="B200" s="8">
        <f>Sept!B14</f>
        <v>0</v>
      </c>
      <c r="C200" s="8">
        <f>Sept!D14</f>
        <v>0</v>
      </c>
      <c r="D200" s="8" t="e">
        <f>Sept!F14</f>
        <v>#DIV/0!</v>
      </c>
      <c r="E200" s="8">
        <f>Sept!AD14</f>
        <v>0</v>
      </c>
      <c r="F200" s="8">
        <f>Sept!AE14</f>
        <v>0</v>
      </c>
      <c r="G200" s="27" t="e">
        <f>Sept!AF14</f>
        <v>#DIV/0!</v>
      </c>
    </row>
    <row r="201" spans="1:7" x14ac:dyDescent="0.2">
      <c r="A201" s="25">
        <v>45190</v>
      </c>
      <c r="B201" s="8">
        <f>Sept!B15</f>
        <v>0</v>
      </c>
      <c r="C201" s="8">
        <f>Sept!D15</f>
        <v>0</v>
      </c>
      <c r="D201" s="8" t="e">
        <f>Sept!F15</f>
        <v>#DIV/0!</v>
      </c>
      <c r="E201" s="8">
        <f>Sept!AD15</f>
        <v>0</v>
      </c>
      <c r="F201" s="8">
        <f>Sept!AE15</f>
        <v>0</v>
      </c>
      <c r="G201" s="27" t="e">
        <f>Sept!AF15</f>
        <v>#DIV/0!</v>
      </c>
    </row>
    <row r="202" spans="1:7" x14ac:dyDescent="0.2">
      <c r="A202" s="25">
        <v>45191</v>
      </c>
      <c r="B202" s="8">
        <f>Sept!B16</f>
        <v>0</v>
      </c>
      <c r="C202" s="8">
        <f>Sept!D16</f>
        <v>0</v>
      </c>
      <c r="D202" s="8" t="e">
        <f>Sept!F16</f>
        <v>#DIV/0!</v>
      </c>
      <c r="E202" s="8">
        <f>Sept!AD16</f>
        <v>0</v>
      </c>
      <c r="F202" s="8">
        <f>Sept!AE16</f>
        <v>0</v>
      </c>
      <c r="G202" s="27" t="e">
        <f>Sept!AF16</f>
        <v>#DIV/0!</v>
      </c>
    </row>
    <row r="203" spans="1:7" x14ac:dyDescent="0.2">
      <c r="A203" s="25">
        <v>45194</v>
      </c>
      <c r="B203" s="8">
        <f>Sept!B17</f>
        <v>0</v>
      </c>
      <c r="C203" s="8">
        <f>Sept!D17</f>
        <v>0</v>
      </c>
      <c r="D203" s="8" t="e">
        <f>Sept!F17</f>
        <v>#DIV/0!</v>
      </c>
      <c r="E203" s="8">
        <f>Sept!AD17</f>
        <v>0</v>
      </c>
      <c r="F203" s="8">
        <f>Sept!AE17</f>
        <v>0</v>
      </c>
      <c r="G203" s="27" t="e">
        <f>Sept!AF17</f>
        <v>#DIV/0!</v>
      </c>
    </row>
    <row r="204" spans="1:7" x14ac:dyDescent="0.2">
      <c r="A204" s="25">
        <v>45195</v>
      </c>
      <c r="B204" s="8">
        <f>Sept!B18</f>
        <v>0</v>
      </c>
      <c r="C204" s="8">
        <f>Sept!D18</f>
        <v>0</v>
      </c>
      <c r="D204" s="8" t="e">
        <f>Sept!F18</f>
        <v>#DIV/0!</v>
      </c>
      <c r="E204" s="8">
        <f>Sept!AD18</f>
        <v>0</v>
      </c>
      <c r="F204" s="8">
        <f>Sept!AE18</f>
        <v>0</v>
      </c>
      <c r="G204" s="27" t="e">
        <f>Sept!AF18</f>
        <v>#DIV/0!</v>
      </c>
    </row>
    <row r="205" spans="1:7" x14ac:dyDescent="0.2">
      <c r="A205" s="25">
        <v>45196</v>
      </c>
      <c r="B205" s="8">
        <f>Sept!B19</f>
        <v>0</v>
      </c>
      <c r="C205" s="8">
        <f>Sept!D19</f>
        <v>0</v>
      </c>
      <c r="D205" s="8" t="e">
        <f>Sept!F19</f>
        <v>#DIV/0!</v>
      </c>
      <c r="E205" s="8">
        <f>Sept!AD19</f>
        <v>0</v>
      </c>
      <c r="F205" s="8">
        <f>Sept!AE19</f>
        <v>0</v>
      </c>
      <c r="G205" s="27" t="e">
        <f>Sept!AF19</f>
        <v>#DIV/0!</v>
      </c>
    </row>
    <row r="206" spans="1:7" x14ac:dyDescent="0.2">
      <c r="A206" s="25">
        <v>45197</v>
      </c>
      <c r="B206" s="8">
        <f>Sept!B20</f>
        <v>0</v>
      </c>
      <c r="C206" s="8">
        <f>Sept!D20</f>
        <v>0</v>
      </c>
      <c r="D206" s="8" t="e">
        <f>Sept!F20</f>
        <v>#DIV/0!</v>
      </c>
      <c r="E206" s="8">
        <f>Sept!AD20</f>
        <v>0</v>
      </c>
      <c r="F206" s="8">
        <f>Sept!AE20</f>
        <v>0</v>
      </c>
      <c r="G206" s="27" t="e">
        <f>Sept!AF20</f>
        <v>#DIV/0!</v>
      </c>
    </row>
    <row r="207" spans="1:7" ht="15" thickBot="1" x14ac:dyDescent="0.25">
      <c r="A207" s="26">
        <v>45198</v>
      </c>
      <c r="B207" s="28">
        <f>Sept!B21</f>
        <v>0</v>
      </c>
      <c r="C207" s="28">
        <f>Sept!D21</f>
        <v>0</v>
      </c>
      <c r="D207" s="28" t="e">
        <f>Sept!F21</f>
        <v>#DIV/0!</v>
      </c>
      <c r="E207" s="28">
        <f>Sept!AD21</f>
        <v>0</v>
      </c>
      <c r="F207" s="28">
        <f>Sept!AE21</f>
        <v>0</v>
      </c>
      <c r="G207" s="29" t="e">
        <f>Sept!AF21</f>
        <v>#DIV/0!</v>
      </c>
    </row>
    <row r="208" spans="1:7" ht="15" thickBot="1" x14ac:dyDescent="0.25">
      <c r="A208" s="3"/>
      <c r="D208" s="34"/>
      <c r="G208" s="35"/>
    </row>
    <row r="209" spans="1:7" ht="45" x14ac:dyDescent="0.25">
      <c r="A209" s="33" t="s">
        <v>0</v>
      </c>
      <c r="B209" s="21" t="s">
        <v>22</v>
      </c>
      <c r="C209" s="22" t="s">
        <v>2</v>
      </c>
      <c r="D209" s="23" t="s">
        <v>29</v>
      </c>
      <c r="E209" s="21" t="s">
        <v>10</v>
      </c>
      <c r="F209" s="21" t="s">
        <v>11</v>
      </c>
      <c r="G209" s="24" t="s">
        <v>12</v>
      </c>
    </row>
    <row r="210" spans="1:7" x14ac:dyDescent="0.2">
      <c r="A210" s="25">
        <v>45201</v>
      </c>
      <c r="B210" s="8">
        <f>Oct!B2</f>
        <v>0</v>
      </c>
      <c r="C210" s="8">
        <f>Oct!D2</f>
        <v>0</v>
      </c>
      <c r="D210" s="11" t="e">
        <f>Oct!F2</f>
        <v>#DIV/0!</v>
      </c>
      <c r="E210" s="8">
        <f>Oct!AD2</f>
        <v>0</v>
      </c>
      <c r="F210" s="8">
        <f>Oct!AE2</f>
        <v>0</v>
      </c>
      <c r="G210" s="30" t="e">
        <f>Oct!AF2</f>
        <v>#DIV/0!</v>
      </c>
    </row>
    <row r="211" spans="1:7" x14ac:dyDescent="0.2">
      <c r="A211" s="25">
        <v>45202</v>
      </c>
      <c r="B211" s="8">
        <f>Oct!B3</f>
        <v>0</v>
      </c>
      <c r="C211" s="8">
        <f>Oct!D3</f>
        <v>0</v>
      </c>
      <c r="D211" s="8" t="e">
        <f>Oct!F3</f>
        <v>#DIV/0!</v>
      </c>
      <c r="E211" s="8">
        <f>Oct!AD3</f>
        <v>0</v>
      </c>
      <c r="F211" s="8">
        <f>Oct!AE3</f>
        <v>0</v>
      </c>
      <c r="G211" s="27" t="e">
        <f>Oct!AF3</f>
        <v>#DIV/0!</v>
      </c>
    </row>
    <row r="212" spans="1:7" x14ac:dyDescent="0.2">
      <c r="A212" s="25">
        <v>45203</v>
      </c>
      <c r="B212" s="8">
        <f>Oct!B4</f>
        <v>0</v>
      </c>
      <c r="C212" s="8">
        <f>Oct!D4</f>
        <v>0</v>
      </c>
      <c r="D212" s="8" t="e">
        <f>Oct!F4</f>
        <v>#DIV/0!</v>
      </c>
      <c r="E212" s="8">
        <f>Oct!AD4</f>
        <v>0</v>
      </c>
      <c r="F212" s="8">
        <f>Oct!AE4</f>
        <v>0</v>
      </c>
      <c r="G212" s="27" t="e">
        <f>Oct!AF4</f>
        <v>#DIV/0!</v>
      </c>
    </row>
    <row r="213" spans="1:7" x14ac:dyDescent="0.2">
      <c r="A213" s="25">
        <v>45204</v>
      </c>
      <c r="B213" s="8">
        <f>Oct!B5</f>
        <v>0</v>
      </c>
      <c r="C213" s="8">
        <f>Oct!D5</f>
        <v>0</v>
      </c>
      <c r="D213" s="8" t="e">
        <f>Oct!F5</f>
        <v>#DIV/0!</v>
      </c>
      <c r="E213" s="8">
        <f>Oct!AD5</f>
        <v>0</v>
      </c>
      <c r="F213" s="8">
        <f>Oct!AE5</f>
        <v>0</v>
      </c>
      <c r="G213" s="27" t="e">
        <f>Oct!AF5</f>
        <v>#DIV/0!</v>
      </c>
    </row>
    <row r="214" spans="1:7" x14ac:dyDescent="0.2">
      <c r="A214" s="25">
        <v>45205</v>
      </c>
      <c r="B214" s="8">
        <f>Oct!B6</f>
        <v>0</v>
      </c>
      <c r="C214" s="8">
        <f>Oct!D6</f>
        <v>0</v>
      </c>
      <c r="D214" s="8" t="e">
        <f>Oct!F6</f>
        <v>#DIV/0!</v>
      </c>
      <c r="E214" s="8">
        <f>Oct!AD6</f>
        <v>0</v>
      </c>
      <c r="F214" s="8">
        <f>Oct!AE6</f>
        <v>0</v>
      </c>
      <c r="G214" s="27" t="e">
        <f>Oct!AF6</f>
        <v>#DIV/0!</v>
      </c>
    </row>
    <row r="215" spans="1:7" x14ac:dyDescent="0.2">
      <c r="A215" s="25">
        <v>45209</v>
      </c>
      <c r="B215" s="8">
        <f>Oct!B7</f>
        <v>0</v>
      </c>
      <c r="C215" s="8">
        <f>Oct!D7</f>
        <v>0</v>
      </c>
      <c r="D215" s="8" t="e">
        <f>Oct!F7</f>
        <v>#DIV/0!</v>
      </c>
      <c r="E215" s="8">
        <f>Oct!AD7</f>
        <v>0</v>
      </c>
      <c r="F215" s="8">
        <f>Oct!AE7</f>
        <v>0</v>
      </c>
      <c r="G215" s="27" t="e">
        <f>Oct!AF7</f>
        <v>#DIV/0!</v>
      </c>
    </row>
    <row r="216" spans="1:7" x14ac:dyDescent="0.2">
      <c r="A216" s="25">
        <v>45210</v>
      </c>
      <c r="B216" s="8">
        <f>Oct!B8</f>
        <v>0</v>
      </c>
      <c r="C216" s="8">
        <f>Oct!D8</f>
        <v>0</v>
      </c>
      <c r="D216" s="8" t="e">
        <f>Oct!F8</f>
        <v>#DIV/0!</v>
      </c>
      <c r="E216" s="8">
        <f>Oct!AD8</f>
        <v>0</v>
      </c>
      <c r="F216" s="8">
        <f>Oct!AE8</f>
        <v>0</v>
      </c>
      <c r="G216" s="27" t="e">
        <f>Oct!AF8</f>
        <v>#DIV/0!</v>
      </c>
    </row>
    <row r="217" spans="1:7" x14ac:dyDescent="0.2">
      <c r="A217" s="25">
        <v>45211</v>
      </c>
      <c r="B217" s="8">
        <f>Oct!B9</f>
        <v>0</v>
      </c>
      <c r="C217" s="8">
        <f>Oct!D9</f>
        <v>0</v>
      </c>
      <c r="D217" s="8" t="e">
        <f>Oct!F9</f>
        <v>#DIV/0!</v>
      </c>
      <c r="E217" s="8">
        <f>Oct!AD9</f>
        <v>0</v>
      </c>
      <c r="F217" s="8">
        <f>Oct!AE9</f>
        <v>0</v>
      </c>
      <c r="G217" s="27" t="e">
        <f>Oct!AF9</f>
        <v>#DIV/0!</v>
      </c>
    </row>
    <row r="218" spans="1:7" x14ac:dyDescent="0.2">
      <c r="A218" s="25">
        <v>45212</v>
      </c>
      <c r="B218" s="8">
        <f>Oct!B10</f>
        <v>0</v>
      </c>
      <c r="C218" s="8">
        <f>Oct!D10</f>
        <v>0</v>
      </c>
      <c r="D218" s="8" t="e">
        <f>Oct!F10</f>
        <v>#DIV/0!</v>
      </c>
      <c r="E218" s="8">
        <f>Oct!AD10</f>
        <v>0</v>
      </c>
      <c r="F218" s="8">
        <f>Oct!AE10</f>
        <v>0</v>
      </c>
      <c r="G218" s="27" t="e">
        <f>Oct!AF10</f>
        <v>#DIV/0!</v>
      </c>
    </row>
    <row r="219" spans="1:7" x14ac:dyDescent="0.2">
      <c r="A219" s="25">
        <v>45215</v>
      </c>
      <c r="B219" s="8">
        <f>Oct!B11</f>
        <v>0</v>
      </c>
      <c r="C219" s="8">
        <f>Oct!D11</f>
        <v>0</v>
      </c>
      <c r="D219" s="8" t="e">
        <f>Oct!F11</f>
        <v>#DIV/0!</v>
      </c>
      <c r="E219" s="8">
        <f>Oct!AD11</f>
        <v>0</v>
      </c>
      <c r="F219" s="8">
        <f>Oct!AE11</f>
        <v>0</v>
      </c>
      <c r="G219" s="27" t="e">
        <f>Oct!AF11</f>
        <v>#DIV/0!</v>
      </c>
    </row>
    <row r="220" spans="1:7" x14ac:dyDescent="0.2">
      <c r="A220" s="25">
        <v>45216</v>
      </c>
      <c r="B220" s="8">
        <f>Oct!B12</f>
        <v>0</v>
      </c>
      <c r="C220" s="8">
        <f>Oct!D12</f>
        <v>0</v>
      </c>
      <c r="D220" s="8" t="e">
        <f>Oct!F12</f>
        <v>#DIV/0!</v>
      </c>
      <c r="E220" s="8">
        <f>Oct!AD12</f>
        <v>0</v>
      </c>
      <c r="F220" s="8">
        <f>Oct!AE12</f>
        <v>0</v>
      </c>
      <c r="G220" s="27" t="e">
        <f>Oct!AF12</f>
        <v>#DIV/0!</v>
      </c>
    </row>
    <row r="221" spans="1:7" x14ac:dyDescent="0.2">
      <c r="A221" s="25">
        <v>45217</v>
      </c>
      <c r="B221" s="8">
        <f>Oct!B13</f>
        <v>0</v>
      </c>
      <c r="C221" s="8">
        <f>Oct!D13</f>
        <v>0</v>
      </c>
      <c r="D221" s="8" t="e">
        <f>Oct!F13</f>
        <v>#DIV/0!</v>
      </c>
      <c r="E221" s="8">
        <f>Oct!AD13</f>
        <v>0</v>
      </c>
      <c r="F221" s="8">
        <f>Oct!AE13</f>
        <v>0</v>
      </c>
      <c r="G221" s="27" t="e">
        <f>Oct!AF13</f>
        <v>#DIV/0!</v>
      </c>
    </row>
    <row r="222" spans="1:7" x14ac:dyDescent="0.2">
      <c r="A222" s="25">
        <v>45218</v>
      </c>
      <c r="B222" s="8">
        <f>Oct!B14</f>
        <v>0</v>
      </c>
      <c r="C222" s="8">
        <f>Oct!D14</f>
        <v>0</v>
      </c>
      <c r="D222" s="8" t="e">
        <f>Oct!F14</f>
        <v>#DIV/0!</v>
      </c>
      <c r="E222" s="8">
        <f>Oct!AD14</f>
        <v>0</v>
      </c>
      <c r="F222" s="8">
        <f>Oct!AE14</f>
        <v>0</v>
      </c>
      <c r="G222" s="27" t="e">
        <f>Oct!AF14</f>
        <v>#DIV/0!</v>
      </c>
    </row>
    <row r="223" spans="1:7" x14ac:dyDescent="0.2">
      <c r="A223" s="25">
        <v>45219</v>
      </c>
      <c r="B223" s="8">
        <f>Oct!B15</f>
        <v>0</v>
      </c>
      <c r="C223" s="8">
        <f>Oct!D15</f>
        <v>0</v>
      </c>
      <c r="D223" s="8" t="e">
        <f>Oct!F15</f>
        <v>#DIV/0!</v>
      </c>
      <c r="E223" s="8">
        <f>Oct!AD15</f>
        <v>0</v>
      </c>
      <c r="F223" s="8">
        <f>Oct!AE15</f>
        <v>0</v>
      </c>
      <c r="G223" s="27" t="e">
        <f>Oct!AF15</f>
        <v>#DIV/0!</v>
      </c>
    </row>
    <row r="224" spans="1:7" x14ac:dyDescent="0.2">
      <c r="A224" s="25">
        <v>45222</v>
      </c>
      <c r="B224" s="8">
        <f>Oct!B16</f>
        <v>0</v>
      </c>
      <c r="C224" s="8">
        <f>Oct!D16</f>
        <v>0</v>
      </c>
      <c r="D224" s="8" t="e">
        <f>Oct!F16</f>
        <v>#DIV/0!</v>
      </c>
      <c r="E224" s="8">
        <f>Oct!AD16</f>
        <v>0</v>
      </c>
      <c r="F224" s="8">
        <f>Oct!AE16</f>
        <v>0</v>
      </c>
      <c r="G224" s="27" t="e">
        <f>Oct!AF16</f>
        <v>#DIV/0!</v>
      </c>
    </row>
    <row r="225" spans="1:7" x14ac:dyDescent="0.2">
      <c r="A225" s="25">
        <v>45223</v>
      </c>
      <c r="B225" s="8">
        <f>Oct!B17</f>
        <v>0</v>
      </c>
      <c r="C225" s="8">
        <f>Oct!D17</f>
        <v>0</v>
      </c>
      <c r="D225" s="8" t="e">
        <f>Oct!F17</f>
        <v>#DIV/0!</v>
      </c>
      <c r="E225" s="8">
        <f>Oct!AD17</f>
        <v>0</v>
      </c>
      <c r="F225" s="8">
        <f>Oct!AE17</f>
        <v>0</v>
      </c>
      <c r="G225" s="27" t="e">
        <f>Oct!AF17</f>
        <v>#DIV/0!</v>
      </c>
    </row>
    <row r="226" spans="1:7" x14ac:dyDescent="0.2">
      <c r="A226" s="25">
        <v>45224</v>
      </c>
      <c r="B226" s="8">
        <f>Oct!B18</f>
        <v>0</v>
      </c>
      <c r="C226" s="8">
        <f>Oct!D18</f>
        <v>0</v>
      </c>
      <c r="D226" s="8" t="e">
        <f>Oct!F18</f>
        <v>#DIV/0!</v>
      </c>
      <c r="E226" s="8">
        <f>Oct!AD18</f>
        <v>0</v>
      </c>
      <c r="F226" s="8">
        <f>Oct!AE18</f>
        <v>0</v>
      </c>
      <c r="G226" s="27" t="e">
        <f>Oct!AF18</f>
        <v>#DIV/0!</v>
      </c>
    </row>
    <row r="227" spans="1:7" x14ac:dyDescent="0.2">
      <c r="A227" s="25">
        <v>45225</v>
      </c>
      <c r="B227" s="8">
        <f>Oct!B19</f>
        <v>0</v>
      </c>
      <c r="C227" s="8">
        <f>Oct!D19</f>
        <v>0</v>
      </c>
      <c r="D227" s="8" t="e">
        <f>Oct!F19</f>
        <v>#DIV/0!</v>
      </c>
      <c r="E227" s="8">
        <f>Oct!AD19</f>
        <v>0</v>
      </c>
      <c r="F227" s="8">
        <f>Oct!AE19</f>
        <v>0</v>
      </c>
      <c r="G227" s="27" t="e">
        <f>Oct!AF19</f>
        <v>#DIV/0!</v>
      </c>
    </row>
    <row r="228" spans="1:7" x14ac:dyDescent="0.2">
      <c r="A228" s="25">
        <v>45226</v>
      </c>
      <c r="B228" s="8">
        <f>Oct!B20</f>
        <v>0</v>
      </c>
      <c r="C228" s="8">
        <f>Oct!D20</f>
        <v>0</v>
      </c>
      <c r="D228" s="8" t="e">
        <f>Oct!F20</f>
        <v>#DIV/0!</v>
      </c>
      <c r="E228" s="8">
        <f>Oct!AD20</f>
        <v>0</v>
      </c>
      <c r="F228" s="8">
        <f>Oct!AE20</f>
        <v>0</v>
      </c>
      <c r="G228" s="27" t="e">
        <f>Oct!AF20</f>
        <v>#DIV/0!</v>
      </c>
    </row>
    <row r="229" spans="1:7" x14ac:dyDescent="0.2">
      <c r="A229" s="25">
        <v>45229</v>
      </c>
      <c r="B229" s="8">
        <f>Oct!B21</f>
        <v>0</v>
      </c>
      <c r="C229" s="8">
        <f>Oct!D21</f>
        <v>0</v>
      </c>
      <c r="D229" s="8" t="e">
        <f>Oct!F21</f>
        <v>#DIV/0!</v>
      </c>
      <c r="E229" s="8">
        <f>Oct!AD21</f>
        <v>0</v>
      </c>
      <c r="F229" s="8">
        <f>Oct!AE21</f>
        <v>0</v>
      </c>
      <c r="G229" s="27" t="e">
        <f>Oct!AF21</f>
        <v>#DIV/0!</v>
      </c>
    </row>
    <row r="230" spans="1:7" ht="15" thickBot="1" x14ac:dyDescent="0.25">
      <c r="A230" s="26">
        <v>45230</v>
      </c>
      <c r="B230" s="28">
        <f>Oct!B22</f>
        <v>0</v>
      </c>
      <c r="C230" s="28">
        <f>Oct!D22</f>
        <v>0</v>
      </c>
      <c r="D230" s="28" t="e">
        <f>Oct!F22</f>
        <v>#DIV/0!</v>
      </c>
      <c r="E230" s="28">
        <f>Oct!AD22</f>
        <v>0</v>
      </c>
      <c r="F230" s="28">
        <f>Oct!AE22</f>
        <v>0</v>
      </c>
      <c r="G230" s="29" t="e">
        <f>Oct!AF22</f>
        <v>#DIV/0!</v>
      </c>
    </row>
    <row r="231" spans="1:7" ht="15" thickBot="1" x14ac:dyDescent="0.25">
      <c r="A231" s="3"/>
      <c r="D231" s="34"/>
      <c r="G231" s="35"/>
    </row>
    <row r="232" spans="1:7" ht="45" x14ac:dyDescent="0.25">
      <c r="A232" s="33" t="s">
        <v>0</v>
      </c>
      <c r="B232" s="21" t="s">
        <v>22</v>
      </c>
      <c r="C232" s="22" t="s">
        <v>2</v>
      </c>
      <c r="D232" s="23" t="s">
        <v>29</v>
      </c>
      <c r="E232" s="21" t="s">
        <v>10</v>
      </c>
      <c r="F232" s="21" t="s">
        <v>11</v>
      </c>
      <c r="G232" s="24" t="s">
        <v>12</v>
      </c>
    </row>
    <row r="233" spans="1:7" x14ac:dyDescent="0.2">
      <c r="A233" s="25">
        <v>45231</v>
      </c>
      <c r="B233" s="8">
        <f>Nov!B2</f>
        <v>0</v>
      </c>
      <c r="C233" s="8">
        <f>Nov!D2</f>
        <v>0</v>
      </c>
      <c r="D233" s="11" t="e">
        <f>Nov!F2</f>
        <v>#DIV/0!</v>
      </c>
      <c r="E233" s="8">
        <f>Nov!AD2</f>
        <v>0</v>
      </c>
      <c r="F233" s="8">
        <f>Nov!AE2</f>
        <v>0</v>
      </c>
      <c r="G233" s="30" t="e">
        <f>Nov!AF2</f>
        <v>#DIV/0!</v>
      </c>
    </row>
    <row r="234" spans="1:7" x14ac:dyDescent="0.2">
      <c r="A234" s="25">
        <v>45232</v>
      </c>
      <c r="B234" s="8">
        <f>Nov!B3</f>
        <v>0</v>
      </c>
      <c r="C234" s="8">
        <f>Nov!D3</f>
        <v>0</v>
      </c>
      <c r="D234" s="8" t="e">
        <f>Nov!F3</f>
        <v>#DIV/0!</v>
      </c>
      <c r="E234" s="8">
        <f>Nov!AD3</f>
        <v>0</v>
      </c>
      <c r="F234" s="8">
        <f>Nov!AE3</f>
        <v>0</v>
      </c>
      <c r="G234" s="27" t="e">
        <f>Nov!AF3</f>
        <v>#DIV/0!</v>
      </c>
    </row>
    <row r="235" spans="1:7" x14ac:dyDescent="0.2">
      <c r="A235" s="25">
        <v>45233</v>
      </c>
      <c r="B235" s="8">
        <f>Nov!B4</f>
        <v>0</v>
      </c>
      <c r="C235" s="8">
        <f>Nov!D4</f>
        <v>0</v>
      </c>
      <c r="D235" s="8" t="e">
        <f>Nov!F4</f>
        <v>#DIV/0!</v>
      </c>
      <c r="E235" s="8">
        <f>Nov!AD4</f>
        <v>0</v>
      </c>
      <c r="F235" s="8">
        <f>Nov!AE4</f>
        <v>0</v>
      </c>
      <c r="G235" s="27" t="e">
        <f>Nov!AF4</f>
        <v>#DIV/0!</v>
      </c>
    </row>
    <row r="236" spans="1:7" x14ac:dyDescent="0.2">
      <c r="A236" s="25">
        <v>45236</v>
      </c>
      <c r="B236" s="8">
        <f>Nov!B5</f>
        <v>0</v>
      </c>
      <c r="C236" s="8">
        <f>Nov!D5</f>
        <v>0</v>
      </c>
      <c r="D236" s="8" t="e">
        <f>Nov!F5</f>
        <v>#DIV/0!</v>
      </c>
      <c r="E236" s="8">
        <f>Nov!AD5</f>
        <v>0</v>
      </c>
      <c r="F236" s="8">
        <f>Nov!AE5</f>
        <v>0</v>
      </c>
      <c r="G236" s="27" t="e">
        <f>Nov!AF5</f>
        <v>#DIV/0!</v>
      </c>
    </row>
    <row r="237" spans="1:7" x14ac:dyDescent="0.2">
      <c r="A237" s="25">
        <v>45237</v>
      </c>
      <c r="B237" s="8">
        <f>Nov!B6</f>
        <v>0</v>
      </c>
      <c r="C237" s="8">
        <f>Nov!D6</f>
        <v>0</v>
      </c>
      <c r="D237" s="8" t="e">
        <f>Nov!F6</f>
        <v>#DIV/0!</v>
      </c>
      <c r="E237" s="8">
        <f>Nov!AD6</f>
        <v>0</v>
      </c>
      <c r="F237" s="8">
        <f>Nov!AE6</f>
        <v>0</v>
      </c>
      <c r="G237" s="27" t="e">
        <f>Nov!AF6</f>
        <v>#DIV/0!</v>
      </c>
    </row>
    <row r="238" spans="1:7" x14ac:dyDescent="0.2">
      <c r="A238" s="25">
        <v>45238</v>
      </c>
      <c r="B238" s="8">
        <f>Nov!B7</f>
        <v>0</v>
      </c>
      <c r="C238" s="8">
        <f>Nov!D7</f>
        <v>0</v>
      </c>
      <c r="D238" s="8" t="e">
        <f>Nov!F7</f>
        <v>#DIV/0!</v>
      </c>
      <c r="E238" s="8">
        <f>Nov!AD7</f>
        <v>0</v>
      </c>
      <c r="F238" s="8">
        <f>Nov!AE7</f>
        <v>0</v>
      </c>
      <c r="G238" s="27" t="e">
        <f>Nov!AF7</f>
        <v>#DIV/0!</v>
      </c>
    </row>
    <row r="239" spans="1:7" x14ac:dyDescent="0.2">
      <c r="A239" s="25">
        <v>45239</v>
      </c>
      <c r="B239" s="8">
        <f>Nov!B8</f>
        <v>0</v>
      </c>
      <c r="C239" s="8">
        <f>Nov!D8</f>
        <v>0</v>
      </c>
      <c r="D239" s="8" t="e">
        <f>Nov!F8</f>
        <v>#DIV/0!</v>
      </c>
      <c r="E239" s="8">
        <f>Nov!AD8</f>
        <v>0</v>
      </c>
      <c r="F239" s="8">
        <f>Nov!AE8</f>
        <v>0</v>
      </c>
      <c r="G239" s="27" t="e">
        <f>Nov!AF8</f>
        <v>#DIV/0!</v>
      </c>
    </row>
    <row r="240" spans="1:7" x14ac:dyDescent="0.2">
      <c r="A240" s="25">
        <v>45240</v>
      </c>
      <c r="B240" s="8">
        <f>Nov!B9</f>
        <v>0</v>
      </c>
      <c r="C240" s="8">
        <f>Nov!D9</f>
        <v>0</v>
      </c>
      <c r="D240" s="8" t="e">
        <f>Nov!F9</f>
        <v>#DIV/0!</v>
      </c>
      <c r="E240" s="8">
        <f>Nov!AD9</f>
        <v>0</v>
      </c>
      <c r="F240" s="8">
        <f>Nov!AE9</f>
        <v>0</v>
      </c>
      <c r="G240" s="27" t="e">
        <f>Nov!AF9</f>
        <v>#DIV/0!</v>
      </c>
    </row>
    <row r="241" spans="1:7" x14ac:dyDescent="0.2">
      <c r="A241" s="25">
        <v>45243</v>
      </c>
      <c r="B241" s="8">
        <f>Nov!B10</f>
        <v>0</v>
      </c>
      <c r="C241" s="8">
        <f>Nov!D10</f>
        <v>0</v>
      </c>
      <c r="D241" s="8" t="e">
        <f>Nov!F10</f>
        <v>#DIV/0!</v>
      </c>
      <c r="E241" s="8">
        <f>Nov!AD10</f>
        <v>0</v>
      </c>
      <c r="F241" s="8">
        <f>Nov!AE10</f>
        <v>0</v>
      </c>
      <c r="G241" s="27" t="e">
        <f>Nov!AF10</f>
        <v>#DIV/0!</v>
      </c>
    </row>
    <row r="242" spans="1:7" x14ac:dyDescent="0.2">
      <c r="A242" s="25">
        <v>45244</v>
      </c>
      <c r="B242" s="8">
        <f>Nov!B11</f>
        <v>0</v>
      </c>
      <c r="C242" s="8">
        <f>Nov!D11</f>
        <v>0</v>
      </c>
      <c r="D242" s="8" t="e">
        <f>Nov!F11</f>
        <v>#DIV/0!</v>
      </c>
      <c r="E242" s="8">
        <f>Nov!AD11</f>
        <v>0</v>
      </c>
      <c r="F242" s="8">
        <f>Nov!AE11</f>
        <v>0</v>
      </c>
      <c r="G242" s="27" t="e">
        <f>Nov!AF11</f>
        <v>#DIV/0!</v>
      </c>
    </row>
    <row r="243" spans="1:7" x14ac:dyDescent="0.2">
      <c r="A243" s="25">
        <v>45245</v>
      </c>
      <c r="B243" s="8">
        <f>Nov!B12</f>
        <v>0</v>
      </c>
      <c r="C243" s="8">
        <f>Nov!D12</f>
        <v>0</v>
      </c>
      <c r="D243" s="8" t="e">
        <f>Nov!F12</f>
        <v>#DIV/0!</v>
      </c>
      <c r="E243" s="8">
        <f>Nov!AD12</f>
        <v>0</v>
      </c>
      <c r="F243" s="8">
        <f>Nov!AE12</f>
        <v>0</v>
      </c>
      <c r="G243" s="27" t="e">
        <f>Nov!AF12</f>
        <v>#DIV/0!</v>
      </c>
    </row>
    <row r="244" spans="1:7" x14ac:dyDescent="0.2">
      <c r="A244" s="25">
        <v>45246</v>
      </c>
      <c r="B244" s="8">
        <f>Nov!B13</f>
        <v>0</v>
      </c>
      <c r="C244" s="8">
        <f>Nov!D13</f>
        <v>0</v>
      </c>
      <c r="D244" s="8" t="e">
        <f>Nov!F13</f>
        <v>#DIV/0!</v>
      </c>
      <c r="E244" s="8">
        <f>Nov!AD13</f>
        <v>0</v>
      </c>
      <c r="F244" s="8">
        <f>Nov!AE13</f>
        <v>0</v>
      </c>
      <c r="G244" s="27" t="e">
        <f>Nov!AF13</f>
        <v>#DIV/0!</v>
      </c>
    </row>
    <row r="245" spans="1:7" x14ac:dyDescent="0.2">
      <c r="A245" s="25">
        <v>45247</v>
      </c>
      <c r="B245" s="8">
        <f>Nov!B14</f>
        <v>0</v>
      </c>
      <c r="C245" s="8">
        <f>Nov!D14</f>
        <v>0</v>
      </c>
      <c r="D245" s="8" t="e">
        <f>Nov!F14</f>
        <v>#DIV/0!</v>
      </c>
      <c r="E245" s="8">
        <f>Nov!AD14</f>
        <v>0</v>
      </c>
      <c r="F245" s="8">
        <f>Nov!AE14</f>
        <v>0</v>
      </c>
      <c r="G245" s="27" t="e">
        <f>Nov!AF14</f>
        <v>#DIV/0!</v>
      </c>
    </row>
    <row r="246" spans="1:7" x14ac:dyDescent="0.2">
      <c r="A246" s="25">
        <v>45250</v>
      </c>
      <c r="B246" s="8">
        <f>Nov!B15</f>
        <v>0</v>
      </c>
      <c r="C246" s="8">
        <f>Nov!D15</f>
        <v>0</v>
      </c>
      <c r="D246" s="8" t="e">
        <f>Nov!F15</f>
        <v>#DIV/0!</v>
      </c>
      <c r="E246" s="8">
        <f>Nov!AD15</f>
        <v>0</v>
      </c>
      <c r="F246" s="8">
        <f>Nov!AE15</f>
        <v>0</v>
      </c>
      <c r="G246" s="27" t="e">
        <f>Nov!AF15</f>
        <v>#DIV/0!</v>
      </c>
    </row>
    <row r="247" spans="1:7" x14ac:dyDescent="0.2">
      <c r="A247" s="25">
        <v>45251</v>
      </c>
      <c r="B247" s="8">
        <f>Nov!B16</f>
        <v>0</v>
      </c>
      <c r="C247" s="8">
        <f>Nov!D16</f>
        <v>0</v>
      </c>
      <c r="D247" s="8" t="e">
        <f>Nov!F16</f>
        <v>#DIV/0!</v>
      </c>
      <c r="E247" s="8">
        <f>Nov!AD16</f>
        <v>0</v>
      </c>
      <c r="F247" s="8">
        <f>Nov!AE16</f>
        <v>0</v>
      </c>
      <c r="G247" s="27" t="e">
        <f>Nov!AF16</f>
        <v>#DIV/0!</v>
      </c>
    </row>
    <row r="248" spans="1:7" x14ac:dyDescent="0.2">
      <c r="A248" s="25">
        <v>45252</v>
      </c>
      <c r="B248" s="8">
        <f>Nov!B17</f>
        <v>0</v>
      </c>
      <c r="C248" s="8">
        <f>Nov!D17</f>
        <v>0</v>
      </c>
      <c r="D248" s="8" t="e">
        <f>Nov!F17</f>
        <v>#DIV/0!</v>
      </c>
      <c r="E248" s="8">
        <f>Nov!AD17</f>
        <v>0</v>
      </c>
      <c r="F248" s="8">
        <f>Nov!AE17</f>
        <v>0</v>
      </c>
      <c r="G248" s="27" t="e">
        <f>Nov!AF17</f>
        <v>#DIV/0!</v>
      </c>
    </row>
    <row r="249" spans="1:7" x14ac:dyDescent="0.2">
      <c r="A249" s="25">
        <v>45253</v>
      </c>
      <c r="B249" s="8">
        <f>Nov!B18</f>
        <v>0</v>
      </c>
      <c r="C249" s="8">
        <f>Nov!D18</f>
        <v>0</v>
      </c>
      <c r="D249" s="8" t="e">
        <f>Nov!F18</f>
        <v>#DIV/0!</v>
      </c>
      <c r="E249" s="8">
        <f>Nov!AD18</f>
        <v>0</v>
      </c>
      <c r="F249" s="8">
        <f>Nov!AE18</f>
        <v>0</v>
      </c>
      <c r="G249" s="27" t="e">
        <f>Nov!AF18</f>
        <v>#DIV/0!</v>
      </c>
    </row>
    <row r="250" spans="1:7" x14ac:dyDescent="0.2">
      <c r="A250" s="25">
        <v>45254</v>
      </c>
      <c r="B250" s="8">
        <f>Nov!B19</f>
        <v>0</v>
      </c>
      <c r="C250" s="8">
        <f>Nov!D19</f>
        <v>0</v>
      </c>
      <c r="D250" s="8" t="e">
        <f>Nov!F19</f>
        <v>#DIV/0!</v>
      </c>
      <c r="E250" s="8">
        <f>Nov!AD19</f>
        <v>0</v>
      </c>
      <c r="F250" s="8">
        <f>Nov!AE19</f>
        <v>0</v>
      </c>
      <c r="G250" s="27" t="e">
        <f>Nov!AF19</f>
        <v>#DIV/0!</v>
      </c>
    </row>
    <row r="251" spans="1:7" x14ac:dyDescent="0.2">
      <c r="A251" s="25">
        <v>45257</v>
      </c>
      <c r="B251" s="8">
        <f>Nov!B20</f>
        <v>0</v>
      </c>
      <c r="C251" s="8">
        <f>Nov!D20</f>
        <v>0</v>
      </c>
      <c r="D251" s="8" t="e">
        <f>Nov!F20</f>
        <v>#DIV/0!</v>
      </c>
      <c r="E251" s="8">
        <f>Nov!AD20</f>
        <v>0</v>
      </c>
      <c r="F251" s="8">
        <f>Nov!AE20</f>
        <v>0</v>
      </c>
      <c r="G251" s="27" t="e">
        <f>Nov!AF20</f>
        <v>#DIV/0!</v>
      </c>
    </row>
    <row r="252" spans="1:7" x14ac:dyDescent="0.2">
      <c r="A252" s="25">
        <v>45258</v>
      </c>
      <c r="B252" s="8">
        <f>Nov!B21</f>
        <v>0</v>
      </c>
      <c r="C252" s="8">
        <f>Nov!D21</f>
        <v>0</v>
      </c>
      <c r="D252" s="8" t="e">
        <f>Nov!F21</f>
        <v>#DIV/0!</v>
      </c>
      <c r="E252" s="8">
        <f>Nov!AD21</f>
        <v>0</v>
      </c>
      <c r="F252" s="8">
        <f>Nov!AE21</f>
        <v>0</v>
      </c>
      <c r="G252" s="27" t="e">
        <f>Nov!AF21</f>
        <v>#DIV/0!</v>
      </c>
    </row>
    <row r="253" spans="1:7" x14ac:dyDescent="0.2">
      <c r="A253" s="25">
        <v>45259</v>
      </c>
      <c r="B253" s="8">
        <f>Nov!B22</f>
        <v>0</v>
      </c>
      <c r="C253" s="8">
        <f>Nov!D22</f>
        <v>0</v>
      </c>
      <c r="D253" s="8" t="e">
        <f>Nov!F22</f>
        <v>#DIV/0!</v>
      </c>
      <c r="E253" s="8">
        <f>Nov!AD22</f>
        <v>0</v>
      </c>
      <c r="F253" s="8">
        <f>Nov!AE22</f>
        <v>0</v>
      </c>
      <c r="G253" s="27" t="e">
        <f>Nov!AF22</f>
        <v>#DIV/0!</v>
      </c>
    </row>
    <row r="254" spans="1:7" ht="15" thickBot="1" x14ac:dyDescent="0.25">
      <c r="A254" s="26">
        <v>45260</v>
      </c>
      <c r="B254" s="28">
        <f>Nov!B23</f>
        <v>0</v>
      </c>
      <c r="C254" s="28">
        <f>Nov!D23</f>
        <v>0</v>
      </c>
      <c r="D254" s="28" t="e">
        <f>Nov!F23</f>
        <v>#DIV/0!</v>
      </c>
      <c r="E254" s="28">
        <f>Nov!AD23</f>
        <v>0</v>
      </c>
      <c r="F254" s="28">
        <f>Nov!AE23</f>
        <v>0</v>
      </c>
      <c r="G254" s="29" t="e">
        <f>Nov!AF23</f>
        <v>#DIV/0!</v>
      </c>
    </row>
    <row r="255" spans="1:7" ht="15" thickBot="1" x14ac:dyDescent="0.25">
      <c r="A255" s="3"/>
      <c r="D255" s="34"/>
      <c r="G255" s="35"/>
    </row>
    <row r="256" spans="1:7" ht="45" x14ac:dyDescent="0.25">
      <c r="A256" s="33" t="s">
        <v>0</v>
      </c>
      <c r="B256" s="21" t="s">
        <v>22</v>
      </c>
      <c r="C256" s="22" t="s">
        <v>2</v>
      </c>
      <c r="D256" s="23" t="s">
        <v>29</v>
      </c>
      <c r="E256" s="21" t="s">
        <v>10</v>
      </c>
      <c r="F256" s="21" t="s">
        <v>11</v>
      </c>
      <c r="G256" s="24" t="s">
        <v>12</v>
      </c>
    </row>
    <row r="257" spans="1:7" x14ac:dyDescent="0.2">
      <c r="A257" s="25">
        <v>45261</v>
      </c>
      <c r="B257" s="8">
        <f>Dec!B2</f>
        <v>0</v>
      </c>
      <c r="C257" s="8">
        <f>Dec!D2</f>
        <v>0</v>
      </c>
      <c r="D257" s="11" t="e">
        <f>Dec!F2</f>
        <v>#DIV/0!</v>
      </c>
      <c r="E257" s="8">
        <f>Dec!AD2</f>
        <v>0</v>
      </c>
      <c r="F257" s="8">
        <f>Dec!AE2</f>
        <v>0</v>
      </c>
      <c r="G257" s="30" t="e">
        <f>Dec!AF2</f>
        <v>#DIV/0!</v>
      </c>
    </row>
    <row r="258" spans="1:7" x14ac:dyDescent="0.2">
      <c r="A258" s="25">
        <v>45264</v>
      </c>
      <c r="B258" s="8">
        <f>Dec!B3</f>
        <v>0</v>
      </c>
      <c r="C258" s="8">
        <f>Dec!D3</f>
        <v>0</v>
      </c>
      <c r="D258" s="8" t="e">
        <f>Dec!F3</f>
        <v>#DIV/0!</v>
      </c>
      <c r="E258" s="8">
        <f>Dec!AD3</f>
        <v>0</v>
      </c>
      <c r="F258" s="8">
        <f>Dec!AE3</f>
        <v>0</v>
      </c>
      <c r="G258" s="27" t="e">
        <f>Dec!AF3</f>
        <v>#DIV/0!</v>
      </c>
    </row>
    <row r="259" spans="1:7" x14ac:dyDescent="0.2">
      <c r="A259" s="25">
        <v>45265</v>
      </c>
      <c r="B259" s="8">
        <f>Dec!B4</f>
        <v>0</v>
      </c>
      <c r="C259" s="8">
        <f>Dec!D4</f>
        <v>0</v>
      </c>
      <c r="D259" s="8" t="e">
        <f>Dec!F4</f>
        <v>#DIV/0!</v>
      </c>
      <c r="E259" s="8">
        <f>Dec!AD4</f>
        <v>0</v>
      </c>
      <c r="F259" s="8">
        <f>Dec!AE4</f>
        <v>0</v>
      </c>
      <c r="G259" s="27" t="e">
        <f>Dec!AF4</f>
        <v>#DIV/0!</v>
      </c>
    </row>
    <row r="260" spans="1:7" x14ac:dyDescent="0.2">
      <c r="A260" s="25">
        <v>45266</v>
      </c>
      <c r="B260" s="8">
        <f>Dec!B5</f>
        <v>0</v>
      </c>
      <c r="C260" s="8">
        <f>Dec!D5</f>
        <v>0</v>
      </c>
      <c r="D260" s="8" t="e">
        <f>Dec!F5</f>
        <v>#DIV/0!</v>
      </c>
      <c r="E260" s="8">
        <f>Dec!AD5</f>
        <v>0</v>
      </c>
      <c r="F260" s="8">
        <f>Dec!AE5</f>
        <v>0</v>
      </c>
      <c r="G260" s="27" t="e">
        <f>Dec!AF5</f>
        <v>#DIV/0!</v>
      </c>
    </row>
    <row r="261" spans="1:7" x14ac:dyDescent="0.2">
      <c r="A261" s="25">
        <v>45267</v>
      </c>
      <c r="B261" s="8">
        <f>Dec!B6</f>
        <v>0</v>
      </c>
      <c r="C261" s="8">
        <f>Dec!D6</f>
        <v>0</v>
      </c>
      <c r="D261" s="8" t="e">
        <f>Dec!F6</f>
        <v>#DIV/0!</v>
      </c>
      <c r="E261" s="8">
        <f>Dec!AD6</f>
        <v>0</v>
      </c>
      <c r="F261" s="8">
        <f>Dec!AE6</f>
        <v>0</v>
      </c>
      <c r="G261" s="27" t="e">
        <f>Dec!AF6</f>
        <v>#DIV/0!</v>
      </c>
    </row>
    <row r="262" spans="1:7" x14ac:dyDescent="0.2">
      <c r="A262" s="25">
        <v>45268</v>
      </c>
      <c r="B262" s="8">
        <f>Dec!B7</f>
        <v>0</v>
      </c>
      <c r="C262" s="8">
        <f>Dec!D7</f>
        <v>0</v>
      </c>
      <c r="D262" s="8" t="e">
        <f>Dec!F7</f>
        <v>#DIV/0!</v>
      </c>
      <c r="E262" s="8">
        <f>Dec!AD7</f>
        <v>0</v>
      </c>
      <c r="F262" s="8">
        <f>Dec!AE7</f>
        <v>0</v>
      </c>
      <c r="G262" s="27" t="e">
        <f>Dec!AF7</f>
        <v>#DIV/0!</v>
      </c>
    </row>
    <row r="263" spans="1:7" x14ac:dyDescent="0.2">
      <c r="A263" s="25">
        <v>45271</v>
      </c>
      <c r="B263" s="8">
        <f>Dec!B8</f>
        <v>0</v>
      </c>
      <c r="C263" s="8">
        <f>Dec!D8</f>
        <v>0</v>
      </c>
      <c r="D263" s="8" t="e">
        <f>Dec!F8</f>
        <v>#DIV/0!</v>
      </c>
      <c r="E263" s="8">
        <f>Dec!AD8</f>
        <v>0</v>
      </c>
      <c r="F263" s="8">
        <f>Dec!AE8</f>
        <v>0</v>
      </c>
      <c r="G263" s="27" t="e">
        <f>Dec!AF8</f>
        <v>#DIV/0!</v>
      </c>
    </row>
    <row r="264" spans="1:7" x14ac:dyDescent="0.2">
      <c r="A264" s="25">
        <v>45272</v>
      </c>
      <c r="B264" s="8">
        <f>Dec!B9</f>
        <v>0</v>
      </c>
      <c r="C264" s="8">
        <f>Dec!D9</f>
        <v>0</v>
      </c>
      <c r="D264" s="8" t="e">
        <f>Dec!F9</f>
        <v>#DIV/0!</v>
      </c>
      <c r="E264" s="8">
        <f>Dec!AD9</f>
        <v>0</v>
      </c>
      <c r="F264" s="8">
        <f>Dec!AE9</f>
        <v>0</v>
      </c>
      <c r="G264" s="27" t="e">
        <f>Dec!AF9</f>
        <v>#DIV/0!</v>
      </c>
    </row>
    <row r="265" spans="1:7" x14ac:dyDescent="0.2">
      <c r="A265" s="25">
        <v>45273</v>
      </c>
      <c r="B265" s="8">
        <f>Dec!B10</f>
        <v>0</v>
      </c>
      <c r="C265" s="8">
        <f>Dec!D10</f>
        <v>0</v>
      </c>
      <c r="D265" s="8" t="e">
        <f>Dec!F10</f>
        <v>#DIV/0!</v>
      </c>
      <c r="E265" s="8">
        <f>Dec!AD10</f>
        <v>0</v>
      </c>
      <c r="F265" s="8">
        <f>Dec!AE10</f>
        <v>0</v>
      </c>
      <c r="G265" s="27" t="e">
        <f>Dec!AF10</f>
        <v>#DIV/0!</v>
      </c>
    </row>
    <row r="266" spans="1:7" x14ac:dyDescent="0.2">
      <c r="A266" s="25">
        <v>45274</v>
      </c>
      <c r="B266" s="8">
        <f>Dec!B11</f>
        <v>0</v>
      </c>
      <c r="C266" s="8">
        <f>Dec!D11</f>
        <v>0</v>
      </c>
      <c r="D266" s="8" t="e">
        <f>Dec!F11</f>
        <v>#DIV/0!</v>
      </c>
      <c r="E266" s="8">
        <f>Dec!AD11</f>
        <v>0</v>
      </c>
      <c r="F266" s="8">
        <f>Dec!AE11</f>
        <v>0</v>
      </c>
      <c r="G266" s="27" t="e">
        <f>Dec!AF11</f>
        <v>#DIV/0!</v>
      </c>
    </row>
    <row r="267" spans="1:7" x14ac:dyDescent="0.2">
      <c r="A267" s="25">
        <v>45275</v>
      </c>
      <c r="B267" s="8">
        <f>Dec!B12</f>
        <v>0</v>
      </c>
      <c r="C267" s="8">
        <f>Dec!D12</f>
        <v>0</v>
      </c>
      <c r="D267" s="8" t="e">
        <f>Dec!F12</f>
        <v>#DIV/0!</v>
      </c>
      <c r="E267" s="8">
        <f>Dec!AD12</f>
        <v>0</v>
      </c>
      <c r="F267" s="8">
        <f>Dec!AE12</f>
        <v>0</v>
      </c>
      <c r="G267" s="27" t="e">
        <f>Dec!AF12</f>
        <v>#DIV/0!</v>
      </c>
    </row>
    <row r="268" spans="1:7" x14ac:dyDescent="0.2">
      <c r="A268" s="25">
        <v>45278</v>
      </c>
      <c r="B268" s="8">
        <f>Dec!B13</f>
        <v>0</v>
      </c>
      <c r="C268" s="8">
        <f>Dec!D13</f>
        <v>0</v>
      </c>
      <c r="D268" s="8" t="e">
        <f>Dec!F13</f>
        <v>#DIV/0!</v>
      </c>
      <c r="E268" s="8">
        <f>Dec!AD13</f>
        <v>0</v>
      </c>
      <c r="F268" s="8">
        <f>Dec!AE13</f>
        <v>0</v>
      </c>
      <c r="G268" s="27" t="e">
        <f>Dec!AF13</f>
        <v>#DIV/0!</v>
      </c>
    </row>
    <row r="269" spans="1:7" x14ac:dyDescent="0.2">
      <c r="A269" s="25">
        <v>45279</v>
      </c>
      <c r="B269" s="8">
        <f>Dec!B14</f>
        <v>0</v>
      </c>
      <c r="C269" s="8">
        <f>Dec!D14</f>
        <v>0</v>
      </c>
      <c r="D269" s="8" t="e">
        <f>Dec!F14</f>
        <v>#DIV/0!</v>
      </c>
      <c r="E269" s="8">
        <f>Dec!AD14</f>
        <v>0</v>
      </c>
      <c r="F269" s="8">
        <f>Dec!AE14</f>
        <v>0</v>
      </c>
      <c r="G269" s="27" t="e">
        <f>Dec!AF14</f>
        <v>#DIV/0!</v>
      </c>
    </row>
    <row r="270" spans="1:7" x14ac:dyDescent="0.2">
      <c r="A270" s="25">
        <v>45280</v>
      </c>
      <c r="B270" s="8">
        <f>Dec!B15</f>
        <v>0</v>
      </c>
      <c r="C270" s="8">
        <f>Dec!D15</f>
        <v>0</v>
      </c>
      <c r="D270" s="8" t="e">
        <f>Dec!F15</f>
        <v>#DIV/0!</v>
      </c>
      <c r="E270" s="8">
        <f>Dec!AD15</f>
        <v>0</v>
      </c>
      <c r="F270" s="8">
        <f>Dec!AE15</f>
        <v>0</v>
      </c>
      <c r="G270" s="27" t="e">
        <f>Dec!AF15</f>
        <v>#DIV/0!</v>
      </c>
    </row>
    <row r="271" spans="1:7" x14ac:dyDescent="0.2">
      <c r="A271" s="25">
        <v>45281</v>
      </c>
      <c r="B271" s="8">
        <f>Dec!B16</f>
        <v>0</v>
      </c>
      <c r="C271" s="8">
        <f>Dec!D16</f>
        <v>0</v>
      </c>
      <c r="D271" s="8" t="e">
        <f>Dec!F16</f>
        <v>#DIV/0!</v>
      </c>
      <c r="E271" s="8">
        <f>Dec!AD16</f>
        <v>0</v>
      </c>
      <c r="F271" s="8">
        <f>Dec!AE16</f>
        <v>0</v>
      </c>
      <c r="G271" s="27" t="e">
        <f>Dec!AF16</f>
        <v>#DIV/0!</v>
      </c>
    </row>
    <row r="272" spans="1:7" ht="15" thickBot="1" x14ac:dyDescent="0.25">
      <c r="A272" s="26">
        <v>45282</v>
      </c>
      <c r="B272" s="28">
        <f>Dec!B17</f>
        <v>0</v>
      </c>
      <c r="C272" s="28">
        <f>Dec!D17</f>
        <v>0</v>
      </c>
      <c r="D272" s="28" t="e">
        <f>Dec!F17</f>
        <v>#DIV/0!</v>
      </c>
      <c r="E272" s="28">
        <f>Dec!AD17</f>
        <v>0</v>
      </c>
      <c r="F272" s="28">
        <f>Dec!AE17</f>
        <v>0</v>
      </c>
      <c r="G272" s="29" t="e">
        <f>Dec!AF17</f>
        <v>#DIV/0!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Daily Summary</vt:lpstr>
      <vt:lpstr>Nov</vt:lpstr>
      <vt:lpstr>Dec</vt:lpstr>
      <vt:lpstr>Montly Summary</vt:lpstr>
      <vt:lpstr>Charts Info</vt:lpstr>
      <vt:lpstr>'Daily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Amit Shinde</cp:lastModifiedBy>
  <cp:lastPrinted>2024-01-22T18:01:08Z</cp:lastPrinted>
  <dcterms:created xsi:type="dcterms:W3CDTF">2022-09-21T12:00:51Z</dcterms:created>
  <dcterms:modified xsi:type="dcterms:W3CDTF">2024-01-22T18:01:47Z</dcterms:modified>
</cp:coreProperties>
</file>