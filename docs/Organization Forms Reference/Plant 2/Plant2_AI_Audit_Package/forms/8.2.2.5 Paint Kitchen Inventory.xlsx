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iff" ContentType="image/tif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8.0 Production\8.2 Forms\8.2.2 Plant 2\"/>
    </mc:Choice>
  </mc:AlternateContent>
  <xr:revisionPtr revIDLastSave="0" documentId="13_ncr:1_{41C01BB5-06F2-4A17-904F-C3665CBCB76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v 7" sheetId="4" r:id="rId1"/>
    <sheet name="Rev Log" sheetId="3" r:id="rId2"/>
    <sheet name="Rev 6" sheetId="1" r:id="rId3"/>
  </sheets>
  <externalReferences>
    <externalReference r:id="rId4"/>
  </externalReferences>
  <definedNames>
    <definedName name="_xlnm.Print_Area" localSheetId="2">'Rev 6'!$A$1:$H$187</definedName>
    <definedName name="_xlnm.Print_Area" localSheetId="0">'Rev 7'!$A$1:$L$75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4" l="1"/>
  <c r="P35" i="4" s="1"/>
  <c r="N35" i="4"/>
  <c r="O34" i="4"/>
  <c r="P34" i="4" s="1"/>
  <c r="N34" i="4"/>
  <c r="O33" i="4" l="1"/>
  <c r="P33" i="4" s="1"/>
  <c r="N33" i="4"/>
  <c r="O32" i="4"/>
  <c r="N32" i="4"/>
  <c r="O31" i="4"/>
  <c r="N31" i="4"/>
  <c r="P31" i="4" l="1"/>
  <c r="P32" i="4"/>
  <c r="P57" i="4"/>
  <c r="P56" i="4"/>
  <c r="P55" i="4"/>
  <c r="P54" i="4"/>
  <c r="P53" i="4"/>
  <c r="O41" i="4"/>
  <c r="O40" i="4"/>
  <c r="O16" i="4"/>
  <c r="O15" i="4"/>
  <c r="O9" i="4"/>
  <c r="O8" i="4"/>
  <c r="N52" i="4" l="1"/>
  <c r="N51" i="4"/>
  <c r="O52" i="4" l="1"/>
  <c r="P52" i="4" s="1"/>
  <c r="O46" i="4" l="1"/>
  <c r="O50" i="4" l="1"/>
  <c r="O49" i="4"/>
  <c r="O47" i="4"/>
  <c r="O44" i="4"/>
  <c r="O48" i="4"/>
  <c r="O51" i="4"/>
  <c r="P51" i="4" s="1"/>
  <c r="O45" i="4"/>
  <c r="O17" i="4"/>
  <c r="O11" i="4"/>
  <c r="O6" i="4"/>
  <c r="O10" i="4"/>
  <c r="O39" i="4"/>
  <c r="O23" i="4"/>
  <c r="O30" i="4"/>
  <c r="O28" i="4"/>
  <c r="O27" i="4"/>
  <c r="O29" i="4"/>
  <c r="O22" i="4"/>
  <c r="O21" i="4"/>
  <c r="O24" i="4"/>
  <c r="O26" i="4"/>
  <c r="O25" i="4"/>
  <c r="O36" i="4" l="1"/>
  <c r="O20" i="4"/>
  <c r="O7" i="4"/>
  <c r="P36" i="4" l="1"/>
  <c r="N50" i="4"/>
  <c r="P50" i="4" s="1"/>
  <c r="N49" i="4"/>
  <c r="P49" i="4" s="1"/>
  <c r="N48" i="4"/>
  <c r="P48" i="4" s="1"/>
  <c r="N47" i="4"/>
  <c r="P47" i="4" s="1"/>
  <c r="N46" i="4"/>
  <c r="P46" i="4" s="1"/>
  <c r="N45" i="4"/>
  <c r="P45" i="4" s="1"/>
  <c r="N44" i="4"/>
  <c r="P44" i="4" s="1"/>
  <c r="N41" i="4"/>
  <c r="P41" i="4" s="1"/>
  <c r="N40" i="4"/>
  <c r="P40" i="4" s="1"/>
  <c r="N39" i="4"/>
  <c r="P39" i="4" s="1"/>
  <c r="N36" i="4"/>
  <c r="N30" i="4"/>
  <c r="P30" i="4" s="1"/>
  <c r="N29" i="4"/>
  <c r="P29" i="4" s="1"/>
  <c r="N28" i="4"/>
  <c r="P28" i="4" s="1"/>
  <c r="N27" i="4"/>
  <c r="P27" i="4" s="1"/>
  <c r="N26" i="4"/>
  <c r="P26" i="4" s="1"/>
  <c r="N25" i="4"/>
  <c r="P25" i="4" s="1"/>
  <c r="N24" i="4"/>
  <c r="P24" i="4" s="1"/>
  <c r="N23" i="4"/>
  <c r="P23" i="4" s="1"/>
  <c r="N22" i="4"/>
  <c r="P22" i="4" s="1"/>
  <c r="N21" i="4"/>
  <c r="P21" i="4" s="1"/>
  <c r="N20" i="4"/>
  <c r="P20" i="4" s="1"/>
  <c r="N17" i="4"/>
  <c r="P17" i="4" s="1"/>
  <c r="N16" i="4"/>
  <c r="P16" i="4" s="1"/>
  <c r="N15" i="4"/>
  <c r="P15" i="4" s="1"/>
  <c r="N7" i="4"/>
  <c r="P7" i="4" s="1"/>
  <c r="N8" i="4"/>
  <c r="P8" i="4" s="1"/>
  <c r="N9" i="4"/>
  <c r="P9" i="4" s="1"/>
  <c r="N10" i="4"/>
  <c r="P10" i="4" s="1"/>
  <c r="N11" i="4"/>
  <c r="P11" i="4" s="1"/>
  <c r="N6" i="4"/>
  <c r="P6" i="4" s="1"/>
  <c r="P2" i="4" l="1"/>
</calcChain>
</file>

<file path=xl/sharedStrings.xml><?xml version="1.0" encoding="utf-8"?>
<sst xmlns="http://schemas.openxmlformats.org/spreadsheetml/2006/main" count="1079" uniqueCount="399">
  <si>
    <t>Paint Kitchen Inventory</t>
  </si>
  <si>
    <t>Date:</t>
  </si>
  <si>
    <t>Initials:</t>
  </si>
  <si>
    <t>NB Coatings</t>
  </si>
  <si>
    <t>Paint Code</t>
  </si>
  <si>
    <t xml:space="preserve">Date Opened </t>
  </si>
  <si>
    <t>Min.</t>
  </si>
  <si>
    <t>Order</t>
  </si>
  <si>
    <t>Dark Cocoa Ash</t>
  </si>
  <si>
    <t>08018SR R798</t>
  </si>
  <si>
    <t>Dark Argent</t>
  </si>
  <si>
    <t>87288SR R788</t>
  </si>
  <si>
    <t>Satin Nickel</t>
  </si>
  <si>
    <t>01122 R798</t>
  </si>
  <si>
    <t>Abalone White Base</t>
  </si>
  <si>
    <t>15300BC UR667</t>
  </si>
  <si>
    <t>Abalone White Mica</t>
  </si>
  <si>
    <t>15301SC UR667</t>
  </si>
  <si>
    <t>Switch Blade Silver</t>
  </si>
  <si>
    <t>09005 CC UR667</t>
  </si>
  <si>
    <t>Caught Red Handed Base</t>
  </si>
  <si>
    <t>14322BC UR667</t>
  </si>
  <si>
    <t>Caught Red Handed Clear</t>
  </si>
  <si>
    <t>14323 TC R788</t>
  </si>
  <si>
    <t>Black-8555</t>
  </si>
  <si>
    <t>84168 UR667</t>
  </si>
  <si>
    <t>Rohm Chrome</t>
  </si>
  <si>
    <t>02131 RC 2KB</t>
  </si>
  <si>
    <t>Rimowa Red</t>
  </si>
  <si>
    <t>14392R 240D</t>
  </si>
  <si>
    <t>Rimowa Silver</t>
  </si>
  <si>
    <t>13353 R798</t>
  </si>
  <si>
    <t>Titanium</t>
  </si>
  <si>
    <t>14390 R798</t>
  </si>
  <si>
    <t>Menacing Black</t>
  </si>
  <si>
    <t>92101AR 240D</t>
  </si>
  <si>
    <t>Rimowa Brown</t>
  </si>
  <si>
    <t>14391R 240D</t>
  </si>
  <si>
    <t>Yachting Blue</t>
  </si>
  <si>
    <t>16306R 240D</t>
  </si>
  <si>
    <t>Carmona Red</t>
  </si>
  <si>
    <t>16305R 240D</t>
  </si>
  <si>
    <t>Granite Brown</t>
  </si>
  <si>
    <t>16307R 240D</t>
  </si>
  <si>
    <t>Night Blue</t>
  </si>
  <si>
    <t>16304R 240D</t>
  </si>
  <si>
    <t>Matte Black</t>
  </si>
  <si>
    <t>16308 R798</t>
  </si>
  <si>
    <t>Hyper Silver</t>
  </si>
  <si>
    <t>14427 CC 2KB</t>
  </si>
  <si>
    <t>Red Mica</t>
  </si>
  <si>
    <t>14433 CC 2KB</t>
  </si>
  <si>
    <t>Orbital Blue</t>
  </si>
  <si>
    <t>14429 CC 2KB</t>
  </si>
  <si>
    <t>Evinrude White</t>
  </si>
  <si>
    <t>14425 CC 2KB</t>
  </si>
  <si>
    <t>Smoke Grey</t>
  </si>
  <si>
    <t>14431 CC 2KB</t>
  </si>
  <si>
    <t>Ranger Grey</t>
  </si>
  <si>
    <t>14419 2KB</t>
  </si>
  <si>
    <t>Ranger Grey Clear</t>
  </si>
  <si>
    <t>50215 R788 LG</t>
  </si>
  <si>
    <t>Blue Me Away</t>
  </si>
  <si>
    <t>16209 CC 2KB</t>
  </si>
  <si>
    <t>Summit White(Olympic)</t>
  </si>
  <si>
    <t>89238 CC 2KB</t>
  </si>
  <si>
    <t>Lemon Peel</t>
  </si>
  <si>
    <t>14305 CC 2KB</t>
  </si>
  <si>
    <t>Pull Me Over Red</t>
  </si>
  <si>
    <t>14302 CC 2KB</t>
  </si>
  <si>
    <t>Piano Black</t>
  </si>
  <si>
    <t>38522 AI 2KB</t>
  </si>
  <si>
    <t>Circuit Yellow (Base)</t>
  </si>
  <si>
    <t>16302FC UR667</t>
  </si>
  <si>
    <t>Circuit Yellow (Mica)</t>
  </si>
  <si>
    <t>16303SC UR667</t>
  </si>
  <si>
    <t>Oxford Blue</t>
  </si>
  <si>
    <t>16301 UR667</t>
  </si>
  <si>
    <t>15326 UR667</t>
  </si>
  <si>
    <t>Adhesion Promoter</t>
  </si>
  <si>
    <t>HP 21054 HSRG</t>
  </si>
  <si>
    <t>Clear Coat</t>
  </si>
  <si>
    <t>R788 LM FG48268</t>
  </si>
  <si>
    <t>Base Catalyst</t>
  </si>
  <si>
    <t>Clear Catalyst</t>
  </si>
  <si>
    <t>775PAA Catalyst</t>
  </si>
  <si>
    <t>Conductive Primer</t>
  </si>
  <si>
    <t>R1900 CD Grey</t>
  </si>
  <si>
    <t>Chip Resistant Cond. Primer</t>
  </si>
  <si>
    <t>P67331-1</t>
  </si>
  <si>
    <t>Anti-Chip Primer</t>
  </si>
  <si>
    <t>70627 R221-1AC</t>
  </si>
  <si>
    <t>Red Spot</t>
  </si>
  <si>
    <t>ARC-29538MG</t>
  </si>
  <si>
    <t>206LE220C</t>
  </si>
  <si>
    <t>206LE221C</t>
  </si>
  <si>
    <t>Smoke Gray Met. 2K Basecoat</t>
  </si>
  <si>
    <t>206LE692C</t>
  </si>
  <si>
    <t>New Hyper Silver Metallic</t>
  </si>
  <si>
    <t>206LE340C</t>
  </si>
  <si>
    <t>Orbital Blue Metallic</t>
  </si>
  <si>
    <t>206LE462C</t>
  </si>
  <si>
    <t>206LE696C</t>
  </si>
  <si>
    <t>Dragon Red</t>
  </si>
  <si>
    <t>206LE480C</t>
  </si>
  <si>
    <t xml:space="preserve">Vegas White Base </t>
  </si>
  <si>
    <t>206LE371E</t>
  </si>
  <si>
    <t>Vegas White Pearl</t>
  </si>
  <si>
    <t>206LE372E</t>
  </si>
  <si>
    <t>379S21654TEPE</t>
  </si>
  <si>
    <t>Hardener</t>
  </si>
  <si>
    <t xml:space="preserve">LE9426FB
</t>
  </si>
  <si>
    <t>US Paint</t>
  </si>
  <si>
    <t>Ad Pro</t>
  </si>
  <si>
    <t>OQ1126</t>
  </si>
  <si>
    <t>Hyper Silver (Spyder)</t>
  </si>
  <si>
    <t>AJ1308 B-28</t>
  </si>
  <si>
    <t>Carbon Black Metallic</t>
  </si>
  <si>
    <t>AJ2102 B-322</t>
  </si>
  <si>
    <t>Sherwin Williams</t>
  </si>
  <si>
    <t>Amount In                          1 Gallon Cans</t>
  </si>
  <si>
    <t xml:space="preserve">Carc Black  </t>
  </si>
  <si>
    <t>F93B112</t>
  </si>
  <si>
    <t>PPG</t>
  </si>
  <si>
    <t>Primer</t>
  </si>
  <si>
    <t>DP40</t>
  </si>
  <si>
    <t>Catalyst</t>
  </si>
  <si>
    <t>DP401F</t>
  </si>
  <si>
    <t>Product Code</t>
  </si>
  <si>
    <t>Masking Tape</t>
  </si>
  <si>
    <t xml:space="preserve"> </t>
  </si>
  <si>
    <t>6 rolls</t>
  </si>
  <si>
    <t>Univar</t>
  </si>
  <si>
    <t>MEK</t>
  </si>
  <si>
    <t>Xylene</t>
  </si>
  <si>
    <t>Alcohol</t>
  </si>
  <si>
    <t>IBA</t>
  </si>
  <si>
    <t>MAK</t>
  </si>
  <si>
    <t>Virgin Purge</t>
  </si>
  <si>
    <t>n/a</t>
  </si>
  <si>
    <t>Program</t>
  </si>
  <si>
    <t>GM Splash Guards</t>
  </si>
  <si>
    <t>Cadillac</t>
  </si>
  <si>
    <t>Venza</t>
  </si>
  <si>
    <t>Rimowa Buckles</t>
  </si>
  <si>
    <t>Evinrude</t>
  </si>
  <si>
    <t>Camaro Interior Door Trim</t>
  </si>
  <si>
    <t>Spyder</t>
  </si>
  <si>
    <t>Intense Red BC</t>
  </si>
  <si>
    <t>Intense Red TC</t>
  </si>
  <si>
    <t>Low Gloss Magnetic</t>
  </si>
  <si>
    <t>Blue Metallic</t>
  </si>
  <si>
    <t>Black Carbon</t>
  </si>
  <si>
    <t>12051 SR R798</t>
  </si>
  <si>
    <t>Matte Brown</t>
  </si>
  <si>
    <t xml:space="preserve">Evinrude White 2K </t>
  </si>
  <si>
    <t xml:space="preserve">Evinrude Blue 2K </t>
  </si>
  <si>
    <t>Conductive Grey (primer)</t>
  </si>
  <si>
    <t>2K  Clear coat</t>
  </si>
  <si>
    <t>17371 R798</t>
  </si>
  <si>
    <t>18223 BC UR667</t>
  </si>
  <si>
    <t>18266 UR667</t>
  </si>
  <si>
    <t>14339 R798</t>
  </si>
  <si>
    <t>18251 UR667</t>
  </si>
  <si>
    <t>Intense Red BC 1K</t>
  </si>
  <si>
    <t>18223 BC 2KB</t>
  </si>
  <si>
    <t>18224 TC R788</t>
  </si>
  <si>
    <t>88273 UR667</t>
  </si>
  <si>
    <t>Agate Black</t>
  </si>
  <si>
    <t>19258 UR667</t>
  </si>
  <si>
    <t>Misc.</t>
  </si>
  <si>
    <t>BASF</t>
  </si>
  <si>
    <t>BMW Black II</t>
  </si>
  <si>
    <t>Clear</t>
  </si>
  <si>
    <t xml:space="preserve">Paint Arrestors     (Tri-dim)                 </t>
  </si>
  <si>
    <t>102 booths</t>
  </si>
  <si>
    <t>2003-C 2KB Catalyst</t>
  </si>
  <si>
    <t>Axalta</t>
  </si>
  <si>
    <t>Ad-Pro</t>
  </si>
  <si>
    <t>Burgundy Velvet BC</t>
  </si>
  <si>
    <t>Burgundy Velvet TC</t>
  </si>
  <si>
    <t>Desert Gold</t>
  </si>
  <si>
    <t>Red Hot BC</t>
  </si>
  <si>
    <t xml:space="preserve">Red Hot TC </t>
  </si>
  <si>
    <t>Iconic Silver</t>
  </si>
  <si>
    <t>Star White BC</t>
  </si>
  <si>
    <t xml:space="preserve">Star White SC </t>
  </si>
  <si>
    <t>166220 UR667</t>
  </si>
  <si>
    <t>16221TC R788</t>
  </si>
  <si>
    <t>25023TC</t>
  </si>
  <si>
    <t>20252BC (Lucid Red)</t>
  </si>
  <si>
    <t>20250 UR667 (Pristine)</t>
  </si>
  <si>
    <t>20251 UR667 (Pristine)</t>
  </si>
  <si>
    <t>20261 UR667 (Radiant)</t>
  </si>
  <si>
    <t>20253 UR667</t>
  </si>
  <si>
    <t>Ford</t>
  </si>
  <si>
    <t>Stone Gray</t>
  </si>
  <si>
    <t>HG Magnetic</t>
  </si>
  <si>
    <t>Ebony Black</t>
  </si>
  <si>
    <t>8555 Black</t>
  </si>
  <si>
    <t>Deep Black</t>
  </si>
  <si>
    <t>Full</t>
  </si>
  <si>
    <t>Partial</t>
  </si>
  <si>
    <t>AJ2041</t>
  </si>
  <si>
    <t>764-10750</t>
  </si>
  <si>
    <t>Chalk White</t>
  </si>
  <si>
    <t>Anderson Silver</t>
  </si>
  <si>
    <t>1 skid</t>
  </si>
  <si>
    <t>Water Softening Salt</t>
  </si>
  <si>
    <t>System Saver</t>
  </si>
  <si>
    <t>17336 RC2</t>
  </si>
  <si>
    <t>830592C</t>
  </si>
  <si>
    <t>J53501</t>
  </si>
  <si>
    <t>Revision No.</t>
  </si>
  <si>
    <t>Created</t>
  </si>
  <si>
    <t>Revised</t>
  </si>
  <si>
    <t>Changes</t>
  </si>
  <si>
    <t>07/07/16 JB</t>
  </si>
  <si>
    <t>27/09/19 JB</t>
  </si>
  <si>
    <t>Van-Sol 63 (SC150)</t>
  </si>
  <si>
    <t>037840</t>
  </si>
  <si>
    <t>08/01/20 JB</t>
  </si>
  <si>
    <t>Gardo Protect 9435 (Booth Coating)</t>
  </si>
  <si>
    <t>GM Spoiler</t>
  </si>
  <si>
    <t>LG Black</t>
  </si>
  <si>
    <t>Cherry Bomb</t>
  </si>
  <si>
    <t>Dark Shadow</t>
  </si>
  <si>
    <t>Orange Crush</t>
  </si>
  <si>
    <t>Oconus</t>
  </si>
  <si>
    <t>Caught Red Handed</t>
  </si>
  <si>
    <t>Rowan</t>
  </si>
  <si>
    <t>Shock</t>
  </si>
  <si>
    <t>Stinger</t>
  </si>
  <si>
    <t>Satin Steel Grey</t>
  </si>
  <si>
    <t>Summit White</t>
  </si>
  <si>
    <t>86294 R798</t>
  </si>
  <si>
    <t>19211 CC 2KB</t>
  </si>
  <si>
    <t>18216 CC 2KB</t>
  </si>
  <si>
    <t>19221 CC 2KB</t>
  </si>
  <si>
    <t>14322 CC 2KB</t>
  </si>
  <si>
    <t>19200 CC 2KB</t>
  </si>
  <si>
    <t>19223 CC 2KB</t>
  </si>
  <si>
    <t>18211 CC 2KB</t>
  </si>
  <si>
    <t>20208 CC 2KB</t>
  </si>
  <si>
    <t>Kodiak Brown</t>
  </si>
  <si>
    <t>Anti Matter Blue</t>
  </si>
  <si>
    <t>Cherry Bomb TC</t>
  </si>
  <si>
    <t>Caught Red Handed TC</t>
  </si>
  <si>
    <t>Gravity Grey</t>
  </si>
  <si>
    <t>12028 UR667</t>
  </si>
  <si>
    <t>21255 UR667</t>
  </si>
  <si>
    <t>21213 TC R788</t>
  </si>
  <si>
    <t>21212 BC 2KB</t>
  </si>
  <si>
    <t>Chalk White 2K</t>
  </si>
  <si>
    <t>Midgloss 2K Clear Coat</t>
  </si>
  <si>
    <t>Clear Olefinic Primer</t>
  </si>
  <si>
    <t>Universal Black</t>
  </si>
  <si>
    <t>Stealth Black</t>
  </si>
  <si>
    <t>Diamond Vogel</t>
  </si>
  <si>
    <t>S/S H/B 90 Gloss Clear</t>
  </si>
  <si>
    <t>HB MET 314 Smoke SS Basecoat</t>
  </si>
  <si>
    <t>Catalyst Solvent</t>
  </si>
  <si>
    <t>CSSC-50471</t>
  </si>
  <si>
    <t>CSSB-51385</t>
  </si>
  <si>
    <t>CSOL-50509</t>
  </si>
  <si>
    <t>AJ2241</t>
  </si>
  <si>
    <t>379S132</t>
  </si>
  <si>
    <t>LE16225</t>
  </si>
  <si>
    <t>830S2E</t>
  </si>
  <si>
    <t>379S135</t>
  </si>
  <si>
    <t>206LE1061C</t>
  </si>
  <si>
    <t>Vivid Met.</t>
  </si>
  <si>
    <t>Rapid</t>
  </si>
  <si>
    <t>22216 CC2 KB</t>
  </si>
  <si>
    <t>19217 CC 2KB</t>
  </si>
  <si>
    <t>Forged Green</t>
  </si>
  <si>
    <t>Dark Matter Gray</t>
  </si>
  <si>
    <t>Infinite Blue TC</t>
  </si>
  <si>
    <t>Flight Blue</t>
  </si>
  <si>
    <t>Low Gloss Dk Carbonized Gray</t>
  </si>
  <si>
    <t>22251 UR667</t>
  </si>
  <si>
    <t>22257 UR667</t>
  </si>
  <si>
    <t>21252 BC UR667</t>
  </si>
  <si>
    <t>21253 TC R788</t>
  </si>
  <si>
    <t>19268 UR667</t>
  </si>
  <si>
    <t>21288 R798</t>
  </si>
  <si>
    <t>Infinite Blue BC</t>
  </si>
  <si>
    <t>Manta Green</t>
  </si>
  <si>
    <t>206LE1077C</t>
  </si>
  <si>
    <t>Shadow Green</t>
  </si>
  <si>
    <t>AJ4206</t>
  </si>
  <si>
    <t>Tesla</t>
  </si>
  <si>
    <t xml:space="preserve">20274 R798 </t>
  </si>
  <si>
    <t>LG Carbon Black</t>
  </si>
  <si>
    <t>Sierra Black</t>
  </si>
  <si>
    <t>14386 CC AI 2KB</t>
  </si>
  <si>
    <t>Radient Red BC</t>
  </si>
  <si>
    <t>Radient Red TC</t>
  </si>
  <si>
    <t>Sharkskin</t>
  </si>
  <si>
    <t>23206 CC 2KB</t>
  </si>
  <si>
    <t>23207 TC R788</t>
  </si>
  <si>
    <t>23203 CC 2KB</t>
  </si>
  <si>
    <t>Jewel Red BC</t>
  </si>
  <si>
    <t>Jewel Red TC</t>
  </si>
  <si>
    <t>23225 BC UR667</t>
  </si>
  <si>
    <t>23226 TC R788LM</t>
  </si>
  <si>
    <t>Wild Green</t>
  </si>
  <si>
    <t>379S169</t>
  </si>
  <si>
    <t>Low Gloss 2K Clear Coat</t>
  </si>
  <si>
    <t>206LE1098C</t>
  </si>
  <si>
    <t>206LE1113C</t>
  </si>
  <si>
    <t>499S16D</t>
  </si>
  <si>
    <t>379S21654TEK</t>
  </si>
  <si>
    <t>7/14/2023 JB</t>
  </si>
  <si>
    <t>Rip Tide</t>
  </si>
  <si>
    <t>Tripp Metallic</t>
  </si>
  <si>
    <t>7/20/23 AS</t>
  </si>
  <si>
    <t xml:space="preserve">Form number revised </t>
  </si>
  <si>
    <t>Partial Amount</t>
  </si>
  <si>
    <t>Min QTY</t>
  </si>
  <si>
    <t>Order QTY</t>
  </si>
  <si>
    <t>Full QTY</t>
  </si>
  <si>
    <t>Misc</t>
  </si>
  <si>
    <t>1</t>
  </si>
  <si>
    <t>2</t>
  </si>
  <si>
    <t>Max QTY</t>
  </si>
  <si>
    <t xml:space="preserve">Partial Amount </t>
  </si>
  <si>
    <t xml:space="preserve">101-103 booths </t>
  </si>
  <si>
    <t>boxes</t>
  </si>
  <si>
    <t>100 box</t>
  </si>
  <si>
    <t>600 box</t>
  </si>
  <si>
    <t>3 box</t>
  </si>
  <si>
    <t xml:space="preserve">Paint Arrestors     (Tri-Dim - 100/box)      </t>
  </si>
  <si>
    <t>skids</t>
  </si>
  <si>
    <t>2 skids</t>
  </si>
  <si>
    <t>4 pails</t>
  </si>
  <si>
    <t>4</t>
  </si>
  <si>
    <t>Release</t>
  </si>
  <si>
    <t>Chemetall - 50604020</t>
  </si>
  <si>
    <t>2 pails</t>
  </si>
  <si>
    <t>pails</t>
  </si>
  <si>
    <t>gal</t>
  </si>
  <si>
    <t>skid</t>
  </si>
  <si>
    <t>drum</t>
  </si>
  <si>
    <t>11/7/23 JB</t>
  </si>
  <si>
    <t>Added min/max quantities and units</t>
  </si>
  <si>
    <t>pail</t>
  </si>
  <si>
    <t>(use approx. 1 box/ week)</t>
  </si>
  <si>
    <t>Tri-Dim</t>
  </si>
  <si>
    <t xml:space="preserve">Tar Paper </t>
  </si>
  <si>
    <t>25 micron Inline Filters  (50/ box)</t>
  </si>
  <si>
    <t>100 micron Inline Filters ( 50/ box)</t>
  </si>
  <si>
    <t>150 micron Inline Filters (50/ box)</t>
  </si>
  <si>
    <t>250 micron Inline Filters (50/ box)</t>
  </si>
  <si>
    <t>190 micron Cone Filters (100/ box)</t>
  </si>
  <si>
    <t>Carbit Clear 945-5</t>
  </si>
  <si>
    <t>Carbit White 949-5</t>
  </si>
  <si>
    <t>rolls</t>
  </si>
  <si>
    <t>bags</t>
  </si>
  <si>
    <t>Boothcoat 2769</t>
  </si>
  <si>
    <t xml:space="preserve">2 Boxes </t>
  </si>
  <si>
    <t xml:space="preserve">4 Boxes </t>
  </si>
  <si>
    <t xml:space="preserve">8 Boxes </t>
  </si>
  <si>
    <t>4 Boxes</t>
  </si>
  <si>
    <t>British Green</t>
  </si>
  <si>
    <t>206LE1135C</t>
  </si>
  <si>
    <t>05/06/24 AS</t>
  </si>
  <si>
    <t xml:space="preserve">British green added to the inventory sheet </t>
  </si>
  <si>
    <t>LE16610HSN</t>
  </si>
  <si>
    <t>Partial 
Qty</t>
  </si>
  <si>
    <t>Glycol Ether EB</t>
  </si>
  <si>
    <t>P0061136</t>
  </si>
  <si>
    <t>FLATTING AGENT</t>
  </si>
  <si>
    <t>Open order due</t>
  </si>
  <si>
    <t>Container size</t>
  </si>
  <si>
    <t>Total qty</t>
  </si>
  <si>
    <t>Kg</t>
  </si>
  <si>
    <t>kg</t>
  </si>
  <si>
    <t>Vendor Part#</t>
  </si>
  <si>
    <t>Cost per UM-CAD
(not price)</t>
  </si>
  <si>
    <t>ARC-29538MG-GRAY</t>
  </si>
  <si>
    <t>LE9426FB</t>
  </si>
  <si>
    <t>Total value CAD</t>
  </si>
  <si>
    <t>206LE172CC</t>
  </si>
  <si>
    <t xml:space="preserve"> CARBON FLASH MET. 2K BASECOAT</t>
  </si>
  <si>
    <t>WA501Q</t>
  </si>
  <si>
    <t>UNIVERSAL BLACK 1K LOW BAKE BASECOAT</t>
  </si>
  <si>
    <t>TBD</t>
  </si>
  <si>
    <t>206LE19688C</t>
  </si>
  <si>
    <t>EBONY BLACK 2K BASECOAT</t>
  </si>
  <si>
    <t>lbs</t>
  </si>
  <si>
    <t>Comments</t>
  </si>
  <si>
    <t>JF710312N170</t>
  </si>
  <si>
    <t>Plant 2</t>
  </si>
  <si>
    <t>Clear - Evergloss 905</t>
  </si>
  <si>
    <t>J5301</t>
  </si>
  <si>
    <t>830S2EF</t>
  </si>
  <si>
    <t>Alcohol - Isopropanol 99%</t>
  </si>
  <si>
    <t>did not purchase since before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</si>
</sst>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_);\(&quot;$&quot;#,##0\)"/>
    <numFmt numFmtId="44" formatCode="_(&quot;$&quot;* #,##0.00_);_(&quot;$&quot;* \(#,##0.00\);_(&quot;$&quot;* &quot;-&quot;??_);_(@_)"/>
    <numFmt numFmtId="164" formatCode="m/dd/yy;@"/>
  </numFmts>
  <fonts count="17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26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0"/>
      <color rgb="FF0070C0"/>
      <name val="Arial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44" fontId="12" fillId="0" borderId="0" applyFont="0" applyFill="0" applyBorder="0" applyAlignment="0" applyProtection="0"/>
  </cellStyleXfs>
  <cellXfs count="15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5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5" fontId="0" fillId="0" borderId="5" xfId="0" applyNumberFormat="1" applyBorder="1" applyAlignment="1">
      <alignment horizontal="center"/>
    </xf>
    <xf numFmtId="15" fontId="0" fillId="0" borderId="10" xfId="0" applyNumberForma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5" fontId="0" fillId="0" borderId="17" xfId="0" applyNumberFormat="1" applyBorder="1" applyAlignment="1">
      <alignment horizontal="center"/>
    </xf>
    <xf numFmtId="15" fontId="0" fillId="0" borderId="18" xfId="0" applyNumberFormat="1" applyBorder="1" applyAlignment="1">
      <alignment horizontal="center"/>
    </xf>
    <xf numFmtId="15" fontId="0" fillId="0" borderId="21" xfId="0" applyNumberFormat="1" applyBorder="1" applyAlignment="1">
      <alignment horizont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10" xfId="0" applyBorder="1" applyAlignment="1">
      <alignment horizontal="center"/>
    </xf>
    <xf numFmtId="0" fontId="5" fillId="0" borderId="23" xfId="0" applyFont="1" applyBorder="1"/>
    <xf numFmtId="15" fontId="0" fillId="0" borderId="16" xfId="0" applyNumberFormat="1" applyBorder="1" applyAlignment="1">
      <alignment horizontal="center"/>
    </xf>
    <xf numFmtId="0" fontId="0" fillId="0" borderId="24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5" fontId="0" fillId="0" borderId="3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7" fillId="0" borderId="1" xfId="0" applyFont="1" applyBorder="1"/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5" fontId="0" fillId="0" borderId="12" xfId="0" applyNumberFormat="1" applyBorder="1" applyAlignment="1">
      <alignment horizontal="center"/>
    </xf>
    <xf numFmtId="0" fontId="0" fillId="0" borderId="26" xfId="0" applyBorder="1" applyAlignment="1">
      <alignment horizontal="center" vertical="center"/>
    </xf>
    <xf numFmtId="14" fontId="0" fillId="0" borderId="1" xfId="0" applyNumberFormat="1" applyBorder="1"/>
    <xf numFmtId="15" fontId="0" fillId="0" borderId="27" xfId="0" applyNumberFormat="1" applyBorder="1" applyAlignment="1">
      <alignment horizont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9" xfId="0" applyBorder="1" applyAlignment="1">
      <alignment vertical="center" wrapText="1"/>
    </xf>
    <xf numFmtId="0" fontId="0" fillId="0" borderId="4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2" xfId="0" applyBorder="1" applyAlignment="1">
      <alignment horizontal="center"/>
    </xf>
    <xf numFmtId="0" fontId="0" fillId="0" borderId="29" xfId="0" applyBorder="1" applyAlignment="1">
      <alignment horizontal="center" vertical="center"/>
    </xf>
    <xf numFmtId="15" fontId="0" fillId="0" borderId="31" xfId="0" applyNumberFormat="1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2" xfId="0" applyBorder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35" xfId="0" applyBorder="1"/>
    <xf numFmtId="0" fontId="0" fillId="0" borderId="14" xfId="0" applyBorder="1"/>
    <xf numFmtId="0" fontId="0" fillId="0" borderId="36" xfId="0" applyBorder="1"/>
    <xf numFmtId="0" fontId="0" fillId="0" borderId="36" xfId="0" applyBorder="1" applyAlignment="1">
      <alignment horizontal="right" vertical="center"/>
    </xf>
    <xf numFmtId="0" fontId="0" fillId="0" borderId="37" xfId="0" applyBorder="1"/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9" xfId="0" applyBorder="1" applyAlignment="1">
      <alignment horizontal="center"/>
    </xf>
    <xf numFmtId="0" fontId="0" fillId="0" borderId="39" xfId="0" applyBorder="1"/>
    <xf numFmtId="0" fontId="4" fillId="0" borderId="1" xfId="0" quotePrefix="1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0" borderId="38" xfId="0" applyBorder="1" applyAlignment="1">
      <alignment horizontal="center"/>
    </xf>
    <xf numFmtId="0" fontId="0" fillId="0" borderId="30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0" borderId="31" xfId="0" applyBorder="1" applyAlignment="1">
      <alignment horizontal="right" vertical="center"/>
    </xf>
    <xf numFmtId="0" fontId="0" fillId="2" borderId="12" xfId="0" applyFill="1" applyBorder="1"/>
    <xf numFmtId="0" fontId="0" fillId="2" borderId="0" xfId="0" applyFill="1"/>
    <xf numFmtId="0" fontId="2" fillId="0" borderId="3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0" fillId="0" borderId="46" xfId="0" applyBorder="1" applyAlignment="1">
      <alignment horizontal="right" vertical="center"/>
    </xf>
    <xf numFmtId="0" fontId="9" fillId="0" borderId="41" xfId="0" applyFont="1" applyBorder="1" applyAlignment="1">
      <alignment horizontal="center"/>
    </xf>
    <xf numFmtId="0" fontId="0" fillId="0" borderId="17" xfId="0" applyBorder="1" applyAlignment="1">
      <alignment horizontal="right" vertical="center"/>
    </xf>
    <xf numFmtId="0" fontId="9" fillId="0" borderId="2" xfId="0" applyFont="1" applyBorder="1" applyAlignment="1">
      <alignment horizontal="center"/>
    </xf>
    <xf numFmtId="0" fontId="0" fillId="0" borderId="18" xfId="0" applyBorder="1" applyAlignment="1">
      <alignment horizontal="right" vertical="center"/>
    </xf>
    <xf numFmtId="0" fontId="9" fillId="0" borderId="23" xfId="0" applyFont="1" applyBorder="1" applyAlignment="1">
      <alignment horizontal="center" vertical="center"/>
    </xf>
    <xf numFmtId="0" fontId="0" fillId="0" borderId="48" xfId="0" applyBorder="1" applyAlignment="1">
      <alignment horizontal="right" vertical="center"/>
    </xf>
    <xf numFmtId="0" fontId="2" fillId="0" borderId="1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/>
    </xf>
    <xf numFmtId="0" fontId="11" fillId="0" borderId="2" xfId="0" quotePrefix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0" fillId="0" borderId="2" xfId="0" applyBorder="1"/>
    <xf numFmtId="0" fontId="0" fillId="0" borderId="18" xfId="0" applyBorder="1" applyAlignment="1">
      <alignment horizontal="right"/>
    </xf>
    <xf numFmtId="0" fontId="0" fillId="0" borderId="18" xfId="0" applyBorder="1" applyAlignment="1">
      <alignment horizontal="center"/>
    </xf>
    <xf numFmtId="0" fontId="13" fillId="0" borderId="1" xfId="0" applyFont="1" applyBorder="1" applyAlignment="1">
      <alignment horizontal="left" vertical="center"/>
    </xf>
    <xf numFmtId="44" fontId="0" fillId="0" borderId="0" xfId="1" applyFont="1"/>
    <xf numFmtId="44" fontId="2" fillId="0" borderId="0" xfId="1" applyFont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 wrapText="1"/>
    </xf>
    <xf numFmtId="0" fontId="0" fillId="3" borderId="0" xfId="0" applyFill="1"/>
    <xf numFmtId="44" fontId="0" fillId="0" borderId="0" xfId="0" applyNumberFormat="1"/>
    <xf numFmtId="16" fontId="0" fillId="0" borderId="1" xfId="0" applyNumberFormat="1" applyBorder="1" applyAlignment="1">
      <alignment horizontal="center" vertical="center"/>
    </xf>
    <xf numFmtId="16" fontId="0" fillId="0" borderId="38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2" xfId="0" applyFont="1" applyBorder="1" applyAlignment="1">
      <alignment horizontal="center" vertical="center" wrapText="1"/>
    </xf>
    <xf numFmtId="0" fontId="0" fillId="2" borderId="1" xfId="0" applyFill="1" applyBorder="1"/>
    <xf numFmtId="5" fontId="15" fillId="0" borderId="0" xfId="0" applyNumberFormat="1" applyFont="1" applyAlignment="1">
      <alignment vertical="center"/>
    </xf>
    <xf numFmtId="0" fontId="9" fillId="0" borderId="45" xfId="0" applyFont="1" applyBorder="1" applyAlignment="1">
      <alignment horizontal="center" vertical="center"/>
    </xf>
    <xf numFmtId="0" fontId="0" fillId="0" borderId="47" xfId="0" applyBorder="1" applyAlignment="1">
      <alignment horizontal="right" vertical="center"/>
    </xf>
    <xf numFmtId="0" fontId="9" fillId="0" borderId="38" xfId="0" applyFont="1" applyBorder="1" applyAlignment="1">
      <alignment horizontal="center" vertical="center"/>
    </xf>
    <xf numFmtId="0" fontId="0" fillId="0" borderId="38" xfId="0" applyBorder="1" applyAlignment="1">
      <alignment horizontal="right" vertical="center"/>
    </xf>
    <xf numFmtId="0" fontId="16" fillId="0" borderId="33" xfId="0" applyFont="1" applyBorder="1" applyAlignment="1">
      <alignment horizontal="right" vertical="center" indent="1"/>
    </xf>
    <xf numFmtId="0" fontId="16" fillId="0" borderId="34" xfId="0" applyFont="1" applyBorder="1" applyAlignment="1">
      <alignment horizontal="right" vertical="center" indent="1"/>
    </xf>
    <xf numFmtId="0" fontId="16" fillId="0" borderId="0" xfId="0" applyFont="1" applyAlignment="1">
      <alignment horizontal="right" vertical="center" indent="1"/>
    </xf>
    <xf numFmtId="0" fontId="16" fillId="0" borderId="35" xfId="0" applyFont="1" applyBorder="1" applyAlignment="1">
      <alignment horizontal="right" vertical="center" inden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5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219074</xdr:colOff>
      <xdr:row>0</xdr:row>
      <xdr:rowOff>60325</xdr:rowOff>
    </xdr:from>
    <xdr:ext cx="1390650" cy="489778"/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D190AE9-A62C-40F4-8AF7-789328468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2474" y="60325"/>
          <a:ext cx="1390650" cy="489778"/>
        </a:xfrm>
        <a:prstGeom prst="rect">
          <a:avLst/>
        </a:prstGeom>
      </xdr:spPr>
    </xdr:pic>
    <xdr:clientData/>
  </xdr:oneCellAnchor>
  <xdr:twoCellAnchor>
    <xdr:from>
      <xdr:col>12</xdr:col>
      <xdr:colOff>114301</xdr:colOff>
      <xdr:row>1</xdr:row>
      <xdr:rowOff>19049</xdr:rowOff>
    </xdr:from>
    <xdr:to>
      <xdr:col>14</xdr:col>
      <xdr:colOff>95251</xdr:colOff>
      <xdr:row>3</xdr:row>
      <xdr:rowOff>85724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1A114A1-2FF5-4F66-BEFE-EB2051764077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zZWxlY3RmaW5pc2hpbmctbXkuc2hhcmVwb2ludC5jb20vOnU6L2cvcGVyc29uYWwvdGVvZG9yYV9zdWNpdV9zZWxlY3RmaW5pc2hpbmdfY2EvRWZ5RFgtTG1lVjFQaGl5MDdvYUZUV1VCdnZJYXE2Mm5HSzJZbzZxU1A4UEEtUQ&quot;}"/>
            </a:ext>
          </a:extLst>
        </xdr:cNvPr>
        <xdr:cNvSpPr/>
      </xdr:nvSpPr>
      <xdr:spPr>
        <a:xfrm>
          <a:off x="9886951" y="142874"/>
          <a:ext cx="1600200" cy="447675"/>
        </a:xfrm>
        <a:prstGeom prst="roundRect">
          <a:avLst/>
        </a:prstGeom>
        <a:solidFill>
          <a:srgbClr val="107C41"/>
        </a:solidFill>
        <a:ln w="25400" cap="flat" cmpd="sng" algn="ctr">
          <a:solidFill>
            <a:schemeClr val="accent1">
              <a:shade val="15000"/>
            </a:schemeClr>
          </a:solidFill>
          <a:prstDash val="solid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/>
            <a:t>Clear Paint Inventory Plant 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123824</xdr:colOff>
      <xdr:row>0</xdr:row>
      <xdr:rowOff>88900</xdr:rowOff>
    </xdr:from>
    <xdr:to>
      <xdr:col>1</xdr:col>
      <xdr:colOff>981074</xdr:colOff>
      <xdr:row>3</xdr:row>
      <xdr:rowOff>73853</xdr:rowOff>
    </xdr:to>
    <xdr:pic>
      <xdr:nvPicPr>
        <xdr:cNvPr id="2" name="Picture 1" descr="Select Finishing Logo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4" y="88900"/>
          <a:ext cx="1390650" cy="48977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10.0%20Inventory\10.2%20Plant%202\10.2.1%20Paint%20Order%20Tracking%20Log.xlsx" TargetMode="External"/><Relationship Id="rId1" Type="http://schemas.openxmlformats.org/officeDocument/2006/relationships/externalLinkPath" Target="/10.0%20Inventory/10.2%20Plant%202/10.2.1%20Paint%20Order%20Tracking%20Lo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g"/>
      <sheetName val="Part numbers"/>
      <sheetName val="Supplier"/>
    </sheetNames>
    <sheetDataSet>
      <sheetData sheetId="0"/>
      <sheetData sheetId="1">
        <row r="1">
          <cell r="A1" t="str">
            <v>SF Part#</v>
          </cell>
          <cell r="B1" t="str">
            <v>Category</v>
          </cell>
          <cell r="C1" t="str">
            <v>Supplier</v>
          </cell>
          <cell r="D1" t="str">
            <v>Supplier Part#</v>
          </cell>
          <cell r="E1" t="str">
            <v>Description</v>
          </cell>
          <cell r="F1" t="str">
            <v>Standard pack QTY</v>
          </cell>
          <cell r="G1" t="str">
            <v>Price UM</v>
          </cell>
          <cell r="H1" t="str">
            <v>25 Gallons</v>
          </cell>
          <cell r="I1" t="str">
            <v>50 Gallons</v>
          </cell>
          <cell r="J1" t="str">
            <v>100 Gallons</v>
          </cell>
          <cell r="K1" t="str">
            <v>300 Gallons</v>
          </cell>
          <cell r="L1" t="str">
            <v>500 Gallons</v>
          </cell>
          <cell r="M1" t="str">
            <v>Currency</v>
          </cell>
          <cell r="N1" t="str">
            <v>Active
/Inactive</v>
          </cell>
          <cell r="O1" t="str">
            <v>Usual order</v>
          </cell>
          <cell r="P1" t="str">
            <v>USD</v>
          </cell>
          <cell r="Q1" t="str">
            <v>Cost per UM-CAD
(not price)</v>
          </cell>
        </row>
        <row r="2">
          <cell r="A2">
            <v>70000001</v>
          </cell>
          <cell r="B2" t="str">
            <v>PAINT</v>
          </cell>
          <cell r="C2" t="str">
            <v>Red Spot</v>
          </cell>
          <cell r="D2" t="str">
            <v>206LE1061C</v>
          </cell>
          <cell r="E2" t="str">
            <v>B-442 CHALK 2K BASECOAT</v>
          </cell>
          <cell r="F2"/>
          <cell r="G2" t="str">
            <v>gallon</v>
          </cell>
          <cell r="H2">
            <v>166.82</v>
          </cell>
          <cell r="I2">
            <v>122.99</v>
          </cell>
          <cell r="J2">
            <v>91.75</v>
          </cell>
          <cell r="K2">
            <v>89.92</v>
          </cell>
          <cell r="L2">
            <v>88.08</v>
          </cell>
          <cell r="M2" t="str">
            <v>USD</v>
          </cell>
          <cell r="N2" t="str">
            <v>inactive</v>
          </cell>
          <cell r="O2" t="e">
            <v>#N/A</v>
          </cell>
          <cell r="P2"/>
          <cell r="Q2"/>
        </row>
        <row r="3">
          <cell r="A3">
            <v>70000002</v>
          </cell>
          <cell r="B3" t="str">
            <v>PAINT</v>
          </cell>
          <cell r="C3" t="str">
            <v>Red Spot</v>
          </cell>
          <cell r="D3" t="str">
            <v>206LE1077C</v>
          </cell>
          <cell r="E3" t="str">
            <v>B-357 MANTA GREEN 2K URETHANE BASECOAT</v>
          </cell>
          <cell r="F3"/>
          <cell r="G3" t="str">
            <v>gallon</v>
          </cell>
          <cell r="H3">
            <v>267.89999999999998</v>
          </cell>
          <cell r="I3">
            <v>197.51</v>
          </cell>
          <cell r="J3">
            <v>147.35</v>
          </cell>
          <cell r="K3">
            <v>144.4</v>
          </cell>
          <cell r="L3">
            <v>141.44999999999999</v>
          </cell>
          <cell r="M3" t="str">
            <v>USD</v>
          </cell>
          <cell r="N3" t="str">
            <v>inactive</v>
          </cell>
          <cell r="O3" t="e">
            <v>#N/A</v>
          </cell>
          <cell r="P3"/>
          <cell r="Q3"/>
        </row>
        <row r="4">
          <cell r="A4">
            <v>70000003</v>
          </cell>
          <cell r="B4" t="str">
            <v>PAINT</v>
          </cell>
          <cell r="C4" t="str">
            <v>Red Spot</v>
          </cell>
          <cell r="D4" t="str">
            <v>206LE1098C</v>
          </cell>
          <cell r="E4" t="str">
            <v>B-495 SHADOW GREEN 2K BASECOAT</v>
          </cell>
          <cell r="G4" t="str">
            <v>gallon</v>
          </cell>
          <cell r="H4">
            <v>147.56</v>
          </cell>
          <cell r="I4">
            <v>108.79</v>
          </cell>
          <cell r="J4">
            <v>81.16</v>
          </cell>
          <cell r="K4">
            <v>79.53</v>
          </cell>
          <cell r="L4">
            <v>77.91</v>
          </cell>
          <cell r="M4" t="str">
            <v>USD</v>
          </cell>
          <cell r="N4" t="str">
            <v>active</v>
          </cell>
          <cell r="O4">
            <v>300</v>
          </cell>
          <cell r="P4">
            <v>79.53</v>
          </cell>
          <cell r="Q4">
            <v>113.25072</v>
          </cell>
        </row>
        <row r="5">
          <cell r="A5">
            <v>70000004</v>
          </cell>
          <cell r="B5" t="str">
            <v>PAINT</v>
          </cell>
          <cell r="C5" t="str">
            <v>Red Spot</v>
          </cell>
          <cell r="D5" t="str">
            <v>206LE1113C</v>
          </cell>
          <cell r="E5" t="str">
            <v>B-202 DEEP BLACK 2K BASECOAT</v>
          </cell>
          <cell r="G5" t="str">
            <v>gallon</v>
          </cell>
          <cell r="H5">
            <v>133.72999999999999</v>
          </cell>
          <cell r="I5">
            <v>98.59</v>
          </cell>
          <cell r="J5">
            <v>73.55</v>
          </cell>
          <cell r="K5">
            <v>72.08</v>
          </cell>
          <cell r="L5">
            <v>70.61</v>
          </cell>
          <cell r="M5" t="str">
            <v>USD</v>
          </cell>
          <cell r="N5" t="str">
            <v>active</v>
          </cell>
          <cell r="O5">
            <v>100</v>
          </cell>
          <cell r="P5">
            <v>73.55</v>
          </cell>
          <cell r="Q5">
            <v>104.73519999999999</v>
          </cell>
        </row>
        <row r="6">
          <cell r="A6">
            <v>70000005</v>
          </cell>
          <cell r="B6" t="str">
            <v>PAINT</v>
          </cell>
          <cell r="C6" t="str">
            <v>Red Spot</v>
          </cell>
          <cell r="D6" t="str">
            <v>206LE340C</v>
          </cell>
          <cell r="E6" t="str">
            <v>NEW HYPER SILVER MET 2K URETHANE BASECOAT</v>
          </cell>
          <cell r="G6" t="str">
            <v>gallon</v>
          </cell>
          <cell r="H6">
            <v>167.33</v>
          </cell>
          <cell r="I6">
            <v>123.37</v>
          </cell>
          <cell r="J6">
            <v>92.03</v>
          </cell>
          <cell r="K6">
            <v>90.19</v>
          </cell>
          <cell r="L6">
            <v>88.35</v>
          </cell>
          <cell r="M6" t="str">
            <v>USD</v>
          </cell>
          <cell r="N6" t="str">
            <v>active</v>
          </cell>
          <cell r="O6">
            <v>300</v>
          </cell>
          <cell r="P6">
            <v>90.19</v>
          </cell>
          <cell r="Q6">
            <v>128.43055999999999</v>
          </cell>
        </row>
        <row r="7">
          <cell r="A7">
            <v>70000006</v>
          </cell>
          <cell r="B7" t="str">
            <v>PAINT</v>
          </cell>
          <cell r="C7" t="str">
            <v>Red Spot</v>
          </cell>
          <cell r="D7" t="str">
            <v>206LE371E</v>
          </cell>
          <cell r="E7" t="str">
            <v>WHITE PEARL/VEGAS TRICOAT 2K URETHANE BASECOAT</v>
          </cell>
          <cell r="G7" t="str">
            <v>gallon</v>
          </cell>
          <cell r="H7">
            <v>149.15</v>
          </cell>
          <cell r="I7">
            <v>109.96</v>
          </cell>
          <cell r="J7">
            <v>82.03</v>
          </cell>
          <cell r="K7">
            <v>80.39</v>
          </cell>
          <cell r="L7">
            <v>78.75</v>
          </cell>
          <cell r="M7" t="str">
            <v>USD</v>
          </cell>
          <cell r="N7" t="str">
            <v>active</v>
          </cell>
          <cell r="O7">
            <v>100</v>
          </cell>
          <cell r="P7">
            <v>82.03</v>
          </cell>
          <cell r="Q7">
            <v>116.81071999999999</v>
          </cell>
        </row>
        <row r="8">
          <cell r="A8">
            <v>70000007</v>
          </cell>
          <cell r="B8" t="str">
            <v>PAINT</v>
          </cell>
          <cell r="C8" t="str">
            <v>Red Spot</v>
          </cell>
          <cell r="D8" t="str">
            <v>206LE372E</v>
          </cell>
          <cell r="E8" t="str">
            <v>WHITE PEARL/VEGAS TRICOAT 2K URETHANE PEARLCOAT</v>
          </cell>
          <cell r="G8" t="str">
            <v>gallon</v>
          </cell>
          <cell r="H8">
            <v>174.72</v>
          </cell>
          <cell r="I8">
            <v>128.82</v>
          </cell>
          <cell r="J8">
            <v>96.1</v>
          </cell>
          <cell r="K8">
            <v>94.18</v>
          </cell>
          <cell r="L8">
            <v>92.25</v>
          </cell>
          <cell r="M8" t="str">
            <v>USD</v>
          </cell>
          <cell r="N8" t="str">
            <v>active</v>
          </cell>
          <cell r="O8">
            <v>150</v>
          </cell>
          <cell r="P8">
            <v>96.1</v>
          </cell>
          <cell r="Q8">
            <v>136.84639999999999</v>
          </cell>
        </row>
        <row r="9">
          <cell r="A9">
            <v>70000008</v>
          </cell>
          <cell r="B9" t="str">
            <v>PAINT</v>
          </cell>
          <cell r="C9" t="str">
            <v>Red Spot</v>
          </cell>
          <cell r="D9" t="str">
            <v>379S132</v>
          </cell>
          <cell r="E9" t="str">
            <v>MIDGLOSS 2K CLEARCOAT</v>
          </cell>
          <cell r="F9"/>
          <cell r="G9" t="str">
            <v>gallon</v>
          </cell>
          <cell r="H9">
            <v>100.87</v>
          </cell>
          <cell r="I9">
            <v>74.37</v>
          </cell>
          <cell r="J9">
            <v>55.48</v>
          </cell>
          <cell r="K9">
            <v>54.37</v>
          </cell>
          <cell r="L9">
            <v>53.26</v>
          </cell>
          <cell r="M9" t="str">
            <v>USD</v>
          </cell>
          <cell r="N9" t="str">
            <v>inactive</v>
          </cell>
          <cell r="O9" t="e">
            <v>#N/A</v>
          </cell>
          <cell r="P9"/>
          <cell r="Q9"/>
        </row>
        <row r="10">
          <cell r="A10">
            <v>70000009</v>
          </cell>
          <cell r="B10" t="str">
            <v>PAINT</v>
          </cell>
          <cell r="C10" t="str">
            <v>Red Spot</v>
          </cell>
          <cell r="D10" t="str">
            <v>379S21654TEK</v>
          </cell>
          <cell r="E10" t="str">
            <v>REDUCED HIGH GLOSS 2K POLYURETHANE CLEARCOAT</v>
          </cell>
          <cell r="F10">
            <v>400</v>
          </cell>
          <cell r="G10" t="str">
            <v>gallon</v>
          </cell>
          <cell r="H10">
            <v>110.77</v>
          </cell>
          <cell r="I10">
            <v>81.67</v>
          </cell>
          <cell r="J10">
            <v>60.92</v>
          </cell>
          <cell r="K10">
            <v>59.7</v>
          </cell>
          <cell r="L10">
            <v>58.49</v>
          </cell>
          <cell r="M10" t="str">
            <v>USD</v>
          </cell>
          <cell r="N10" t="str">
            <v>active</v>
          </cell>
          <cell r="O10">
            <v>600</v>
          </cell>
          <cell r="P10">
            <v>58.49</v>
          </cell>
          <cell r="Q10">
            <v>83.289760000000001</v>
          </cell>
        </row>
        <row r="11">
          <cell r="A11">
            <v>70000010</v>
          </cell>
          <cell r="B11" t="str">
            <v>PAINT</v>
          </cell>
          <cell r="C11" t="str">
            <v>Red Spot</v>
          </cell>
          <cell r="D11" t="str">
            <v>830S288E</v>
          </cell>
          <cell r="E11" t="str">
            <v>LY7M ALUMINUM SILVER MET. 1K LOW BAKE BC</v>
          </cell>
          <cell r="F11"/>
          <cell r="G11" t="str">
            <v>gallon</v>
          </cell>
          <cell r="H11">
            <v>131.27000000000001</v>
          </cell>
          <cell r="I11">
            <v>96.78</v>
          </cell>
          <cell r="J11">
            <v>72.2</v>
          </cell>
          <cell r="K11">
            <v>70.760000000000005</v>
          </cell>
          <cell r="L11">
            <v>69.31</v>
          </cell>
          <cell r="M11" t="str">
            <v>USD</v>
          </cell>
          <cell r="N11" t="str">
            <v>inactive</v>
          </cell>
          <cell r="O11" t="e">
            <v>#N/A</v>
          </cell>
          <cell r="P11"/>
          <cell r="Q11"/>
        </row>
        <row r="12">
          <cell r="A12">
            <v>70000011</v>
          </cell>
          <cell r="B12" t="str">
            <v>PAINT</v>
          </cell>
          <cell r="C12" t="str">
            <v>Red Spot</v>
          </cell>
          <cell r="D12" t="str">
            <v>830S2EF</v>
          </cell>
          <cell r="E12" t="str">
            <v>UNIVERSAL BLACK 1K LOW BAKE BASECOAT</v>
          </cell>
          <cell r="G12" t="str">
            <v>gallon</v>
          </cell>
          <cell r="H12">
            <v>102.33</v>
          </cell>
          <cell r="I12">
            <v>75.44</v>
          </cell>
          <cell r="J12">
            <v>56.28</v>
          </cell>
          <cell r="K12">
            <v>55.15</v>
          </cell>
          <cell r="L12">
            <v>54.03</v>
          </cell>
          <cell r="M12" t="str">
            <v>USD</v>
          </cell>
          <cell r="N12" t="str">
            <v>active</v>
          </cell>
          <cell r="O12">
            <v>100</v>
          </cell>
          <cell r="P12">
            <v>56.28</v>
          </cell>
          <cell r="Q12">
            <v>80.142719999999997</v>
          </cell>
        </row>
        <row r="13">
          <cell r="A13">
            <v>70000012</v>
          </cell>
          <cell r="B13" t="str">
            <v>PAINT</v>
          </cell>
          <cell r="C13" t="str">
            <v>Red Spot</v>
          </cell>
          <cell r="D13" t="str">
            <v>ARC-29538MG-GRAY</v>
          </cell>
          <cell r="E13" t="str">
            <v>LOW GLOSS CONDUCTIVE GRAY</v>
          </cell>
          <cell r="G13" t="str">
            <v>gallon</v>
          </cell>
          <cell r="H13">
            <v>108.64</v>
          </cell>
          <cell r="I13">
            <v>80.099999999999994</v>
          </cell>
          <cell r="J13">
            <v>59.75</v>
          </cell>
          <cell r="K13">
            <v>58.56</v>
          </cell>
          <cell r="L13">
            <v>57.36</v>
          </cell>
          <cell r="M13" t="str">
            <v>USD</v>
          </cell>
          <cell r="N13" t="str">
            <v>active</v>
          </cell>
          <cell r="O13">
            <v>100</v>
          </cell>
          <cell r="P13">
            <v>59.75</v>
          </cell>
          <cell r="Q13">
            <v>85.083999999999989</v>
          </cell>
        </row>
        <row r="14">
          <cell r="A14">
            <v>70000013</v>
          </cell>
          <cell r="B14" t="str">
            <v>PAINT</v>
          </cell>
          <cell r="C14" t="str">
            <v>Red Spot</v>
          </cell>
          <cell r="D14" t="str">
            <v>LE16225</v>
          </cell>
          <cell r="E14" t="str">
            <v>CLEAR OLEFINIC PRIMER</v>
          </cell>
          <cell r="F14"/>
          <cell r="G14" t="str">
            <v>gallon</v>
          </cell>
          <cell r="H14">
            <v>81.59</v>
          </cell>
          <cell r="I14">
            <v>60.15</v>
          </cell>
          <cell r="J14">
            <v>44.87</v>
          </cell>
          <cell r="K14">
            <v>43.98</v>
          </cell>
          <cell r="L14">
            <v>43.08</v>
          </cell>
          <cell r="M14" t="str">
            <v>USD</v>
          </cell>
          <cell r="N14" t="str">
            <v>inactive</v>
          </cell>
          <cell r="O14" t="e">
            <v>#N/A</v>
          </cell>
          <cell r="P14"/>
          <cell r="Q14"/>
        </row>
        <row r="15">
          <cell r="A15">
            <v>70000014</v>
          </cell>
          <cell r="B15" t="str">
            <v>PAINT</v>
          </cell>
          <cell r="C15" t="str">
            <v>Red Spot</v>
          </cell>
          <cell r="D15" t="str">
            <v>206LE1135C</v>
          </cell>
          <cell r="E15" t="str">
            <v>B-488 BRITISH GREEN MET 2K BASECOAT</v>
          </cell>
          <cell r="G15" t="str">
            <v>gallon</v>
          </cell>
          <cell r="H15">
            <v>201.18</v>
          </cell>
          <cell r="I15">
            <v>148.32</v>
          </cell>
          <cell r="J15">
            <v>110.65</v>
          </cell>
          <cell r="K15">
            <v>108.44</v>
          </cell>
          <cell r="L15">
            <v>106.22</v>
          </cell>
          <cell r="M15" t="str">
            <v>USD</v>
          </cell>
          <cell r="N15" t="str">
            <v>active</v>
          </cell>
          <cell r="O15">
            <v>100</v>
          </cell>
          <cell r="P15">
            <v>110.65</v>
          </cell>
          <cell r="Q15">
            <v>157.56559999999999</v>
          </cell>
        </row>
        <row r="16">
          <cell r="A16">
            <v>70000015</v>
          </cell>
          <cell r="B16" t="str">
            <v>PAINT</v>
          </cell>
          <cell r="C16" t="str">
            <v>Red Spot</v>
          </cell>
          <cell r="D16" t="str">
            <v>LE16610HSN</v>
          </cell>
          <cell r="E16" t="str">
            <v>ADHESION PROMOTER ELECTROSTATIC PREP COAT</v>
          </cell>
          <cell r="G16" t="str">
            <v>gallon</v>
          </cell>
          <cell r="H16">
            <v>99.18</v>
          </cell>
          <cell r="I16">
            <v>73.12</v>
          </cell>
          <cell r="J16">
            <v>54.55</v>
          </cell>
          <cell r="K16">
            <v>53.46</v>
          </cell>
          <cell r="L16">
            <v>52.37</v>
          </cell>
          <cell r="M16" t="str">
            <v>USD</v>
          </cell>
          <cell r="N16" t="str">
            <v>active</v>
          </cell>
          <cell r="O16">
            <v>100</v>
          </cell>
          <cell r="P16">
            <v>54.55</v>
          </cell>
          <cell r="Q16">
            <v>77.679199999999994</v>
          </cell>
        </row>
        <row r="17">
          <cell r="A17">
            <v>70000016</v>
          </cell>
          <cell r="B17" t="str">
            <v>PAINT</v>
          </cell>
          <cell r="C17" t="str">
            <v>Red Spot</v>
          </cell>
          <cell r="D17" t="str">
            <v>P0061136</v>
          </cell>
          <cell r="E17" t="str">
            <v>FLATTING AGENT</v>
          </cell>
          <cell r="G17" t="str">
            <v>lb</v>
          </cell>
          <cell r="H17">
            <v>13.43</v>
          </cell>
          <cell r="M17" t="str">
            <v>USD</v>
          </cell>
          <cell r="N17" t="str">
            <v>active</v>
          </cell>
          <cell r="O17">
            <v>66</v>
          </cell>
          <cell r="P17">
            <v>13.43</v>
          </cell>
          <cell r="Q17">
            <v>19.124319999999997</v>
          </cell>
        </row>
        <row r="18">
          <cell r="A18">
            <v>70000017</v>
          </cell>
          <cell r="B18" t="str">
            <v>PAINT</v>
          </cell>
          <cell r="C18" t="str">
            <v>Red Spot</v>
          </cell>
          <cell r="D18" t="str">
            <v>379S169</v>
          </cell>
          <cell r="E18" t="str">
            <v>25 GLOSS LOW GLOSS 2K CLEARCOAT</v>
          </cell>
          <cell r="G18" t="str">
            <v>gallon</v>
          </cell>
          <cell r="H18">
            <v>115.8</v>
          </cell>
          <cell r="I18">
            <v>85.37</v>
          </cell>
          <cell r="J18">
            <v>63.69</v>
          </cell>
          <cell r="K18">
            <v>62.41</v>
          </cell>
          <cell r="L18">
            <v>61.14</v>
          </cell>
          <cell r="M18" t="str">
            <v>USD</v>
          </cell>
          <cell r="N18" t="str">
            <v>active</v>
          </cell>
          <cell r="O18">
            <v>100</v>
          </cell>
          <cell r="P18">
            <v>63.69</v>
          </cell>
          <cell r="Q18">
            <v>90.694559999999996</v>
          </cell>
        </row>
        <row r="19">
          <cell r="A19">
            <v>70000018</v>
          </cell>
          <cell r="B19" t="str">
            <v>PAINT</v>
          </cell>
          <cell r="C19" t="str">
            <v>Red Spot</v>
          </cell>
          <cell r="D19" t="str">
            <v>LE9426FB</v>
          </cell>
          <cell r="E19" t="str">
            <v>URETHANE HARDENER</v>
          </cell>
          <cell r="F19">
            <v>55</v>
          </cell>
          <cell r="G19" t="str">
            <v>gallon</v>
          </cell>
          <cell r="H19">
            <v>65.349999999999994</v>
          </cell>
          <cell r="I19">
            <v>65.349999999999994</v>
          </cell>
          <cell r="J19">
            <v>65.349999999999994</v>
          </cell>
          <cell r="K19">
            <v>65.34</v>
          </cell>
          <cell r="L19">
            <v>65.349999999999994</v>
          </cell>
          <cell r="M19" t="str">
            <v>USD</v>
          </cell>
          <cell r="N19" t="str">
            <v>active</v>
          </cell>
          <cell r="O19">
            <v>220</v>
          </cell>
          <cell r="P19">
            <v>65.349999999999994</v>
          </cell>
          <cell r="Q19">
            <v>93.058399999999992</v>
          </cell>
        </row>
        <row r="20">
          <cell r="A20">
            <v>70000019</v>
          </cell>
          <cell r="B20" t="str">
            <v>PAINT</v>
          </cell>
          <cell r="C20" t="str">
            <v>Red Spot</v>
          </cell>
          <cell r="D20" t="str">
            <v>206LE19688C</v>
          </cell>
          <cell r="E20" t="str">
            <v>EBONY BLACK 2K BASECOAT</v>
          </cell>
          <cell r="G20" t="str">
            <v>gallon</v>
          </cell>
          <cell r="H20">
            <v>135.93</v>
          </cell>
          <cell r="I20">
            <v>100.21</v>
          </cell>
          <cell r="J20">
            <v>74.760000000000005</v>
          </cell>
          <cell r="K20">
            <v>73.27</v>
          </cell>
          <cell r="L20">
            <v>71.77</v>
          </cell>
          <cell r="M20" t="str">
            <v>USD</v>
          </cell>
          <cell r="N20" t="str">
            <v>active</v>
          </cell>
          <cell r="O20">
            <v>100</v>
          </cell>
          <cell r="P20">
            <v>74.760000000000005</v>
          </cell>
          <cell r="Q20">
            <v>106.45824</v>
          </cell>
        </row>
        <row r="21">
          <cell r="A21">
            <v>70000020</v>
          </cell>
          <cell r="B21" t="str">
            <v>PAINT</v>
          </cell>
          <cell r="C21" t="str">
            <v>Red Spot</v>
          </cell>
          <cell r="D21" t="str">
            <v>206LE172CC</v>
          </cell>
          <cell r="E21" t="str">
            <v>WA501Q CARBON FLASH MET. 2K BASECOAT</v>
          </cell>
          <cell r="G21" t="str">
            <v>gallon</v>
          </cell>
          <cell r="H21">
            <v>214.36</v>
          </cell>
          <cell r="I21">
            <v>158.04</v>
          </cell>
          <cell r="J21">
            <v>117.9</v>
          </cell>
          <cell r="K21">
            <v>115.54</v>
          </cell>
          <cell r="L21">
            <v>113.18</v>
          </cell>
          <cell r="M21" t="str">
            <v>USD</v>
          </cell>
          <cell r="N21" t="str">
            <v>active</v>
          </cell>
          <cell r="O21">
            <v>100</v>
          </cell>
          <cell r="P21">
            <v>117.9</v>
          </cell>
          <cell r="Q21">
            <v>167.8896</v>
          </cell>
        </row>
        <row r="22">
          <cell r="A22">
            <v>70000021</v>
          </cell>
          <cell r="B22" t="str">
            <v>PAINT</v>
          </cell>
          <cell r="C22" t="str">
            <v>NB Coatings</v>
          </cell>
          <cell r="D22">
            <v>10194173</v>
          </cell>
          <cell r="E22" t="str">
            <v>2004-C  2KC/ 5 GAL</v>
          </cell>
          <cell r="F22"/>
          <cell r="G22" t="str">
            <v>gallon</v>
          </cell>
          <cell r="H22">
            <v>63.832920000000001</v>
          </cell>
          <cell r="I22"/>
          <cell r="J22"/>
          <cell r="K22"/>
          <cell r="L22"/>
          <cell r="M22" t="str">
            <v>USD</v>
          </cell>
          <cell r="N22" t="str">
            <v>inactive</v>
          </cell>
          <cell r="O22"/>
          <cell r="P22"/>
          <cell r="Q22"/>
        </row>
        <row r="23">
          <cell r="A23">
            <v>70000022</v>
          </cell>
          <cell r="B23" t="str">
            <v>PAINT</v>
          </cell>
          <cell r="C23" t="str">
            <v>NB Coatings</v>
          </cell>
          <cell r="D23">
            <v>10194176</v>
          </cell>
          <cell r="E23" t="str">
            <v>2003-C   2KB/ 50 GAL</v>
          </cell>
          <cell r="F23"/>
          <cell r="G23" t="str">
            <v>gallon</v>
          </cell>
          <cell r="H23">
            <v>98.990000000000009</v>
          </cell>
          <cell r="I23"/>
          <cell r="J23"/>
          <cell r="K23"/>
          <cell r="L23"/>
          <cell r="M23" t="str">
            <v>USD</v>
          </cell>
          <cell r="N23" t="str">
            <v>inactive</v>
          </cell>
          <cell r="O23"/>
          <cell r="P23">
            <v>98.990000000000009</v>
          </cell>
          <cell r="Q23">
            <v>140.96176</v>
          </cell>
        </row>
        <row r="24">
          <cell r="A24">
            <v>70000023</v>
          </cell>
          <cell r="B24" t="str">
            <v>PAINT</v>
          </cell>
          <cell r="C24" t="str">
            <v>NB Coatings</v>
          </cell>
          <cell r="D24">
            <v>10194177</v>
          </cell>
          <cell r="E24" t="str">
            <v>2003-C  2KB/ 5 GAL</v>
          </cell>
          <cell r="F24"/>
          <cell r="G24" t="str">
            <v>gallon</v>
          </cell>
          <cell r="H24">
            <v>100.8656</v>
          </cell>
          <cell r="I24"/>
          <cell r="J24"/>
          <cell r="K24"/>
          <cell r="L24"/>
          <cell r="M24" t="str">
            <v>USD</v>
          </cell>
          <cell r="N24" t="str">
            <v>inactive</v>
          </cell>
          <cell r="O24"/>
          <cell r="P24"/>
          <cell r="Q24">
            <v>0</v>
          </cell>
        </row>
        <row r="25">
          <cell r="A25">
            <v>70000024</v>
          </cell>
          <cell r="B25" t="str">
            <v>PAINT</v>
          </cell>
          <cell r="C25" t="str">
            <v>NB Coatings</v>
          </cell>
          <cell r="D25">
            <v>10275026</v>
          </cell>
          <cell r="E25" t="str">
            <v>HP 21054HSRG/40 GAL</v>
          </cell>
          <cell r="F25"/>
          <cell r="G25" t="str">
            <v>gallon</v>
          </cell>
          <cell r="H25">
            <v>63.166040000000002</v>
          </cell>
          <cell r="I25"/>
          <cell r="J25"/>
          <cell r="K25"/>
          <cell r="L25"/>
          <cell r="M25" t="str">
            <v>USD</v>
          </cell>
          <cell r="N25" t="str">
            <v>inactive</v>
          </cell>
          <cell r="O25"/>
          <cell r="P25"/>
          <cell r="Q25"/>
        </row>
        <row r="26">
          <cell r="A26">
            <v>70000025</v>
          </cell>
          <cell r="B26" t="str">
            <v>PAINT</v>
          </cell>
          <cell r="C26" t="str">
            <v>NB Coatings</v>
          </cell>
          <cell r="D26">
            <v>10275611</v>
          </cell>
          <cell r="E26" t="str">
            <v>89238CC  2KB/5 GAL Summit White</v>
          </cell>
          <cell r="G26" t="str">
            <v>gallon</v>
          </cell>
          <cell r="H26">
            <v>113.03616000000001</v>
          </cell>
          <cell r="M26" t="str">
            <v>USD</v>
          </cell>
          <cell r="N26" t="str">
            <v>active</v>
          </cell>
          <cell r="P26">
            <v>113.03616000000001</v>
          </cell>
          <cell r="Q26">
            <v>160.96349184000002</v>
          </cell>
        </row>
        <row r="27">
          <cell r="A27">
            <v>70000026</v>
          </cell>
          <cell r="B27" t="str">
            <v>PAINT</v>
          </cell>
          <cell r="C27" t="str">
            <v>NB Coatings</v>
          </cell>
          <cell r="D27">
            <v>10310531</v>
          </cell>
          <cell r="E27" t="str">
            <v>08007CC           2KB/5 GAL/5004</v>
          </cell>
          <cell r="F27"/>
          <cell r="G27" t="str">
            <v>gallon</v>
          </cell>
          <cell r="H27">
            <v>84.923000000000002</v>
          </cell>
          <cell r="I27"/>
          <cell r="J27"/>
          <cell r="K27"/>
          <cell r="L27"/>
          <cell r="M27" t="str">
            <v>USD</v>
          </cell>
          <cell r="N27" t="str">
            <v>inactive</v>
          </cell>
          <cell r="O27"/>
          <cell r="P27"/>
          <cell r="Q27"/>
        </row>
        <row r="28">
          <cell r="A28">
            <v>70000027</v>
          </cell>
          <cell r="B28" t="str">
            <v>PAINT</v>
          </cell>
          <cell r="C28" t="str">
            <v>NB Coatings</v>
          </cell>
          <cell r="D28">
            <v>10601720</v>
          </cell>
          <cell r="E28" t="str">
            <v>R   1900  CD/25 GAL</v>
          </cell>
          <cell r="F28"/>
          <cell r="G28" t="str">
            <v>gallon</v>
          </cell>
          <cell r="H28">
            <v>63.166040000000002</v>
          </cell>
          <cell r="I28"/>
          <cell r="J28"/>
          <cell r="K28"/>
          <cell r="L28"/>
          <cell r="M28" t="str">
            <v>USD</v>
          </cell>
          <cell r="N28" t="str">
            <v>inactive</v>
          </cell>
          <cell r="O28"/>
          <cell r="P28"/>
          <cell r="Q28"/>
        </row>
        <row r="29">
          <cell r="A29">
            <v>70000028</v>
          </cell>
          <cell r="B29" t="str">
            <v>PAINT</v>
          </cell>
          <cell r="C29" t="str">
            <v>NB Coatings</v>
          </cell>
          <cell r="D29">
            <v>10602866</v>
          </cell>
          <cell r="E29" t="str">
            <v>08007 CC     2     KB/5 GAL</v>
          </cell>
          <cell r="F29"/>
          <cell r="G29" t="str">
            <v>gallon</v>
          </cell>
          <cell r="H29">
            <v>84.923000000000002</v>
          </cell>
          <cell r="I29"/>
          <cell r="J29"/>
          <cell r="K29"/>
          <cell r="L29"/>
          <cell r="M29" t="str">
            <v>USD</v>
          </cell>
          <cell r="N29" t="str">
            <v>inactive</v>
          </cell>
          <cell r="O29"/>
          <cell r="P29"/>
          <cell r="Q29"/>
        </row>
        <row r="30">
          <cell r="A30">
            <v>70000029</v>
          </cell>
          <cell r="B30" t="str">
            <v>PAINT</v>
          </cell>
          <cell r="C30" t="str">
            <v>NB Coatings</v>
          </cell>
          <cell r="D30">
            <v>10602938</v>
          </cell>
          <cell r="E30" t="str">
            <v>C   775PAA/ 5 GAL Catalyst 775PAA</v>
          </cell>
          <cell r="G30" t="str">
            <v>gallon</v>
          </cell>
          <cell r="H30">
            <v>100.8656</v>
          </cell>
          <cell r="M30" t="str">
            <v>USD</v>
          </cell>
          <cell r="N30" t="str">
            <v>active</v>
          </cell>
          <cell r="P30">
            <v>100.8656</v>
          </cell>
          <cell r="Q30">
            <v>143.63261439999999</v>
          </cell>
        </row>
        <row r="31">
          <cell r="A31">
            <v>70000030</v>
          </cell>
          <cell r="B31" t="str">
            <v>PAINT</v>
          </cell>
          <cell r="C31" t="str">
            <v>NB Coatings</v>
          </cell>
          <cell r="D31">
            <v>10603326</v>
          </cell>
          <cell r="E31" t="str">
            <v>HP 21054HSRG/5 GAL</v>
          </cell>
          <cell r="F31"/>
          <cell r="G31" t="str">
            <v>gallon</v>
          </cell>
          <cell r="H31">
            <v>64.364339999999999</v>
          </cell>
          <cell r="I31"/>
          <cell r="J31"/>
          <cell r="K31"/>
          <cell r="L31"/>
          <cell r="M31" t="str">
            <v>USD</v>
          </cell>
          <cell r="N31" t="str">
            <v>inactive</v>
          </cell>
          <cell r="O31"/>
          <cell r="P31"/>
          <cell r="Q31"/>
        </row>
        <row r="32">
          <cell r="A32">
            <v>70000031</v>
          </cell>
          <cell r="B32" t="str">
            <v>PAINT</v>
          </cell>
          <cell r="C32" t="str">
            <v>NB Coatings</v>
          </cell>
          <cell r="D32">
            <v>10603763</v>
          </cell>
          <cell r="E32" t="str">
            <v>HP 21054HSRG/40 GAL</v>
          </cell>
          <cell r="F32"/>
          <cell r="G32" t="str">
            <v>gallon</v>
          </cell>
          <cell r="H32">
            <v>64.364339999999999</v>
          </cell>
          <cell r="I32"/>
          <cell r="J32"/>
          <cell r="K32"/>
          <cell r="L32"/>
          <cell r="M32" t="str">
            <v>USD</v>
          </cell>
          <cell r="N32" t="str">
            <v>inactive</v>
          </cell>
          <cell r="O32"/>
          <cell r="P32"/>
          <cell r="Q32"/>
        </row>
        <row r="33">
          <cell r="A33">
            <v>70000032</v>
          </cell>
          <cell r="B33" t="str">
            <v>PAINT</v>
          </cell>
          <cell r="C33" t="str">
            <v>NB Coatings</v>
          </cell>
          <cell r="D33">
            <v>10603877</v>
          </cell>
          <cell r="E33" t="str">
            <v>87288 SR  R  798/5 GAL</v>
          </cell>
          <cell r="F33"/>
          <cell r="G33" t="str">
            <v>gallon</v>
          </cell>
          <cell r="H33">
            <v>145.75496000000001</v>
          </cell>
          <cell r="I33"/>
          <cell r="J33"/>
          <cell r="K33"/>
          <cell r="L33"/>
          <cell r="M33" t="str">
            <v>USD</v>
          </cell>
          <cell r="N33" t="str">
            <v>inactive</v>
          </cell>
          <cell r="O33"/>
          <cell r="P33"/>
          <cell r="Q33"/>
        </row>
        <row r="34">
          <cell r="A34">
            <v>70000033</v>
          </cell>
          <cell r="B34" t="str">
            <v>PAINT</v>
          </cell>
          <cell r="C34" t="str">
            <v>NB Coatings</v>
          </cell>
          <cell r="D34">
            <v>10603944</v>
          </cell>
          <cell r="E34" t="str">
            <v>08018SR      R   798/5 GAL</v>
          </cell>
          <cell r="F34"/>
          <cell r="G34" t="str">
            <v>gallon</v>
          </cell>
          <cell r="H34">
            <v>142.04543999999999</v>
          </cell>
          <cell r="I34"/>
          <cell r="J34"/>
          <cell r="K34"/>
          <cell r="L34"/>
          <cell r="M34" t="str">
            <v>USD</v>
          </cell>
          <cell r="N34" t="str">
            <v>inactive</v>
          </cell>
          <cell r="O34"/>
          <cell r="P34"/>
          <cell r="Q34"/>
        </row>
        <row r="35">
          <cell r="A35">
            <v>70000034</v>
          </cell>
          <cell r="B35" t="str">
            <v>PAINT</v>
          </cell>
          <cell r="C35" t="str">
            <v>NB Coatings</v>
          </cell>
          <cell r="D35">
            <v>10604104</v>
          </cell>
          <cell r="E35" t="str">
            <v>P 67331-1/ 30 GAL</v>
          </cell>
          <cell r="F35"/>
          <cell r="G35" t="str">
            <v>gallon</v>
          </cell>
          <cell r="H35">
            <v>65.854399999999998</v>
          </cell>
          <cell r="I35"/>
          <cell r="J35"/>
          <cell r="K35"/>
          <cell r="L35"/>
          <cell r="M35" t="str">
            <v>USD</v>
          </cell>
          <cell r="N35" t="str">
            <v>inactive</v>
          </cell>
          <cell r="O35"/>
          <cell r="P35"/>
          <cell r="Q35"/>
        </row>
        <row r="36">
          <cell r="A36">
            <v>70000035</v>
          </cell>
          <cell r="B36" t="str">
            <v>PAINT</v>
          </cell>
          <cell r="C36" t="str">
            <v>NB Coatings</v>
          </cell>
          <cell r="D36">
            <v>10604617</v>
          </cell>
          <cell r="E36" t="str">
            <v>60230     R   798/5 GAL</v>
          </cell>
          <cell r="F36"/>
          <cell r="G36" t="str">
            <v>gallon</v>
          </cell>
          <cell r="H36">
            <v>107.15928000000001</v>
          </cell>
          <cell r="I36"/>
          <cell r="J36"/>
          <cell r="K36"/>
          <cell r="L36"/>
          <cell r="M36" t="str">
            <v>USD</v>
          </cell>
          <cell r="N36" t="str">
            <v>inactive</v>
          </cell>
          <cell r="O36"/>
          <cell r="P36"/>
          <cell r="Q36"/>
        </row>
        <row r="37">
          <cell r="A37">
            <v>70000036</v>
          </cell>
          <cell r="B37" t="str">
            <v>PAINT</v>
          </cell>
          <cell r="C37" t="str">
            <v>NB Coatings</v>
          </cell>
          <cell r="D37">
            <v>10606259</v>
          </cell>
          <cell r="E37" t="str">
            <v>10055     UR 667/5 GAL</v>
          </cell>
          <cell r="F37"/>
          <cell r="G37" t="str">
            <v>gallon</v>
          </cell>
          <cell r="H37">
            <v>79.838040000000007</v>
          </cell>
          <cell r="I37"/>
          <cell r="J37"/>
          <cell r="K37"/>
          <cell r="L37"/>
          <cell r="M37" t="str">
            <v>USD</v>
          </cell>
          <cell r="N37" t="str">
            <v>inactive</v>
          </cell>
          <cell r="O37"/>
          <cell r="P37"/>
          <cell r="Q37"/>
        </row>
        <row r="38">
          <cell r="A38">
            <v>70000037</v>
          </cell>
          <cell r="B38" t="str">
            <v>PAINT</v>
          </cell>
          <cell r="C38" t="str">
            <v>NB Coatings</v>
          </cell>
          <cell r="D38">
            <v>10606755</v>
          </cell>
          <cell r="E38" t="str">
            <v>09005 CC  UR 667/5 GAL</v>
          </cell>
          <cell r="F38"/>
          <cell r="G38" t="str">
            <v>gallon</v>
          </cell>
          <cell r="H38">
            <v>136.41863999999998</v>
          </cell>
          <cell r="I38"/>
          <cell r="J38"/>
          <cell r="K38"/>
          <cell r="L38"/>
          <cell r="M38" t="str">
            <v>USD</v>
          </cell>
          <cell r="N38" t="str">
            <v>inactive</v>
          </cell>
          <cell r="O38"/>
          <cell r="P38"/>
          <cell r="Q38"/>
        </row>
        <row r="39">
          <cell r="A39">
            <v>70000038</v>
          </cell>
          <cell r="B39" t="str">
            <v>PAINT</v>
          </cell>
          <cell r="C39" t="str">
            <v>NB Coatings</v>
          </cell>
          <cell r="D39">
            <v>10606756</v>
          </cell>
          <cell r="E39" t="str">
            <v>89238 CC  UR 667/5 GAL</v>
          </cell>
          <cell r="F39"/>
          <cell r="G39" t="str">
            <v>gallon</v>
          </cell>
          <cell r="H39">
            <v>152.48628000000002</v>
          </cell>
          <cell r="I39"/>
          <cell r="J39"/>
          <cell r="K39"/>
          <cell r="L39"/>
          <cell r="M39" t="str">
            <v>USD</v>
          </cell>
          <cell r="N39" t="str">
            <v>inactive</v>
          </cell>
          <cell r="O39"/>
          <cell r="P39"/>
          <cell r="Q39"/>
        </row>
        <row r="40">
          <cell r="A40">
            <v>70000039</v>
          </cell>
          <cell r="B40" t="str">
            <v>PAINT</v>
          </cell>
          <cell r="C40" t="str">
            <v>NB Coatings</v>
          </cell>
          <cell r="D40">
            <v>10606912</v>
          </cell>
          <cell r="E40" t="str">
            <v>88273     UR 667/5 GAL</v>
          </cell>
          <cell r="F40"/>
          <cell r="G40" t="str">
            <v>gallon</v>
          </cell>
          <cell r="H40">
            <v>73.190079999999995</v>
          </cell>
          <cell r="I40"/>
          <cell r="J40"/>
          <cell r="K40"/>
          <cell r="L40"/>
          <cell r="M40" t="str">
            <v>USD</v>
          </cell>
          <cell r="N40" t="str">
            <v>inactive</v>
          </cell>
          <cell r="O40"/>
          <cell r="P40"/>
          <cell r="Q40"/>
        </row>
        <row r="41">
          <cell r="A41">
            <v>70000040</v>
          </cell>
          <cell r="B41" t="str">
            <v>PAINT</v>
          </cell>
          <cell r="C41" t="str">
            <v>NB Coatings</v>
          </cell>
          <cell r="D41">
            <v>10607122</v>
          </cell>
          <cell r="E41" t="str">
            <v>R  788   LM/40 GAL</v>
          </cell>
          <cell r="F41"/>
          <cell r="G41" t="str">
            <v>gallon</v>
          </cell>
          <cell r="H41">
            <v>58.4041</v>
          </cell>
          <cell r="I41"/>
          <cell r="J41"/>
          <cell r="K41"/>
          <cell r="L41"/>
          <cell r="M41" t="str">
            <v>USD</v>
          </cell>
          <cell r="N41" t="str">
            <v>inactive</v>
          </cell>
          <cell r="O41"/>
          <cell r="P41"/>
          <cell r="Q41"/>
        </row>
        <row r="42">
          <cell r="A42">
            <v>70000041</v>
          </cell>
          <cell r="B42" t="str">
            <v>PAINT</v>
          </cell>
          <cell r="C42" t="str">
            <v>NB Coatings</v>
          </cell>
          <cell r="D42">
            <v>10607243</v>
          </cell>
          <cell r="E42" t="str">
            <v>DP78850/1 GAL REPACK</v>
          </cell>
          <cell r="F42"/>
          <cell r="G42" t="str">
            <v>gallon</v>
          </cell>
          <cell r="H42">
            <v>900.45471999999995</v>
          </cell>
          <cell r="I42"/>
          <cell r="J42"/>
          <cell r="K42"/>
          <cell r="L42"/>
          <cell r="M42" t="str">
            <v>USD</v>
          </cell>
          <cell r="N42" t="str">
            <v>inactive</v>
          </cell>
          <cell r="O42"/>
          <cell r="P42"/>
          <cell r="Q42"/>
        </row>
        <row r="43">
          <cell r="A43">
            <v>70000042</v>
          </cell>
          <cell r="B43" t="str">
            <v>PAINT</v>
          </cell>
          <cell r="C43" t="str">
            <v>NB Coatings</v>
          </cell>
          <cell r="D43">
            <v>10607340</v>
          </cell>
          <cell r="E43" t="str">
            <v>11006 CC  UR 667/5 GAL</v>
          </cell>
          <cell r="F43"/>
          <cell r="G43" t="str">
            <v>gallon</v>
          </cell>
          <cell r="H43">
            <v>134.85563999999999</v>
          </cell>
          <cell r="I43"/>
          <cell r="J43"/>
          <cell r="K43"/>
          <cell r="L43"/>
          <cell r="M43" t="str">
            <v>USD</v>
          </cell>
          <cell r="N43" t="str">
            <v>inactive</v>
          </cell>
          <cell r="O43"/>
          <cell r="P43"/>
          <cell r="Q43"/>
        </row>
        <row r="44">
          <cell r="A44">
            <v>70000043</v>
          </cell>
          <cell r="B44" t="str">
            <v>PAINT</v>
          </cell>
          <cell r="C44" t="str">
            <v>NB Coatings</v>
          </cell>
          <cell r="D44">
            <v>10607558</v>
          </cell>
          <cell r="E44" t="str">
            <v>12051 SR           R798/5 GAL</v>
          </cell>
          <cell r="F44"/>
          <cell r="G44" t="str">
            <v>gallon</v>
          </cell>
          <cell r="H44">
            <v>135.62672000000001</v>
          </cell>
          <cell r="I44"/>
          <cell r="J44"/>
          <cell r="K44"/>
          <cell r="L44"/>
          <cell r="M44" t="str">
            <v>USD</v>
          </cell>
          <cell r="N44" t="str">
            <v>inactive</v>
          </cell>
          <cell r="O44"/>
          <cell r="P44"/>
          <cell r="Q44"/>
        </row>
        <row r="45">
          <cell r="A45">
            <v>70000044</v>
          </cell>
          <cell r="B45" t="str">
            <v>PAINT</v>
          </cell>
          <cell r="C45" t="str">
            <v>NB Coatings</v>
          </cell>
          <cell r="D45">
            <v>10608030</v>
          </cell>
          <cell r="E45" t="str">
            <v>13015     UR 667/ 5 GAL</v>
          </cell>
          <cell r="F45"/>
          <cell r="G45" t="str">
            <v>gallon</v>
          </cell>
          <cell r="H45">
            <v>161.90595999999999</v>
          </cell>
          <cell r="I45"/>
          <cell r="J45"/>
          <cell r="K45"/>
          <cell r="L45"/>
          <cell r="M45" t="str">
            <v>USD</v>
          </cell>
          <cell r="N45" t="str">
            <v>inactive</v>
          </cell>
          <cell r="O45"/>
          <cell r="P45"/>
          <cell r="Q45"/>
        </row>
        <row r="46">
          <cell r="A46">
            <v>70000045</v>
          </cell>
          <cell r="B46" t="str">
            <v>PAINT</v>
          </cell>
          <cell r="C46" t="str">
            <v>NB Coatings</v>
          </cell>
          <cell r="D46">
            <v>10608098</v>
          </cell>
          <cell r="E46" t="str">
            <v>38522 AI     2     KB/5 GAL</v>
          </cell>
          <cell r="F46"/>
          <cell r="G46" t="str">
            <v>gallon</v>
          </cell>
          <cell r="H46">
            <v>102.19936</v>
          </cell>
          <cell r="I46"/>
          <cell r="J46"/>
          <cell r="K46"/>
          <cell r="L46"/>
          <cell r="M46" t="str">
            <v>USD</v>
          </cell>
          <cell r="N46" t="str">
            <v>inactive</v>
          </cell>
          <cell r="O46"/>
          <cell r="P46"/>
          <cell r="Q46"/>
        </row>
        <row r="47">
          <cell r="A47">
            <v>70000046</v>
          </cell>
          <cell r="B47" t="str">
            <v>PAINT</v>
          </cell>
          <cell r="C47" t="str">
            <v>NB Coatings</v>
          </cell>
          <cell r="D47">
            <v>10608380</v>
          </cell>
          <cell r="E47" t="str">
            <v>02052 BC  UR 667/5 GAL</v>
          </cell>
          <cell r="F47"/>
          <cell r="G47" t="str">
            <v>gallon</v>
          </cell>
          <cell r="H47">
            <v>155.779</v>
          </cell>
          <cell r="I47"/>
          <cell r="J47"/>
          <cell r="K47"/>
          <cell r="L47"/>
          <cell r="M47" t="str">
            <v>USD</v>
          </cell>
          <cell r="N47" t="str">
            <v>inactive</v>
          </cell>
          <cell r="O47"/>
          <cell r="P47"/>
          <cell r="Q47"/>
        </row>
        <row r="48">
          <cell r="A48">
            <v>70000047</v>
          </cell>
          <cell r="B48" t="str">
            <v>PAINT</v>
          </cell>
          <cell r="C48" t="str">
            <v>NB Coatings</v>
          </cell>
          <cell r="D48">
            <v>10608473</v>
          </cell>
          <cell r="E48" t="str">
            <v>02053 SC  UR 667/5 GAL</v>
          </cell>
          <cell r="F48"/>
          <cell r="G48" t="str">
            <v>gallon</v>
          </cell>
          <cell r="H48">
            <v>191.31120000000001</v>
          </cell>
          <cell r="I48"/>
          <cell r="J48"/>
          <cell r="K48"/>
          <cell r="L48"/>
          <cell r="M48" t="str">
            <v>USD</v>
          </cell>
          <cell r="N48" t="str">
            <v>inactive</v>
          </cell>
          <cell r="O48"/>
          <cell r="P48"/>
          <cell r="Q48"/>
        </row>
        <row r="49">
          <cell r="A49">
            <v>70000048</v>
          </cell>
          <cell r="B49" t="str">
            <v>PAINT</v>
          </cell>
          <cell r="C49" t="str">
            <v>NB Coatings</v>
          </cell>
          <cell r="D49">
            <v>10608902</v>
          </cell>
          <cell r="E49" t="str">
            <v>13003 CC  UR 667/5 GAL</v>
          </cell>
          <cell r="F49"/>
          <cell r="G49" t="str">
            <v>gallon</v>
          </cell>
          <cell r="H49">
            <v>121.51804000000001</v>
          </cell>
          <cell r="I49"/>
          <cell r="J49"/>
          <cell r="K49"/>
          <cell r="L49"/>
          <cell r="M49" t="str">
            <v>USD</v>
          </cell>
          <cell r="N49" t="str">
            <v>inactive</v>
          </cell>
          <cell r="O49"/>
          <cell r="P49"/>
          <cell r="Q49"/>
        </row>
        <row r="50">
          <cell r="A50">
            <v>70000049</v>
          </cell>
          <cell r="B50" t="str">
            <v>PAINT</v>
          </cell>
          <cell r="C50" t="str">
            <v>NB Coatings</v>
          </cell>
          <cell r="D50">
            <v>10609050</v>
          </cell>
          <cell r="E50" t="str">
            <v>14307 CC  UR 667/5 GAL</v>
          </cell>
          <cell r="F50"/>
          <cell r="G50" t="str">
            <v>gallon</v>
          </cell>
          <cell r="H50">
            <v>241.09796</v>
          </cell>
          <cell r="I50"/>
          <cell r="J50"/>
          <cell r="K50"/>
          <cell r="L50"/>
          <cell r="M50" t="str">
            <v>USD</v>
          </cell>
          <cell r="N50" t="str">
            <v>inactive</v>
          </cell>
          <cell r="O50"/>
          <cell r="P50"/>
          <cell r="Q50"/>
        </row>
        <row r="51">
          <cell r="A51">
            <v>70000050</v>
          </cell>
          <cell r="B51" t="str">
            <v>PAINT</v>
          </cell>
          <cell r="C51" t="str">
            <v>NB Coatings</v>
          </cell>
          <cell r="D51">
            <v>10609051</v>
          </cell>
          <cell r="E51" t="str">
            <v>14302     UR 667/5 GAL</v>
          </cell>
          <cell r="F51"/>
          <cell r="G51" t="str">
            <v>gallon</v>
          </cell>
          <cell r="H51">
            <v>177.07748000000001</v>
          </cell>
          <cell r="I51"/>
          <cell r="J51"/>
          <cell r="K51"/>
          <cell r="L51"/>
          <cell r="M51" t="str">
            <v>USD</v>
          </cell>
          <cell r="N51" t="str">
            <v>inactive</v>
          </cell>
          <cell r="O51"/>
          <cell r="P51"/>
          <cell r="Q51"/>
        </row>
        <row r="52">
          <cell r="A52">
            <v>70000051</v>
          </cell>
          <cell r="B52" t="str">
            <v>PAINT</v>
          </cell>
          <cell r="C52" t="str">
            <v>NB Coatings</v>
          </cell>
          <cell r="D52">
            <v>10609120</v>
          </cell>
          <cell r="E52" t="str">
            <v>08012 TC  R  788   LM/5 GAL</v>
          </cell>
          <cell r="F52"/>
          <cell r="G52" t="str">
            <v>gallon</v>
          </cell>
          <cell r="H52">
            <v>126.68636000000001</v>
          </cell>
          <cell r="I52"/>
          <cell r="J52"/>
          <cell r="K52"/>
          <cell r="L52"/>
          <cell r="M52" t="str">
            <v>USD</v>
          </cell>
          <cell r="N52" t="str">
            <v>inactive</v>
          </cell>
          <cell r="O52"/>
          <cell r="P52"/>
          <cell r="Q52"/>
        </row>
        <row r="53">
          <cell r="A53">
            <v>70000052</v>
          </cell>
          <cell r="B53" t="str">
            <v>PAINT</v>
          </cell>
          <cell r="C53" t="str">
            <v>NB Coatings</v>
          </cell>
          <cell r="D53">
            <v>10609131</v>
          </cell>
          <cell r="E53" t="str">
            <v>08011 BC  UR 667/5 GAL</v>
          </cell>
          <cell r="F53"/>
          <cell r="G53" t="str">
            <v>gallon</v>
          </cell>
          <cell r="H53">
            <v>185.30928</v>
          </cell>
          <cell r="I53"/>
          <cell r="J53"/>
          <cell r="K53"/>
          <cell r="L53"/>
          <cell r="M53" t="str">
            <v>USD</v>
          </cell>
          <cell r="N53" t="str">
            <v>inactive</v>
          </cell>
          <cell r="O53"/>
          <cell r="P53"/>
          <cell r="Q53"/>
        </row>
        <row r="54">
          <cell r="A54">
            <v>70000053</v>
          </cell>
          <cell r="B54" t="str">
            <v>PAINT</v>
          </cell>
          <cell r="C54" t="str">
            <v>NB Coatings</v>
          </cell>
          <cell r="D54">
            <v>10609179</v>
          </cell>
          <cell r="E54" t="str">
            <v>DT65908/1 GAL REPACK</v>
          </cell>
          <cell r="F54"/>
          <cell r="G54" t="str">
            <v>gallon</v>
          </cell>
          <cell r="H54">
            <v>313.01679999999999</v>
          </cell>
          <cell r="I54"/>
          <cell r="J54"/>
          <cell r="K54"/>
          <cell r="L54"/>
          <cell r="M54" t="str">
            <v>USD</v>
          </cell>
          <cell r="N54" t="str">
            <v>inactive</v>
          </cell>
          <cell r="O54"/>
          <cell r="P54"/>
          <cell r="Q54"/>
        </row>
        <row r="55">
          <cell r="A55">
            <v>70000054</v>
          </cell>
          <cell r="B55" t="str">
            <v>PAINT</v>
          </cell>
          <cell r="C55" t="str">
            <v>NB Coatings</v>
          </cell>
          <cell r="D55">
            <v>10609182</v>
          </cell>
          <cell r="E55" t="str">
            <v>02131 -RC    2     KB/5 GAL</v>
          </cell>
          <cell r="F55"/>
          <cell r="G55" t="str">
            <v>gallon</v>
          </cell>
          <cell r="H55">
            <v>392.00040000000001</v>
          </cell>
          <cell r="I55"/>
          <cell r="J55"/>
          <cell r="K55"/>
          <cell r="L55"/>
          <cell r="M55" t="str">
            <v>USD</v>
          </cell>
          <cell r="N55" t="str">
            <v>inactive</v>
          </cell>
          <cell r="O55"/>
          <cell r="P55"/>
          <cell r="Q55"/>
        </row>
        <row r="56">
          <cell r="A56">
            <v>70000055</v>
          </cell>
          <cell r="B56" t="str">
            <v>PAINT</v>
          </cell>
          <cell r="C56" t="str">
            <v>NB Coatings</v>
          </cell>
          <cell r="D56">
            <v>10609272</v>
          </cell>
          <cell r="E56" t="str">
            <v>14302 CC     2     KB/5 GAL Pull Me Over Red</v>
          </cell>
          <cell r="G56" t="str">
            <v>gallon</v>
          </cell>
          <cell r="H56">
            <v>144.21280000000002</v>
          </cell>
          <cell r="M56" t="str">
            <v>USD</v>
          </cell>
          <cell r="N56" t="str">
            <v>active</v>
          </cell>
          <cell r="P56">
            <v>144.21280000000002</v>
          </cell>
          <cell r="Q56">
            <v>205.35902720000001</v>
          </cell>
        </row>
        <row r="57">
          <cell r="A57">
            <v>70000056</v>
          </cell>
          <cell r="B57" t="str">
            <v>PAINT</v>
          </cell>
          <cell r="C57" t="str">
            <v>NB Coatings</v>
          </cell>
          <cell r="D57">
            <v>10609293</v>
          </cell>
          <cell r="E57" t="str">
            <v>14305     UR 667/5 GAL</v>
          </cell>
          <cell r="F57"/>
          <cell r="G57" t="str">
            <v>gallon</v>
          </cell>
          <cell r="H57">
            <v>272.08704</v>
          </cell>
          <cell r="I57"/>
          <cell r="J57"/>
          <cell r="K57"/>
          <cell r="L57"/>
          <cell r="M57" t="str">
            <v>USD</v>
          </cell>
          <cell r="N57" t="str">
            <v>inactive</v>
          </cell>
          <cell r="O57"/>
          <cell r="P57"/>
          <cell r="Q57"/>
        </row>
        <row r="58">
          <cell r="A58">
            <v>70000057</v>
          </cell>
          <cell r="B58" t="str">
            <v>PAINT</v>
          </cell>
          <cell r="C58" t="str">
            <v>NB Coatings</v>
          </cell>
          <cell r="D58">
            <v>10609388</v>
          </cell>
          <cell r="E58" t="str">
            <v>14321     UR 667/5 GAL</v>
          </cell>
          <cell r="F58"/>
          <cell r="G58" t="str">
            <v>gallon</v>
          </cell>
          <cell r="H58">
            <v>187.2474</v>
          </cell>
          <cell r="I58"/>
          <cell r="J58"/>
          <cell r="K58"/>
          <cell r="L58"/>
          <cell r="M58" t="str">
            <v>USD</v>
          </cell>
          <cell r="N58" t="str">
            <v>inactive</v>
          </cell>
          <cell r="O58"/>
          <cell r="P58"/>
          <cell r="Q58"/>
        </row>
        <row r="59">
          <cell r="A59">
            <v>70000058</v>
          </cell>
          <cell r="B59" t="str">
            <v>PAINT</v>
          </cell>
          <cell r="C59" t="str">
            <v>NB Coatings</v>
          </cell>
          <cell r="D59">
            <v>10609414</v>
          </cell>
          <cell r="E59" t="str">
            <v>Clear R788 LM FG48268</v>
          </cell>
          <cell r="F59"/>
          <cell r="G59" t="str">
            <v>gallon</v>
          </cell>
          <cell r="H59">
            <v>94.446880000000007</v>
          </cell>
          <cell r="I59"/>
          <cell r="J59"/>
          <cell r="K59"/>
          <cell r="L59"/>
          <cell r="M59" t="str">
            <v>USD</v>
          </cell>
          <cell r="N59" t="str">
            <v>inactive</v>
          </cell>
          <cell r="O59"/>
          <cell r="P59">
            <v>94.446880000000007</v>
          </cell>
          <cell r="Q59">
            <v>134.49235712000001</v>
          </cell>
        </row>
        <row r="60">
          <cell r="A60">
            <v>70000059</v>
          </cell>
          <cell r="B60" t="str">
            <v>PAINT</v>
          </cell>
          <cell r="C60" t="str">
            <v>NB Coatings</v>
          </cell>
          <cell r="D60">
            <v>10609868</v>
          </cell>
          <cell r="E60" t="str">
            <v>14339     R  798/40 GAL</v>
          </cell>
          <cell r="F60"/>
          <cell r="G60" t="str">
            <v>gallon</v>
          </cell>
          <cell r="H60">
            <v>134.12624</v>
          </cell>
          <cell r="I60"/>
          <cell r="J60"/>
          <cell r="K60"/>
          <cell r="L60"/>
          <cell r="M60" t="str">
            <v>USD</v>
          </cell>
          <cell r="N60" t="str">
            <v>inactive</v>
          </cell>
          <cell r="O60"/>
          <cell r="P60"/>
          <cell r="Q60"/>
        </row>
        <row r="61">
          <cell r="A61">
            <v>70000060</v>
          </cell>
          <cell r="B61" t="str">
            <v>PAINT</v>
          </cell>
          <cell r="C61" t="str">
            <v>NB Coatings</v>
          </cell>
          <cell r="D61">
            <v>10609950</v>
          </cell>
          <cell r="E61" t="str">
            <v>14305 CC     2     KB/5 GAL</v>
          </cell>
          <cell r="F61"/>
          <cell r="G61" t="str">
            <v>gallon</v>
          </cell>
          <cell r="H61">
            <v>307.39</v>
          </cell>
          <cell r="I61"/>
          <cell r="J61"/>
          <cell r="K61"/>
          <cell r="L61"/>
          <cell r="M61" t="str">
            <v>USD</v>
          </cell>
          <cell r="N61" t="str">
            <v>inactive</v>
          </cell>
          <cell r="O61"/>
          <cell r="P61"/>
          <cell r="Q61"/>
        </row>
        <row r="62">
          <cell r="A62">
            <v>70000061</v>
          </cell>
          <cell r="B62" t="str">
            <v>PAINT</v>
          </cell>
          <cell r="C62" t="str">
            <v>NB Coatings</v>
          </cell>
          <cell r="D62">
            <v>10610052</v>
          </cell>
          <cell r="E62" t="str">
            <v>15300 FC  UR 667/5 GAL</v>
          </cell>
          <cell r="F62"/>
          <cell r="G62" t="str">
            <v>gallon</v>
          </cell>
          <cell r="H62">
            <v>134.33463999999998</v>
          </cell>
          <cell r="I62"/>
          <cell r="J62"/>
          <cell r="K62"/>
          <cell r="L62"/>
          <cell r="M62" t="str">
            <v>USD</v>
          </cell>
          <cell r="N62" t="str">
            <v>inactive</v>
          </cell>
          <cell r="O62"/>
          <cell r="P62"/>
          <cell r="Q62"/>
        </row>
        <row r="63">
          <cell r="A63">
            <v>70000062</v>
          </cell>
          <cell r="B63" t="str">
            <v>PAINT</v>
          </cell>
          <cell r="C63" t="str">
            <v>NB Coatings</v>
          </cell>
          <cell r="D63">
            <v>10610060</v>
          </cell>
          <cell r="E63" t="str">
            <v>15301 SC  UR 667/5 GAL</v>
          </cell>
          <cell r="F63"/>
          <cell r="G63" t="str">
            <v>gallon</v>
          </cell>
          <cell r="H63">
            <v>119.91336</v>
          </cell>
          <cell r="I63"/>
          <cell r="J63"/>
          <cell r="K63"/>
          <cell r="L63"/>
          <cell r="M63" t="str">
            <v>USD</v>
          </cell>
          <cell r="N63" t="str">
            <v>inactive</v>
          </cell>
          <cell r="O63"/>
          <cell r="P63"/>
          <cell r="Q63"/>
        </row>
        <row r="64">
          <cell r="A64">
            <v>70000063</v>
          </cell>
          <cell r="B64" t="str">
            <v>PAINT</v>
          </cell>
          <cell r="C64" t="str">
            <v>NB Coatings</v>
          </cell>
          <cell r="D64">
            <v>10610105</v>
          </cell>
          <cell r="E64" t="str">
            <v>84168 CC  UR 667/5 GAL</v>
          </cell>
          <cell r="F64"/>
          <cell r="G64" t="str">
            <v>gallon</v>
          </cell>
          <cell r="H64">
            <v>88.778400000000005</v>
          </cell>
          <cell r="I64"/>
          <cell r="J64"/>
          <cell r="K64"/>
          <cell r="L64"/>
          <cell r="M64" t="str">
            <v>USD</v>
          </cell>
          <cell r="N64" t="str">
            <v>inactive</v>
          </cell>
          <cell r="O64"/>
          <cell r="P64"/>
          <cell r="Q64"/>
        </row>
        <row r="65">
          <cell r="A65">
            <v>70000064</v>
          </cell>
          <cell r="B65" t="str">
            <v>PAINT</v>
          </cell>
          <cell r="C65" t="str">
            <v>NB Coatings</v>
          </cell>
          <cell r="D65">
            <v>10610970</v>
          </cell>
          <cell r="E65" t="str">
            <v>13353     R  798/5 GAL</v>
          </cell>
          <cell r="F65"/>
          <cell r="G65" t="str">
            <v>gallon</v>
          </cell>
          <cell r="H65">
            <v>256.85300000000001</v>
          </cell>
          <cell r="I65"/>
          <cell r="J65"/>
          <cell r="K65"/>
          <cell r="L65"/>
          <cell r="M65" t="str">
            <v>USD</v>
          </cell>
          <cell r="N65" t="str">
            <v>inactive</v>
          </cell>
          <cell r="O65"/>
          <cell r="P65"/>
          <cell r="Q65"/>
        </row>
        <row r="66">
          <cell r="A66">
            <v>70000065</v>
          </cell>
          <cell r="B66" t="str">
            <v>PAINT</v>
          </cell>
          <cell r="C66" t="str">
            <v>NB Coatings</v>
          </cell>
          <cell r="D66">
            <v>10610986</v>
          </cell>
          <cell r="E66" t="str">
            <v>01122     R  798/5 GAL</v>
          </cell>
          <cell r="F66"/>
          <cell r="G66" t="str">
            <v>gallon</v>
          </cell>
          <cell r="H66">
            <v>194.47888</v>
          </cell>
          <cell r="I66"/>
          <cell r="J66"/>
          <cell r="K66"/>
          <cell r="L66"/>
          <cell r="M66" t="str">
            <v>USD</v>
          </cell>
          <cell r="N66" t="str">
            <v>inactive</v>
          </cell>
          <cell r="O66"/>
          <cell r="P66"/>
          <cell r="Q66"/>
        </row>
        <row r="67">
          <cell r="A67">
            <v>70000066</v>
          </cell>
          <cell r="B67" t="str">
            <v>PAINT</v>
          </cell>
          <cell r="C67" t="str">
            <v>NB Coatings</v>
          </cell>
          <cell r="D67">
            <v>10611020</v>
          </cell>
          <cell r="E67" t="str">
            <v>89075 CC  UR 667/5 GAL</v>
          </cell>
          <cell r="F67"/>
          <cell r="G67" t="str">
            <v>gallon</v>
          </cell>
          <cell r="H67">
            <v>86.423479999999998</v>
          </cell>
          <cell r="I67"/>
          <cell r="J67"/>
          <cell r="K67"/>
          <cell r="L67"/>
          <cell r="M67" t="str">
            <v>USD</v>
          </cell>
          <cell r="N67" t="str">
            <v>inactive</v>
          </cell>
          <cell r="O67"/>
          <cell r="P67"/>
          <cell r="Q67"/>
        </row>
        <row r="68">
          <cell r="A68">
            <v>70000067</v>
          </cell>
          <cell r="B68" t="str">
            <v>PAINT</v>
          </cell>
          <cell r="C68" t="str">
            <v>NB Coatings</v>
          </cell>
          <cell r="D68">
            <v>10611021</v>
          </cell>
          <cell r="E68" t="str">
            <v>13017 TC  R  788   LM/5 GAL</v>
          </cell>
          <cell r="F68"/>
          <cell r="G68" t="str">
            <v>gallon</v>
          </cell>
          <cell r="H68">
            <v>72.512780000000006</v>
          </cell>
          <cell r="I68"/>
          <cell r="J68"/>
          <cell r="K68"/>
          <cell r="L68"/>
          <cell r="M68" t="str">
            <v>USD</v>
          </cell>
          <cell r="N68" t="str">
            <v>inactive</v>
          </cell>
          <cell r="O68"/>
          <cell r="P68"/>
          <cell r="Q68"/>
        </row>
        <row r="69">
          <cell r="A69">
            <v>70000068</v>
          </cell>
          <cell r="B69" t="str">
            <v>PAINT</v>
          </cell>
          <cell r="C69" t="str">
            <v>NB Coatings</v>
          </cell>
          <cell r="D69">
            <v>10611022</v>
          </cell>
          <cell r="E69" t="str">
            <v>13016 BC  UR 667/5 GAL</v>
          </cell>
          <cell r="F69"/>
          <cell r="G69" t="str">
            <v>gallon</v>
          </cell>
          <cell r="H69">
            <v>148.44332</v>
          </cell>
          <cell r="I69"/>
          <cell r="J69"/>
          <cell r="K69"/>
          <cell r="L69"/>
          <cell r="M69" t="str">
            <v>USD</v>
          </cell>
          <cell r="N69" t="str">
            <v>inactive</v>
          </cell>
          <cell r="O69"/>
          <cell r="P69"/>
          <cell r="Q69"/>
        </row>
        <row r="70">
          <cell r="A70">
            <v>70000069</v>
          </cell>
          <cell r="B70" t="str">
            <v>PAINT</v>
          </cell>
          <cell r="C70" t="str">
            <v>NB Coatings</v>
          </cell>
          <cell r="D70">
            <v>10611027</v>
          </cell>
          <cell r="E70" t="str">
            <v>09019 FC  UR 667/5 GAL</v>
          </cell>
          <cell r="F70"/>
          <cell r="G70" t="str">
            <v>gallon</v>
          </cell>
          <cell r="H70">
            <v>79.264939999999996</v>
          </cell>
          <cell r="I70"/>
          <cell r="J70"/>
          <cell r="K70"/>
          <cell r="L70"/>
          <cell r="M70" t="str">
            <v>USD</v>
          </cell>
          <cell r="N70" t="str">
            <v>inactive</v>
          </cell>
          <cell r="O70"/>
          <cell r="P70"/>
          <cell r="Q70"/>
        </row>
        <row r="71">
          <cell r="A71">
            <v>70000070</v>
          </cell>
          <cell r="B71" t="str">
            <v>PAINT</v>
          </cell>
          <cell r="C71" t="str">
            <v>NB Coatings</v>
          </cell>
          <cell r="D71">
            <v>10611029</v>
          </cell>
          <cell r="E71" t="str">
            <v>09020 SC  UR 667/5 GAL</v>
          </cell>
          <cell r="F71"/>
          <cell r="G71" t="str">
            <v>gallon</v>
          </cell>
          <cell r="H71">
            <v>72.554459999999992</v>
          </cell>
          <cell r="I71"/>
          <cell r="J71"/>
          <cell r="K71"/>
          <cell r="L71"/>
          <cell r="M71" t="str">
            <v>USD</v>
          </cell>
          <cell r="N71" t="str">
            <v>inactive</v>
          </cell>
          <cell r="O71"/>
          <cell r="P71"/>
          <cell r="Q71"/>
        </row>
        <row r="72">
          <cell r="A72">
            <v>70000071</v>
          </cell>
          <cell r="B72" t="str">
            <v>PAINT</v>
          </cell>
          <cell r="C72" t="str">
            <v>NB Coatings</v>
          </cell>
          <cell r="D72">
            <v>10611273</v>
          </cell>
          <cell r="E72" t="str">
            <v>14339     R  798/5 GAL</v>
          </cell>
          <cell r="F72"/>
          <cell r="G72" t="str">
            <v>gallon</v>
          </cell>
          <cell r="H72">
            <v>134.02204</v>
          </cell>
          <cell r="I72"/>
          <cell r="J72"/>
          <cell r="K72"/>
          <cell r="L72"/>
          <cell r="M72" t="str">
            <v>USD</v>
          </cell>
          <cell r="N72" t="str">
            <v>inactive</v>
          </cell>
          <cell r="O72"/>
          <cell r="P72"/>
          <cell r="Q72"/>
        </row>
        <row r="73">
          <cell r="A73">
            <v>70000072</v>
          </cell>
          <cell r="B73" t="str">
            <v>PAINT</v>
          </cell>
          <cell r="C73" t="str">
            <v>NB Coatings</v>
          </cell>
          <cell r="D73">
            <v>10611293</v>
          </cell>
          <cell r="E73" t="str">
            <v>70627     R  221-1AC/40 GAL</v>
          </cell>
          <cell r="F73"/>
          <cell r="G73" t="str">
            <v>gallon</v>
          </cell>
          <cell r="H73">
            <v>59.216859999999997</v>
          </cell>
          <cell r="I73"/>
          <cell r="J73"/>
          <cell r="K73"/>
          <cell r="L73"/>
          <cell r="M73" t="str">
            <v>USD</v>
          </cell>
          <cell r="N73" t="str">
            <v>inactive</v>
          </cell>
          <cell r="O73"/>
          <cell r="P73"/>
          <cell r="Q73"/>
        </row>
        <row r="74">
          <cell r="A74">
            <v>70000073</v>
          </cell>
          <cell r="B74" t="str">
            <v>PAINT</v>
          </cell>
          <cell r="C74" t="str">
            <v>NB Coatings</v>
          </cell>
          <cell r="D74">
            <v>10611442</v>
          </cell>
          <cell r="E74" t="str">
            <v>15326     UR 667/5 GAL</v>
          </cell>
          <cell r="F74"/>
          <cell r="G74" t="str">
            <v>gallon</v>
          </cell>
          <cell r="H74">
            <v>78.400080000000003</v>
          </cell>
          <cell r="I74"/>
          <cell r="J74"/>
          <cell r="K74"/>
          <cell r="L74"/>
          <cell r="M74" t="str">
            <v>USD</v>
          </cell>
          <cell r="N74" t="str">
            <v>inactive</v>
          </cell>
          <cell r="O74"/>
          <cell r="P74"/>
          <cell r="Q74"/>
        </row>
        <row r="75">
          <cell r="A75">
            <v>70000074</v>
          </cell>
          <cell r="B75" t="str">
            <v>PAINT</v>
          </cell>
          <cell r="C75" t="str">
            <v>NB Coatings</v>
          </cell>
          <cell r="D75">
            <v>10611470</v>
          </cell>
          <cell r="E75" t="str">
            <v>14322 BC  UR 667/5 GAL</v>
          </cell>
          <cell r="F75"/>
          <cell r="G75" t="str">
            <v>gallon</v>
          </cell>
          <cell r="H75">
            <v>183.392</v>
          </cell>
          <cell r="I75"/>
          <cell r="J75"/>
          <cell r="K75"/>
          <cell r="L75"/>
          <cell r="M75" t="str">
            <v>USD</v>
          </cell>
          <cell r="N75" t="str">
            <v>inactive</v>
          </cell>
          <cell r="O75"/>
          <cell r="P75"/>
          <cell r="Q75"/>
        </row>
        <row r="76">
          <cell r="A76">
            <v>70000075</v>
          </cell>
          <cell r="B76" t="str">
            <v>PAINT</v>
          </cell>
          <cell r="C76" t="str">
            <v>NB Coatings</v>
          </cell>
          <cell r="D76">
            <v>10611523</v>
          </cell>
          <cell r="E76" t="str">
            <v>16211     UR 667/5 GAL</v>
          </cell>
          <cell r="F76"/>
          <cell r="G76" t="str">
            <v>gallon</v>
          </cell>
          <cell r="H76">
            <v>73.190079999999995</v>
          </cell>
          <cell r="I76"/>
          <cell r="J76"/>
          <cell r="K76"/>
          <cell r="L76"/>
          <cell r="M76" t="str">
            <v>USD</v>
          </cell>
          <cell r="N76" t="str">
            <v>inactive</v>
          </cell>
          <cell r="O76"/>
          <cell r="P76"/>
          <cell r="Q76"/>
        </row>
        <row r="77">
          <cell r="A77">
            <v>70000076</v>
          </cell>
          <cell r="B77" t="str">
            <v>PAINT</v>
          </cell>
          <cell r="C77" t="str">
            <v>NB Coatings</v>
          </cell>
          <cell r="D77">
            <v>10611735</v>
          </cell>
          <cell r="E77" t="str">
            <v>16209 CC     2     KB/5 GAL</v>
          </cell>
          <cell r="F77"/>
          <cell r="G77" t="str">
            <v>gallon</v>
          </cell>
          <cell r="H77">
            <v>255.29000000000002</v>
          </cell>
          <cell r="I77"/>
          <cell r="J77"/>
          <cell r="K77"/>
          <cell r="L77"/>
          <cell r="M77" t="str">
            <v>USD</v>
          </cell>
          <cell r="N77" t="str">
            <v>inactive</v>
          </cell>
          <cell r="O77"/>
          <cell r="P77"/>
          <cell r="Q77"/>
        </row>
        <row r="78">
          <cell r="A78">
            <v>70000077</v>
          </cell>
          <cell r="B78" t="str">
            <v>PAINT</v>
          </cell>
          <cell r="C78" t="str">
            <v>NB Coatings</v>
          </cell>
          <cell r="D78">
            <v>10611761</v>
          </cell>
          <cell r="E78" t="str">
            <v>14390     R  798/5 GAL</v>
          </cell>
          <cell r="F78"/>
          <cell r="G78" t="str">
            <v>gallon</v>
          </cell>
          <cell r="H78">
            <v>231.15728000000001</v>
          </cell>
          <cell r="I78"/>
          <cell r="J78"/>
          <cell r="K78"/>
          <cell r="L78"/>
          <cell r="M78" t="str">
            <v>USD</v>
          </cell>
          <cell r="N78" t="str">
            <v>inactive</v>
          </cell>
          <cell r="O78"/>
          <cell r="P78"/>
          <cell r="Q78"/>
        </row>
        <row r="79">
          <cell r="A79">
            <v>70000078</v>
          </cell>
          <cell r="B79" t="str">
            <v>PAINT</v>
          </cell>
          <cell r="C79" t="str">
            <v>NB Coatings</v>
          </cell>
          <cell r="D79">
            <v>10611763</v>
          </cell>
          <cell r="E79" t="str">
            <v>14391     R  240   D/5 GAL</v>
          </cell>
          <cell r="F79"/>
          <cell r="G79" t="str">
            <v>gallon</v>
          </cell>
          <cell r="H79">
            <v>187.35160000000002</v>
          </cell>
          <cell r="I79"/>
          <cell r="J79"/>
          <cell r="K79"/>
          <cell r="L79"/>
          <cell r="M79" t="str">
            <v>USD</v>
          </cell>
          <cell r="N79" t="str">
            <v>inactive</v>
          </cell>
          <cell r="O79"/>
          <cell r="P79"/>
          <cell r="Q79"/>
        </row>
        <row r="80">
          <cell r="A80">
            <v>70000079</v>
          </cell>
          <cell r="B80" t="str">
            <v>PAINT</v>
          </cell>
          <cell r="C80" t="str">
            <v>NB Coatings</v>
          </cell>
          <cell r="D80">
            <v>10611765</v>
          </cell>
          <cell r="E80" t="str">
            <v>14392     R  240   D/5 GAL</v>
          </cell>
          <cell r="F80"/>
          <cell r="G80" t="str">
            <v>gallon</v>
          </cell>
          <cell r="H80">
            <v>197.51110000000003</v>
          </cell>
          <cell r="I80"/>
          <cell r="J80"/>
          <cell r="K80"/>
          <cell r="L80"/>
          <cell r="M80" t="str">
            <v>USD</v>
          </cell>
          <cell r="N80" t="str">
            <v>inactive</v>
          </cell>
          <cell r="O80"/>
          <cell r="P80"/>
          <cell r="Q80"/>
        </row>
        <row r="81">
          <cell r="A81">
            <v>70000080</v>
          </cell>
          <cell r="B81" t="str">
            <v>PAINT</v>
          </cell>
          <cell r="C81" t="str">
            <v>NB Coatings</v>
          </cell>
          <cell r="D81">
            <v>10611802</v>
          </cell>
          <cell r="E81" t="str">
            <v>92101 -A  R  240   D/5 GAL</v>
          </cell>
          <cell r="F81"/>
          <cell r="G81" t="str">
            <v>gallon</v>
          </cell>
          <cell r="H81">
            <v>121.62224000000001</v>
          </cell>
          <cell r="I81"/>
          <cell r="J81"/>
          <cell r="K81"/>
          <cell r="L81"/>
          <cell r="M81" t="str">
            <v>USD</v>
          </cell>
          <cell r="N81" t="str">
            <v>inactive</v>
          </cell>
          <cell r="O81"/>
          <cell r="P81"/>
          <cell r="Q81"/>
        </row>
        <row r="82">
          <cell r="A82">
            <v>70000081</v>
          </cell>
          <cell r="B82" t="str">
            <v>PAINT</v>
          </cell>
          <cell r="C82" t="str">
            <v>NB Coatings</v>
          </cell>
          <cell r="D82">
            <v>10611824</v>
          </cell>
          <cell r="E82" t="str">
            <v>14409 CC     2     KB/5 GAL</v>
          </cell>
          <cell r="F82"/>
          <cell r="G82" t="str">
            <v>gallon</v>
          </cell>
          <cell r="H82">
            <v>196.14608000000001</v>
          </cell>
          <cell r="I82"/>
          <cell r="J82"/>
          <cell r="K82"/>
          <cell r="L82"/>
          <cell r="M82" t="str">
            <v>USD</v>
          </cell>
          <cell r="N82" t="str">
            <v>inactive</v>
          </cell>
          <cell r="O82"/>
          <cell r="P82"/>
          <cell r="Q82"/>
        </row>
        <row r="83">
          <cell r="A83">
            <v>70000082</v>
          </cell>
          <cell r="B83" t="str">
            <v>PAINT</v>
          </cell>
          <cell r="C83" t="str">
            <v>NB Coatings</v>
          </cell>
          <cell r="D83">
            <v>10611826</v>
          </cell>
          <cell r="E83" t="str">
            <v>14411 CC     2     KB/5 GAL</v>
          </cell>
          <cell r="F83"/>
          <cell r="G83" t="str">
            <v>gallon</v>
          </cell>
          <cell r="H83">
            <v>126.9156</v>
          </cell>
          <cell r="I83"/>
          <cell r="J83"/>
          <cell r="K83"/>
          <cell r="L83"/>
          <cell r="M83" t="str">
            <v>USD</v>
          </cell>
          <cell r="N83" t="str">
            <v>inactive</v>
          </cell>
          <cell r="O83"/>
          <cell r="P83"/>
          <cell r="Q83"/>
        </row>
        <row r="84">
          <cell r="A84">
            <v>70000083</v>
          </cell>
          <cell r="B84" t="str">
            <v>PAINT</v>
          </cell>
          <cell r="C84" t="str">
            <v>NB Coatings</v>
          </cell>
          <cell r="D84">
            <v>10611828</v>
          </cell>
          <cell r="E84" t="str">
            <v>14415 CC     2     KB/5 GAL</v>
          </cell>
          <cell r="F84"/>
          <cell r="G84" t="str">
            <v>gallon</v>
          </cell>
          <cell r="H84">
            <v>206.29516000000001</v>
          </cell>
          <cell r="I84"/>
          <cell r="J84"/>
          <cell r="K84"/>
          <cell r="L84"/>
          <cell r="M84" t="str">
            <v>USD</v>
          </cell>
          <cell r="N84" t="str">
            <v>inactive</v>
          </cell>
          <cell r="O84"/>
          <cell r="P84"/>
          <cell r="Q84"/>
        </row>
        <row r="85">
          <cell r="A85">
            <v>70000084</v>
          </cell>
          <cell r="B85" t="str">
            <v>PAINT</v>
          </cell>
          <cell r="C85" t="str">
            <v>NB Coatings</v>
          </cell>
          <cell r="D85">
            <v>10611830</v>
          </cell>
          <cell r="E85" t="str">
            <v>14417 CC     2     KB/5 GAL</v>
          </cell>
          <cell r="F85"/>
          <cell r="G85" t="str">
            <v>gallon</v>
          </cell>
          <cell r="H85">
            <v>179.89087999999998</v>
          </cell>
          <cell r="I85"/>
          <cell r="J85"/>
          <cell r="K85"/>
          <cell r="L85"/>
          <cell r="M85" t="str">
            <v>USD</v>
          </cell>
          <cell r="N85" t="str">
            <v>inactive</v>
          </cell>
          <cell r="O85"/>
          <cell r="P85"/>
          <cell r="Q85"/>
        </row>
        <row r="86">
          <cell r="A86">
            <v>70000085</v>
          </cell>
          <cell r="B86" t="str">
            <v>PAINT</v>
          </cell>
          <cell r="C86" t="str">
            <v>NB Coatings</v>
          </cell>
          <cell r="D86">
            <v>10611832</v>
          </cell>
          <cell r="E86" t="str">
            <v>14421 CC     2     KB/5 GAL</v>
          </cell>
          <cell r="F86"/>
          <cell r="G86" t="str">
            <v>gallon</v>
          </cell>
          <cell r="H86">
            <v>136.85628</v>
          </cell>
          <cell r="I86"/>
          <cell r="J86"/>
          <cell r="K86"/>
          <cell r="L86"/>
          <cell r="M86" t="str">
            <v>USD</v>
          </cell>
          <cell r="N86" t="str">
            <v>inactive</v>
          </cell>
          <cell r="O86"/>
          <cell r="P86"/>
          <cell r="Q86"/>
        </row>
        <row r="87">
          <cell r="A87">
            <v>70000086</v>
          </cell>
          <cell r="B87" t="str">
            <v>PAINT</v>
          </cell>
          <cell r="C87" t="str">
            <v>NB Coatings</v>
          </cell>
          <cell r="D87">
            <v>10611834</v>
          </cell>
          <cell r="E87" t="str">
            <v>14423 CC     2     KB/5 GAL</v>
          </cell>
          <cell r="F87"/>
          <cell r="G87" t="str">
            <v>gallon</v>
          </cell>
          <cell r="H87">
            <v>140.67000000000002</v>
          </cell>
          <cell r="I87"/>
          <cell r="J87"/>
          <cell r="K87"/>
          <cell r="L87"/>
          <cell r="M87" t="str">
            <v>USD</v>
          </cell>
          <cell r="N87" t="str">
            <v>inactive</v>
          </cell>
          <cell r="O87"/>
          <cell r="P87"/>
          <cell r="Q87"/>
        </row>
        <row r="88">
          <cell r="A88">
            <v>70000087</v>
          </cell>
          <cell r="B88" t="str">
            <v>PAINT</v>
          </cell>
          <cell r="C88" t="str">
            <v>NB Coatings</v>
          </cell>
          <cell r="D88">
            <v>10611919</v>
          </cell>
          <cell r="E88" t="str">
            <v>14425 CC     2     KB/5 GAL</v>
          </cell>
          <cell r="F88"/>
          <cell r="G88" t="str">
            <v>gallon</v>
          </cell>
          <cell r="H88">
            <v>69.167959999999994</v>
          </cell>
          <cell r="I88"/>
          <cell r="J88"/>
          <cell r="K88"/>
          <cell r="L88"/>
          <cell r="M88" t="str">
            <v>USD</v>
          </cell>
          <cell r="N88" t="str">
            <v>inactive</v>
          </cell>
          <cell r="O88"/>
          <cell r="P88"/>
          <cell r="Q88"/>
        </row>
        <row r="89">
          <cell r="A89">
            <v>70000088</v>
          </cell>
          <cell r="B89" t="str">
            <v>PAINT</v>
          </cell>
          <cell r="C89" t="str">
            <v>NB Coatings</v>
          </cell>
          <cell r="D89">
            <v>10611921</v>
          </cell>
          <cell r="E89" t="str">
            <v>14431 CC     2     KB/5 GAL</v>
          </cell>
          <cell r="F89"/>
          <cell r="G89" t="str">
            <v>gallon</v>
          </cell>
          <cell r="H89">
            <v>64.166359999999997</v>
          </cell>
          <cell r="I89"/>
          <cell r="J89"/>
          <cell r="K89"/>
          <cell r="L89"/>
          <cell r="M89" t="str">
            <v>USD</v>
          </cell>
          <cell r="N89" t="str">
            <v>inactive</v>
          </cell>
          <cell r="O89"/>
          <cell r="P89"/>
          <cell r="Q89"/>
        </row>
        <row r="90">
          <cell r="A90">
            <v>70000089</v>
          </cell>
          <cell r="B90" t="str">
            <v>PAINT</v>
          </cell>
          <cell r="C90" t="str">
            <v>NB Coatings</v>
          </cell>
          <cell r="D90">
            <v>10611923</v>
          </cell>
          <cell r="E90" t="str">
            <v>14427 CC     2     KB/5 GAL</v>
          </cell>
          <cell r="F90"/>
          <cell r="G90" t="str">
            <v>gallon</v>
          </cell>
          <cell r="H90">
            <v>78.400080000000003</v>
          </cell>
          <cell r="I90"/>
          <cell r="J90"/>
          <cell r="K90"/>
          <cell r="L90"/>
          <cell r="M90" t="str">
            <v>USD</v>
          </cell>
          <cell r="N90" t="str">
            <v>inactive</v>
          </cell>
          <cell r="O90"/>
          <cell r="P90"/>
          <cell r="Q90"/>
        </row>
        <row r="91">
          <cell r="A91">
            <v>70000090</v>
          </cell>
          <cell r="B91" t="str">
            <v>PAINT</v>
          </cell>
          <cell r="C91" t="str">
            <v>NB Coatings</v>
          </cell>
          <cell r="D91">
            <v>10611925</v>
          </cell>
          <cell r="E91" t="str">
            <v>14413 CC     2     KB/5 GAL</v>
          </cell>
          <cell r="F91"/>
          <cell r="G91" t="str">
            <v>gallon</v>
          </cell>
          <cell r="H91">
            <v>201.02264</v>
          </cell>
          <cell r="I91"/>
          <cell r="J91"/>
          <cell r="K91"/>
          <cell r="L91"/>
          <cell r="M91" t="str">
            <v>USD</v>
          </cell>
          <cell r="N91" t="str">
            <v>inactive</v>
          </cell>
          <cell r="O91"/>
          <cell r="P91"/>
          <cell r="Q91"/>
        </row>
        <row r="92">
          <cell r="A92">
            <v>70000091</v>
          </cell>
          <cell r="B92" t="str">
            <v>PAINT</v>
          </cell>
          <cell r="C92" t="str">
            <v>NB Coatings</v>
          </cell>
          <cell r="D92">
            <v>10611940</v>
          </cell>
          <cell r="E92" t="str">
            <v>14419        2     KB/5 GAL</v>
          </cell>
          <cell r="F92"/>
          <cell r="G92" t="str">
            <v>gallon</v>
          </cell>
          <cell r="H92">
            <v>157.36284000000001</v>
          </cell>
          <cell r="I92"/>
          <cell r="J92"/>
          <cell r="K92"/>
          <cell r="L92"/>
          <cell r="M92" t="str">
            <v>USD</v>
          </cell>
          <cell r="N92" t="str">
            <v>inactive</v>
          </cell>
          <cell r="O92"/>
          <cell r="P92"/>
          <cell r="Q92"/>
        </row>
        <row r="93">
          <cell r="A93">
            <v>70000092</v>
          </cell>
          <cell r="B93" t="str">
            <v>PAINT</v>
          </cell>
          <cell r="C93" t="str">
            <v>NB Coatings</v>
          </cell>
          <cell r="D93">
            <v>10611942</v>
          </cell>
          <cell r="E93" t="str">
            <v>50215     R  788   LG/5 GAL</v>
          </cell>
          <cell r="F93"/>
          <cell r="G93" t="str">
            <v>gallon</v>
          </cell>
          <cell r="H93">
            <v>109.57671999999999</v>
          </cell>
          <cell r="I93"/>
          <cell r="J93"/>
          <cell r="K93"/>
          <cell r="L93"/>
          <cell r="M93" t="str">
            <v>USD</v>
          </cell>
          <cell r="N93" t="str">
            <v>inactive</v>
          </cell>
          <cell r="O93"/>
          <cell r="P93"/>
          <cell r="Q93"/>
        </row>
        <row r="94">
          <cell r="A94">
            <v>70000093</v>
          </cell>
          <cell r="B94" t="str">
            <v>PAINT</v>
          </cell>
          <cell r="C94" t="str">
            <v>NB Coatings</v>
          </cell>
          <cell r="D94">
            <v>10611955</v>
          </cell>
          <cell r="E94" t="str">
            <v>14433 CC     2     KB/5 GAL</v>
          </cell>
          <cell r="F94"/>
          <cell r="G94" t="str">
            <v>gallon</v>
          </cell>
          <cell r="H94">
            <v>174.4308</v>
          </cell>
          <cell r="I94"/>
          <cell r="J94"/>
          <cell r="K94"/>
          <cell r="L94"/>
          <cell r="M94" t="str">
            <v>USD</v>
          </cell>
          <cell r="N94" t="str">
            <v>inactive</v>
          </cell>
          <cell r="O94"/>
          <cell r="P94"/>
          <cell r="Q94"/>
        </row>
        <row r="95">
          <cell r="A95">
            <v>70000094</v>
          </cell>
          <cell r="B95" t="str">
            <v>PAINT</v>
          </cell>
          <cell r="C95" t="str">
            <v>NB Coatings</v>
          </cell>
          <cell r="D95">
            <v>10611957</v>
          </cell>
          <cell r="E95" t="str">
            <v>14429 CC     2     KB/5 GAL</v>
          </cell>
          <cell r="F95"/>
          <cell r="G95" t="str">
            <v>gallon</v>
          </cell>
          <cell r="H95">
            <v>121.61181999999999</v>
          </cell>
          <cell r="I95"/>
          <cell r="J95"/>
          <cell r="K95"/>
          <cell r="L95"/>
          <cell r="M95" t="str">
            <v>USD</v>
          </cell>
          <cell r="N95" t="str">
            <v>inactive</v>
          </cell>
          <cell r="O95"/>
          <cell r="P95"/>
          <cell r="Q95"/>
        </row>
        <row r="96">
          <cell r="A96">
            <v>70000095</v>
          </cell>
          <cell r="B96" t="str">
            <v>PAINT</v>
          </cell>
          <cell r="C96" t="str">
            <v>NB Coatings</v>
          </cell>
          <cell r="D96">
            <v>10612204</v>
          </cell>
          <cell r="E96" t="str">
            <v>86294     R  798/5 GAL Low Gloss Black</v>
          </cell>
          <cell r="G96" t="str">
            <v>gallon</v>
          </cell>
          <cell r="H96">
            <v>123.35196000000001</v>
          </cell>
          <cell r="M96" t="str">
            <v>USD</v>
          </cell>
          <cell r="N96" t="str">
            <v>active</v>
          </cell>
          <cell r="P96">
            <v>123.35196000000001</v>
          </cell>
          <cell r="Q96">
            <v>175.65319104</v>
          </cell>
        </row>
        <row r="97">
          <cell r="A97">
            <v>70000096</v>
          </cell>
          <cell r="B97" t="str">
            <v>PAINT</v>
          </cell>
          <cell r="C97" t="str">
            <v>NB Coatings</v>
          </cell>
          <cell r="D97">
            <v>10612417</v>
          </cell>
          <cell r="E97" t="str">
            <v>R  788   LM/45 GAL</v>
          </cell>
          <cell r="F97"/>
          <cell r="G97" t="str">
            <v>gallon</v>
          </cell>
          <cell r="H97">
            <v>59.508620000000001</v>
          </cell>
          <cell r="I97"/>
          <cell r="J97"/>
          <cell r="K97"/>
          <cell r="L97"/>
          <cell r="M97" t="str">
            <v>USD</v>
          </cell>
          <cell r="N97" t="str">
            <v>inactive</v>
          </cell>
          <cell r="O97"/>
          <cell r="P97"/>
          <cell r="Q97"/>
        </row>
        <row r="98">
          <cell r="A98">
            <v>70000097</v>
          </cell>
          <cell r="B98" t="str">
            <v>PAINT</v>
          </cell>
          <cell r="C98" t="str">
            <v>NB Coatings</v>
          </cell>
          <cell r="D98">
            <v>10612654</v>
          </cell>
          <cell r="E98" t="str">
            <v>16221 TC  R  788/5 GAL</v>
          </cell>
          <cell r="F98"/>
          <cell r="G98" t="str">
            <v>gallon</v>
          </cell>
          <cell r="H98">
            <v>80.880040000000008</v>
          </cell>
          <cell r="I98"/>
          <cell r="J98"/>
          <cell r="K98"/>
          <cell r="L98"/>
          <cell r="M98" t="str">
            <v>USD</v>
          </cell>
          <cell r="N98" t="str">
            <v>inactive</v>
          </cell>
          <cell r="O98"/>
          <cell r="P98"/>
          <cell r="Q98"/>
        </row>
        <row r="99">
          <cell r="A99">
            <v>70000098</v>
          </cell>
          <cell r="B99" t="str">
            <v>PAINT</v>
          </cell>
          <cell r="C99" t="str">
            <v>NB Coatings</v>
          </cell>
          <cell r="D99">
            <v>10612714</v>
          </cell>
          <cell r="E99" t="str">
            <v>13023     UR 667/5 GAL</v>
          </cell>
          <cell r="F99"/>
          <cell r="G99" t="str">
            <v>gallon</v>
          </cell>
          <cell r="H99">
            <v>123.33112</v>
          </cell>
          <cell r="I99"/>
          <cell r="J99"/>
          <cell r="K99"/>
          <cell r="L99"/>
          <cell r="M99" t="str">
            <v>USD</v>
          </cell>
          <cell r="N99" t="str">
            <v>inactive</v>
          </cell>
          <cell r="O99"/>
          <cell r="P99"/>
          <cell r="Q99"/>
        </row>
        <row r="100">
          <cell r="A100">
            <v>70000099</v>
          </cell>
          <cell r="B100" t="str">
            <v>PAINT</v>
          </cell>
          <cell r="C100" t="str">
            <v>NB Coatings</v>
          </cell>
          <cell r="D100">
            <v>10612878</v>
          </cell>
          <cell r="E100" t="str">
            <v>16302 FC  UR 667/5 GAL</v>
          </cell>
          <cell r="F100"/>
          <cell r="G100" t="str">
            <v>gallon</v>
          </cell>
          <cell r="H100">
            <v>153.28862000000001</v>
          </cell>
          <cell r="I100"/>
          <cell r="J100"/>
          <cell r="K100"/>
          <cell r="L100"/>
          <cell r="M100" t="str">
            <v>USD</v>
          </cell>
          <cell r="N100" t="str">
            <v>inactive</v>
          </cell>
          <cell r="O100"/>
          <cell r="P100"/>
          <cell r="Q100"/>
        </row>
        <row r="101">
          <cell r="A101">
            <v>70000100</v>
          </cell>
          <cell r="B101" t="str">
            <v>PAINT</v>
          </cell>
          <cell r="C101" t="str">
            <v>NB Coatings</v>
          </cell>
          <cell r="D101">
            <v>10612880</v>
          </cell>
          <cell r="E101" t="str">
            <v>16303 SC  UR 667/5 GAL</v>
          </cell>
          <cell r="F101"/>
          <cell r="G101" t="str">
            <v>gallon</v>
          </cell>
          <cell r="H101">
            <v>86.110880000000009</v>
          </cell>
          <cell r="I101"/>
          <cell r="J101"/>
          <cell r="K101"/>
          <cell r="L101"/>
          <cell r="M101" t="str">
            <v>USD</v>
          </cell>
          <cell r="N101" t="str">
            <v>inactive</v>
          </cell>
          <cell r="O101"/>
          <cell r="P101"/>
          <cell r="Q101"/>
        </row>
        <row r="102">
          <cell r="A102">
            <v>70000101</v>
          </cell>
          <cell r="B102" t="str">
            <v>PAINT</v>
          </cell>
          <cell r="C102" t="str">
            <v>NB Coatings</v>
          </cell>
          <cell r="D102">
            <v>10612882</v>
          </cell>
          <cell r="E102" t="str">
            <v>16301     UR 667/5 GAL</v>
          </cell>
          <cell r="F102"/>
          <cell r="G102" t="str">
            <v>gallon</v>
          </cell>
          <cell r="H102">
            <v>102.92876000000001</v>
          </cell>
          <cell r="I102"/>
          <cell r="J102"/>
          <cell r="K102"/>
          <cell r="L102"/>
          <cell r="M102" t="str">
            <v>USD</v>
          </cell>
          <cell r="N102" t="str">
            <v>inactive</v>
          </cell>
          <cell r="O102"/>
          <cell r="P102"/>
          <cell r="Q102"/>
        </row>
        <row r="103">
          <cell r="A103">
            <v>70000102</v>
          </cell>
          <cell r="B103" t="str">
            <v>PAINT</v>
          </cell>
          <cell r="C103" t="str">
            <v>NB Coatings</v>
          </cell>
          <cell r="D103">
            <v>10612886</v>
          </cell>
          <cell r="E103" t="str">
            <v>18223 BC  UR 667/5 GAL</v>
          </cell>
          <cell r="F103"/>
          <cell r="G103" t="str">
            <v>gallon</v>
          </cell>
          <cell r="H103">
            <v>167.38687999999999</v>
          </cell>
          <cell r="I103"/>
          <cell r="J103"/>
          <cell r="K103"/>
          <cell r="L103"/>
          <cell r="M103" t="str">
            <v>USD</v>
          </cell>
          <cell r="N103" t="str">
            <v>inactive</v>
          </cell>
          <cell r="O103"/>
          <cell r="P103"/>
          <cell r="Q103"/>
        </row>
        <row r="104">
          <cell r="A104">
            <v>70000103</v>
          </cell>
          <cell r="B104" t="str">
            <v>PAINT</v>
          </cell>
          <cell r="C104" t="str">
            <v>NB Coatings</v>
          </cell>
          <cell r="D104">
            <v>10612888</v>
          </cell>
          <cell r="E104" t="str">
            <v>18220 FC  UR 667/5 GAL</v>
          </cell>
          <cell r="F104"/>
          <cell r="G104" t="str">
            <v>gallon</v>
          </cell>
          <cell r="H104">
            <v>75.11778000000001</v>
          </cell>
          <cell r="I104"/>
          <cell r="J104"/>
          <cell r="K104"/>
          <cell r="L104"/>
          <cell r="M104" t="str">
            <v>USD</v>
          </cell>
          <cell r="N104" t="str">
            <v>inactive</v>
          </cell>
          <cell r="O104"/>
          <cell r="P104"/>
          <cell r="Q104"/>
        </row>
        <row r="105">
          <cell r="A105">
            <v>70000104</v>
          </cell>
          <cell r="B105" t="str">
            <v>PAINT</v>
          </cell>
          <cell r="C105" t="str">
            <v>NB Coatings</v>
          </cell>
          <cell r="D105">
            <v>10612890</v>
          </cell>
          <cell r="E105" t="str">
            <v>18221 SC  UR 667/DIRECT</v>
          </cell>
          <cell r="F105"/>
          <cell r="G105" t="str">
            <v>gallon</v>
          </cell>
          <cell r="H105">
            <v>107.53440000000001</v>
          </cell>
          <cell r="I105"/>
          <cell r="J105"/>
          <cell r="K105"/>
          <cell r="L105"/>
          <cell r="M105" t="str">
            <v>USD</v>
          </cell>
          <cell r="N105" t="str">
            <v>inactive</v>
          </cell>
          <cell r="O105"/>
          <cell r="P105"/>
          <cell r="Q105"/>
        </row>
        <row r="106">
          <cell r="A106">
            <v>70000105</v>
          </cell>
          <cell r="B106" t="str">
            <v>PAINT</v>
          </cell>
          <cell r="C106" t="str">
            <v>NB Coatings</v>
          </cell>
          <cell r="D106">
            <v>10612900</v>
          </cell>
          <cell r="E106" t="str">
            <v>16304     R  240   D/5 GAL</v>
          </cell>
          <cell r="F106"/>
          <cell r="G106" t="str">
            <v>gallon</v>
          </cell>
          <cell r="H106">
            <v>257.37400000000002</v>
          </cell>
          <cell r="I106"/>
          <cell r="J106"/>
          <cell r="K106"/>
          <cell r="L106"/>
          <cell r="M106" t="str">
            <v>USD</v>
          </cell>
          <cell r="N106" t="str">
            <v>inactive</v>
          </cell>
          <cell r="O106"/>
          <cell r="P106"/>
          <cell r="Q106"/>
        </row>
        <row r="107">
          <cell r="A107">
            <v>70000106</v>
          </cell>
          <cell r="B107" t="str">
            <v>PAINT</v>
          </cell>
          <cell r="C107" t="str">
            <v>NB Coatings</v>
          </cell>
          <cell r="D107">
            <v>10612902</v>
          </cell>
          <cell r="E107" t="str">
            <v>16305     R  240   D/5 GAL</v>
          </cell>
          <cell r="F107"/>
          <cell r="G107" t="str">
            <v>gallon</v>
          </cell>
          <cell r="H107">
            <v>281.82974000000002</v>
          </cell>
          <cell r="I107"/>
          <cell r="J107"/>
          <cell r="K107"/>
          <cell r="L107"/>
          <cell r="M107" t="str">
            <v>USD</v>
          </cell>
          <cell r="N107" t="str">
            <v>inactive</v>
          </cell>
          <cell r="O107"/>
          <cell r="P107"/>
          <cell r="Q107"/>
        </row>
        <row r="108">
          <cell r="A108">
            <v>70000107</v>
          </cell>
          <cell r="B108" t="str">
            <v>PAINT</v>
          </cell>
          <cell r="C108" t="str">
            <v>NB Coatings</v>
          </cell>
          <cell r="D108">
            <v>10612906</v>
          </cell>
          <cell r="E108" t="str">
            <v>16307     R  240   D/5 GAL</v>
          </cell>
          <cell r="F108"/>
          <cell r="G108" t="str">
            <v>gallon</v>
          </cell>
          <cell r="H108">
            <v>177.62974</v>
          </cell>
          <cell r="I108"/>
          <cell r="J108"/>
          <cell r="K108"/>
          <cell r="L108"/>
          <cell r="M108" t="str">
            <v>USD</v>
          </cell>
          <cell r="N108" t="str">
            <v>inactive</v>
          </cell>
          <cell r="O108"/>
          <cell r="P108"/>
          <cell r="Q108"/>
        </row>
        <row r="109">
          <cell r="A109">
            <v>70000108</v>
          </cell>
          <cell r="B109" t="str">
            <v>PAINT</v>
          </cell>
          <cell r="C109" t="str">
            <v>NB Coatings</v>
          </cell>
          <cell r="D109">
            <v>10612910</v>
          </cell>
          <cell r="E109" t="str">
            <v>16308     R  798/5 GAL</v>
          </cell>
          <cell r="F109"/>
          <cell r="G109" t="str">
            <v>gallon</v>
          </cell>
          <cell r="H109">
            <v>201.90834000000001</v>
          </cell>
          <cell r="I109"/>
          <cell r="J109"/>
          <cell r="K109"/>
          <cell r="L109"/>
          <cell r="M109" t="str">
            <v>USD</v>
          </cell>
          <cell r="N109" t="str">
            <v>inactive</v>
          </cell>
          <cell r="O109"/>
          <cell r="P109"/>
          <cell r="Q109"/>
        </row>
        <row r="110">
          <cell r="A110">
            <v>70000109</v>
          </cell>
          <cell r="B110" t="str">
            <v>PAINT</v>
          </cell>
          <cell r="C110" t="str">
            <v>NB Coatings</v>
          </cell>
          <cell r="D110">
            <v>10613021</v>
          </cell>
          <cell r="E110" t="str">
            <v>16306     R  240   D/5 GAL</v>
          </cell>
          <cell r="F110"/>
          <cell r="G110" t="str">
            <v>gallon</v>
          </cell>
          <cell r="H110">
            <v>202.49186000000003</v>
          </cell>
          <cell r="I110"/>
          <cell r="J110"/>
          <cell r="K110"/>
          <cell r="L110"/>
          <cell r="M110" t="str">
            <v>USD</v>
          </cell>
          <cell r="N110" t="str">
            <v>inactive</v>
          </cell>
          <cell r="O110"/>
          <cell r="P110"/>
          <cell r="Q110"/>
        </row>
        <row r="111">
          <cell r="A111">
            <v>70000110</v>
          </cell>
          <cell r="B111" t="str">
            <v>PAINT</v>
          </cell>
          <cell r="C111" t="str">
            <v>NB Coatings</v>
          </cell>
          <cell r="D111">
            <v>10613347</v>
          </cell>
          <cell r="E111" t="str">
            <v>17217     UR 667/5 GAL</v>
          </cell>
          <cell r="F111"/>
          <cell r="G111" t="str">
            <v>gallon</v>
          </cell>
          <cell r="H111">
            <v>96.218280000000007</v>
          </cell>
          <cell r="I111"/>
          <cell r="J111"/>
          <cell r="K111"/>
          <cell r="L111"/>
          <cell r="M111" t="str">
            <v>USD</v>
          </cell>
          <cell r="N111" t="str">
            <v>inactive</v>
          </cell>
          <cell r="O111"/>
          <cell r="P111"/>
          <cell r="Q111"/>
        </row>
        <row r="112">
          <cell r="A112">
            <v>70000111</v>
          </cell>
          <cell r="B112" t="str">
            <v>PAINT</v>
          </cell>
          <cell r="C112" t="str">
            <v>NB Coatings</v>
          </cell>
          <cell r="D112">
            <v>10613348</v>
          </cell>
          <cell r="E112" t="str">
            <v>16220 BC  UR 667/5 GAL</v>
          </cell>
          <cell r="F112"/>
          <cell r="G112" t="str">
            <v>gallon</v>
          </cell>
          <cell r="H112">
            <v>136.83544000000001</v>
          </cell>
          <cell r="I112"/>
          <cell r="J112"/>
          <cell r="K112"/>
          <cell r="L112"/>
          <cell r="M112" t="str">
            <v>USD</v>
          </cell>
          <cell r="N112" t="str">
            <v>inactive</v>
          </cell>
          <cell r="O112"/>
          <cell r="P112"/>
          <cell r="Q112"/>
        </row>
        <row r="113">
          <cell r="A113">
            <v>70000112</v>
          </cell>
          <cell r="B113" t="str">
            <v>PAINT</v>
          </cell>
          <cell r="C113" t="str">
            <v>NB Coatings</v>
          </cell>
          <cell r="D113">
            <v>10613350</v>
          </cell>
          <cell r="E113" t="str">
            <v>16221 TC  R  788   LM/5 GAL</v>
          </cell>
          <cell r="F113"/>
          <cell r="G113" t="str">
            <v>gallon</v>
          </cell>
          <cell r="H113">
            <v>80.880040000000008</v>
          </cell>
          <cell r="I113"/>
          <cell r="J113"/>
          <cell r="K113"/>
          <cell r="L113"/>
          <cell r="M113" t="str">
            <v>USD</v>
          </cell>
          <cell r="N113" t="str">
            <v>inactive</v>
          </cell>
          <cell r="O113"/>
          <cell r="P113"/>
          <cell r="Q113"/>
        </row>
        <row r="114">
          <cell r="A114">
            <v>70000113</v>
          </cell>
          <cell r="B114" t="str">
            <v>PAINT</v>
          </cell>
          <cell r="C114" t="str">
            <v>NB Coatings</v>
          </cell>
          <cell r="D114">
            <v>10613626</v>
          </cell>
          <cell r="E114" t="str">
            <v>17349     UR 667/5 GAL</v>
          </cell>
          <cell r="F114"/>
          <cell r="G114" t="str">
            <v>gallon</v>
          </cell>
          <cell r="H114">
            <v>77.629000000000005</v>
          </cell>
          <cell r="I114"/>
          <cell r="J114"/>
          <cell r="K114"/>
          <cell r="L114"/>
          <cell r="M114" t="str">
            <v>USD</v>
          </cell>
          <cell r="N114" t="str">
            <v>inactive</v>
          </cell>
          <cell r="O114"/>
          <cell r="P114"/>
          <cell r="Q114"/>
        </row>
        <row r="115">
          <cell r="A115">
            <v>70000114</v>
          </cell>
          <cell r="B115" t="str">
            <v>PAINT</v>
          </cell>
          <cell r="C115" t="str">
            <v>NB Coatings</v>
          </cell>
          <cell r="D115">
            <v>10614294</v>
          </cell>
          <cell r="E115" t="str">
            <v>17371     R  798/5 GAL</v>
          </cell>
          <cell r="F115"/>
          <cell r="G115" t="str">
            <v>gallon</v>
          </cell>
          <cell r="H115">
            <v>203.72141999999999</v>
          </cell>
          <cell r="I115"/>
          <cell r="J115"/>
          <cell r="K115"/>
          <cell r="L115"/>
          <cell r="M115" t="str">
            <v>USD</v>
          </cell>
          <cell r="N115" t="str">
            <v>inactive</v>
          </cell>
          <cell r="O115"/>
          <cell r="P115"/>
          <cell r="Q115"/>
        </row>
        <row r="116">
          <cell r="A116">
            <v>70000115</v>
          </cell>
          <cell r="B116" t="str">
            <v>PAINT</v>
          </cell>
          <cell r="C116" t="str">
            <v>NB Coatings</v>
          </cell>
          <cell r="D116">
            <v>10614297</v>
          </cell>
          <cell r="E116" t="str">
            <v>17370     R  240   D/5 GAL</v>
          </cell>
          <cell r="F116"/>
          <cell r="G116" t="str">
            <v>gallon</v>
          </cell>
          <cell r="H116">
            <v>199.00116</v>
          </cell>
          <cell r="I116"/>
          <cell r="J116"/>
          <cell r="K116"/>
          <cell r="L116"/>
          <cell r="M116" t="str">
            <v>USD</v>
          </cell>
          <cell r="N116" t="str">
            <v>inactive</v>
          </cell>
          <cell r="O116"/>
          <cell r="P116"/>
          <cell r="Q116"/>
        </row>
        <row r="117">
          <cell r="A117">
            <v>70000116</v>
          </cell>
          <cell r="B117" t="str">
            <v>PAINT</v>
          </cell>
          <cell r="C117" t="str">
            <v>NB Coatings</v>
          </cell>
          <cell r="D117">
            <v>10614623</v>
          </cell>
          <cell r="E117" t="str">
            <v>18211 CC     2     KB/5 GAL</v>
          </cell>
          <cell r="F117"/>
          <cell r="G117" t="str">
            <v>gallon</v>
          </cell>
          <cell r="H117">
            <v>113.72388000000001</v>
          </cell>
          <cell r="I117"/>
          <cell r="J117"/>
          <cell r="K117"/>
          <cell r="L117"/>
          <cell r="M117" t="str">
            <v>USD</v>
          </cell>
          <cell r="N117" t="str">
            <v>inactive</v>
          </cell>
          <cell r="O117"/>
          <cell r="P117"/>
          <cell r="Q117"/>
        </row>
        <row r="118">
          <cell r="A118">
            <v>70000117</v>
          </cell>
          <cell r="B118" t="str">
            <v>PAINT</v>
          </cell>
          <cell r="C118" t="str">
            <v>NB Coatings</v>
          </cell>
          <cell r="D118">
            <v>10614632</v>
          </cell>
          <cell r="E118" t="str">
            <v>17342     UR 667/5 GAL</v>
          </cell>
          <cell r="F118"/>
          <cell r="G118" t="str">
            <v>gallon</v>
          </cell>
          <cell r="H118">
            <v>65.468860000000006</v>
          </cell>
          <cell r="I118"/>
          <cell r="J118"/>
          <cell r="K118"/>
          <cell r="L118"/>
          <cell r="M118" t="str">
            <v>USD</v>
          </cell>
          <cell r="N118" t="str">
            <v>inactive</v>
          </cell>
          <cell r="O118"/>
          <cell r="P118"/>
          <cell r="Q118"/>
        </row>
        <row r="119">
          <cell r="A119">
            <v>70000118</v>
          </cell>
          <cell r="B119" t="str">
            <v>PAINT</v>
          </cell>
          <cell r="C119" t="str">
            <v>NB Coatings</v>
          </cell>
          <cell r="D119">
            <v>10615212</v>
          </cell>
          <cell r="E119" t="str">
            <v>18224 TC  R  788   LM/5 GAL</v>
          </cell>
          <cell r="F119"/>
          <cell r="G119" t="str">
            <v>gallon</v>
          </cell>
          <cell r="H119">
            <v>81.484400000000008</v>
          </cell>
          <cell r="I119"/>
          <cell r="J119"/>
          <cell r="K119"/>
          <cell r="L119"/>
          <cell r="M119" t="str">
            <v>USD</v>
          </cell>
          <cell r="N119" t="str">
            <v>inactive</v>
          </cell>
          <cell r="O119"/>
          <cell r="P119"/>
          <cell r="Q119"/>
        </row>
        <row r="120">
          <cell r="A120">
            <v>70000119</v>
          </cell>
          <cell r="B120" t="str">
            <v>PAINT</v>
          </cell>
          <cell r="C120" t="str">
            <v>NB Coatings</v>
          </cell>
          <cell r="D120">
            <v>10615237</v>
          </cell>
          <cell r="E120" t="str">
            <v xml:space="preserve">          R  1900  LH/5 GAL</v>
          </cell>
          <cell r="F120"/>
          <cell r="G120" t="str">
            <v>gallon</v>
          </cell>
          <cell r="H120">
            <v>64.364339999999999</v>
          </cell>
          <cell r="I120"/>
          <cell r="J120"/>
          <cell r="K120"/>
          <cell r="L120"/>
          <cell r="M120" t="str">
            <v>USD</v>
          </cell>
          <cell r="N120" t="str">
            <v>inactive</v>
          </cell>
          <cell r="O120"/>
          <cell r="P120"/>
          <cell r="Q120"/>
        </row>
        <row r="121">
          <cell r="A121">
            <v>70000120</v>
          </cell>
          <cell r="B121" t="str">
            <v>PAINT</v>
          </cell>
          <cell r="C121" t="str">
            <v>NB Coatings</v>
          </cell>
          <cell r="D121">
            <v>10615250</v>
          </cell>
          <cell r="E121" t="str">
            <v>70627     R  221   -1 AC/45 GAL</v>
          </cell>
          <cell r="F121"/>
          <cell r="G121" t="str">
            <v>gallon</v>
          </cell>
          <cell r="H121">
            <v>59.216859999999997</v>
          </cell>
          <cell r="I121"/>
          <cell r="J121"/>
          <cell r="K121"/>
          <cell r="L121"/>
          <cell r="M121" t="str">
            <v>USD</v>
          </cell>
          <cell r="N121" t="str">
            <v>inactive</v>
          </cell>
          <cell r="O121"/>
          <cell r="P121"/>
          <cell r="Q121"/>
        </row>
        <row r="122">
          <cell r="A122">
            <v>70000121</v>
          </cell>
          <cell r="B122" t="str">
            <v>PAINT</v>
          </cell>
          <cell r="C122" t="str">
            <v>NB Coatings</v>
          </cell>
          <cell r="D122">
            <v>10615291</v>
          </cell>
          <cell r="E122" t="str">
            <v>18266     UR 667/5 GAL</v>
          </cell>
          <cell r="F122"/>
          <cell r="G122" t="str">
            <v>gallon</v>
          </cell>
          <cell r="H122">
            <v>98.01052</v>
          </cell>
          <cell r="I122"/>
          <cell r="J122"/>
          <cell r="K122"/>
          <cell r="L122"/>
          <cell r="M122" t="str">
            <v>USD</v>
          </cell>
          <cell r="N122" t="str">
            <v>inactive</v>
          </cell>
          <cell r="O122"/>
          <cell r="P122"/>
          <cell r="Q122"/>
        </row>
        <row r="123">
          <cell r="A123">
            <v>70000122</v>
          </cell>
          <cell r="B123" t="str">
            <v>PAINT</v>
          </cell>
          <cell r="C123" t="str">
            <v>NB Coatings</v>
          </cell>
          <cell r="D123">
            <v>10615339</v>
          </cell>
          <cell r="E123" t="str">
            <v>15334 CC  UR 667/5 GAL</v>
          </cell>
          <cell r="F123"/>
          <cell r="G123" t="str">
            <v>gallon</v>
          </cell>
          <cell r="H123">
            <v>167.05343999999999</v>
          </cell>
          <cell r="I123"/>
          <cell r="J123"/>
          <cell r="K123"/>
          <cell r="L123"/>
          <cell r="M123" t="str">
            <v>USD</v>
          </cell>
          <cell r="N123" t="str">
            <v>inactive</v>
          </cell>
          <cell r="O123"/>
          <cell r="P123"/>
          <cell r="Q123"/>
        </row>
        <row r="124">
          <cell r="A124">
            <v>70000123</v>
          </cell>
          <cell r="B124" t="str">
            <v>PAINT</v>
          </cell>
          <cell r="C124" t="str">
            <v>NB Coatings</v>
          </cell>
          <cell r="D124">
            <v>10615348</v>
          </cell>
          <cell r="E124" t="str">
            <v>15335     UR 667/5 GAL</v>
          </cell>
          <cell r="F124"/>
          <cell r="G124" t="str">
            <v>gallon</v>
          </cell>
          <cell r="H124">
            <v>117.74600000000001</v>
          </cell>
          <cell r="I124"/>
          <cell r="J124"/>
          <cell r="K124"/>
          <cell r="L124"/>
          <cell r="M124" t="str">
            <v>USD</v>
          </cell>
          <cell r="N124" t="str">
            <v>inactive</v>
          </cell>
          <cell r="O124"/>
          <cell r="P124"/>
          <cell r="Q124"/>
        </row>
        <row r="125">
          <cell r="A125">
            <v>70000124</v>
          </cell>
          <cell r="B125" t="str">
            <v>PAINT</v>
          </cell>
          <cell r="C125" t="str">
            <v>NB Coatings</v>
          </cell>
          <cell r="D125">
            <v>10615373</v>
          </cell>
          <cell r="E125" t="str">
            <v>18216 CC     2     KB/5 GAL</v>
          </cell>
          <cell r="F125"/>
          <cell r="G125" t="str">
            <v>gallon</v>
          </cell>
          <cell r="H125">
            <v>231.78247999999999</v>
          </cell>
          <cell r="I125"/>
          <cell r="J125"/>
          <cell r="K125"/>
          <cell r="L125"/>
          <cell r="M125" t="str">
            <v>USD</v>
          </cell>
          <cell r="N125" t="str">
            <v>inactive</v>
          </cell>
          <cell r="O125"/>
          <cell r="P125"/>
          <cell r="Q125"/>
        </row>
        <row r="126">
          <cell r="A126">
            <v>70000125</v>
          </cell>
          <cell r="B126" t="str">
            <v>PAINT</v>
          </cell>
          <cell r="C126" t="str">
            <v>NB Coatings</v>
          </cell>
          <cell r="D126">
            <v>10615526</v>
          </cell>
          <cell r="E126" t="str">
            <v>18251     UR 667/5 GAL Stone Gray</v>
          </cell>
          <cell r="G126" t="str">
            <v>gallon</v>
          </cell>
          <cell r="H126">
            <v>90.841560000000015</v>
          </cell>
          <cell r="M126" t="str">
            <v>USD</v>
          </cell>
          <cell r="N126" t="str">
            <v>active</v>
          </cell>
          <cell r="P126">
            <v>90.841560000000015</v>
          </cell>
          <cell r="Q126">
            <v>129.35838144000002</v>
          </cell>
        </row>
        <row r="127">
          <cell r="A127">
            <v>70000126</v>
          </cell>
          <cell r="B127" t="str">
            <v>PAINT</v>
          </cell>
          <cell r="C127" t="str">
            <v>NB Coatings</v>
          </cell>
          <cell r="D127">
            <v>10615706</v>
          </cell>
          <cell r="E127" t="str">
            <v>16301 CC     2     KB/5 GAL</v>
          </cell>
          <cell r="F127"/>
          <cell r="G127" t="str">
            <v>gallon</v>
          </cell>
          <cell r="H127">
            <v>120.60108</v>
          </cell>
          <cell r="I127"/>
          <cell r="J127"/>
          <cell r="K127"/>
          <cell r="L127"/>
          <cell r="M127" t="str">
            <v>USD</v>
          </cell>
          <cell r="N127" t="str">
            <v>inactive</v>
          </cell>
          <cell r="O127"/>
          <cell r="P127"/>
          <cell r="Q127"/>
        </row>
        <row r="128">
          <cell r="A128">
            <v>70000127</v>
          </cell>
          <cell r="B128" t="str">
            <v>PAINT</v>
          </cell>
          <cell r="C128" t="str">
            <v>NB Coatings</v>
          </cell>
          <cell r="D128">
            <v>10615712</v>
          </cell>
          <cell r="E128" t="str">
            <v>18223 BC     2     KB/5 GAL</v>
          </cell>
          <cell r="F128"/>
          <cell r="G128" t="str">
            <v>gallon</v>
          </cell>
          <cell r="H128">
            <v>140.58663999999999</v>
          </cell>
          <cell r="I128"/>
          <cell r="J128"/>
          <cell r="K128"/>
          <cell r="L128"/>
          <cell r="M128" t="str">
            <v>USD</v>
          </cell>
          <cell r="N128" t="str">
            <v>inactive</v>
          </cell>
          <cell r="O128"/>
          <cell r="P128"/>
          <cell r="Q128"/>
        </row>
        <row r="129">
          <cell r="A129">
            <v>70000128</v>
          </cell>
          <cell r="B129" t="str">
            <v>PAINT</v>
          </cell>
          <cell r="C129" t="str">
            <v>NB Coatings</v>
          </cell>
          <cell r="D129">
            <v>10616071</v>
          </cell>
          <cell r="E129" t="str">
            <v>15326     UR 667/5 GAL</v>
          </cell>
          <cell r="F129"/>
          <cell r="G129" t="str">
            <v>gallon</v>
          </cell>
          <cell r="H129">
            <v>78.400080000000003</v>
          </cell>
          <cell r="I129"/>
          <cell r="J129"/>
          <cell r="K129"/>
          <cell r="L129"/>
          <cell r="M129" t="str">
            <v>USD</v>
          </cell>
          <cell r="N129" t="str">
            <v>inactive</v>
          </cell>
          <cell r="O129"/>
          <cell r="P129"/>
          <cell r="Q129"/>
        </row>
        <row r="130">
          <cell r="A130">
            <v>70000129</v>
          </cell>
          <cell r="B130" t="str">
            <v>PAINT</v>
          </cell>
          <cell r="C130" t="str">
            <v>NB Coatings</v>
          </cell>
          <cell r="D130">
            <v>10616357</v>
          </cell>
          <cell r="E130" t="str">
            <v>19211     UR 667/30 GAL</v>
          </cell>
          <cell r="F130"/>
          <cell r="G130" t="str">
            <v>gallon</v>
          </cell>
          <cell r="H130">
            <v>120.01756000000002</v>
          </cell>
          <cell r="I130"/>
          <cell r="J130"/>
          <cell r="K130"/>
          <cell r="L130"/>
          <cell r="M130" t="str">
            <v>USD</v>
          </cell>
          <cell r="N130" t="str">
            <v>inactive</v>
          </cell>
          <cell r="O130"/>
          <cell r="P130"/>
          <cell r="Q130"/>
        </row>
        <row r="131">
          <cell r="A131">
            <v>70000130</v>
          </cell>
          <cell r="B131" t="str">
            <v>PAINT</v>
          </cell>
          <cell r="C131" t="str">
            <v>NB Coatings</v>
          </cell>
          <cell r="D131">
            <v>10616590</v>
          </cell>
          <cell r="E131" t="str">
            <v>19221     UR 667/30 GAL</v>
          </cell>
          <cell r="F131"/>
          <cell r="G131" t="str">
            <v>gallon</v>
          </cell>
          <cell r="H131">
            <v>144.69212000000002</v>
          </cell>
          <cell r="I131"/>
          <cell r="J131"/>
          <cell r="K131"/>
          <cell r="L131"/>
          <cell r="M131" t="str">
            <v>USD</v>
          </cell>
          <cell r="N131" t="str">
            <v>inactive</v>
          </cell>
          <cell r="O131"/>
          <cell r="P131"/>
          <cell r="Q131"/>
        </row>
        <row r="132">
          <cell r="A132">
            <v>70000131</v>
          </cell>
          <cell r="B132" t="str">
            <v>PAINT</v>
          </cell>
          <cell r="C132" t="str">
            <v>NB Coatings</v>
          </cell>
          <cell r="D132">
            <v>10616644</v>
          </cell>
          <cell r="E132" t="str">
            <v>19211 CC     2     KB/5 GAL</v>
          </cell>
          <cell r="F132"/>
          <cell r="G132" t="str">
            <v>gallon</v>
          </cell>
          <cell r="H132">
            <v>117.45424</v>
          </cell>
          <cell r="I132"/>
          <cell r="J132"/>
          <cell r="K132"/>
          <cell r="L132"/>
          <cell r="M132" t="str">
            <v>USD</v>
          </cell>
          <cell r="N132" t="str">
            <v>inactive</v>
          </cell>
          <cell r="O132"/>
          <cell r="P132"/>
          <cell r="Q132"/>
        </row>
        <row r="133">
          <cell r="A133">
            <v>70000132</v>
          </cell>
          <cell r="B133" t="str">
            <v>PAINT</v>
          </cell>
          <cell r="C133" t="str">
            <v>NB Coatings</v>
          </cell>
          <cell r="D133">
            <v>10616922</v>
          </cell>
          <cell r="E133" t="str">
            <v>19258     UR 667/5 GAL Agate Black</v>
          </cell>
          <cell r="G133" t="str">
            <v>gallon</v>
          </cell>
          <cell r="H133">
            <v>73.89864</v>
          </cell>
          <cell r="M133" t="str">
            <v>USD</v>
          </cell>
          <cell r="N133" t="str">
            <v>active</v>
          </cell>
          <cell r="P133">
            <v>73.89864</v>
          </cell>
          <cell r="Q133">
            <v>105.23166336</v>
          </cell>
        </row>
        <row r="134">
          <cell r="A134">
            <v>70000133</v>
          </cell>
          <cell r="B134" t="str">
            <v>PAINT</v>
          </cell>
          <cell r="C134" t="str">
            <v>NB Coatings</v>
          </cell>
          <cell r="D134">
            <v>10616962</v>
          </cell>
          <cell r="E134" t="str">
            <v>17336 RC2    2     KB/5 GAL</v>
          </cell>
          <cell r="F134"/>
          <cell r="G134" t="str">
            <v>gallon</v>
          </cell>
          <cell r="H134">
            <v>137.33560000000003</v>
          </cell>
          <cell r="I134"/>
          <cell r="J134"/>
          <cell r="K134"/>
          <cell r="L134"/>
          <cell r="M134" t="str">
            <v>USD</v>
          </cell>
          <cell r="N134" t="str">
            <v>inactive</v>
          </cell>
          <cell r="O134"/>
          <cell r="P134"/>
          <cell r="Q134"/>
        </row>
        <row r="135">
          <cell r="A135">
            <v>70000134</v>
          </cell>
          <cell r="B135" t="str">
            <v>PAINT</v>
          </cell>
          <cell r="C135" t="str">
            <v>NB Coatings</v>
          </cell>
          <cell r="D135">
            <v>10617074</v>
          </cell>
          <cell r="E135" t="str">
            <v>19200 CC  2        KB/5 GAL</v>
          </cell>
          <cell r="F135"/>
          <cell r="G135" t="str">
            <v>gallon</v>
          </cell>
          <cell r="H135">
            <v>175.01432000000003</v>
          </cell>
          <cell r="I135"/>
          <cell r="J135"/>
          <cell r="K135"/>
          <cell r="L135"/>
          <cell r="M135" t="str">
            <v>USD</v>
          </cell>
          <cell r="N135" t="str">
            <v>inactive</v>
          </cell>
          <cell r="O135"/>
          <cell r="P135"/>
          <cell r="Q135"/>
        </row>
        <row r="136">
          <cell r="A136">
            <v>70000135</v>
          </cell>
          <cell r="B136" t="str">
            <v>PAINT</v>
          </cell>
          <cell r="C136" t="str">
            <v>NB Coatings</v>
          </cell>
          <cell r="D136">
            <v>10617085</v>
          </cell>
          <cell r="E136" t="str">
            <v>18244 RC     2     KB/5 GAL</v>
          </cell>
          <cell r="F136"/>
          <cell r="G136" t="str">
            <v>gallon</v>
          </cell>
          <cell r="H136">
            <v>127.89507999999999</v>
          </cell>
          <cell r="I136"/>
          <cell r="J136"/>
          <cell r="K136"/>
          <cell r="L136"/>
          <cell r="M136" t="str">
            <v>USD</v>
          </cell>
          <cell r="N136" t="str">
            <v>inactive</v>
          </cell>
          <cell r="O136"/>
          <cell r="P136"/>
          <cell r="Q136"/>
        </row>
        <row r="137">
          <cell r="A137">
            <v>70000136</v>
          </cell>
          <cell r="B137" t="str">
            <v>PAINT</v>
          </cell>
          <cell r="C137" t="str">
            <v>NB Coatings</v>
          </cell>
          <cell r="D137">
            <v>10617276</v>
          </cell>
          <cell r="E137" t="str">
            <v>19263     UR 667/5 GAL</v>
          </cell>
          <cell r="F137"/>
          <cell r="G137" t="str">
            <v>gallon</v>
          </cell>
          <cell r="H137">
            <v>99.636040000000008</v>
          </cell>
          <cell r="I137"/>
          <cell r="J137"/>
          <cell r="K137"/>
          <cell r="L137"/>
          <cell r="M137" t="str">
            <v>USD</v>
          </cell>
          <cell r="N137" t="str">
            <v>inactive</v>
          </cell>
          <cell r="O137"/>
          <cell r="P137"/>
          <cell r="Q137"/>
        </row>
        <row r="138">
          <cell r="A138">
            <v>70000137</v>
          </cell>
          <cell r="B138" t="str">
            <v>PAINT</v>
          </cell>
          <cell r="C138" t="str">
            <v>NB Coatings</v>
          </cell>
          <cell r="D138">
            <v>10617311</v>
          </cell>
          <cell r="E138" t="str">
            <v>19221 CC     2     KB/5 GAL Oconus MET</v>
          </cell>
          <cell r="G138" t="str">
            <v>gallon</v>
          </cell>
          <cell r="H138">
            <v>144.69212000000002</v>
          </cell>
          <cell r="M138" t="str">
            <v>USD</v>
          </cell>
          <cell r="N138" t="str">
            <v>active</v>
          </cell>
          <cell r="P138">
            <v>144.69212000000002</v>
          </cell>
          <cell r="Q138">
            <v>206.04157888</v>
          </cell>
        </row>
        <row r="139">
          <cell r="A139">
            <v>70000138</v>
          </cell>
          <cell r="B139" t="str">
            <v>PAINT</v>
          </cell>
          <cell r="C139" t="str">
            <v>NB Coatings</v>
          </cell>
          <cell r="D139">
            <v>10618098</v>
          </cell>
          <cell r="E139" t="str">
            <v>20261     UR 667/5 GAL Iconic Silver</v>
          </cell>
          <cell r="G139" t="str">
            <v>gallon</v>
          </cell>
          <cell r="H139">
            <v>93.092280000000002</v>
          </cell>
          <cell r="M139" t="str">
            <v>USD</v>
          </cell>
          <cell r="N139" t="str">
            <v>active</v>
          </cell>
          <cell r="P139">
            <v>93.092280000000002</v>
          </cell>
          <cell r="Q139">
            <v>132.56340671999999</v>
          </cell>
        </row>
        <row r="140">
          <cell r="A140">
            <v>70000139</v>
          </cell>
          <cell r="B140" t="str">
            <v>PAINT</v>
          </cell>
          <cell r="C140" t="str">
            <v>NB Coatings</v>
          </cell>
          <cell r="D140">
            <v>10618100</v>
          </cell>
          <cell r="E140" t="str">
            <v>20250 FC  UR 667/5 GAL Star White</v>
          </cell>
          <cell r="G140" t="str">
            <v>gallon</v>
          </cell>
          <cell r="H140">
            <v>77.337240000000008</v>
          </cell>
          <cell r="M140" t="str">
            <v>USD</v>
          </cell>
          <cell r="N140" t="str">
            <v>active</v>
          </cell>
          <cell r="P140">
            <v>77.337240000000008</v>
          </cell>
          <cell r="Q140">
            <v>110.12822976000001</v>
          </cell>
        </row>
        <row r="141">
          <cell r="A141">
            <v>70000140</v>
          </cell>
          <cell r="B141" t="str">
            <v>PAINT</v>
          </cell>
          <cell r="C141" t="str">
            <v>NB Coatings</v>
          </cell>
          <cell r="D141">
            <v>10618102</v>
          </cell>
          <cell r="E141" t="str">
            <v>20251 SC  UR 667/5 GAL Star White</v>
          </cell>
          <cell r="G141" t="str">
            <v>gallon</v>
          </cell>
          <cell r="H141">
            <v>89.42443999999999</v>
          </cell>
          <cell r="M141" t="str">
            <v>USD</v>
          </cell>
          <cell r="N141" t="str">
            <v>active</v>
          </cell>
          <cell r="P141">
            <v>89.42443999999999</v>
          </cell>
          <cell r="Q141">
            <v>127.34040255999997</v>
          </cell>
        </row>
        <row r="142">
          <cell r="A142">
            <v>70000141</v>
          </cell>
          <cell r="B142" t="str">
            <v>PAINT</v>
          </cell>
          <cell r="C142" t="str">
            <v>NB Coatings</v>
          </cell>
          <cell r="D142">
            <v>10618104</v>
          </cell>
          <cell r="E142" t="str">
            <v>20259     UR 667/5 GAL</v>
          </cell>
          <cell r="F142"/>
          <cell r="G142" t="str">
            <v>gallon</v>
          </cell>
          <cell r="H142">
            <v>111.57736</v>
          </cell>
          <cell r="I142"/>
          <cell r="J142"/>
          <cell r="K142"/>
          <cell r="L142"/>
          <cell r="M142" t="str">
            <v>USD</v>
          </cell>
          <cell r="N142" t="str">
            <v>inactive</v>
          </cell>
          <cell r="O142"/>
          <cell r="P142"/>
          <cell r="Q142"/>
        </row>
        <row r="143">
          <cell r="A143">
            <v>70000142</v>
          </cell>
          <cell r="B143" t="str">
            <v>PAINT</v>
          </cell>
          <cell r="C143" t="str">
            <v>NB Coatings</v>
          </cell>
          <cell r="D143">
            <v>10618106</v>
          </cell>
          <cell r="E143" t="str">
            <v>20252 BC  UR 667/5 GAL</v>
          </cell>
          <cell r="F143"/>
          <cell r="G143" t="str">
            <v>gallon</v>
          </cell>
          <cell r="H143">
            <v>172.30512000000002</v>
          </cell>
          <cell r="I143"/>
          <cell r="J143"/>
          <cell r="K143"/>
          <cell r="L143"/>
          <cell r="M143" t="str">
            <v>USD</v>
          </cell>
          <cell r="N143" t="str">
            <v>inactive</v>
          </cell>
          <cell r="O143"/>
          <cell r="P143"/>
          <cell r="Q143"/>
        </row>
        <row r="144">
          <cell r="A144">
            <v>70000143</v>
          </cell>
          <cell r="B144" t="str">
            <v>PAINT</v>
          </cell>
          <cell r="C144" t="str">
            <v>NB Coatings</v>
          </cell>
          <cell r="D144">
            <v>10618108</v>
          </cell>
          <cell r="E144" t="str">
            <v>20253 TC  R  788   LM/5 GAL</v>
          </cell>
          <cell r="F144"/>
          <cell r="G144" t="str">
            <v>gallon</v>
          </cell>
          <cell r="H144">
            <v>76.587000000000003</v>
          </cell>
          <cell r="I144"/>
          <cell r="J144"/>
          <cell r="K144"/>
          <cell r="L144"/>
          <cell r="M144" t="str">
            <v>USD</v>
          </cell>
          <cell r="N144" t="str">
            <v>inactive</v>
          </cell>
          <cell r="O144"/>
          <cell r="P144"/>
          <cell r="Q144"/>
        </row>
        <row r="145">
          <cell r="A145">
            <v>70000144</v>
          </cell>
          <cell r="B145" t="str">
            <v>PAINT</v>
          </cell>
          <cell r="C145" t="str">
            <v>NB Coatings</v>
          </cell>
          <cell r="D145">
            <v>10618120</v>
          </cell>
          <cell r="E145" t="str">
            <v>DT64758 / 8LB REPACK/ 1 GAL</v>
          </cell>
          <cell r="F145"/>
          <cell r="G145" t="str">
            <v>gallon</v>
          </cell>
          <cell r="H145">
            <v>464.62779999999998</v>
          </cell>
          <cell r="I145"/>
          <cell r="J145"/>
          <cell r="K145"/>
          <cell r="L145"/>
          <cell r="M145" t="str">
            <v>USD</v>
          </cell>
          <cell r="N145" t="str">
            <v>inactive</v>
          </cell>
          <cell r="O145"/>
          <cell r="P145"/>
          <cell r="Q145"/>
        </row>
        <row r="146">
          <cell r="A146">
            <v>70000145</v>
          </cell>
          <cell r="B146" t="str">
            <v>PAINT</v>
          </cell>
          <cell r="C146" t="str">
            <v>NB Coatings</v>
          </cell>
          <cell r="D146">
            <v>10618261</v>
          </cell>
          <cell r="E146" t="str">
            <v>19268     UR 667/5 GAL Flight Blue</v>
          </cell>
          <cell r="G146" t="str">
            <v>gallon</v>
          </cell>
          <cell r="H146">
            <v>117.18331999999999</v>
          </cell>
          <cell r="M146" t="str">
            <v>USD</v>
          </cell>
          <cell r="N146" t="str">
            <v>active</v>
          </cell>
          <cell r="P146">
            <v>117.18331999999999</v>
          </cell>
          <cell r="Q146">
            <v>166.86904767999999</v>
          </cell>
        </row>
        <row r="147">
          <cell r="A147">
            <v>70000146</v>
          </cell>
          <cell r="B147" t="str">
            <v>PAINT</v>
          </cell>
          <cell r="C147" t="str">
            <v>NB Coatings</v>
          </cell>
          <cell r="D147">
            <v>10618641</v>
          </cell>
          <cell r="E147" t="str">
            <v>20208 CC     2     KB/5 GAL</v>
          </cell>
          <cell r="F147"/>
          <cell r="G147" t="str">
            <v>gallon</v>
          </cell>
          <cell r="H147">
            <v>160.88480000000001</v>
          </cell>
          <cell r="I147"/>
          <cell r="J147"/>
          <cell r="K147"/>
          <cell r="L147"/>
          <cell r="M147" t="str">
            <v>USD</v>
          </cell>
          <cell r="N147" t="str">
            <v>inactive</v>
          </cell>
          <cell r="O147"/>
          <cell r="P147"/>
          <cell r="Q147"/>
        </row>
        <row r="148">
          <cell r="A148">
            <v>70000147</v>
          </cell>
          <cell r="B148" t="str">
            <v>PAINT</v>
          </cell>
          <cell r="C148" t="str">
            <v>NB Coatings</v>
          </cell>
          <cell r="D148">
            <v>10618687</v>
          </cell>
          <cell r="E148" t="str">
            <v>20208     UR 667/5 GAL</v>
          </cell>
          <cell r="F148"/>
          <cell r="G148" t="str">
            <v>gallon</v>
          </cell>
          <cell r="H148">
            <v>154.52860000000001</v>
          </cell>
          <cell r="I148"/>
          <cell r="J148"/>
          <cell r="K148"/>
          <cell r="L148"/>
          <cell r="M148" t="str">
            <v>USD</v>
          </cell>
          <cell r="N148" t="str">
            <v>inactive</v>
          </cell>
          <cell r="O148"/>
          <cell r="P148"/>
          <cell r="Q148"/>
        </row>
        <row r="149">
          <cell r="A149">
            <v>70000148</v>
          </cell>
          <cell r="B149" t="str">
            <v>PAINT</v>
          </cell>
          <cell r="C149" t="str">
            <v>NB Coatings</v>
          </cell>
          <cell r="D149">
            <v>10618712</v>
          </cell>
          <cell r="E149" t="str">
            <v>19223 CC     2     KB/5 GAL</v>
          </cell>
          <cell r="F149"/>
          <cell r="G149" t="str">
            <v>gallon</v>
          </cell>
          <cell r="H149">
            <v>119.45488</v>
          </cell>
          <cell r="I149"/>
          <cell r="J149"/>
          <cell r="K149"/>
          <cell r="L149"/>
          <cell r="M149" t="str">
            <v>USD</v>
          </cell>
          <cell r="N149" t="str">
            <v>inactive</v>
          </cell>
          <cell r="O149"/>
          <cell r="P149"/>
          <cell r="Q149"/>
        </row>
        <row r="150">
          <cell r="A150">
            <v>70000149</v>
          </cell>
          <cell r="B150" t="str">
            <v>PAINT</v>
          </cell>
          <cell r="C150" t="str">
            <v>NB Coatings</v>
          </cell>
          <cell r="D150">
            <v>10619970</v>
          </cell>
          <cell r="E150" t="str">
            <v>21209 CC     2     KB/5 GAL</v>
          </cell>
          <cell r="F150"/>
          <cell r="G150" t="str">
            <v>gallon</v>
          </cell>
          <cell r="H150">
            <v>112.43180000000001</v>
          </cell>
          <cell r="I150"/>
          <cell r="J150"/>
          <cell r="K150"/>
          <cell r="L150"/>
          <cell r="M150" t="str">
            <v>USD</v>
          </cell>
          <cell r="N150" t="str">
            <v>inactive</v>
          </cell>
          <cell r="O150"/>
          <cell r="P150"/>
          <cell r="Q150"/>
        </row>
        <row r="151">
          <cell r="A151">
            <v>70000150</v>
          </cell>
          <cell r="B151" t="str">
            <v>PAINT</v>
          </cell>
          <cell r="C151" t="str">
            <v>NB Coatings</v>
          </cell>
          <cell r="D151">
            <v>10619990</v>
          </cell>
          <cell r="E151" t="str">
            <v>21212 BC     2     KB/5 GAL</v>
          </cell>
          <cell r="F151"/>
          <cell r="G151" t="str">
            <v>gallon</v>
          </cell>
          <cell r="H151">
            <v>294.11491999999998</v>
          </cell>
          <cell r="I151"/>
          <cell r="J151"/>
          <cell r="K151"/>
          <cell r="L151"/>
          <cell r="M151" t="str">
            <v>USD</v>
          </cell>
          <cell r="N151" t="str">
            <v>inactive</v>
          </cell>
          <cell r="O151"/>
          <cell r="P151"/>
          <cell r="Q151"/>
        </row>
        <row r="152">
          <cell r="A152">
            <v>70000151</v>
          </cell>
          <cell r="B152" t="str">
            <v>PAINT</v>
          </cell>
          <cell r="C152" t="str">
            <v>NB Coatings</v>
          </cell>
          <cell r="D152">
            <v>10620009</v>
          </cell>
          <cell r="E152" t="str">
            <v>21213 TC  R  788   LM/5 GAL</v>
          </cell>
          <cell r="F152"/>
          <cell r="G152" t="str">
            <v>gallon</v>
          </cell>
          <cell r="H152">
            <v>117.51676</v>
          </cell>
          <cell r="I152"/>
          <cell r="J152"/>
          <cell r="K152"/>
          <cell r="L152"/>
          <cell r="M152" t="str">
            <v>USD</v>
          </cell>
          <cell r="N152" t="str">
            <v>inactive</v>
          </cell>
          <cell r="O152"/>
          <cell r="P152"/>
          <cell r="Q152"/>
        </row>
        <row r="153">
          <cell r="A153">
            <v>70000152</v>
          </cell>
          <cell r="B153" t="str">
            <v>PAINT</v>
          </cell>
          <cell r="C153" t="str">
            <v>NB Coatings</v>
          </cell>
          <cell r="D153">
            <v>10620025</v>
          </cell>
          <cell r="E153" t="str">
            <v>21251     UR 667/5 GAL</v>
          </cell>
          <cell r="F153"/>
          <cell r="G153" t="str">
            <v>gallon</v>
          </cell>
          <cell r="H153">
            <v>102.37650000000001</v>
          </cell>
          <cell r="I153"/>
          <cell r="J153"/>
          <cell r="K153"/>
          <cell r="L153"/>
          <cell r="M153" t="str">
            <v>USD</v>
          </cell>
          <cell r="N153" t="str">
            <v>inactive</v>
          </cell>
          <cell r="O153"/>
          <cell r="P153"/>
          <cell r="Q153"/>
        </row>
        <row r="154">
          <cell r="A154">
            <v>70000153</v>
          </cell>
          <cell r="B154" t="str">
            <v>PAINT</v>
          </cell>
          <cell r="C154" t="str">
            <v>NB Coatings</v>
          </cell>
          <cell r="D154">
            <v>10620030</v>
          </cell>
          <cell r="E154" t="str">
            <v>12028     UR 667/5 GAL</v>
          </cell>
          <cell r="F154"/>
          <cell r="G154" t="str">
            <v>gallon</v>
          </cell>
          <cell r="H154">
            <v>107.44062000000001</v>
          </cell>
          <cell r="I154"/>
          <cell r="J154"/>
          <cell r="K154"/>
          <cell r="L154"/>
          <cell r="M154" t="str">
            <v>USD</v>
          </cell>
          <cell r="N154" t="str">
            <v>inactive</v>
          </cell>
          <cell r="O154"/>
          <cell r="P154"/>
          <cell r="Q154"/>
        </row>
        <row r="155">
          <cell r="A155">
            <v>70000154</v>
          </cell>
          <cell r="B155" t="str">
            <v>PAINT</v>
          </cell>
          <cell r="C155" t="str">
            <v>NB Coatings</v>
          </cell>
          <cell r="D155">
            <v>10620046</v>
          </cell>
          <cell r="E155" t="str">
            <v>21255     UR 667/5 GAL</v>
          </cell>
          <cell r="F155"/>
          <cell r="G155" t="str">
            <v>gallon</v>
          </cell>
          <cell r="H155">
            <v>126.8635</v>
          </cell>
          <cell r="I155"/>
          <cell r="J155"/>
          <cell r="K155"/>
          <cell r="L155"/>
          <cell r="M155" t="str">
            <v>USD</v>
          </cell>
          <cell r="N155" t="str">
            <v>inactive</v>
          </cell>
          <cell r="O155"/>
          <cell r="P155"/>
          <cell r="Q155"/>
        </row>
        <row r="156">
          <cell r="A156">
            <v>70000155</v>
          </cell>
          <cell r="B156" t="str">
            <v>PAINT</v>
          </cell>
          <cell r="C156" t="str">
            <v>NB Coatings</v>
          </cell>
          <cell r="D156">
            <v>10620129</v>
          </cell>
          <cell r="E156" t="str">
            <v>21253 TC  R  788   LM/5 GAL</v>
          </cell>
          <cell r="F156"/>
          <cell r="G156" t="str">
            <v>gallon</v>
          </cell>
          <cell r="H156">
            <v>91.466760000000008</v>
          </cell>
          <cell r="I156"/>
          <cell r="J156"/>
          <cell r="K156"/>
          <cell r="L156"/>
          <cell r="M156" t="str">
            <v>USD</v>
          </cell>
          <cell r="N156" t="str">
            <v>inactive</v>
          </cell>
          <cell r="O156"/>
          <cell r="P156"/>
          <cell r="Q156"/>
        </row>
        <row r="157">
          <cell r="A157">
            <v>70000156</v>
          </cell>
          <cell r="B157" t="str">
            <v>PAINT</v>
          </cell>
          <cell r="C157" t="str">
            <v>NB Coatings</v>
          </cell>
          <cell r="D157">
            <v>10620180</v>
          </cell>
          <cell r="E157" t="str">
            <v>21252 BC  UR 667/5 GAL Infinite Blue</v>
          </cell>
          <cell r="G157" t="str">
            <v>gallon</v>
          </cell>
          <cell r="H157">
            <v>112.57768000000002</v>
          </cell>
          <cell r="M157" t="str">
            <v>USD</v>
          </cell>
          <cell r="N157" t="str">
            <v>active</v>
          </cell>
          <cell r="P157">
            <v>112.57768000000002</v>
          </cell>
          <cell r="Q157">
            <v>160.31061632000001</v>
          </cell>
        </row>
        <row r="158">
          <cell r="A158">
            <v>70000157</v>
          </cell>
          <cell r="B158" t="str">
            <v>PAINT</v>
          </cell>
          <cell r="C158" t="str">
            <v>NB Coatings</v>
          </cell>
          <cell r="D158">
            <v>10621398</v>
          </cell>
          <cell r="E158" t="str">
            <v>19217 CC     2     KB/5 GAL Rapid</v>
          </cell>
          <cell r="G158" t="str">
            <v>gallon</v>
          </cell>
          <cell r="H158">
            <v>85.339800000000011</v>
          </cell>
          <cell r="M158" t="str">
            <v>USD</v>
          </cell>
          <cell r="N158" t="str">
            <v>active</v>
          </cell>
          <cell r="P158">
            <v>85.339800000000011</v>
          </cell>
          <cell r="Q158">
            <v>121.52387520000001</v>
          </cell>
        </row>
        <row r="159">
          <cell r="A159">
            <v>70000158</v>
          </cell>
          <cell r="B159" t="str">
            <v>PAINT</v>
          </cell>
          <cell r="C159" t="str">
            <v>NB Coatings</v>
          </cell>
          <cell r="D159">
            <v>10621407</v>
          </cell>
          <cell r="E159" t="str">
            <v>22216 CC     2     KB/5 GAL Vivid MET</v>
          </cell>
          <cell r="G159" t="str">
            <v>gallon</v>
          </cell>
          <cell r="H159">
            <v>196.31280000000001</v>
          </cell>
          <cell r="M159" t="str">
            <v>USD</v>
          </cell>
          <cell r="N159" t="str">
            <v>active</v>
          </cell>
          <cell r="P159">
            <v>196.31280000000001</v>
          </cell>
          <cell r="Q159">
            <v>279.54942720000003</v>
          </cell>
        </row>
        <row r="160">
          <cell r="A160">
            <v>70000159</v>
          </cell>
          <cell r="B160" t="str">
            <v>PAINT</v>
          </cell>
          <cell r="C160" t="str">
            <v>NB Coatings</v>
          </cell>
          <cell r="D160">
            <v>10650292</v>
          </cell>
          <cell r="E160" t="str">
            <v>22251     UR 667/5 GAL</v>
          </cell>
          <cell r="F160"/>
          <cell r="G160" t="str">
            <v>gallon</v>
          </cell>
          <cell r="H160">
            <v>86.736080000000001</v>
          </cell>
          <cell r="I160"/>
          <cell r="J160"/>
          <cell r="K160"/>
          <cell r="L160"/>
          <cell r="M160" t="str">
            <v>USD</v>
          </cell>
          <cell r="N160" t="str">
            <v>inactive</v>
          </cell>
          <cell r="O160"/>
          <cell r="P160"/>
          <cell r="Q160"/>
        </row>
        <row r="161">
          <cell r="A161">
            <v>70000160</v>
          </cell>
          <cell r="B161" t="str">
            <v>PAINT</v>
          </cell>
          <cell r="C161" t="str">
            <v>NB Coatings</v>
          </cell>
          <cell r="D161">
            <v>10650294</v>
          </cell>
          <cell r="E161" t="str">
            <v>22257     UR 667/5 GAL Dark Matter Gray</v>
          </cell>
          <cell r="G161" t="str">
            <v>gallon</v>
          </cell>
          <cell r="H161">
            <v>168.13712000000001</v>
          </cell>
          <cell r="M161" t="str">
            <v>USD</v>
          </cell>
          <cell r="N161" t="str">
            <v>active</v>
          </cell>
          <cell r="P161">
            <v>168.13712000000001</v>
          </cell>
          <cell r="Q161">
            <v>239.42725888000001</v>
          </cell>
        </row>
        <row r="162">
          <cell r="A162">
            <v>70000161</v>
          </cell>
          <cell r="B162" t="str">
            <v>PAINT</v>
          </cell>
          <cell r="C162" t="str">
            <v>NB Coatings</v>
          </cell>
          <cell r="D162">
            <v>10650296</v>
          </cell>
          <cell r="E162" t="str">
            <v>21288     R  798/5 GAL Dark Carbon</v>
          </cell>
          <cell r="G162" t="str">
            <v>gallon</v>
          </cell>
          <cell r="H162">
            <v>101.03232</v>
          </cell>
          <cell r="M162" t="str">
            <v>USD</v>
          </cell>
          <cell r="N162" t="str">
            <v>active</v>
          </cell>
          <cell r="P162">
            <v>101.03232</v>
          </cell>
          <cell r="Q162">
            <v>143.87002368</v>
          </cell>
        </row>
        <row r="163">
          <cell r="A163">
            <v>70000162</v>
          </cell>
          <cell r="B163" t="str">
            <v>PAINT</v>
          </cell>
          <cell r="C163" t="str">
            <v>NB Coatings</v>
          </cell>
          <cell r="D163">
            <v>10650817</v>
          </cell>
          <cell r="E163" t="str">
            <v>22268 CC     2     KB/5 GAL</v>
          </cell>
          <cell r="F163"/>
          <cell r="G163" t="str">
            <v>gallon</v>
          </cell>
          <cell r="H163">
            <v>72.085560000000015</v>
          </cell>
          <cell r="I163"/>
          <cell r="J163"/>
          <cell r="K163"/>
          <cell r="L163"/>
          <cell r="M163" t="str">
            <v>USD</v>
          </cell>
          <cell r="N163" t="str">
            <v>inactive</v>
          </cell>
          <cell r="O163"/>
          <cell r="P163"/>
          <cell r="Q163"/>
        </row>
        <row r="164">
          <cell r="A164">
            <v>70000163</v>
          </cell>
          <cell r="B164" t="str">
            <v>PAINT</v>
          </cell>
          <cell r="C164" t="str">
            <v>NB Coatings</v>
          </cell>
          <cell r="D164">
            <v>10653165</v>
          </cell>
          <cell r="E164" t="str">
            <v>23225 BC UR 667/5 GAL Jewel Red TC</v>
          </cell>
          <cell r="G164" t="str">
            <v>gallon</v>
          </cell>
          <cell r="H164">
            <v>337.8</v>
          </cell>
          <cell r="M164" t="str">
            <v>USD</v>
          </cell>
          <cell r="N164" t="str">
            <v>active</v>
          </cell>
          <cell r="P164">
            <v>337.8</v>
          </cell>
          <cell r="Q164">
            <v>481.02719999999999</v>
          </cell>
        </row>
        <row r="165">
          <cell r="A165">
            <v>70000164</v>
          </cell>
          <cell r="B165" t="str">
            <v>PAINT</v>
          </cell>
          <cell r="C165" t="str">
            <v>NB Coatings</v>
          </cell>
          <cell r="D165">
            <v>10652643</v>
          </cell>
          <cell r="E165" t="str">
            <v>23206 BC 2 KB/5 GAL Radiant Red MET BC</v>
          </cell>
          <cell r="G165" t="str">
            <v>gallon</v>
          </cell>
          <cell r="H165">
            <v>237.8</v>
          </cell>
          <cell r="M165" t="str">
            <v>USD</v>
          </cell>
          <cell r="N165" t="str">
            <v>active</v>
          </cell>
          <cell r="P165">
            <v>237.8</v>
          </cell>
          <cell r="Q165">
            <v>338.62720000000002</v>
          </cell>
        </row>
        <row r="166">
          <cell r="A166">
            <v>70000165</v>
          </cell>
          <cell r="B166" t="str">
            <v>PAINT</v>
          </cell>
          <cell r="C166" t="str">
            <v>NB Coatings</v>
          </cell>
          <cell r="D166">
            <v>10652404</v>
          </cell>
          <cell r="E166" t="str">
            <v>23203 CC 2 KB/5 GAL Sharkskin MET</v>
          </cell>
          <cell r="G166" t="str">
            <v>gallon</v>
          </cell>
          <cell r="H166">
            <v>103.42</v>
          </cell>
          <cell r="M166" t="str">
            <v>USD</v>
          </cell>
          <cell r="N166" t="str">
            <v>active</v>
          </cell>
          <cell r="P166">
            <v>103.42</v>
          </cell>
          <cell r="Q166">
            <v>147.27008000000001</v>
          </cell>
        </row>
        <row r="167">
          <cell r="A167">
            <v>70000166</v>
          </cell>
          <cell r="B167" t="str">
            <v>PAINT</v>
          </cell>
          <cell r="C167" t="str">
            <v>NB Coatings</v>
          </cell>
          <cell r="D167">
            <v>10654349</v>
          </cell>
          <cell r="E167" t="str">
            <v>22218 CC 2 KB/5 GAL TRIPP</v>
          </cell>
          <cell r="G167" t="str">
            <v>gallon</v>
          </cell>
          <cell r="H167">
            <v>276.83999999999997</v>
          </cell>
          <cell r="M167" t="str">
            <v>USD</v>
          </cell>
          <cell r="N167" t="str">
            <v>active</v>
          </cell>
          <cell r="P167">
            <v>276.83999999999997</v>
          </cell>
          <cell r="Q167">
            <v>394.22015999999996</v>
          </cell>
        </row>
        <row r="168">
          <cell r="A168">
            <v>70000167</v>
          </cell>
          <cell r="B168" t="str">
            <v>PAINT</v>
          </cell>
          <cell r="C168" t="str">
            <v>NB Coatings</v>
          </cell>
          <cell r="D168">
            <v>10651348</v>
          </cell>
          <cell r="E168" t="str">
            <v>14386 CCAI 2 KB/5 GAL Sierra Black</v>
          </cell>
          <cell r="G168" t="str">
            <v>gallon</v>
          </cell>
          <cell r="H168">
            <v>91.38</v>
          </cell>
          <cell r="M168" t="str">
            <v>USD</v>
          </cell>
          <cell r="N168" t="str">
            <v>active</v>
          </cell>
          <cell r="P168">
            <v>91.38</v>
          </cell>
          <cell r="Q168">
            <v>130.12511999999998</v>
          </cell>
        </row>
        <row r="169">
          <cell r="A169">
            <v>70000168</v>
          </cell>
          <cell r="B169" t="str">
            <v>PAINT</v>
          </cell>
          <cell r="C169" t="str">
            <v>NB Coatings</v>
          </cell>
          <cell r="D169">
            <v>10654588</v>
          </cell>
          <cell r="E169" t="str">
            <v>R221 Primer</v>
          </cell>
          <cell r="G169" t="str">
            <v>gallon</v>
          </cell>
          <cell r="H169">
            <v>59.22</v>
          </cell>
          <cell r="M169" t="str">
            <v>USD</v>
          </cell>
          <cell r="N169" t="str">
            <v>active</v>
          </cell>
          <cell r="P169">
            <v>59.22</v>
          </cell>
          <cell r="Q169">
            <v>84.329279999999997</v>
          </cell>
        </row>
        <row r="170">
          <cell r="A170">
            <v>70000169</v>
          </cell>
          <cell r="B170" t="str">
            <v>PAINT</v>
          </cell>
          <cell r="C170" t="str">
            <v>NB Coatings</v>
          </cell>
          <cell r="D170">
            <v>10654574</v>
          </cell>
          <cell r="E170" t="str">
            <v>24200 CC 2 KB/5 Rip Tide</v>
          </cell>
          <cell r="G170" t="str">
            <v>gallon</v>
          </cell>
          <cell r="H170">
            <v>192.6</v>
          </cell>
          <cell r="M170" t="str">
            <v>USD</v>
          </cell>
          <cell r="N170" t="str">
            <v>active</v>
          </cell>
          <cell r="P170">
            <v>192.6</v>
          </cell>
          <cell r="Q170">
            <v>274.26239999999996</v>
          </cell>
        </row>
        <row r="171">
          <cell r="A171">
            <v>70000170</v>
          </cell>
          <cell r="B171" t="str">
            <v>PAINT</v>
          </cell>
          <cell r="C171" t="str">
            <v>BASF</v>
          </cell>
          <cell r="D171" t="str">
            <v>E189AU013M</v>
          </cell>
          <cell r="E171" t="str">
            <v>E189AU013M SUNSTONE</v>
          </cell>
          <cell r="F171"/>
          <cell r="G171" t="str">
            <v>gallon</v>
          </cell>
          <cell r="H171">
            <v>205.87</v>
          </cell>
          <cell r="I171"/>
          <cell r="J171"/>
          <cell r="K171"/>
          <cell r="L171"/>
          <cell r="M171" t="str">
            <v>USD</v>
          </cell>
          <cell r="N171" t="str">
            <v>inactive</v>
          </cell>
          <cell r="O171"/>
          <cell r="P171"/>
          <cell r="Q171"/>
        </row>
        <row r="172">
          <cell r="A172">
            <v>70000171</v>
          </cell>
          <cell r="B172" t="str">
            <v>PAINT</v>
          </cell>
          <cell r="C172" t="str">
            <v>BASF</v>
          </cell>
          <cell r="D172" t="str">
            <v>E189AU042</v>
          </cell>
          <cell r="E172" t="str">
            <v xml:space="preserve">E189AU042 SOPHISTO GRAY </v>
          </cell>
          <cell r="F172"/>
          <cell r="G172" t="str">
            <v>gallon</v>
          </cell>
          <cell r="H172">
            <v>235.43</v>
          </cell>
          <cell r="I172"/>
          <cell r="J172"/>
          <cell r="K172"/>
          <cell r="L172"/>
          <cell r="M172" t="str">
            <v>USD</v>
          </cell>
          <cell r="N172" t="str">
            <v>inactive</v>
          </cell>
          <cell r="O172"/>
          <cell r="P172"/>
          <cell r="Q172"/>
        </row>
        <row r="173">
          <cell r="A173">
            <v>70000172</v>
          </cell>
          <cell r="B173" t="str">
            <v>PAINT</v>
          </cell>
          <cell r="C173" t="str">
            <v>BASF</v>
          </cell>
          <cell r="D173" t="str">
            <v>E189AU502</v>
          </cell>
          <cell r="E173" t="str">
            <v>E189AU502 MANHATTAN</v>
          </cell>
          <cell r="F173"/>
          <cell r="G173" t="str">
            <v>gallon</v>
          </cell>
          <cell r="H173">
            <v>146.72999999999999</v>
          </cell>
          <cell r="I173"/>
          <cell r="J173"/>
          <cell r="K173"/>
          <cell r="L173"/>
          <cell r="M173" t="str">
            <v>USD</v>
          </cell>
          <cell r="N173" t="str">
            <v>inactive</v>
          </cell>
          <cell r="O173"/>
          <cell r="P173"/>
          <cell r="Q173"/>
        </row>
        <row r="174">
          <cell r="A174">
            <v>70000173</v>
          </cell>
          <cell r="B174" t="str">
            <v>PAINT</v>
          </cell>
          <cell r="C174" t="str">
            <v>BASF</v>
          </cell>
          <cell r="D174" t="str">
            <v>E189AU607M</v>
          </cell>
          <cell r="E174" t="str">
            <v>E189AU607M GLACR SLBR</v>
          </cell>
          <cell r="F174"/>
          <cell r="G174" t="str">
            <v>gallon</v>
          </cell>
          <cell r="H174">
            <v>215.67</v>
          </cell>
          <cell r="I174"/>
          <cell r="J174"/>
          <cell r="K174"/>
          <cell r="L174"/>
          <cell r="M174" t="str">
            <v>USD</v>
          </cell>
          <cell r="N174" t="str">
            <v>inactive</v>
          </cell>
          <cell r="O174"/>
          <cell r="P174"/>
          <cell r="Q174"/>
        </row>
        <row r="175">
          <cell r="A175">
            <v>70000174</v>
          </cell>
          <cell r="B175" t="str">
            <v>PAINT</v>
          </cell>
          <cell r="C175" t="str">
            <v>BASF</v>
          </cell>
          <cell r="D175" t="str">
            <v>E189BU053</v>
          </cell>
          <cell r="E175" t="str">
            <v>E189BU053 MARINA BAY</v>
          </cell>
          <cell r="F175"/>
          <cell r="G175" t="str">
            <v>gallon</v>
          </cell>
          <cell r="H175">
            <v>209.73</v>
          </cell>
          <cell r="I175"/>
          <cell r="J175"/>
          <cell r="K175"/>
          <cell r="L175"/>
          <cell r="M175" t="str">
            <v>USD</v>
          </cell>
          <cell r="N175" t="str">
            <v>inactive</v>
          </cell>
          <cell r="O175"/>
          <cell r="P175"/>
          <cell r="Q175"/>
        </row>
        <row r="176">
          <cell r="A176">
            <v>70000175</v>
          </cell>
          <cell r="B176" t="str">
            <v>PAINT</v>
          </cell>
          <cell r="C176" t="str">
            <v>BASF</v>
          </cell>
          <cell r="D176" t="str">
            <v>E189KU416</v>
          </cell>
          <cell r="E176" t="str">
            <v>E189KU416 BMW 416 CARBON BLACK</v>
          </cell>
          <cell r="F176"/>
          <cell r="G176" t="str">
            <v>gallon</v>
          </cell>
          <cell r="H176">
            <v>123.18</v>
          </cell>
          <cell r="I176"/>
          <cell r="J176"/>
          <cell r="K176"/>
          <cell r="L176"/>
          <cell r="M176" t="str">
            <v>USD</v>
          </cell>
          <cell r="N176" t="str">
            <v>inactive</v>
          </cell>
          <cell r="O176"/>
          <cell r="P176"/>
          <cell r="Q176"/>
        </row>
        <row r="177">
          <cell r="A177">
            <v>70000176</v>
          </cell>
          <cell r="B177" t="str">
            <v>PAINT</v>
          </cell>
          <cell r="C177" t="str">
            <v>BASF</v>
          </cell>
          <cell r="D177" t="str">
            <v>E189KU475</v>
          </cell>
          <cell r="E177" t="str">
            <v>E189KU475 BMW 475 BLACK SAPPHIRE BC</v>
          </cell>
          <cell r="F177"/>
          <cell r="G177" t="str">
            <v>gallon</v>
          </cell>
          <cell r="H177">
            <v>105.49</v>
          </cell>
          <cell r="I177"/>
          <cell r="J177"/>
          <cell r="K177"/>
          <cell r="L177"/>
          <cell r="M177" t="str">
            <v>USD</v>
          </cell>
          <cell r="N177" t="str">
            <v>inactive</v>
          </cell>
          <cell r="O177"/>
          <cell r="P177"/>
          <cell r="Q177"/>
        </row>
        <row r="178">
          <cell r="A178">
            <v>70000177</v>
          </cell>
          <cell r="B178" t="str">
            <v>PAINT</v>
          </cell>
          <cell r="C178" t="str">
            <v>BASF</v>
          </cell>
          <cell r="D178" t="str">
            <v>E189NU043</v>
          </cell>
          <cell r="E178" t="str">
            <v>E189NU043 SPARKLING STORM</v>
          </cell>
          <cell r="F178"/>
          <cell r="G178" t="str">
            <v>gallon</v>
          </cell>
          <cell r="H178">
            <v>165.37</v>
          </cell>
          <cell r="I178"/>
          <cell r="J178"/>
          <cell r="K178"/>
          <cell r="L178"/>
          <cell r="M178" t="str">
            <v>USD</v>
          </cell>
          <cell r="N178" t="str">
            <v>inactive</v>
          </cell>
          <cell r="O178"/>
          <cell r="P178"/>
          <cell r="Q178"/>
        </row>
        <row r="179">
          <cell r="A179">
            <v>70000178</v>
          </cell>
          <cell r="B179" t="str">
            <v>PAINT</v>
          </cell>
          <cell r="C179" t="str">
            <v>BASF</v>
          </cell>
          <cell r="D179" t="str">
            <v>E189RU084</v>
          </cell>
          <cell r="E179" t="str">
            <v>E189RU084 FLAMENCO RED</v>
          </cell>
          <cell r="F179"/>
          <cell r="G179" t="str">
            <v>gallon</v>
          </cell>
          <cell r="H179">
            <v>335.68</v>
          </cell>
          <cell r="I179"/>
          <cell r="J179"/>
          <cell r="K179"/>
          <cell r="L179"/>
          <cell r="M179" t="str">
            <v>USD</v>
          </cell>
          <cell r="N179" t="str">
            <v>inactive</v>
          </cell>
          <cell r="O179"/>
          <cell r="P179"/>
          <cell r="Q179"/>
        </row>
        <row r="180">
          <cell r="A180">
            <v>70000179</v>
          </cell>
          <cell r="B180" t="str">
            <v>PAINT</v>
          </cell>
          <cell r="C180" t="str">
            <v>BASF</v>
          </cell>
          <cell r="D180" t="str">
            <v>E189RU521</v>
          </cell>
          <cell r="E180" t="str">
            <v>E189RU521 TORONTO RED</v>
          </cell>
          <cell r="F180"/>
          <cell r="G180" t="str">
            <v>gallon</v>
          </cell>
          <cell r="H180">
            <v>245.81</v>
          </cell>
          <cell r="I180"/>
          <cell r="J180"/>
          <cell r="K180"/>
          <cell r="L180"/>
          <cell r="M180" t="str">
            <v>USD</v>
          </cell>
          <cell r="N180" t="str">
            <v>inactive</v>
          </cell>
          <cell r="O180"/>
          <cell r="P180"/>
          <cell r="Q180"/>
        </row>
        <row r="181">
          <cell r="A181">
            <v>70000180</v>
          </cell>
          <cell r="B181" t="str">
            <v>PAINT</v>
          </cell>
          <cell r="C181" t="str">
            <v>BASF</v>
          </cell>
          <cell r="D181" t="str">
            <v>E189RU522</v>
          </cell>
          <cell r="E181" t="str">
            <v>E189RU522 AMETRIN MET</v>
          </cell>
          <cell r="F181"/>
          <cell r="G181" t="str">
            <v>gallon</v>
          </cell>
          <cell r="H181">
            <v>435.16</v>
          </cell>
          <cell r="I181"/>
          <cell r="J181"/>
          <cell r="K181"/>
          <cell r="L181"/>
          <cell r="M181" t="str">
            <v>USD</v>
          </cell>
          <cell r="N181" t="str">
            <v>inactive</v>
          </cell>
          <cell r="O181"/>
          <cell r="P181"/>
          <cell r="Q181"/>
        </row>
        <row r="182">
          <cell r="A182">
            <v>70000181</v>
          </cell>
          <cell r="B182" t="str">
            <v>PAINT</v>
          </cell>
          <cell r="C182" t="str">
            <v>BASF</v>
          </cell>
          <cell r="D182">
            <v>50846772</v>
          </cell>
          <cell r="E182" t="str">
            <v>E188KU668D BMW668 Black II</v>
          </cell>
          <cell r="F182"/>
          <cell r="G182" t="str">
            <v>gallon</v>
          </cell>
          <cell r="H182">
            <v>72.8</v>
          </cell>
          <cell r="M182" t="str">
            <v>CAD</v>
          </cell>
          <cell r="N182" t="str">
            <v>active</v>
          </cell>
          <cell r="Q182">
            <v>72.8</v>
          </cell>
        </row>
        <row r="183">
          <cell r="A183">
            <v>70000182</v>
          </cell>
          <cell r="B183" t="str">
            <v>PAINT</v>
          </cell>
          <cell r="C183" t="str">
            <v>BASF</v>
          </cell>
          <cell r="D183">
            <v>50692776</v>
          </cell>
          <cell r="E183" t="str">
            <v>JF710312N170 Evergloss 905</v>
          </cell>
          <cell r="G183" t="str">
            <v>gallon</v>
          </cell>
          <cell r="H183">
            <v>73.53</v>
          </cell>
          <cell r="M183" t="str">
            <v>CAD</v>
          </cell>
          <cell r="N183" t="str">
            <v>active</v>
          </cell>
          <cell r="Q183">
            <v>73.53</v>
          </cell>
        </row>
        <row r="184">
          <cell r="A184">
            <v>70000183</v>
          </cell>
          <cell r="B184" t="str">
            <v>PAINT</v>
          </cell>
          <cell r="C184" t="str">
            <v>BASF</v>
          </cell>
          <cell r="D184">
            <v>54647917</v>
          </cell>
          <cell r="E184" t="str">
            <v>SC2901090190 Hardener for Clearcoat</v>
          </cell>
          <cell r="G184" t="str">
            <v>gallon</v>
          </cell>
          <cell r="H184">
            <v>123.84</v>
          </cell>
          <cell r="M184" t="str">
            <v>CAD</v>
          </cell>
          <cell r="N184" t="str">
            <v>active</v>
          </cell>
          <cell r="Q184">
            <v>123.84</v>
          </cell>
        </row>
        <row r="185">
          <cell r="A185">
            <v>70000184</v>
          </cell>
          <cell r="B185" t="str">
            <v>PAINT</v>
          </cell>
          <cell r="C185" t="str">
            <v>BASF</v>
          </cell>
          <cell r="D185">
            <v>50742847</v>
          </cell>
          <cell r="E185" t="str">
            <v>UN3264 Corrosive Liquid, Inorganic (Orthophosphoric acid)</v>
          </cell>
          <cell r="G185" t="str">
            <v>Kg</v>
          </cell>
          <cell r="M185" t="str">
            <v>CAD</v>
          </cell>
          <cell r="N185" t="str">
            <v>active</v>
          </cell>
          <cell r="Q185">
            <v>0</v>
          </cell>
        </row>
        <row r="186">
          <cell r="A186">
            <v>70000185</v>
          </cell>
          <cell r="B186" t="str">
            <v>PAINT</v>
          </cell>
          <cell r="C186" t="str">
            <v>US Paint</v>
          </cell>
          <cell r="D186" t="str">
            <v>AJ2166</v>
          </cell>
          <cell r="E186" t="str">
            <v>AJ2166 B-160 Deep Black Basecoat</v>
          </cell>
          <cell r="G186" t="str">
            <v>gallon</v>
          </cell>
          <cell r="H186">
            <v>90.2</v>
          </cell>
          <cell r="I186">
            <v>84.7</v>
          </cell>
          <cell r="J186">
            <v>79.2</v>
          </cell>
          <cell r="M186" t="str">
            <v>USD</v>
          </cell>
          <cell r="N186" t="str">
            <v>active</v>
          </cell>
          <cell r="O186">
            <v>200</v>
          </cell>
          <cell r="P186">
            <v>79.2</v>
          </cell>
          <cell r="Q186">
            <v>112.7808</v>
          </cell>
        </row>
        <row r="187">
          <cell r="A187">
            <v>70000186</v>
          </cell>
          <cell r="B187" t="str">
            <v>PAINT</v>
          </cell>
          <cell r="C187" t="str">
            <v>US Paint</v>
          </cell>
          <cell r="D187" t="str">
            <v>OQ1126</v>
          </cell>
          <cell r="E187" t="str">
            <v>OQ1126 Dark Gray Adhesion Promoter</v>
          </cell>
          <cell r="G187" t="str">
            <v>gallon</v>
          </cell>
          <cell r="I187">
            <v>71.5</v>
          </cell>
          <cell r="M187" t="str">
            <v>USD</v>
          </cell>
          <cell r="N187" t="str">
            <v>active</v>
          </cell>
          <cell r="O187">
            <v>300</v>
          </cell>
          <cell r="P187">
            <v>71.5</v>
          </cell>
          <cell r="Q187">
            <v>101.81599999999999</v>
          </cell>
        </row>
        <row r="188">
          <cell r="B188" t="str">
            <v>PAINT</v>
          </cell>
          <cell r="C188" t="str">
            <v>US Paint</v>
          </cell>
          <cell r="D188" t="str">
            <v>AJ2041</v>
          </cell>
          <cell r="E188" t="str">
            <v>B-160 Deep Black Basecoat (202 Black)</v>
          </cell>
          <cell r="G188" t="str">
            <v>gallon</v>
          </cell>
          <cell r="H188">
            <v>82</v>
          </cell>
          <cell r="I188">
            <v>77</v>
          </cell>
          <cell r="J188">
            <v>72</v>
          </cell>
          <cell r="M188" t="str">
            <v>USD</v>
          </cell>
          <cell r="N188" t="str">
            <v>active</v>
          </cell>
          <cell r="O188">
            <v>25</v>
          </cell>
          <cell r="P188">
            <v>82</v>
          </cell>
          <cell r="Q188">
            <v>116.768</v>
          </cell>
        </row>
        <row r="189">
          <cell r="B189" t="str">
            <v>PAINT</v>
          </cell>
          <cell r="C189" t="str">
            <v>US Paint</v>
          </cell>
          <cell r="D189" t="str">
            <v>J5301</v>
          </cell>
          <cell r="E189" t="str">
            <v>Catalyst - High Solids Converter</v>
          </cell>
          <cell r="G189" t="str">
            <v>gallon</v>
          </cell>
          <cell r="H189">
            <v>89.65</v>
          </cell>
          <cell r="M189" t="str">
            <v>USD</v>
          </cell>
          <cell r="N189" t="str">
            <v>active</v>
          </cell>
          <cell r="O189">
            <v>25</v>
          </cell>
          <cell r="P189">
            <v>89.65</v>
          </cell>
          <cell r="Q189">
            <v>127.66160000000001</v>
          </cell>
        </row>
        <row r="190">
          <cell r="A190">
            <v>70000187</v>
          </cell>
          <cell r="B190" t="str">
            <v>PAINT</v>
          </cell>
          <cell r="C190" t="str">
            <v>INTEK</v>
          </cell>
          <cell r="D190" t="str">
            <v>Intek</v>
          </cell>
          <cell r="E190" t="str">
            <v>INTEK Universal Black</v>
          </cell>
          <cell r="G190" t="str">
            <v>gallon</v>
          </cell>
          <cell r="H190">
            <v>70</v>
          </cell>
          <cell r="M190" t="str">
            <v>USD</v>
          </cell>
          <cell r="N190" t="str">
            <v>active</v>
          </cell>
          <cell r="O190">
            <v>30</v>
          </cell>
          <cell r="P190">
            <v>70</v>
          </cell>
          <cell r="Q190">
            <v>99.679999999999993</v>
          </cell>
        </row>
        <row r="191">
          <cell r="A191">
            <v>70000188</v>
          </cell>
          <cell r="B191" t="str">
            <v>PAINT</v>
          </cell>
          <cell r="C191" t="str">
            <v>Univar</v>
          </cell>
          <cell r="D191">
            <v>16168883</v>
          </cell>
          <cell r="E191" t="str">
            <v>Xylene DR448</v>
          </cell>
          <cell r="F191">
            <v>178</v>
          </cell>
          <cell r="G191" t="str">
            <v>Kg</v>
          </cell>
          <cell r="H191">
            <v>3.99</v>
          </cell>
          <cell r="M191" t="str">
            <v>CAD</v>
          </cell>
          <cell r="N191" t="str">
            <v>active</v>
          </cell>
          <cell r="O191">
            <v>206</v>
          </cell>
          <cell r="Q191">
            <v>3.99</v>
          </cell>
        </row>
        <row r="192">
          <cell r="A192">
            <v>70000189</v>
          </cell>
          <cell r="B192" t="str">
            <v>PAINT</v>
          </cell>
          <cell r="C192" t="str">
            <v>Univar</v>
          </cell>
          <cell r="D192">
            <v>16153976</v>
          </cell>
          <cell r="E192" t="str">
            <v>Sodium Chloride - Clean and Protect</v>
          </cell>
          <cell r="F192">
            <v>18</v>
          </cell>
          <cell r="G192" t="str">
            <v>Kg</v>
          </cell>
          <cell r="H192">
            <v>0.7661</v>
          </cell>
          <cell r="M192" t="str">
            <v>CAD</v>
          </cell>
          <cell r="N192" t="str">
            <v>active</v>
          </cell>
          <cell r="O192">
            <v>2280.6</v>
          </cell>
          <cell r="Q192">
            <v>0.7661</v>
          </cell>
        </row>
        <row r="193">
          <cell r="A193">
            <v>70000190</v>
          </cell>
          <cell r="B193" t="str">
            <v>PAINT</v>
          </cell>
          <cell r="C193" t="str">
            <v>Univar</v>
          </cell>
          <cell r="D193">
            <v>16169116</v>
          </cell>
          <cell r="E193" t="str">
            <v>Methyl N-Amyl Ketone DR448 MAK</v>
          </cell>
          <cell r="F193">
            <v>170</v>
          </cell>
          <cell r="G193" t="str">
            <v>Kg</v>
          </cell>
          <cell r="H193">
            <v>6.93</v>
          </cell>
          <cell r="M193" t="str">
            <v>CAD</v>
          </cell>
          <cell r="N193" t="str">
            <v>active</v>
          </cell>
          <cell r="O193">
            <v>340</v>
          </cell>
          <cell r="Q193">
            <v>6.93</v>
          </cell>
        </row>
        <row r="194">
          <cell r="A194">
            <v>70000191</v>
          </cell>
          <cell r="B194" t="str">
            <v>PAINT</v>
          </cell>
          <cell r="C194" t="str">
            <v>Univar</v>
          </cell>
          <cell r="D194">
            <v>16168306</v>
          </cell>
          <cell r="E194" t="str">
            <v>Methyl Ethyl Ketone DR448 MEK</v>
          </cell>
          <cell r="F194">
            <v>166</v>
          </cell>
          <cell r="G194" t="str">
            <v>Kg</v>
          </cell>
          <cell r="H194">
            <v>4.0999999999999996</v>
          </cell>
          <cell r="M194" t="str">
            <v>CAD</v>
          </cell>
          <cell r="N194" t="str">
            <v>active</v>
          </cell>
          <cell r="O194">
            <v>332</v>
          </cell>
          <cell r="Q194">
            <v>4.0999999999999996</v>
          </cell>
        </row>
        <row r="195">
          <cell r="A195">
            <v>70000192</v>
          </cell>
          <cell r="B195" t="str">
            <v>PAINT</v>
          </cell>
          <cell r="C195" t="str">
            <v>Univar</v>
          </cell>
          <cell r="D195">
            <v>16169613</v>
          </cell>
          <cell r="E195" t="str">
            <v>Isobutyl Acetate DR448 IBA</v>
          </cell>
          <cell r="F195">
            <v>235</v>
          </cell>
          <cell r="G195" t="str">
            <v>Kg</v>
          </cell>
          <cell r="H195">
            <v>6.1</v>
          </cell>
          <cell r="M195" t="str">
            <v>CAD</v>
          </cell>
          <cell r="N195" t="str">
            <v>active</v>
          </cell>
          <cell r="O195">
            <v>178</v>
          </cell>
          <cell r="Q195">
            <v>6.1</v>
          </cell>
        </row>
        <row r="196">
          <cell r="A196">
            <v>70000193</v>
          </cell>
          <cell r="B196" t="str">
            <v>PAINT</v>
          </cell>
          <cell r="C196" t="str">
            <v>Univar</v>
          </cell>
          <cell r="D196">
            <v>16169608</v>
          </cell>
          <cell r="E196" t="str">
            <v>Vanblend SF Virgin Purge DR448</v>
          </cell>
          <cell r="F196">
            <v>171</v>
          </cell>
          <cell r="G196" t="str">
            <v>Kg</v>
          </cell>
          <cell r="H196">
            <v>4.6113999999999997</v>
          </cell>
          <cell r="M196" t="str">
            <v>CAD</v>
          </cell>
          <cell r="N196" t="str">
            <v>active</v>
          </cell>
          <cell r="O196">
            <v>1197</v>
          </cell>
          <cell r="Q196">
            <v>4.6113999999999997</v>
          </cell>
        </row>
        <row r="197">
          <cell r="A197">
            <v>70000194</v>
          </cell>
          <cell r="B197" t="str">
            <v>PAINT</v>
          </cell>
          <cell r="C197" t="str">
            <v>Univar</v>
          </cell>
          <cell r="D197">
            <v>16168283</v>
          </cell>
          <cell r="E197" t="str">
            <v>Van-Sol 63 DR453</v>
          </cell>
          <cell r="F197">
            <v>182</v>
          </cell>
          <cell r="G197" t="str">
            <v>Kg</v>
          </cell>
          <cell r="H197">
            <v>4.3636999999999997</v>
          </cell>
          <cell r="M197" t="str">
            <v>CAD</v>
          </cell>
          <cell r="N197" t="str">
            <v>active</v>
          </cell>
          <cell r="O197">
            <v>182</v>
          </cell>
          <cell r="Q197">
            <v>4.3636999999999997</v>
          </cell>
        </row>
        <row r="198">
          <cell r="A198">
            <v>70000196</v>
          </cell>
          <cell r="B198" t="str">
            <v>PAINT</v>
          </cell>
          <cell r="C198" t="str">
            <v>Univar</v>
          </cell>
          <cell r="D198">
            <v>16168314</v>
          </cell>
          <cell r="E198" t="str">
            <v>CAUSTIC SODA 50% DR452 NSF-MEM LIQ</v>
          </cell>
          <cell r="F198">
            <v>300</v>
          </cell>
          <cell r="G198" t="str">
            <v>Kg</v>
          </cell>
          <cell r="H198">
            <v>1.92</v>
          </cell>
          <cell r="M198" t="str">
            <v>CAD</v>
          </cell>
          <cell r="N198" t="str">
            <v>active</v>
          </cell>
          <cell r="Q198">
            <v>1.92</v>
          </cell>
        </row>
        <row r="199">
          <cell r="A199">
            <v>70000197</v>
          </cell>
          <cell r="B199" t="str">
            <v>PAINT</v>
          </cell>
          <cell r="C199" t="str">
            <v>Univar</v>
          </cell>
          <cell r="D199">
            <v>16171069</v>
          </cell>
          <cell r="E199" t="str">
            <v>GLYCOL ETHER PNB DR448 TECH LIQ</v>
          </cell>
          <cell r="F199">
            <v>180</v>
          </cell>
          <cell r="G199" t="str">
            <v>Kg</v>
          </cell>
          <cell r="H199">
            <v>9.86</v>
          </cell>
          <cell r="M199" t="str">
            <v>CAD</v>
          </cell>
          <cell r="N199" t="str">
            <v>active</v>
          </cell>
          <cell r="Q199">
            <v>9.86</v>
          </cell>
        </row>
        <row r="200">
          <cell r="A200">
            <v>70000198</v>
          </cell>
          <cell r="B200" t="str">
            <v>PAINT</v>
          </cell>
          <cell r="C200" t="str">
            <v>Univar</v>
          </cell>
          <cell r="D200">
            <v>150839</v>
          </cell>
          <cell r="E200" t="str">
            <v>GLYCOL ETHER PPH DR448 TECH LIQ</v>
          </cell>
          <cell r="F200">
            <v>204</v>
          </cell>
          <cell r="G200" t="str">
            <v>Kg</v>
          </cell>
          <cell r="H200">
            <v>12.95</v>
          </cell>
          <cell r="M200" t="str">
            <v>CAD</v>
          </cell>
          <cell r="N200" t="str">
            <v>active</v>
          </cell>
          <cell r="Q200">
            <v>12.95</v>
          </cell>
        </row>
        <row r="201">
          <cell r="A201">
            <v>70000199</v>
          </cell>
          <cell r="B201" t="str">
            <v>PAINT</v>
          </cell>
          <cell r="C201" t="str">
            <v>Univar</v>
          </cell>
          <cell r="D201">
            <v>20288</v>
          </cell>
          <cell r="E201" t="str">
            <v>Alcohol - ISOPROPANOL 99% DR448 TECH LIQ</v>
          </cell>
          <cell r="F201">
            <v>161</v>
          </cell>
          <cell r="G201" t="str">
            <v>Kg</v>
          </cell>
          <cell r="H201">
            <v>3.2</v>
          </cell>
          <cell r="M201" t="str">
            <v>CAD</v>
          </cell>
          <cell r="N201" t="str">
            <v>active</v>
          </cell>
          <cell r="Q201">
            <v>3.2</v>
          </cell>
        </row>
        <row r="202">
          <cell r="A202">
            <v>70000200</v>
          </cell>
          <cell r="B202" t="str">
            <v>PAINT</v>
          </cell>
          <cell r="C202" t="str">
            <v>Univar</v>
          </cell>
          <cell r="D202">
            <v>16176210</v>
          </cell>
          <cell r="E202" t="str">
            <v>NITRIC ACID 29.5% DR446 TECH LIQ</v>
          </cell>
          <cell r="F202">
            <v>235</v>
          </cell>
          <cell r="G202" t="str">
            <v>Kg</v>
          </cell>
          <cell r="H202">
            <v>2.1</v>
          </cell>
          <cell r="M202" t="str">
            <v>CAD</v>
          </cell>
          <cell r="N202" t="str">
            <v>active</v>
          </cell>
          <cell r="Q202">
            <v>2.1</v>
          </cell>
        </row>
        <row r="203">
          <cell r="A203">
            <v>70000201</v>
          </cell>
          <cell r="B203" t="str">
            <v>PAINT</v>
          </cell>
          <cell r="C203" t="str">
            <v>Univar</v>
          </cell>
          <cell r="D203">
            <v>16168596</v>
          </cell>
          <cell r="E203" t="str">
            <v>SULPHURIC ACID 66 BE DR452 TECH LIQ</v>
          </cell>
          <cell r="F203">
            <v>350</v>
          </cell>
          <cell r="G203" t="str">
            <v>Kg</v>
          </cell>
          <cell r="H203">
            <v>1.1499999999999999</v>
          </cell>
          <cell r="M203" t="str">
            <v>CAD</v>
          </cell>
          <cell r="N203" t="str">
            <v>active</v>
          </cell>
          <cell r="Q203">
            <v>1.1499999999999999</v>
          </cell>
        </row>
        <row r="204">
          <cell r="A204">
            <v>70000202</v>
          </cell>
          <cell r="B204" t="str">
            <v>PAINT</v>
          </cell>
          <cell r="C204" t="str">
            <v>Univar</v>
          </cell>
          <cell r="D204">
            <v>16143916</v>
          </cell>
          <cell r="E204" t="str">
            <v>N BUTYL ACETATE DR448 TECH LIQ</v>
          </cell>
          <cell r="F204">
            <v>181</v>
          </cell>
          <cell r="G204" t="str">
            <v>Kg</v>
          </cell>
          <cell r="H204">
            <v>5.85</v>
          </cell>
          <cell r="M204" t="str">
            <v>CAD</v>
          </cell>
          <cell r="N204" t="str">
            <v>active</v>
          </cell>
          <cell r="Q204">
            <v>5.85</v>
          </cell>
        </row>
        <row r="205">
          <cell r="A205">
            <v>70000203</v>
          </cell>
          <cell r="B205" t="str">
            <v>PAINT</v>
          </cell>
          <cell r="C205" t="str">
            <v>Univar</v>
          </cell>
          <cell r="D205">
            <v>16161565</v>
          </cell>
          <cell r="E205" t="str">
            <v>Glycol Ether EB</v>
          </cell>
          <cell r="F205">
            <v>185.97</v>
          </cell>
          <cell r="G205" t="str">
            <v>Kg</v>
          </cell>
          <cell r="H205">
            <v>4.5</v>
          </cell>
          <cell r="M205" t="str">
            <v>CAD</v>
          </cell>
          <cell r="N205" t="str">
            <v>active</v>
          </cell>
          <cell r="Q205">
            <v>4.5</v>
          </cell>
        </row>
        <row r="206">
          <cell r="A206">
            <v>70000204</v>
          </cell>
          <cell r="B206" t="str">
            <v>PAINT</v>
          </cell>
          <cell r="C206" t="str">
            <v>CHC Paint</v>
          </cell>
          <cell r="D206" t="str">
            <v>920-2475</v>
          </cell>
          <cell r="E206" t="str">
            <v>Ice Blue 1 Gal ESS</v>
          </cell>
          <cell r="F206">
            <v>1</v>
          </cell>
          <cell r="G206" t="str">
            <v>gallon</v>
          </cell>
          <cell r="H206">
            <v>450.47</v>
          </cell>
          <cell r="M206" t="str">
            <v>CAD</v>
          </cell>
          <cell r="N206" t="str">
            <v>active</v>
          </cell>
          <cell r="Q206">
            <v>450.47</v>
          </cell>
        </row>
        <row r="207">
          <cell r="A207">
            <v>70000205</v>
          </cell>
          <cell r="B207" t="str">
            <v>PAINT</v>
          </cell>
          <cell r="C207" t="str">
            <v>CHC Paint</v>
          </cell>
          <cell r="D207" t="str">
            <v>920-2202</v>
          </cell>
          <cell r="E207" t="str">
            <v>Classic Blue 1 Gal ESS</v>
          </cell>
          <cell r="F207">
            <v>1</v>
          </cell>
          <cell r="G207" t="str">
            <v>gallon</v>
          </cell>
          <cell r="H207">
            <v>450.47</v>
          </cell>
          <cell r="M207" t="str">
            <v>CAD</v>
          </cell>
          <cell r="N207" t="str">
            <v>active</v>
          </cell>
          <cell r="Q207">
            <v>450.47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DC0D-CC5C-4269-AA46-5F54D724DB63}">
  <dimension ref="A1:P75"/>
  <sheetViews>
    <sheetView tabSelected="1" zoomScaleNormal="100" workbookViewId="0">
      <selection activeCell="K9" sqref="K9"/>
    </sheetView>
  </sheetViews>
  <sheetFormatPr defaultColWidth="12.5703125" defaultRowHeight="15" x14ac:dyDescent="0.25"/>
  <cols>
    <col min="1" max="1" width="11.28515625" bestFit="1" customWidth="1"/>
    <col min="2" max="2" width="36.42578125" style="1" bestFit="1" customWidth="1"/>
    <col min="3" max="3" width="19.7109375" bestFit="1" customWidth="1"/>
    <col min="4" max="4" width="5.5703125" customWidth="1"/>
    <col min="5" max="5" width="6.28515625" customWidth="1"/>
    <col min="6" max="7" width="5.42578125" customWidth="1"/>
    <col min="8" max="10" width="7.85546875" customWidth="1"/>
    <col min="11" max="11" width="6.7109375" customWidth="1"/>
    <col min="12" max="12" width="31.85546875" customWidth="1"/>
    <col min="13" max="14" width="12.140625" customWidth="1"/>
    <col min="15" max="15" width="14.7109375" style="116" customWidth="1"/>
    <col min="16" max="16" width="15.28515625" bestFit="1" customWidth="1"/>
    <col min="17" max="17" width="12.5703125" bestFit="1" customWidth="1"/>
    <col min="18" max="19" width="12.140625" customWidth="1"/>
    <col min="20" max="21" width="14.42578125" customWidth="1"/>
  </cols>
  <sheetData>
    <row r="1" spans="1:16" ht="9.9499999999999993" customHeight="1" x14ac:dyDescent="0.25">
      <c r="A1" s="134" t="s">
        <v>393</v>
      </c>
      <c r="B1" s="134"/>
      <c r="C1" s="134"/>
      <c r="D1" s="134"/>
      <c r="E1" s="134"/>
      <c r="F1" s="134"/>
      <c r="G1" s="134"/>
      <c r="H1" s="134"/>
      <c r="I1" s="134"/>
      <c r="J1" s="134"/>
      <c r="K1" s="135"/>
    </row>
    <row r="2" spans="1:16" ht="18" customHeight="1" x14ac:dyDescent="0.25">
      <c r="A2" s="136"/>
      <c r="B2" s="136"/>
      <c r="C2" s="136"/>
      <c r="D2" s="136"/>
      <c r="E2" s="136"/>
      <c r="F2" s="136"/>
      <c r="G2" s="136"/>
      <c r="H2" s="136"/>
      <c r="I2" s="136"/>
      <c r="J2" s="136"/>
      <c r="K2" s="137"/>
      <c r="P2" s="129">
        <f>SUM(P6:P57)</f>
        <v>0</v>
      </c>
    </row>
    <row r="3" spans="1:16" ht="12" customHeight="1" x14ac:dyDescent="0.25">
      <c r="C3" s="56"/>
      <c r="D3" s="56"/>
      <c r="E3" s="56"/>
      <c r="F3" s="56"/>
      <c r="G3" s="57" t="s">
        <v>1</v>
      </c>
      <c r="H3" s="56"/>
      <c r="I3" s="56"/>
      <c r="J3" s="56"/>
      <c r="K3" s="58"/>
    </row>
    <row r="4" spans="1:16" ht="12" customHeight="1" thickBot="1" x14ac:dyDescent="0.3">
      <c r="A4" s="60"/>
      <c r="B4" s="60"/>
      <c r="C4" s="60"/>
      <c r="D4" s="60"/>
      <c r="E4" s="60"/>
      <c r="F4" s="60"/>
      <c r="G4" s="61" t="s">
        <v>2</v>
      </c>
      <c r="H4" s="60"/>
      <c r="I4" s="60"/>
      <c r="J4" s="60"/>
      <c r="K4" s="62"/>
    </row>
    <row r="5" spans="1:16" ht="46.5" customHeight="1" thickBot="1" x14ac:dyDescent="0.3">
      <c r="A5" s="118" t="s">
        <v>378</v>
      </c>
      <c r="B5" s="64" t="s">
        <v>3</v>
      </c>
      <c r="C5" s="65" t="s">
        <v>128</v>
      </c>
      <c r="D5" s="115" t="s">
        <v>321</v>
      </c>
      <c r="E5" s="3"/>
      <c r="F5" s="90" t="s">
        <v>369</v>
      </c>
      <c r="G5" s="90"/>
      <c r="H5" s="65" t="s">
        <v>319</v>
      </c>
      <c r="I5" s="73" t="s">
        <v>325</v>
      </c>
      <c r="J5" s="73" t="s">
        <v>373</v>
      </c>
      <c r="K5" s="73" t="s">
        <v>320</v>
      </c>
      <c r="L5" s="10" t="s">
        <v>391</v>
      </c>
      <c r="M5" s="97" t="s">
        <v>374</v>
      </c>
      <c r="N5" s="97" t="s">
        <v>375</v>
      </c>
      <c r="O5" s="117" t="s">
        <v>379</v>
      </c>
      <c r="P5" s="97" t="s">
        <v>382</v>
      </c>
    </row>
    <row r="6" spans="1:16" ht="15.75" customHeight="1" thickBot="1" x14ac:dyDescent="0.3">
      <c r="A6" s="119">
        <v>10651348</v>
      </c>
      <c r="B6" s="52" t="s">
        <v>294</v>
      </c>
      <c r="C6" s="53" t="s">
        <v>295</v>
      </c>
      <c r="D6" s="99"/>
      <c r="E6" s="100" t="s">
        <v>346</v>
      </c>
      <c r="F6" s="93"/>
      <c r="G6" s="87" t="s">
        <v>341</v>
      </c>
      <c r="H6" s="53" t="s">
        <v>337</v>
      </c>
      <c r="I6" s="78" t="s">
        <v>337</v>
      </c>
      <c r="J6" s="78"/>
      <c r="K6" s="78"/>
      <c r="L6" s="10"/>
      <c r="M6">
        <v>5</v>
      </c>
      <c r="N6">
        <f>D6*M6+F6</f>
        <v>0</v>
      </c>
      <c r="O6" s="116">
        <f>INDEX('[1]Part numbers'!$A$1:$Q$1112,MATCH(A6,'[1]Part numbers'!$D$1:$D$1112,0),MATCH($O$5,'[1]Part numbers'!$A$1:$R$1,0))</f>
        <v>130.12511999999998</v>
      </c>
      <c r="P6" s="123">
        <f>IFERROR(N6*O6,0)</f>
        <v>0</v>
      </c>
    </row>
    <row r="7" spans="1:16" ht="15.75" customHeight="1" x14ac:dyDescent="0.25">
      <c r="A7" s="119">
        <v>10275611</v>
      </c>
      <c r="B7" s="20" t="s">
        <v>234</v>
      </c>
      <c r="C7" s="20" t="s">
        <v>65</v>
      </c>
      <c r="D7" s="101"/>
      <c r="E7" s="102" t="s">
        <v>346</v>
      </c>
      <c r="F7" s="94"/>
      <c r="G7" s="85" t="s">
        <v>341</v>
      </c>
      <c r="H7" s="14" t="s">
        <v>337</v>
      </c>
      <c r="I7" s="14" t="s">
        <v>337</v>
      </c>
      <c r="J7" s="74"/>
      <c r="K7" s="74"/>
      <c r="L7" s="126"/>
      <c r="M7">
        <v>5</v>
      </c>
      <c r="N7">
        <f t="shared" ref="N7:N11" si="0">D7*M7+F7</f>
        <v>0</v>
      </c>
      <c r="O7" s="116">
        <f>INDEX('[1]Part numbers'!$A$1:$Q$1112,MATCH(A7,'[1]Part numbers'!$D$1:$D$1112,0),MATCH($O$5,'[1]Part numbers'!$A$1:$R$1,0))</f>
        <v>160.96349184000002</v>
      </c>
      <c r="P7" s="123">
        <f t="shared" ref="P7:P11" si="1">IFERROR(N7*O7,0)</f>
        <v>0</v>
      </c>
    </row>
    <row r="8" spans="1:16" ht="15.75" customHeight="1" x14ac:dyDescent="0.25">
      <c r="A8" s="119">
        <v>10609414</v>
      </c>
      <c r="B8" s="69" t="s">
        <v>81</v>
      </c>
      <c r="C8" s="69" t="s">
        <v>82</v>
      </c>
      <c r="D8" s="130"/>
      <c r="E8" s="131" t="s">
        <v>343</v>
      </c>
      <c r="F8" s="132"/>
      <c r="G8" s="133" t="s">
        <v>341</v>
      </c>
      <c r="H8" s="69" t="s">
        <v>337</v>
      </c>
      <c r="I8" s="98" t="s">
        <v>337</v>
      </c>
      <c r="J8" s="98"/>
      <c r="K8" s="98"/>
      <c r="L8" s="10" t="s">
        <v>398</v>
      </c>
      <c r="M8" s="122">
        <v>45</v>
      </c>
      <c r="N8">
        <f t="shared" si="0"/>
        <v>0</v>
      </c>
      <c r="O8" s="116">
        <f>INDEX('[1]Part numbers'!$A$1:$Q$1112,MATCH(A8,'[1]Part numbers'!$D$1:$D$1112,0),MATCH($O$5,'[1]Part numbers'!$A$1:$R$1,0))</f>
        <v>134.49235712000001</v>
      </c>
      <c r="P8" s="123">
        <f t="shared" si="1"/>
        <v>0</v>
      </c>
    </row>
    <row r="9" spans="1:16" ht="15.75" customHeight="1" x14ac:dyDescent="0.25">
      <c r="A9" s="119">
        <v>10194176</v>
      </c>
      <c r="B9" s="5" t="s">
        <v>83</v>
      </c>
      <c r="C9" s="5" t="s">
        <v>176</v>
      </c>
      <c r="D9" s="103"/>
      <c r="E9" s="104" t="s">
        <v>346</v>
      </c>
      <c r="F9" s="91"/>
      <c r="G9" s="83" t="s">
        <v>341</v>
      </c>
      <c r="H9" s="4" t="s">
        <v>337</v>
      </c>
      <c r="I9" s="4" t="s">
        <v>337</v>
      </c>
      <c r="J9" s="9"/>
      <c r="K9" s="9"/>
      <c r="L9" s="10" t="s">
        <v>398</v>
      </c>
      <c r="M9">
        <v>5</v>
      </c>
      <c r="N9">
        <f t="shared" si="0"/>
        <v>0</v>
      </c>
      <c r="O9" s="116">
        <f>INDEX('[1]Part numbers'!$A$1:$Q$1112,MATCH(A9,'[1]Part numbers'!$D$1:$D$1112,0),MATCH($O$5,'[1]Part numbers'!$A$1:$R$1,0))</f>
        <v>140.96176</v>
      </c>
      <c r="P9" s="123">
        <f t="shared" si="1"/>
        <v>0</v>
      </c>
    </row>
    <row r="10" spans="1:16" ht="15.75" customHeight="1" x14ac:dyDescent="0.25">
      <c r="A10" s="119">
        <v>10602938</v>
      </c>
      <c r="B10" s="6" t="s">
        <v>84</v>
      </c>
      <c r="C10" s="6" t="s">
        <v>85</v>
      </c>
      <c r="D10" s="103"/>
      <c r="E10" s="104" t="s">
        <v>346</v>
      </c>
      <c r="F10" s="91"/>
      <c r="G10" s="83" t="s">
        <v>341</v>
      </c>
      <c r="H10" s="4" t="s">
        <v>337</v>
      </c>
      <c r="I10" s="4" t="s">
        <v>337</v>
      </c>
      <c r="J10" s="9"/>
      <c r="K10" s="9"/>
      <c r="L10" s="10"/>
      <c r="M10">
        <v>5</v>
      </c>
      <c r="N10">
        <f t="shared" si="0"/>
        <v>0</v>
      </c>
      <c r="O10" s="116">
        <f>INDEX('[1]Part numbers'!$A$1:$Q$1112,MATCH(A10,'[1]Part numbers'!$D$1:$D$1112,0),MATCH($O$5,'[1]Part numbers'!$A$1:$R$1,0))</f>
        <v>143.63261439999999</v>
      </c>
      <c r="P10" s="123">
        <f t="shared" si="1"/>
        <v>0</v>
      </c>
    </row>
    <row r="11" spans="1:16" ht="15.75" customHeight="1" x14ac:dyDescent="0.25">
      <c r="A11" s="119">
        <v>10654588</v>
      </c>
      <c r="B11" s="6" t="s">
        <v>90</v>
      </c>
      <c r="C11" s="6" t="s">
        <v>91</v>
      </c>
      <c r="D11" s="103"/>
      <c r="E11" s="104" t="s">
        <v>343</v>
      </c>
      <c r="F11" s="91"/>
      <c r="G11" s="83" t="s">
        <v>341</v>
      </c>
      <c r="H11" s="4">
        <v>1</v>
      </c>
      <c r="I11" s="4">
        <v>2</v>
      </c>
      <c r="J11" s="9"/>
      <c r="K11" s="9"/>
      <c r="L11" s="10"/>
      <c r="M11">
        <v>40</v>
      </c>
      <c r="N11">
        <f t="shared" si="0"/>
        <v>0</v>
      </c>
      <c r="O11" s="116">
        <f>INDEX('[1]Part numbers'!$A$1:$Q$1112,MATCH(A11,'[1]Part numbers'!$D$1:$D$1112,0),MATCH($O$5,'[1]Part numbers'!$A$1:$R$1,0))</f>
        <v>84.329279999999997</v>
      </c>
      <c r="P11" s="123">
        <f t="shared" si="1"/>
        <v>0</v>
      </c>
    </row>
    <row r="12" spans="1:16" ht="15.75" customHeight="1" thickBot="1" x14ac:dyDescent="0.3">
      <c r="A12" s="119"/>
      <c r="B12" s="29"/>
      <c r="C12" s="17"/>
      <c r="D12" s="105"/>
      <c r="E12" s="106"/>
      <c r="F12" s="92"/>
      <c r="G12" s="86"/>
      <c r="H12" s="17"/>
      <c r="I12" s="75"/>
      <c r="J12" s="75"/>
      <c r="K12" s="75"/>
      <c r="L12" s="10"/>
    </row>
    <row r="13" spans="1:16" ht="5.25" customHeight="1" thickBot="1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10"/>
    </row>
    <row r="14" spans="1:16" ht="46.5" customHeight="1" thickBot="1" x14ac:dyDescent="0.3">
      <c r="A14" s="118" t="s">
        <v>378</v>
      </c>
      <c r="B14" s="2" t="s">
        <v>171</v>
      </c>
      <c r="C14" s="3" t="s">
        <v>128</v>
      </c>
      <c r="D14" s="115" t="s">
        <v>321</v>
      </c>
      <c r="E14" s="107"/>
      <c r="F14" s="90" t="s">
        <v>369</v>
      </c>
      <c r="G14" s="90"/>
      <c r="H14" s="3" t="s">
        <v>319</v>
      </c>
      <c r="I14" s="3" t="s">
        <v>325</v>
      </c>
      <c r="J14" s="73" t="s">
        <v>373</v>
      </c>
      <c r="K14" s="127" t="s">
        <v>320</v>
      </c>
      <c r="L14" s="10"/>
    </row>
    <row r="15" spans="1:16" ht="15.75" customHeight="1" x14ac:dyDescent="0.25">
      <c r="A15" s="119">
        <v>50846772</v>
      </c>
      <c r="B15" s="4" t="s">
        <v>172</v>
      </c>
      <c r="C15" s="4">
        <v>56964227</v>
      </c>
      <c r="D15" s="108"/>
      <c r="E15" s="104" t="s">
        <v>343</v>
      </c>
      <c r="F15" s="91"/>
      <c r="G15" s="83" t="s">
        <v>341</v>
      </c>
      <c r="H15" s="4">
        <v>3</v>
      </c>
      <c r="I15" s="4">
        <v>6</v>
      </c>
      <c r="J15" s="69"/>
      <c r="K15" s="9"/>
      <c r="L15" s="10"/>
      <c r="M15">
        <v>45</v>
      </c>
      <c r="N15">
        <f t="shared" ref="N15:N17" si="2">D15*M15+F15</f>
        <v>0</v>
      </c>
      <c r="O15" s="116">
        <f>INDEX('[1]Part numbers'!$A$1:$Q$1112,MATCH(A15,'[1]Part numbers'!$D$1:$D$1112,0),MATCH($O$5,'[1]Part numbers'!$A$1:$R$1,0))</f>
        <v>72.8</v>
      </c>
      <c r="P15" s="123">
        <f t="shared" ref="P15:P17" si="3">IFERROR(N15*O15,0)</f>
        <v>0</v>
      </c>
    </row>
    <row r="16" spans="1:16" ht="15.75" customHeight="1" x14ac:dyDescent="0.25">
      <c r="A16" s="119">
        <v>50692776</v>
      </c>
      <c r="B16" s="4" t="s">
        <v>394</v>
      </c>
      <c r="C16" s="4" t="s">
        <v>392</v>
      </c>
      <c r="D16" s="108"/>
      <c r="E16" s="104" t="s">
        <v>343</v>
      </c>
      <c r="F16" s="91"/>
      <c r="G16" s="83" t="s">
        <v>341</v>
      </c>
      <c r="H16" s="4">
        <v>4</v>
      </c>
      <c r="I16" s="4">
        <v>8</v>
      </c>
      <c r="J16" s="4"/>
      <c r="K16" s="9"/>
      <c r="L16" s="10"/>
      <c r="M16">
        <v>46.49</v>
      </c>
      <c r="N16">
        <f t="shared" si="2"/>
        <v>0</v>
      </c>
      <c r="O16" s="116">
        <f>INDEX('[1]Part numbers'!$A$1:$Q$1112,MATCH(A16,'[1]Part numbers'!$D$1:$D$1112,0),MATCH($O$5,'[1]Part numbers'!$A$1:$R$1,0))</f>
        <v>73.53</v>
      </c>
      <c r="P16" s="123">
        <f t="shared" si="3"/>
        <v>0</v>
      </c>
    </row>
    <row r="17" spans="1:16" ht="15.75" customHeight="1" x14ac:dyDescent="0.25">
      <c r="A17" s="119">
        <v>54647917</v>
      </c>
      <c r="B17" s="4" t="s">
        <v>110</v>
      </c>
      <c r="C17" s="4">
        <v>54647917</v>
      </c>
      <c r="D17" s="108"/>
      <c r="E17" s="104" t="s">
        <v>343</v>
      </c>
      <c r="F17" s="91"/>
      <c r="G17" s="83" t="s">
        <v>341</v>
      </c>
      <c r="H17" s="4">
        <v>2</v>
      </c>
      <c r="I17" s="4">
        <v>4</v>
      </c>
      <c r="J17" s="4"/>
      <c r="K17" s="9"/>
      <c r="L17" s="10"/>
      <c r="M17">
        <v>46.475000000000001</v>
      </c>
      <c r="N17">
        <f t="shared" si="2"/>
        <v>0</v>
      </c>
      <c r="O17" s="116">
        <f>INDEX('[1]Part numbers'!$A$1:$Q$1112,MATCH(A17,'[1]Part numbers'!$D$1:$D$1112,0),MATCH($O$5,'[1]Part numbers'!$A$1:$R$1,0))</f>
        <v>123.84</v>
      </c>
      <c r="P17" s="123">
        <f t="shared" si="3"/>
        <v>0</v>
      </c>
    </row>
    <row r="18" spans="1:16" ht="5.45" customHeight="1" thickBot="1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10"/>
    </row>
    <row r="19" spans="1:16" ht="45.75" customHeight="1" thickBot="1" x14ac:dyDescent="0.3">
      <c r="A19" s="118" t="s">
        <v>378</v>
      </c>
      <c r="B19" s="2" t="s">
        <v>92</v>
      </c>
      <c r="C19" s="3" t="s">
        <v>128</v>
      </c>
      <c r="D19" s="115" t="s">
        <v>321</v>
      </c>
      <c r="E19" s="107"/>
      <c r="F19" s="90" t="s">
        <v>369</v>
      </c>
      <c r="G19" s="90"/>
      <c r="H19" s="3" t="s">
        <v>319</v>
      </c>
      <c r="I19" s="3" t="s">
        <v>325</v>
      </c>
      <c r="J19" s="73" t="s">
        <v>373</v>
      </c>
      <c r="K19" s="127" t="s">
        <v>320</v>
      </c>
      <c r="L19" s="10"/>
    </row>
    <row r="20" spans="1:16" ht="15.75" customHeight="1" x14ac:dyDescent="0.25">
      <c r="A20" s="120" t="s">
        <v>380</v>
      </c>
      <c r="B20" s="4" t="s">
        <v>157</v>
      </c>
      <c r="C20" s="4" t="s">
        <v>93</v>
      </c>
      <c r="D20" s="108"/>
      <c r="E20" s="104" t="s">
        <v>346</v>
      </c>
      <c r="F20" s="91"/>
      <c r="G20" s="83" t="s">
        <v>341</v>
      </c>
      <c r="H20" s="4" t="s">
        <v>337</v>
      </c>
      <c r="I20" s="69" t="s">
        <v>337</v>
      </c>
      <c r="J20" s="125">
        <v>45685</v>
      </c>
      <c r="K20" s="9"/>
      <c r="L20" s="10"/>
      <c r="M20">
        <v>5</v>
      </c>
      <c r="N20">
        <f t="shared" ref="N20:N36" si="4">D20*M20+F20</f>
        <v>0</v>
      </c>
      <c r="O20" s="116">
        <f>INDEX('[1]Part numbers'!$A$1:$Q$1112,MATCH(A20,'[1]Part numbers'!$D$1:$D$1112,0),MATCH($O$5,'[1]Part numbers'!$A$1:$R$1,0))</f>
        <v>85.083999999999989</v>
      </c>
      <c r="P20" s="123">
        <f t="shared" ref="P20:P36" si="5">IFERROR(N20*O20,0)</f>
        <v>0</v>
      </c>
    </row>
    <row r="21" spans="1:16" ht="15.75" customHeight="1" x14ac:dyDescent="0.25">
      <c r="A21" s="119" t="s">
        <v>106</v>
      </c>
      <c r="B21" s="4" t="s">
        <v>105</v>
      </c>
      <c r="C21" s="67" t="s">
        <v>106</v>
      </c>
      <c r="D21" s="109"/>
      <c r="E21" s="104" t="s">
        <v>346</v>
      </c>
      <c r="F21" s="91"/>
      <c r="G21" s="83" t="s">
        <v>341</v>
      </c>
      <c r="H21" s="4" t="s">
        <v>337</v>
      </c>
      <c r="I21" s="4" t="s">
        <v>337</v>
      </c>
      <c r="J21" s="4"/>
      <c r="K21" s="9"/>
      <c r="L21" s="10"/>
      <c r="M21">
        <v>5</v>
      </c>
      <c r="N21">
        <f t="shared" si="4"/>
        <v>0</v>
      </c>
      <c r="O21" s="116">
        <f>INDEX('[1]Part numbers'!$A$1:$Q$1112,MATCH(A21,'[1]Part numbers'!$D$1:$D$1112,0),MATCH($O$5,'[1]Part numbers'!$A$1:$R$1,0))</f>
        <v>116.81071999999999</v>
      </c>
      <c r="P21" s="123">
        <f t="shared" si="5"/>
        <v>0</v>
      </c>
    </row>
    <row r="22" spans="1:16" ht="15.75" customHeight="1" x14ac:dyDescent="0.25">
      <c r="A22" s="119" t="s">
        <v>108</v>
      </c>
      <c r="B22" s="4" t="s">
        <v>107</v>
      </c>
      <c r="C22" s="67" t="s">
        <v>108</v>
      </c>
      <c r="D22" s="109"/>
      <c r="E22" s="104" t="s">
        <v>346</v>
      </c>
      <c r="F22" s="91"/>
      <c r="G22" s="83" t="s">
        <v>341</v>
      </c>
      <c r="H22" s="4" t="s">
        <v>337</v>
      </c>
      <c r="I22" s="4" t="s">
        <v>337</v>
      </c>
      <c r="J22" s="124">
        <v>45674</v>
      </c>
      <c r="K22" s="9"/>
      <c r="L22" s="10"/>
      <c r="M22">
        <v>5</v>
      </c>
      <c r="N22">
        <f t="shared" si="4"/>
        <v>0</v>
      </c>
      <c r="O22" s="116">
        <f>INDEX('[1]Part numbers'!$A$1:$Q$1112,MATCH(A22,'[1]Part numbers'!$D$1:$D$1112,0),MATCH($O$5,'[1]Part numbers'!$A$1:$R$1,0))</f>
        <v>136.84639999999999</v>
      </c>
      <c r="P22" s="123">
        <f t="shared" si="5"/>
        <v>0</v>
      </c>
    </row>
    <row r="23" spans="1:16" ht="15.75" customHeight="1" x14ac:dyDescent="0.25">
      <c r="A23" s="119" t="s">
        <v>371</v>
      </c>
      <c r="B23" s="4" t="s">
        <v>372</v>
      </c>
      <c r="C23" s="67" t="s">
        <v>371</v>
      </c>
      <c r="D23" s="109"/>
      <c r="E23" s="104" t="s">
        <v>390</v>
      </c>
      <c r="F23" s="91"/>
      <c r="G23" s="83" t="s">
        <v>390</v>
      </c>
      <c r="H23" s="4"/>
      <c r="I23" s="4"/>
      <c r="J23" s="4" t="s">
        <v>387</v>
      </c>
      <c r="K23" s="9"/>
      <c r="L23" s="10"/>
      <c r="N23">
        <f t="shared" si="4"/>
        <v>0</v>
      </c>
      <c r="O23" s="116">
        <f>INDEX('[1]Part numbers'!$A$1:$Q$1112,MATCH(A23,'[1]Part numbers'!$D$1:$D$1112,0),MATCH($O$5,'[1]Part numbers'!$A$1:$R$1,0))</f>
        <v>19.124319999999997</v>
      </c>
      <c r="P23" s="123">
        <f t="shared" si="5"/>
        <v>0</v>
      </c>
    </row>
    <row r="24" spans="1:16" ht="15.75" customHeight="1" x14ac:dyDescent="0.25">
      <c r="A24" s="119" t="s">
        <v>99</v>
      </c>
      <c r="B24" s="4" t="s">
        <v>48</v>
      </c>
      <c r="C24" s="67" t="s">
        <v>99</v>
      </c>
      <c r="D24" s="109"/>
      <c r="E24" s="104" t="s">
        <v>346</v>
      </c>
      <c r="F24" s="91"/>
      <c r="G24" s="83" t="s">
        <v>341</v>
      </c>
      <c r="H24" s="4" t="s">
        <v>337</v>
      </c>
      <c r="I24" s="4" t="s">
        <v>337</v>
      </c>
      <c r="J24" s="4"/>
      <c r="K24" s="9"/>
      <c r="L24" s="10"/>
      <c r="M24">
        <v>5</v>
      </c>
      <c r="N24">
        <f t="shared" si="4"/>
        <v>0</v>
      </c>
      <c r="O24" s="116">
        <f>INDEX('[1]Part numbers'!$A$1:$Q$1112,MATCH(A24,'[1]Part numbers'!$D$1:$D$1112,0),MATCH($O$5,'[1]Part numbers'!$A$1:$R$1,0))</f>
        <v>128.43055999999999</v>
      </c>
      <c r="P24" s="123">
        <f t="shared" si="5"/>
        <v>0</v>
      </c>
    </row>
    <row r="25" spans="1:16" ht="15.75" customHeight="1" x14ac:dyDescent="0.25">
      <c r="A25" s="119" t="s">
        <v>309</v>
      </c>
      <c r="B25" s="4" t="s">
        <v>289</v>
      </c>
      <c r="C25" s="67" t="s">
        <v>309</v>
      </c>
      <c r="D25" s="109"/>
      <c r="E25" s="104" t="s">
        <v>346</v>
      </c>
      <c r="F25" s="91"/>
      <c r="G25" s="83" t="s">
        <v>341</v>
      </c>
      <c r="H25" s="4"/>
      <c r="I25" s="4"/>
      <c r="J25" s="4"/>
      <c r="K25" s="9"/>
      <c r="L25" s="10"/>
      <c r="M25">
        <v>5</v>
      </c>
      <c r="N25">
        <f t="shared" si="4"/>
        <v>0</v>
      </c>
      <c r="O25" s="116">
        <f>INDEX('[1]Part numbers'!$A$1:$Q$1112,MATCH(A25,'[1]Part numbers'!$D$1:$D$1112,0),MATCH($O$5,'[1]Part numbers'!$A$1:$R$1,0))</f>
        <v>113.25072</v>
      </c>
      <c r="P25" s="123">
        <f t="shared" si="5"/>
        <v>0</v>
      </c>
    </row>
    <row r="26" spans="1:16" ht="15.75" customHeight="1" x14ac:dyDescent="0.25">
      <c r="A26" s="119" t="s">
        <v>310</v>
      </c>
      <c r="B26" s="4" t="s">
        <v>200</v>
      </c>
      <c r="C26" s="67" t="s">
        <v>310</v>
      </c>
      <c r="D26" s="109"/>
      <c r="E26" s="104" t="s">
        <v>346</v>
      </c>
      <c r="F26" s="91"/>
      <c r="G26" s="83" t="s">
        <v>341</v>
      </c>
      <c r="H26" s="4" t="s">
        <v>337</v>
      </c>
      <c r="I26" s="4" t="s">
        <v>337</v>
      </c>
      <c r="J26" s="4" t="s">
        <v>387</v>
      </c>
      <c r="K26" s="9"/>
      <c r="L26" s="10"/>
      <c r="M26">
        <v>5</v>
      </c>
      <c r="N26">
        <f t="shared" si="4"/>
        <v>0</v>
      </c>
      <c r="O26" s="116">
        <f>INDEX('[1]Part numbers'!$A$1:$Q$1112,MATCH(A26,'[1]Part numbers'!$D$1:$D$1112,0),MATCH($O$5,'[1]Part numbers'!$A$1:$R$1,0))</f>
        <v>104.73519999999999</v>
      </c>
      <c r="P26" s="123">
        <f t="shared" si="5"/>
        <v>0</v>
      </c>
    </row>
    <row r="27" spans="1:16" ht="15.75" customHeight="1" x14ac:dyDescent="0.25">
      <c r="A27" s="119" t="s">
        <v>365</v>
      </c>
      <c r="B27" s="4" t="s">
        <v>364</v>
      </c>
      <c r="C27" s="67" t="s">
        <v>365</v>
      </c>
      <c r="D27" s="109"/>
      <c r="E27" s="104" t="s">
        <v>346</v>
      </c>
      <c r="F27" s="91"/>
      <c r="G27" s="83" t="s">
        <v>341</v>
      </c>
      <c r="H27" s="4" t="s">
        <v>337</v>
      </c>
      <c r="I27" s="4" t="s">
        <v>337</v>
      </c>
      <c r="J27" s="4" t="s">
        <v>387</v>
      </c>
      <c r="K27" s="9"/>
      <c r="L27" s="10"/>
      <c r="M27">
        <v>5</v>
      </c>
      <c r="N27">
        <f t="shared" si="4"/>
        <v>0</v>
      </c>
      <c r="O27" s="116">
        <f>INDEX('[1]Part numbers'!$A$1:$Q$1112,MATCH(A27,'[1]Part numbers'!$D$1:$D$1112,0),MATCH($O$5,'[1]Part numbers'!$A$1:$R$1,0))</f>
        <v>157.56559999999999</v>
      </c>
      <c r="P27" s="123">
        <f t="shared" si="5"/>
        <v>0</v>
      </c>
    </row>
    <row r="28" spans="1:16" ht="15.75" customHeight="1" x14ac:dyDescent="0.25">
      <c r="A28" s="119" t="s">
        <v>368</v>
      </c>
      <c r="B28" s="4" t="s">
        <v>79</v>
      </c>
      <c r="C28" s="67" t="s">
        <v>368</v>
      </c>
      <c r="D28" s="109"/>
      <c r="E28" s="104" t="s">
        <v>346</v>
      </c>
      <c r="F28" s="91"/>
      <c r="G28" s="83" t="s">
        <v>341</v>
      </c>
      <c r="H28" s="4" t="s">
        <v>337</v>
      </c>
      <c r="I28" s="4" t="s">
        <v>337</v>
      </c>
      <c r="J28" s="4" t="s">
        <v>387</v>
      </c>
      <c r="K28" s="9"/>
      <c r="L28" s="10"/>
      <c r="M28">
        <v>5</v>
      </c>
      <c r="N28">
        <f t="shared" si="4"/>
        <v>0</v>
      </c>
      <c r="O28" s="116">
        <f>INDEX('[1]Part numbers'!$A$1:$Q$1112,MATCH(A28,'[1]Part numbers'!$D$1:$D$1112,0),MATCH($O$5,'[1]Part numbers'!$A$1:$R$1,0))</f>
        <v>77.679199999999994</v>
      </c>
      <c r="P28" s="123">
        <f t="shared" si="5"/>
        <v>0</v>
      </c>
    </row>
    <row r="29" spans="1:16" ht="15.75" customHeight="1" x14ac:dyDescent="0.25">
      <c r="A29" s="119" t="s">
        <v>312</v>
      </c>
      <c r="B29" s="8" t="s">
        <v>158</v>
      </c>
      <c r="C29" s="4" t="s">
        <v>312</v>
      </c>
      <c r="D29" s="108"/>
      <c r="E29" s="104" t="s">
        <v>343</v>
      </c>
      <c r="F29" s="91"/>
      <c r="G29" s="83" t="s">
        <v>341</v>
      </c>
      <c r="H29" s="4">
        <v>8</v>
      </c>
      <c r="I29" s="4">
        <v>16</v>
      </c>
      <c r="J29" s="124">
        <v>45694</v>
      </c>
      <c r="K29" s="9"/>
      <c r="L29" s="10"/>
      <c r="M29">
        <v>50</v>
      </c>
      <c r="N29">
        <f t="shared" si="4"/>
        <v>0</v>
      </c>
      <c r="O29" s="116">
        <f>INDEX('[1]Part numbers'!$A$1:$Q$1112,MATCH(A29,'[1]Part numbers'!$D$1:$D$1112,0),MATCH($O$5,'[1]Part numbers'!$A$1:$R$1,0))</f>
        <v>83.289760000000001</v>
      </c>
      <c r="P29" s="123">
        <f t="shared" si="5"/>
        <v>0</v>
      </c>
    </row>
    <row r="30" spans="1:16" ht="15.75" customHeight="1" x14ac:dyDescent="0.25">
      <c r="A30" s="119" t="s">
        <v>307</v>
      </c>
      <c r="B30" s="8" t="s">
        <v>308</v>
      </c>
      <c r="C30" s="4" t="s">
        <v>307</v>
      </c>
      <c r="D30" s="108"/>
      <c r="E30" s="104" t="s">
        <v>346</v>
      </c>
      <c r="F30" s="91"/>
      <c r="G30" s="83" t="s">
        <v>341</v>
      </c>
      <c r="H30" s="4" t="s">
        <v>337</v>
      </c>
      <c r="I30" s="4" t="s">
        <v>337</v>
      </c>
      <c r="J30" s="4"/>
      <c r="K30" s="9"/>
      <c r="L30" s="10"/>
      <c r="M30">
        <v>5</v>
      </c>
      <c r="N30">
        <f t="shared" si="4"/>
        <v>0</v>
      </c>
      <c r="O30" s="116">
        <f>INDEX('[1]Part numbers'!$A$1:$Q$1112,MATCH(A30,'[1]Part numbers'!$D$1:$D$1112,0),MATCH($O$5,'[1]Part numbers'!$A$1:$R$1,0))</f>
        <v>90.694559999999996</v>
      </c>
      <c r="P30" s="123">
        <f t="shared" si="5"/>
        <v>0</v>
      </c>
    </row>
    <row r="31" spans="1:16" ht="15.75" customHeight="1" x14ac:dyDescent="0.25">
      <c r="A31" s="121" t="s">
        <v>381</v>
      </c>
      <c r="B31" s="4" t="s">
        <v>110</v>
      </c>
      <c r="C31" s="4" t="s">
        <v>381</v>
      </c>
      <c r="D31" s="108"/>
      <c r="E31" s="104" t="s">
        <v>343</v>
      </c>
      <c r="F31" s="91"/>
      <c r="G31" s="83" t="s">
        <v>341</v>
      </c>
      <c r="H31" s="4">
        <v>8</v>
      </c>
      <c r="I31" s="4">
        <v>16</v>
      </c>
      <c r="J31" s="124">
        <v>45694</v>
      </c>
      <c r="K31" s="9"/>
      <c r="L31" s="10"/>
      <c r="M31">
        <v>55</v>
      </c>
      <c r="N31">
        <f t="shared" ref="N31:N35" si="6">D31*M31+F31</f>
        <v>0</v>
      </c>
      <c r="O31" s="116">
        <f>INDEX('[1]Part numbers'!$A$1:$Q$1112,MATCH(A31,'[1]Part numbers'!$D$1:$D$1112,0),MATCH($O$5,'[1]Part numbers'!$A$1:$R$1,0))</f>
        <v>93.058399999999992</v>
      </c>
      <c r="P31" s="123">
        <f t="shared" si="5"/>
        <v>0</v>
      </c>
    </row>
    <row r="32" spans="1:16" ht="15.75" customHeight="1" x14ac:dyDescent="0.25">
      <c r="A32" s="119" t="s">
        <v>383</v>
      </c>
      <c r="B32" s="4" t="s">
        <v>384</v>
      </c>
      <c r="C32" s="4" t="s">
        <v>385</v>
      </c>
      <c r="D32" s="108"/>
      <c r="E32" s="104" t="s">
        <v>343</v>
      </c>
      <c r="F32" s="91"/>
      <c r="G32" s="83" t="s">
        <v>341</v>
      </c>
      <c r="H32" s="4" t="s">
        <v>337</v>
      </c>
      <c r="I32" s="4" t="s">
        <v>337</v>
      </c>
      <c r="J32" s="4" t="s">
        <v>387</v>
      </c>
      <c r="K32" s="9"/>
      <c r="L32" s="10"/>
      <c r="M32">
        <v>50</v>
      </c>
      <c r="N32">
        <f t="shared" si="6"/>
        <v>0</v>
      </c>
      <c r="O32" s="116">
        <f>INDEX('[1]Part numbers'!$A$1:$Q$1112,MATCH(A32,'[1]Part numbers'!$D$1:$D$1112,0),MATCH($O$5,'[1]Part numbers'!$A$1:$R$1,0))</f>
        <v>167.8896</v>
      </c>
      <c r="P32" s="123">
        <f t="shared" si="5"/>
        <v>0</v>
      </c>
    </row>
    <row r="33" spans="1:16" ht="15.75" customHeight="1" x14ac:dyDescent="0.25">
      <c r="A33" s="119" t="s">
        <v>396</v>
      </c>
      <c r="B33" s="126" t="s">
        <v>386</v>
      </c>
      <c r="C33" s="4" t="s">
        <v>396</v>
      </c>
      <c r="D33" s="108"/>
      <c r="E33" s="104" t="s">
        <v>343</v>
      </c>
      <c r="F33" s="91"/>
      <c r="G33" s="83" t="s">
        <v>341</v>
      </c>
      <c r="H33" s="4" t="s">
        <v>337</v>
      </c>
      <c r="I33" s="4" t="s">
        <v>337</v>
      </c>
      <c r="J33" s="4" t="s">
        <v>387</v>
      </c>
      <c r="K33" s="9"/>
      <c r="L33" s="10"/>
      <c r="M33">
        <v>50</v>
      </c>
      <c r="N33">
        <f t="shared" si="6"/>
        <v>0</v>
      </c>
      <c r="O33" s="116">
        <f>INDEX('[1]Part numbers'!$A$1:$Q$1112,MATCH(A33,'[1]Part numbers'!$D$1:$D$1112,0),MATCH($O$5,'[1]Part numbers'!$A$1:$R$1,0))</f>
        <v>80.142719999999997</v>
      </c>
      <c r="P33" s="123">
        <f t="shared" si="5"/>
        <v>0</v>
      </c>
    </row>
    <row r="34" spans="1:16" ht="15.75" customHeight="1" x14ac:dyDescent="0.25">
      <c r="A34" s="119" t="s">
        <v>388</v>
      </c>
      <c r="B34" s="4" t="s">
        <v>389</v>
      </c>
      <c r="C34" s="119" t="s">
        <v>388</v>
      </c>
      <c r="D34" s="108"/>
      <c r="E34" s="104" t="s">
        <v>343</v>
      </c>
      <c r="F34" s="91"/>
      <c r="G34" s="83" t="s">
        <v>341</v>
      </c>
      <c r="H34" s="4" t="s">
        <v>337</v>
      </c>
      <c r="I34" s="4" t="s">
        <v>337</v>
      </c>
      <c r="J34" s="4" t="s">
        <v>387</v>
      </c>
      <c r="K34" s="9"/>
      <c r="L34" s="10"/>
      <c r="M34">
        <v>50</v>
      </c>
      <c r="N34">
        <f t="shared" si="6"/>
        <v>0</v>
      </c>
      <c r="O34" s="116">
        <f>INDEX('[1]Part numbers'!$A$1:$Q$1112,MATCH(A34,'[1]Part numbers'!$D$1:$D$1112,0),MATCH($O$5,'[1]Part numbers'!$A$1:$R$1,0))</f>
        <v>106.45824</v>
      </c>
      <c r="P34" s="123">
        <f t="shared" si="5"/>
        <v>0</v>
      </c>
    </row>
    <row r="35" spans="1:16" ht="15.75" customHeight="1" x14ac:dyDescent="0.25">
      <c r="A35" s="119"/>
      <c r="B35" s="4"/>
      <c r="C35" s="4"/>
      <c r="D35" s="108"/>
      <c r="E35" s="104" t="s">
        <v>343</v>
      </c>
      <c r="F35" s="91"/>
      <c r="G35" s="83" t="s">
        <v>341</v>
      </c>
      <c r="H35" s="4" t="s">
        <v>337</v>
      </c>
      <c r="I35" s="4" t="s">
        <v>337</v>
      </c>
      <c r="J35" s="4"/>
      <c r="K35" s="9"/>
      <c r="L35" s="10"/>
      <c r="M35" s="122"/>
      <c r="N35">
        <f t="shared" si="6"/>
        <v>0</v>
      </c>
      <c r="O35" s="116" t="e">
        <f>INDEX('[1]Part numbers'!$A$1:$Q$1112,MATCH(A35,'[1]Part numbers'!$D$1:$D$1112,0),MATCH($O$5,'[1]Part numbers'!$A$1:$R$1,0))</f>
        <v>#N/A</v>
      </c>
      <c r="P35" s="123">
        <f t="shared" si="5"/>
        <v>0</v>
      </c>
    </row>
    <row r="36" spans="1:16" ht="15.75" customHeight="1" x14ac:dyDescent="0.25">
      <c r="A36" s="119"/>
      <c r="B36" s="4"/>
      <c r="C36" s="4"/>
      <c r="D36" s="108"/>
      <c r="E36" s="104" t="s">
        <v>343</v>
      </c>
      <c r="F36" s="91"/>
      <c r="G36" s="83" t="s">
        <v>341</v>
      </c>
      <c r="H36" s="4" t="s">
        <v>337</v>
      </c>
      <c r="I36" s="4" t="s">
        <v>337</v>
      </c>
      <c r="J36" s="4"/>
      <c r="K36" s="9"/>
      <c r="L36" s="10"/>
      <c r="M36" s="122"/>
      <c r="N36">
        <f t="shared" si="4"/>
        <v>0</v>
      </c>
      <c r="O36" s="116" t="e">
        <f>INDEX('[1]Part numbers'!$A$1:$Q$1112,MATCH(A36,'[1]Part numbers'!$D$1:$D$1112,0),MATCH($O$5,'[1]Part numbers'!$A$1:$R$1,0))</f>
        <v>#N/A</v>
      </c>
      <c r="P36" s="123">
        <f t="shared" si="5"/>
        <v>0</v>
      </c>
    </row>
    <row r="37" spans="1:16" ht="5.45" customHeight="1" thickBot="1" x14ac:dyDescent="0.3">
      <c r="A37" s="119"/>
      <c r="B37" s="7"/>
      <c r="C37" s="7"/>
      <c r="D37" s="7"/>
      <c r="E37" s="7"/>
      <c r="F37" s="7"/>
      <c r="G37" s="7"/>
      <c r="H37" s="7"/>
      <c r="I37" s="7"/>
      <c r="J37" s="7"/>
      <c r="K37" s="7"/>
      <c r="L37" s="10"/>
    </row>
    <row r="38" spans="1:16" ht="45.75" customHeight="1" thickBot="1" x14ac:dyDescent="0.3">
      <c r="A38" s="118" t="s">
        <v>378</v>
      </c>
      <c r="B38" s="2" t="s">
        <v>112</v>
      </c>
      <c r="C38" s="3" t="s">
        <v>128</v>
      </c>
      <c r="D38" s="115" t="s">
        <v>321</v>
      </c>
      <c r="E38" s="107"/>
      <c r="F38" s="90" t="s">
        <v>369</v>
      </c>
      <c r="G38" s="90"/>
      <c r="H38" s="3" t="s">
        <v>319</v>
      </c>
      <c r="I38" s="3" t="s">
        <v>325</v>
      </c>
      <c r="J38" s="73" t="s">
        <v>373</v>
      </c>
      <c r="K38" s="127" t="s">
        <v>320</v>
      </c>
      <c r="L38" s="10"/>
    </row>
    <row r="39" spans="1:16" ht="15.75" customHeight="1" x14ac:dyDescent="0.25">
      <c r="A39" s="119" t="s">
        <v>114</v>
      </c>
      <c r="B39" s="4" t="s">
        <v>113</v>
      </c>
      <c r="C39" s="4" t="s">
        <v>114</v>
      </c>
      <c r="D39" s="108"/>
      <c r="E39" s="104" t="s">
        <v>346</v>
      </c>
      <c r="F39" s="91"/>
      <c r="G39" s="83" t="s">
        <v>341</v>
      </c>
      <c r="H39" s="4" t="s">
        <v>337</v>
      </c>
      <c r="I39" s="4" t="s">
        <v>337</v>
      </c>
      <c r="J39" s="4"/>
      <c r="K39" s="9"/>
      <c r="L39" s="10"/>
      <c r="M39">
        <v>5</v>
      </c>
      <c r="N39">
        <f t="shared" ref="N39:N41" si="7">D39*M39+F39</f>
        <v>0</v>
      </c>
      <c r="O39" s="116">
        <f>INDEX('[1]Part numbers'!$A$1:$Q$1112,MATCH(A39,'[1]Part numbers'!$D$1:$D$1112,0),MATCH($O$5,'[1]Part numbers'!$A$1:$R$1,0))</f>
        <v>101.81599999999999</v>
      </c>
      <c r="P39" s="123">
        <f t="shared" ref="P39:P41" si="8">IFERROR(N39*O39,0)</f>
        <v>0</v>
      </c>
    </row>
    <row r="40" spans="1:16" ht="15.75" customHeight="1" x14ac:dyDescent="0.25">
      <c r="A40" s="119" t="s">
        <v>203</v>
      </c>
      <c r="B40" s="4" t="s">
        <v>200</v>
      </c>
      <c r="C40" s="4" t="s">
        <v>203</v>
      </c>
      <c r="D40" s="108"/>
      <c r="E40" s="104" t="s">
        <v>346</v>
      </c>
      <c r="F40" s="91"/>
      <c r="G40" s="83" t="s">
        <v>341</v>
      </c>
      <c r="H40" s="4" t="s">
        <v>337</v>
      </c>
      <c r="I40" s="4" t="s">
        <v>337</v>
      </c>
      <c r="J40" s="4"/>
      <c r="K40" s="9"/>
      <c r="L40" s="10"/>
      <c r="M40">
        <v>5</v>
      </c>
      <c r="N40">
        <f t="shared" si="7"/>
        <v>0</v>
      </c>
      <c r="O40" s="116">
        <f>INDEX('[1]Part numbers'!$A$1:$Q$1112,MATCH(A40,'[1]Part numbers'!$D$1:$D$1112,0),MATCH($O$5,'[1]Part numbers'!$A$1:$R$1,0))</f>
        <v>116.768</v>
      </c>
      <c r="P40" s="123">
        <f t="shared" si="8"/>
        <v>0</v>
      </c>
    </row>
    <row r="41" spans="1:16" ht="15.75" customHeight="1" x14ac:dyDescent="0.25">
      <c r="A41" s="119" t="s">
        <v>395</v>
      </c>
      <c r="B41" s="4" t="s">
        <v>126</v>
      </c>
      <c r="C41" s="4" t="s">
        <v>395</v>
      </c>
      <c r="D41" s="108"/>
      <c r="E41" s="104" t="s">
        <v>346</v>
      </c>
      <c r="F41" s="91"/>
      <c r="G41" s="83" t="s">
        <v>341</v>
      </c>
      <c r="H41" s="4" t="s">
        <v>337</v>
      </c>
      <c r="I41" s="4" t="s">
        <v>337</v>
      </c>
      <c r="J41" s="4"/>
      <c r="K41" s="9"/>
      <c r="L41" s="10"/>
      <c r="M41">
        <v>5</v>
      </c>
      <c r="N41">
        <f t="shared" si="7"/>
        <v>0</v>
      </c>
      <c r="O41" s="116">
        <f>INDEX('[1]Part numbers'!$A$1:$Q$1112,MATCH(A41,'[1]Part numbers'!$D$1:$D$1112,0),MATCH($O$5,'[1]Part numbers'!$A$1:$R$1,0))</f>
        <v>127.66160000000001</v>
      </c>
      <c r="P41" s="123">
        <f t="shared" si="8"/>
        <v>0</v>
      </c>
    </row>
    <row r="42" spans="1:16" ht="6" customHeight="1" thickBot="1" x14ac:dyDescent="0.3">
      <c r="A42" s="119"/>
      <c r="B42" s="70"/>
      <c r="C42" s="71"/>
      <c r="D42" s="71"/>
      <c r="E42" s="71"/>
      <c r="F42" s="71"/>
      <c r="G42" s="71"/>
      <c r="H42" s="71"/>
      <c r="I42" s="71"/>
      <c r="J42" s="71"/>
      <c r="K42" s="71"/>
      <c r="L42" s="10"/>
    </row>
    <row r="43" spans="1:16" ht="46.5" customHeight="1" thickBot="1" x14ac:dyDescent="0.3">
      <c r="A43" s="118" t="s">
        <v>378</v>
      </c>
      <c r="B43" s="2" t="s">
        <v>132</v>
      </c>
      <c r="C43" s="3" t="s">
        <v>128</v>
      </c>
      <c r="D43" s="115" t="s">
        <v>321</v>
      </c>
      <c r="E43" s="107"/>
      <c r="F43" s="90" t="s">
        <v>369</v>
      </c>
      <c r="G43" s="90"/>
      <c r="H43" s="3" t="s">
        <v>319</v>
      </c>
      <c r="I43" s="3" t="s">
        <v>325</v>
      </c>
      <c r="J43" s="73" t="s">
        <v>373</v>
      </c>
      <c r="K43" s="127" t="s">
        <v>320</v>
      </c>
      <c r="L43" s="10"/>
    </row>
    <row r="44" spans="1:16" ht="15.75" customHeight="1" x14ac:dyDescent="0.25">
      <c r="A44" s="119">
        <v>16168306</v>
      </c>
      <c r="B44" s="4" t="s">
        <v>133</v>
      </c>
      <c r="C44" s="4">
        <v>16168306</v>
      </c>
      <c r="D44" s="111"/>
      <c r="E44" s="104" t="s">
        <v>343</v>
      </c>
      <c r="F44" s="95"/>
      <c r="G44" s="83" t="s">
        <v>376</v>
      </c>
      <c r="H44" s="4">
        <v>2</v>
      </c>
      <c r="I44" s="69">
        <v>4</v>
      </c>
      <c r="J44" s="125">
        <v>45659</v>
      </c>
      <c r="K44" s="9"/>
      <c r="L44" s="10"/>
      <c r="M44">
        <v>166</v>
      </c>
      <c r="N44">
        <f t="shared" ref="N44:N52" si="9">D44*M44+F44</f>
        <v>0</v>
      </c>
      <c r="O44" s="116">
        <f>INDEX('[1]Part numbers'!$A$1:$Q$1112,MATCH(A44,'[1]Part numbers'!$D$1:$D$1112,0),MATCH($O$5,'[1]Part numbers'!$A$1:$R$1,0))</f>
        <v>4.0999999999999996</v>
      </c>
      <c r="P44" s="123">
        <f t="shared" ref="P44:P57" si="10">IFERROR(N44*O44,0)</f>
        <v>0</v>
      </c>
    </row>
    <row r="45" spans="1:16" ht="15.75" customHeight="1" x14ac:dyDescent="0.25">
      <c r="A45" s="119">
        <v>16168883</v>
      </c>
      <c r="B45" s="4" t="s">
        <v>134</v>
      </c>
      <c r="C45" s="4">
        <v>16168883</v>
      </c>
      <c r="D45" s="111"/>
      <c r="E45" s="104" t="s">
        <v>343</v>
      </c>
      <c r="F45" s="95"/>
      <c r="G45" s="83" t="s">
        <v>376</v>
      </c>
      <c r="H45" s="11" t="s">
        <v>324</v>
      </c>
      <c r="I45" s="11" t="s">
        <v>336</v>
      </c>
      <c r="J45" s="124">
        <v>45659</v>
      </c>
      <c r="K45" s="9"/>
      <c r="L45" s="10"/>
      <c r="M45">
        <v>178</v>
      </c>
      <c r="N45">
        <f t="shared" si="9"/>
        <v>0</v>
      </c>
      <c r="O45" s="116">
        <f>INDEX('[1]Part numbers'!$A$1:$Q$1112,MATCH(A45,'[1]Part numbers'!$D$1:$D$1112,0),MATCH($O$5,'[1]Part numbers'!$A$1:$R$1,0))</f>
        <v>3.99</v>
      </c>
      <c r="P45" s="123">
        <f t="shared" si="10"/>
        <v>0</v>
      </c>
    </row>
    <row r="46" spans="1:16" ht="15.75" customHeight="1" x14ac:dyDescent="0.25">
      <c r="A46" s="119">
        <v>20288</v>
      </c>
      <c r="B46" s="4" t="s">
        <v>397</v>
      </c>
      <c r="C46" s="4">
        <v>20288</v>
      </c>
      <c r="D46" s="111"/>
      <c r="E46" s="104" t="s">
        <v>343</v>
      </c>
      <c r="F46" s="95"/>
      <c r="G46" s="83" t="s">
        <v>376</v>
      </c>
      <c r="H46" s="11" t="s">
        <v>323</v>
      </c>
      <c r="I46" s="11" t="s">
        <v>324</v>
      </c>
      <c r="J46" s="11"/>
      <c r="K46" s="9"/>
      <c r="L46" s="10"/>
      <c r="M46">
        <v>161</v>
      </c>
      <c r="N46">
        <f t="shared" si="9"/>
        <v>0</v>
      </c>
      <c r="O46" s="116">
        <f>INDEX('[1]Part numbers'!$A$1:$Q$1112,MATCH(A46,'[1]Part numbers'!$D$1:$D$1112,0),MATCH($O$5,'[1]Part numbers'!$A$1:$R$1,0))</f>
        <v>3.2</v>
      </c>
      <c r="P46" s="123">
        <f t="shared" si="10"/>
        <v>0</v>
      </c>
    </row>
    <row r="47" spans="1:16" ht="15.75" customHeight="1" x14ac:dyDescent="0.25">
      <c r="A47" s="119">
        <v>16169613</v>
      </c>
      <c r="B47" s="4" t="s">
        <v>136</v>
      </c>
      <c r="C47" s="4">
        <v>16169613</v>
      </c>
      <c r="D47" s="111"/>
      <c r="E47" s="104" t="s">
        <v>343</v>
      </c>
      <c r="F47" s="95"/>
      <c r="G47" s="83" t="s">
        <v>376</v>
      </c>
      <c r="H47" s="11" t="s">
        <v>323</v>
      </c>
      <c r="I47" s="11" t="s">
        <v>324</v>
      </c>
      <c r="J47" s="124">
        <v>45659</v>
      </c>
      <c r="K47" s="9"/>
      <c r="L47" s="10"/>
      <c r="M47">
        <v>235</v>
      </c>
      <c r="N47">
        <f t="shared" si="9"/>
        <v>0</v>
      </c>
      <c r="O47" s="116">
        <f>INDEX('[1]Part numbers'!$A$1:$Q$1112,MATCH(A47,'[1]Part numbers'!$D$1:$D$1112,0),MATCH($O$5,'[1]Part numbers'!$A$1:$R$1,0))</f>
        <v>6.1</v>
      </c>
      <c r="P47" s="123">
        <f t="shared" si="10"/>
        <v>0</v>
      </c>
    </row>
    <row r="48" spans="1:16" ht="15.75" customHeight="1" x14ac:dyDescent="0.25">
      <c r="A48" s="119">
        <v>16169116</v>
      </c>
      <c r="B48" s="4" t="s">
        <v>137</v>
      </c>
      <c r="C48" s="4">
        <v>16169116</v>
      </c>
      <c r="D48" s="111"/>
      <c r="E48" s="104" t="s">
        <v>343</v>
      </c>
      <c r="F48" s="95"/>
      <c r="G48" s="83" t="s">
        <v>376</v>
      </c>
      <c r="H48" s="4">
        <v>2</v>
      </c>
      <c r="I48" s="4">
        <v>4</v>
      </c>
      <c r="J48" s="124">
        <v>45659</v>
      </c>
      <c r="K48" s="9"/>
      <c r="L48" s="10"/>
      <c r="M48">
        <v>170</v>
      </c>
      <c r="N48">
        <f t="shared" si="9"/>
        <v>0</v>
      </c>
      <c r="O48" s="116">
        <f>INDEX('[1]Part numbers'!$A$1:$Q$1112,MATCH(A48,'[1]Part numbers'!$D$1:$D$1112,0),MATCH($O$5,'[1]Part numbers'!$A$1:$R$1,0))</f>
        <v>6.93</v>
      </c>
      <c r="P48" s="123">
        <f t="shared" si="10"/>
        <v>0</v>
      </c>
    </row>
    <row r="49" spans="1:16" ht="15.75" customHeight="1" x14ac:dyDescent="0.25">
      <c r="A49" s="119">
        <v>16169608</v>
      </c>
      <c r="B49" s="4" t="s">
        <v>138</v>
      </c>
      <c r="C49" s="4">
        <v>16169608</v>
      </c>
      <c r="D49" s="111"/>
      <c r="E49" s="104" t="s">
        <v>343</v>
      </c>
      <c r="F49" s="95"/>
      <c r="G49" s="83" t="s">
        <v>376</v>
      </c>
      <c r="H49" s="4">
        <v>4</v>
      </c>
      <c r="I49" s="4">
        <v>8</v>
      </c>
      <c r="J49" s="124">
        <v>45659</v>
      </c>
      <c r="K49" s="9"/>
      <c r="L49" s="10"/>
      <c r="M49">
        <v>171</v>
      </c>
      <c r="N49">
        <f t="shared" si="9"/>
        <v>0</v>
      </c>
      <c r="O49" s="116">
        <f>INDEX('[1]Part numbers'!$A$1:$Q$1112,MATCH(A49,'[1]Part numbers'!$D$1:$D$1112,0),MATCH($O$5,'[1]Part numbers'!$A$1:$R$1,0))</f>
        <v>4.6113999999999997</v>
      </c>
      <c r="P49" s="123">
        <f t="shared" si="10"/>
        <v>0</v>
      </c>
    </row>
    <row r="50" spans="1:16" ht="15.75" customHeight="1" x14ac:dyDescent="0.25">
      <c r="A50" s="119">
        <v>16168283</v>
      </c>
      <c r="B50" s="4" t="s">
        <v>219</v>
      </c>
      <c r="C50" s="4">
        <v>16168283</v>
      </c>
      <c r="D50" s="110"/>
      <c r="E50" s="104" t="s">
        <v>343</v>
      </c>
      <c r="F50" s="96"/>
      <c r="G50" s="83" t="s">
        <v>376</v>
      </c>
      <c r="H50" s="4">
        <v>1</v>
      </c>
      <c r="I50" s="4">
        <v>2</v>
      </c>
      <c r="J50" s="4"/>
      <c r="K50" s="9"/>
      <c r="L50" s="10"/>
      <c r="M50">
        <v>55</v>
      </c>
      <c r="N50">
        <f t="shared" si="9"/>
        <v>0</v>
      </c>
      <c r="O50" s="116">
        <f>INDEX('[1]Part numbers'!$A$1:$Q$1112,MATCH(A50,'[1]Part numbers'!$D$1:$D$1112,0),MATCH($O$5,'[1]Part numbers'!$A$1:$R$1,0))</f>
        <v>4.3636999999999997</v>
      </c>
      <c r="P50" s="123">
        <f t="shared" si="10"/>
        <v>0</v>
      </c>
    </row>
    <row r="51" spans="1:16" ht="15.75" customHeight="1" x14ac:dyDescent="0.25">
      <c r="A51" s="119">
        <v>16153976</v>
      </c>
      <c r="B51" s="4" t="s">
        <v>208</v>
      </c>
      <c r="C51" s="4">
        <v>16153976</v>
      </c>
      <c r="D51" s="111"/>
      <c r="E51" s="104" t="s">
        <v>342</v>
      </c>
      <c r="F51" s="95"/>
      <c r="G51" s="84" t="s">
        <v>377</v>
      </c>
      <c r="H51" s="4">
        <v>1</v>
      </c>
      <c r="I51" s="4">
        <v>2</v>
      </c>
      <c r="J51" s="124">
        <v>45659</v>
      </c>
      <c r="K51" s="9"/>
      <c r="L51" s="10"/>
      <c r="M51">
        <v>2280.6</v>
      </c>
      <c r="N51">
        <f>D51*M51+F51*18</f>
        <v>0</v>
      </c>
      <c r="O51" s="116">
        <f>INDEX('[1]Part numbers'!$A$1:$Q$1112,MATCH(A51,'[1]Part numbers'!$D$1:$D$1112,0),MATCH($O$5,'[1]Part numbers'!$A$1:$R$1,0))</f>
        <v>0.7661</v>
      </c>
      <c r="P51" s="123">
        <f t="shared" si="10"/>
        <v>0</v>
      </c>
    </row>
    <row r="52" spans="1:16" ht="19.5" customHeight="1" x14ac:dyDescent="0.25">
      <c r="A52" s="119">
        <v>16161565</v>
      </c>
      <c r="B52" s="4" t="s">
        <v>370</v>
      </c>
      <c r="C52" s="4">
        <v>16161565</v>
      </c>
      <c r="D52" s="110"/>
      <c r="E52" s="104" t="s">
        <v>343</v>
      </c>
      <c r="F52" s="96"/>
      <c r="G52" s="83" t="s">
        <v>376</v>
      </c>
      <c r="H52" s="4">
        <v>1</v>
      </c>
      <c r="I52" s="4">
        <v>2</v>
      </c>
      <c r="J52" s="4"/>
      <c r="K52" s="9"/>
      <c r="L52" s="10"/>
      <c r="M52">
        <v>185.97</v>
      </c>
      <c r="N52">
        <f t="shared" si="9"/>
        <v>0</v>
      </c>
      <c r="O52" s="116">
        <f>INDEX('[1]Part numbers'!$A$1:$Q$1112,MATCH(A52,'[1]Part numbers'!$D$1:$D$1112,0),MATCH($O$5,'[1]Part numbers'!$A$1:$R$1,0))</f>
        <v>4.5</v>
      </c>
      <c r="P52" s="123">
        <f t="shared" si="10"/>
        <v>0</v>
      </c>
    </row>
    <row r="53" spans="1:16" ht="19.5" customHeight="1" x14ac:dyDescent="0.25">
      <c r="A53" s="119"/>
      <c r="B53" s="4"/>
      <c r="C53" s="72"/>
      <c r="D53" s="110"/>
      <c r="E53" s="104"/>
      <c r="F53" s="96"/>
      <c r="G53" s="83"/>
      <c r="H53" s="4"/>
      <c r="I53" s="4"/>
      <c r="J53" s="4"/>
      <c r="K53" s="9"/>
      <c r="L53" s="10"/>
      <c r="P53" s="123">
        <f t="shared" si="10"/>
        <v>0</v>
      </c>
    </row>
    <row r="54" spans="1:16" ht="19.5" customHeight="1" x14ac:dyDescent="0.25">
      <c r="A54" s="119"/>
      <c r="B54" s="4"/>
      <c r="C54" s="72"/>
      <c r="D54" s="110"/>
      <c r="E54" s="104"/>
      <c r="F54" s="96"/>
      <c r="G54" s="83"/>
      <c r="H54" s="4"/>
      <c r="I54" s="4"/>
      <c r="J54" s="4"/>
      <c r="K54" s="9"/>
      <c r="L54" s="10"/>
      <c r="P54" s="123">
        <f t="shared" si="10"/>
        <v>0</v>
      </c>
    </row>
    <row r="55" spans="1:16" ht="19.5" customHeight="1" x14ac:dyDescent="0.25">
      <c r="A55" s="119"/>
      <c r="B55" s="4"/>
      <c r="C55" s="72"/>
      <c r="D55" s="110"/>
      <c r="E55" s="104"/>
      <c r="F55" s="96"/>
      <c r="G55" s="83"/>
      <c r="H55" s="4"/>
      <c r="I55" s="4"/>
      <c r="J55" s="4"/>
      <c r="K55" s="9"/>
      <c r="L55" s="10"/>
      <c r="P55" s="123">
        <f t="shared" si="10"/>
        <v>0</v>
      </c>
    </row>
    <row r="56" spans="1:16" ht="19.5" customHeight="1" x14ac:dyDescent="0.25">
      <c r="A56" s="119"/>
      <c r="B56" s="4"/>
      <c r="C56" s="72"/>
      <c r="D56" s="110"/>
      <c r="E56" s="104"/>
      <c r="F56" s="96"/>
      <c r="G56" s="83"/>
      <c r="H56" s="4"/>
      <c r="I56" s="4"/>
      <c r="J56" s="4"/>
      <c r="K56" s="9"/>
      <c r="L56" s="10"/>
      <c r="P56" s="123">
        <f t="shared" si="10"/>
        <v>0</v>
      </c>
    </row>
    <row r="57" spans="1:16" ht="19.5" customHeight="1" x14ac:dyDescent="0.25">
      <c r="A57" s="119"/>
      <c r="B57" s="4"/>
      <c r="C57" s="72"/>
      <c r="D57" s="110"/>
      <c r="E57" s="104"/>
      <c r="F57" s="96"/>
      <c r="G57" s="83"/>
      <c r="H57" s="4"/>
      <c r="I57" s="4"/>
      <c r="J57" s="4"/>
      <c r="K57" s="9"/>
      <c r="L57" s="10"/>
      <c r="P57" s="123">
        <f t="shared" si="10"/>
        <v>0</v>
      </c>
    </row>
    <row r="58" spans="1:16" ht="5.45" customHeight="1" x14ac:dyDescent="0.25">
      <c r="B58" s="7"/>
      <c r="C58" s="38"/>
      <c r="D58" s="38"/>
      <c r="E58" s="7"/>
      <c r="F58" s="7"/>
      <c r="G58" s="39"/>
      <c r="H58" s="7"/>
      <c r="I58" s="7"/>
      <c r="J58" s="7"/>
      <c r="K58" s="7"/>
      <c r="L58" s="10"/>
    </row>
    <row r="59" spans="1:16" ht="5.45" customHeight="1" x14ac:dyDescent="0.25">
      <c r="B59" s="7"/>
      <c r="C59" s="38"/>
      <c r="D59" s="38"/>
      <c r="E59" s="7"/>
      <c r="F59" s="7"/>
      <c r="G59" s="39"/>
      <c r="H59" s="7"/>
      <c r="I59" s="7"/>
      <c r="J59" s="7"/>
      <c r="K59" s="7"/>
      <c r="L59" s="10"/>
    </row>
    <row r="60" spans="1:16" ht="5.45" customHeight="1" x14ac:dyDescent="0.25">
      <c r="B60" s="7"/>
      <c r="C60" s="38"/>
      <c r="D60" s="38"/>
      <c r="E60" s="7"/>
      <c r="F60" s="7"/>
      <c r="G60" s="39"/>
      <c r="H60" s="7"/>
      <c r="I60" s="7"/>
      <c r="J60" s="7"/>
      <c r="K60" s="7"/>
      <c r="L60" s="10"/>
    </row>
    <row r="61" spans="1:16" ht="5.45" customHeight="1" thickBot="1" x14ac:dyDescent="0.3">
      <c r="B61" s="7"/>
      <c r="C61" s="38"/>
      <c r="D61" s="38"/>
      <c r="E61" s="7"/>
      <c r="F61" s="7"/>
      <c r="G61" s="39"/>
      <c r="H61" s="7"/>
      <c r="I61" s="7"/>
      <c r="J61" s="7"/>
      <c r="K61" s="7"/>
      <c r="L61" s="10"/>
    </row>
    <row r="62" spans="1:16" ht="30" customHeight="1" thickBot="1" x14ac:dyDescent="0.3">
      <c r="A62" s="68"/>
      <c r="B62" s="2" t="s">
        <v>322</v>
      </c>
      <c r="C62" s="3" t="s">
        <v>128</v>
      </c>
      <c r="D62" s="115" t="s">
        <v>321</v>
      </c>
      <c r="E62" s="107"/>
      <c r="F62" s="90" t="s">
        <v>369</v>
      </c>
      <c r="G62" s="90"/>
      <c r="H62" s="3" t="s">
        <v>319</v>
      </c>
      <c r="I62" s="3" t="s">
        <v>325</v>
      </c>
      <c r="J62" s="3"/>
      <c r="K62" s="127" t="s">
        <v>320</v>
      </c>
      <c r="L62" s="10"/>
    </row>
    <row r="63" spans="1:16" ht="14.45" customHeight="1" x14ac:dyDescent="0.25">
      <c r="A63" s="68"/>
      <c r="B63" s="10" t="s">
        <v>222</v>
      </c>
      <c r="C63" s="10" t="s">
        <v>338</v>
      </c>
      <c r="D63" s="112"/>
      <c r="E63" s="113" t="s">
        <v>346</v>
      </c>
      <c r="F63" s="80"/>
      <c r="G63" s="80" t="s">
        <v>341</v>
      </c>
      <c r="H63" s="6" t="s">
        <v>339</v>
      </c>
      <c r="I63" s="81" t="s">
        <v>335</v>
      </c>
      <c r="J63" s="81"/>
      <c r="K63" s="112"/>
      <c r="L63" s="10"/>
    </row>
    <row r="64" spans="1:16" ht="14.45" customHeight="1" x14ac:dyDescent="0.25">
      <c r="A64" s="68"/>
      <c r="B64" s="10" t="s">
        <v>359</v>
      </c>
      <c r="C64" s="10"/>
      <c r="D64" s="112"/>
      <c r="E64" s="113" t="s">
        <v>346</v>
      </c>
      <c r="F64" s="80"/>
      <c r="G64" s="80" t="s">
        <v>341</v>
      </c>
      <c r="H64" s="6" t="s">
        <v>339</v>
      </c>
      <c r="I64" s="81" t="s">
        <v>335</v>
      </c>
      <c r="J64" s="81"/>
      <c r="K64" s="112"/>
      <c r="L64" s="10"/>
    </row>
    <row r="65" spans="1:13" ht="14.45" customHeight="1" x14ac:dyDescent="0.25">
      <c r="A65" s="68"/>
      <c r="B65" s="10" t="s">
        <v>356</v>
      </c>
      <c r="C65" s="10"/>
      <c r="D65" s="112"/>
      <c r="E65" s="113" t="s">
        <v>346</v>
      </c>
      <c r="F65" s="80"/>
      <c r="G65" s="80" t="s">
        <v>341</v>
      </c>
      <c r="H65" s="6" t="s">
        <v>339</v>
      </c>
      <c r="I65" s="81" t="s">
        <v>335</v>
      </c>
      <c r="J65" s="81"/>
      <c r="K65" s="112"/>
      <c r="L65" s="10"/>
    </row>
    <row r="66" spans="1:13" ht="14.45" customHeight="1" x14ac:dyDescent="0.25">
      <c r="A66" s="68"/>
      <c r="B66" s="10" t="s">
        <v>355</v>
      </c>
      <c r="C66" s="10"/>
      <c r="D66" s="112"/>
      <c r="E66" s="113" t="s">
        <v>346</v>
      </c>
      <c r="F66" s="80"/>
      <c r="G66" s="80" t="s">
        <v>341</v>
      </c>
      <c r="H66" s="6" t="s">
        <v>339</v>
      </c>
      <c r="I66" s="81" t="s">
        <v>335</v>
      </c>
      <c r="J66" s="81"/>
      <c r="K66" s="112"/>
      <c r="L66" s="10"/>
    </row>
    <row r="67" spans="1:13" x14ac:dyDescent="0.25">
      <c r="B67" s="10" t="s">
        <v>332</v>
      </c>
      <c r="C67" s="10" t="s">
        <v>327</v>
      </c>
      <c r="D67" s="112"/>
      <c r="E67" s="113" t="s">
        <v>328</v>
      </c>
      <c r="F67" s="80"/>
      <c r="G67" s="10"/>
      <c r="H67" s="6" t="s">
        <v>329</v>
      </c>
      <c r="I67" s="81" t="s">
        <v>330</v>
      </c>
      <c r="J67" s="81"/>
      <c r="K67" s="112"/>
      <c r="L67" s="10"/>
    </row>
    <row r="68" spans="1:13" x14ac:dyDescent="0.25">
      <c r="B68" s="10" t="s">
        <v>174</v>
      </c>
      <c r="C68" s="10" t="s">
        <v>175</v>
      </c>
      <c r="D68" s="112"/>
      <c r="E68" s="113" t="s">
        <v>328</v>
      </c>
      <c r="F68" s="80"/>
      <c r="G68" s="10"/>
      <c r="H68" s="6" t="s">
        <v>331</v>
      </c>
      <c r="I68" s="6"/>
      <c r="J68" s="6"/>
      <c r="K68" s="112"/>
      <c r="L68" s="10"/>
    </row>
    <row r="69" spans="1:13" x14ac:dyDescent="0.25">
      <c r="B69" s="10" t="s">
        <v>129</v>
      </c>
      <c r="C69" s="10" t="s">
        <v>130</v>
      </c>
      <c r="D69" s="112"/>
      <c r="E69" s="114"/>
      <c r="F69" s="6"/>
      <c r="G69" s="10"/>
      <c r="H69" s="6" t="s">
        <v>131</v>
      </c>
      <c r="I69" s="6"/>
      <c r="J69" s="6"/>
      <c r="K69" s="112"/>
      <c r="L69" s="10"/>
    </row>
    <row r="70" spans="1:13" x14ac:dyDescent="0.25">
      <c r="B70" s="10" t="s">
        <v>349</v>
      </c>
      <c r="C70" s="10"/>
      <c r="D70" s="112"/>
      <c r="E70" s="113" t="s">
        <v>333</v>
      </c>
      <c r="F70" s="80"/>
      <c r="G70" s="80" t="s">
        <v>357</v>
      </c>
      <c r="H70" s="6" t="s">
        <v>207</v>
      </c>
      <c r="I70" s="6" t="s">
        <v>334</v>
      </c>
      <c r="J70" s="6"/>
      <c r="K70" s="112"/>
      <c r="L70" s="10"/>
    </row>
    <row r="71" spans="1:13" x14ac:dyDescent="0.25">
      <c r="B71" s="10" t="s">
        <v>350</v>
      </c>
      <c r="C71" s="10" t="s">
        <v>348</v>
      </c>
      <c r="D71" s="112"/>
      <c r="E71" s="113" t="s">
        <v>328</v>
      </c>
      <c r="F71" s="80"/>
      <c r="G71" s="80" t="s">
        <v>328</v>
      </c>
      <c r="H71" s="10" t="s">
        <v>360</v>
      </c>
      <c r="I71" s="10" t="s">
        <v>363</v>
      </c>
      <c r="J71" s="10"/>
      <c r="K71" s="112"/>
      <c r="L71" s="10"/>
    </row>
    <row r="72" spans="1:13" x14ac:dyDescent="0.25">
      <c r="B72" s="10" t="s">
        <v>351</v>
      </c>
      <c r="C72" s="10" t="s">
        <v>348</v>
      </c>
      <c r="D72" s="112"/>
      <c r="E72" s="113" t="s">
        <v>328</v>
      </c>
      <c r="F72" s="80"/>
      <c r="G72" s="80" t="s">
        <v>328</v>
      </c>
      <c r="H72" s="10" t="s">
        <v>360</v>
      </c>
      <c r="I72" s="10" t="s">
        <v>363</v>
      </c>
      <c r="J72" s="10"/>
      <c r="K72" s="112"/>
      <c r="L72" s="10"/>
    </row>
    <row r="73" spans="1:13" x14ac:dyDescent="0.25">
      <c r="B73" s="10" t="s">
        <v>352</v>
      </c>
      <c r="C73" s="10" t="s">
        <v>348</v>
      </c>
      <c r="D73" s="112"/>
      <c r="E73" s="113" t="s">
        <v>328</v>
      </c>
      <c r="F73" s="80"/>
      <c r="G73" s="80" t="s">
        <v>328</v>
      </c>
      <c r="H73" s="10" t="s">
        <v>360</v>
      </c>
      <c r="I73" s="10" t="s">
        <v>363</v>
      </c>
      <c r="J73" s="10"/>
      <c r="K73" s="112"/>
      <c r="L73" s="10"/>
    </row>
    <row r="74" spans="1:13" x14ac:dyDescent="0.25">
      <c r="B74" s="10" t="s">
        <v>353</v>
      </c>
      <c r="C74" s="10" t="s">
        <v>348</v>
      </c>
      <c r="D74" s="112"/>
      <c r="E74" s="113" t="s">
        <v>328</v>
      </c>
      <c r="F74" s="80"/>
      <c r="G74" s="80" t="s">
        <v>328</v>
      </c>
      <c r="H74" s="10" t="s">
        <v>360</v>
      </c>
      <c r="I74" s="10" t="s">
        <v>363</v>
      </c>
      <c r="J74" s="10"/>
      <c r="K74" s="112"/>
      <c r="L74" s="10"/>
    </row>
    <row r="75" spans="1:13" x14ac:dyDescent="0.25">
      <c r="B75" s="10" t="s">
        <v>354</v>
      </c>
      <c r="C75" s="10" t="s">
        <v>348</v>
      </c>
      <c r="D75" s="112"/>
      <c r="E75" s="113" t="s">
        <v>328</v>
      </c>
      <c r="F75" s="80"/>
      <c r="G75" s="80" t="s">
        <v>328</v>
      </c>
      <c r="H75" s="10" t="s">
        <v>361</v>
      </c>
      <c r="I75" s="10" t="s">
        <v>362</v>
      </c>
      <c r="J75" s="10"/>
      <c r="K75" s="112"/>
      <c r="L75" s="128" t="s">
        <v>347</v>
      </c>
      <c r="M75" s="89"/>
    </row>
  </sheetData>
  <mergeCells count="1">
    <mergeCell ref="A1:K2"/>
  </mergeCells>
  <pageMargins left="0.23622047244094491" right="0.23622047244094491" top="0.74803149606299213" bottom="0.74803149606299213" header="0.31496062992125984" footer="0.31496062992125984"/>
  <pageSetup scale="78" orientation="landscape" r:id="rId1"/>
  <headerFooter>
    <oddFooter>&amp;L&amp;F&amp;RCreated : 07/07/16JB
Revised: 01/14/25TS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6"/>
  <sheetViews>
    <sheetView workbookViewId="0">
      <selection sqref="A1:D7"/>
    </sheetView>
  </sheetViews>
  <sheetFormatPr defaultRowHeight="15" x14ac:dyDescent="0.25"/>
  <cols>
    <col min="1" max="1" width="11.7109375" bestFit="1" customWidth="1"/>
    <col min="2" max="2" width="11.28515625" bestFit="1" customWidth="1"/>
    <col min="3" max="3" width="12" customWidth="1"/>
    <col min="4" max="4" width="53.28515625" customWidth="1"/>
  </cols>
  <sheetData>
    <row r="1" spans="1:4" x14ac:dyDescent="0.25">
      <c r="A1" s="10" t="s">
        <v>213</v>
      </c>
      <c r="B1" s="10" t="s">
        <v>214</v>
      </c>
      <c r="C1" s="10" t="s">
        <v>215</v>
      </c>
      <c r="D1" s="10" t="s">
        <v>216</v>
      </c>
    </row>
    <row r="2" spans="1:4" x14ac:dyDescent="0.25">
      <c r="A2" s="10">
        <v>1</v>
      </c>
      <c r="B2" s="37" t="s">
        <v>217</v>
      </c>
      <c r="C2" s="10" t="s">
        <v>218</v>
      </c>
      <c r="D2" s="10"/>
    </row>
    <row r="3" spans="1:4" x14ac:dyDescent="0.25">
      <c r="A3" s="10">
        <v>2</v>
      </c>
      <c r="B3" s="10"/>
      <c r="C3" s="10" t="s">
        <v>221</v>
      </c>
      <c r="D3" s="10"/>
    </row>
    <row r="4" spans="1:4" x14ac:dyDescent="0.25">
      <c r="A4" s="10">
        <v>3</v>
      </c>
      <c r="B4" s="10"/>
      <c r="C4" s="42" t="s">
        <v>313</v>
      </c>
      <c r="D4" s="10"/>
    </row>
    <row r="5" spans="1:4" x14ac:dyDescent="0.25">
      <c r="A5" s="10">
        <v>4</v>
      </c>
      <c r="B5" s="10"/>
      <c r="C5" s="10" t="s">
        <v>316</v>
      </c>
      <c r="D5" s="10" t="s">
        <v>317</v>
      </c>
    </row>
    <row r="6" spans="1:4" x14ac:dyDescent="0.25">
      <c r="A6" s="10">
        <v>5</v>
      </c>
      <c r="B6" s="10"/>
      <c r="C6" s="10" t="s">
        <v>344</v>
      </c>
      <c r="D6" s="10" t="s">
        <v>345</v>
      </c>
    </row>
    <row r="7" spans="1:4" x14ac:dyDescent="0.25">
      <c r="A7" s="10">
        <v>6</v>
      </c>
      <c r="B7" s="10"/>
      <c r="C7" s="10" t="s">
        <v>366</v>
      </c>
      <c r="D7" s="10" t="s">
        <v>367</v>
      </c>
    </row>
    <row r="8" spans="1:4" x14ac:dyDescent="0.25">
      <c r="A8" s="10"/>
      <c r="B8" s="10"/>
      <c r="C8" s="10"/>
      <c r="D8" s="10"/>
    </row>
    <row r="9" spans="1:4" x14ac:dyDescent="0.25">
      <c r="A9" s="10"/>
      <c r="B9" s="10"/>
      <c r="C9" s="10"/>
      <c r="D9" s="10"/>
    </row>
    <row r="10" spans="1:4" x14ac:dyDescent="0.25">
      <c r="A10" s="10"/>
      <c r="B10" s="10"/>
      <c r="C10" s="10"/>
      <c r="D10" s="10"/>
    </row>
    <row r="11" spans="1:4" x14ac:dyDescent="0.25">
      <c r="A11" s="10"/>
      <c r="B11" s="10"/>
      <c r="C11" s="10"/>
      <c r="D11" s="10"/>
    </row>
    <row r="12" spans="1:4" x14ac:dyDescent="0.25">
      <c r="A12" s="10"/>
      <c r="B12" s="10"/>
      <c r="C12" s="10"/>
      <c r="D12" s="10"/>
    </row>
    <row r="13" spans="1:4" x14ac:dyDescent="0.25">
      <c r="A13" s="10"/>
      <c r="B13" s="10"/>
      <c r="C13" s="10"/>
      <c r="D13" s="10"/>
    </row>
    <row r="14" spans="1:4" x14ac:dyDescent="0.25">
      <c r="A14" s="10"/>
      <c r="B14" s="10"/>
      <c r="C14" s="10"/>
      <c r="D14" s="10"/>
    </row>
    <row r="15" spans="1:4" x14ac:dyDescent="0.25">
      <c r="A15" s="10"/>
      <c r="B15" s="10"/>
      <c r="C15" s="10"/>
      <c r="D15" s="10"/>
    </row>
    <row r="16" spans="1:4" x14ac:dyDescent="0.25">
      <c r="A16" s="10"/>
      <c r="B16" s="10"/>
      <c r="C16" s="10"/>
      <c r="D16" s="10"/>
    </row>
    <row r="17" spans="1:4" x14ac:dyDescent="0.25">
      <c r="A17" s="10"/>
      <c r="B17" s="10"/>
      <c r="C17" s="10"/>
      <c r="D17" s="10"/>
    </row>
    <row r="18" spans="1:4" x14ac:dyDescent="0.25">
      <c r="A18" s="10"/>
      <c r="B18" s="10"/>
      <c r="C18" s="10"/>
      <c r="D18" s="10"/>
    </row>
    <row r="19" spans="1:4" x14ac:dyDescent="0.25">
      <c r="A19" s="10"/>
      <c r="B19" s="10"/>
      <c r="C19" s="10"/>
      <c r="D19" s="10"/>
    </row>
    <row r="20" spans="1:4" x14ac:dyDescent="0.25">
      <c r="A20" s="10"/>
      <c r="B20" s="10"/>
      <c r="C20" s="10"/>
      <c r="D20" s="10"/>
    </row>
    <row r="21" spans="1:4" x14ac:dyDescent="0.25">
      <c r="A21" s="10"/>
      <c r="B21" s="10"/>
      <c r="C21" s="10"/>
      <c r="D21" s="10"/>
    </row>
    <row r="22" spans="1:4" x14ac:dyDescent="0.25">
      <c r="A22" s="10"/>
      <c r="B22" s="10"/>
      <c r="C22" s="10"/>
      <c r="D22" s="10"/>
    </row>
    <row r="23" spans="1:4" x14ac:dyDescent="0.25">
      <c r="A23" s="10"/>
      <c r="B23" s="10"/>
      <c r="C23" s="10"/>
      <c r="D23" s="10"/>
    </row>
    <row r="24" spans="1:4" x14ac:dyDescent="0.25">
      <c r="A24" s="10"/>
      <c r="B24" s="10"/>
      <c r="C24" s="10"/>
      <c r="D24" s="10"/>
    </row>
    <row r="25" spans="1:4" x14ac:dyDescent="0.25">
      <c r="A25" s="10"/>
      <c r="B25" s="10"/>
      <c r="C25" s="10"/>
      <c r="D25" s="10"/>
    </row>
    <row r="26" spans="1:4" x14ac:dyDescent="0.25">
      <c r="A26" s="10"/>
      <c r="B26" s="10"/>
      <c r="C26" s="10"/>
      <c r="D26" s="10"/>
    </row>
    <row r="27" spans="1:4" x14ac:dyDescent="0.25">
      <c r="A27" s="10"/>
      <c r="B27" s="10"/>
      <c r="C27" s="10"/>
      <c r="D27" s="10"/>
    </row>
    <row r="28" spans="1:4" x14ac:dyDescent="0.25">
      <c r="A28" s="10"/>
      <c r="B28" s="10"/>
      <c r="C28" s="10"/>
      <c r="D28" s="10"/>
    </row>
    <row r="29" spans="1:4" x14ac:dyDescent="0.25">
      <c r="A29" s="10"/>
      <c r="B29" s="10"/>
      <c r="C29" s="10"/>
      <c r="D29" s="10"/>
    </row>
    <row r="30" spans="1:4" x14ac:dyDescent="0.25">
      <c r="A30" s="10"/>
      <c r="B30" s="10"/>
      <c r="C30" s="10"/>
      <c r="D30" s="10"/>
    </row>
    <row r="31" spans="1:4" x14ac:dyDescent="0.25">
      <c r="A31" s="10"/>
      <c r="B31" s="10"/>
      <c r="C31" s="10"/>
      <c r="D31" s="10"/>
    </row>
    <row r="32" spans="1:4" x14ac:dyDescent="0.25">
      <c r="A32" s="10"/>
      <c r="B32" s="10"/>
      <c r="C32" s="10"/>
      <c r="D32" s="10"/>
    </row>
    <row r="33" spans="1:4" x14ac:dyDescent="0.25">
      <c r="A33" s="10"/>
      <c r="B33" s="10"/>
      <c r="C33" s="10"/>
      <c r="D33" s="10"/>
    </row>
    <row r="34" spans="1:4" x14ac:dyDescent="0.25">
      <c r="A34" s="10"/>
      <c r="B34" s="10"/>
      <c r="C34" s="10"/>
      <c r="D34" s="10"/>
    </row>
    <row r="35" spans="1:4" x14ac:dyDescent="0.25">
      <c r="A35" s="10"/>
      <c r="B35" s="10"/>
      <c r="C35" s="10"/>
      <c r="D35" s="10"/>
    </row>
    <row r="36" spans="1:4" x14ac:dyDescent="0.25">
      <c r="A36" s="10"/>
      <c r="B36" s="10"/>
      <c r="C36" s="10"/>
      <c r="D36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7"/>
  <sheetViews>
    <sheetView zoomScaleNormal="100" workbookViewId="0">
      <selection activeCell="M90" sqref="M90"/>
    </sheetView>
  </sheetViews>
  <sheetFormatPr defaultColWidth="12.5703125" defaultRowHeight="15" x14ac:dyDescent="0.25"/>
  <cols>
    <col min="1" max="1" width="8" customWidth="1"/>
    <col min="2" max="2" width="29.85546875" style="1" customWidth="1"/>
    <col min="3" max="3" width="19.7109375" bestFit="1" customWidth="1"/>
    <col min="4" max="4" width="11.85546875" customWidth="1"/>
    <col min="5" max="5" width="9.5703125" customWidth="1"/>
    <col min="6" max="7" width="7.85546875" customWidth="1"/>
    <col min="8" max="8" width="6.7109375" bestFit="1" customWidth="1"/>
    <col min="9" max="16" width="12.140625" customWidth="1"/>
    <col min="17" max="18" width="14.42578125" customWidth="1"/>
  </cols>
  <sheetData>
    <row r="1" spans="1:8" ht="9.9499999999999993" customHeight="1" x14ac:dyDescent="0.25">
      <c r="A1" s="144" t="s">
        <v>0</v>
      </c>
      <c r="B1" s="145"/>
      <c r="C1" s="145"/>
      <c r="D1" s="145"/>
      <c r="E1" s="145"/>
      <c r="F1" s="145"/>
      <c r="G1" s="145"/>
      <c r="H1" s="146"/>
    </row>
    <row r="2" spans="1:8" ht="18" customHeight="1" x14ac:dyDescent="0.25">
      <c r="A2" s="147"/>
      <c r="B2" s="148"/>
      <c r="C2" s="148"/>
      <c r="D2" s="148"/>
      <c r="E2" s="148"/>
      <c r="F2" s="148"/>
      <c r="G2" s="148"/>
      <c r="H2" s="149"/>
    </row>
    <row r="3" spans="1:8" ht="12" customHeight="1" x14ac:dyDescent="0.25">
      <c r="A3" s="55"/>
      <c r="C3" s="56"/>
      <c r="D3" s="56"/>
      <c r="E3" s="57" t="s">
        <v>1</v>
      </c>
      <c r="F3" s="56"/>
      <c r="G3" s="56"/>
      <c r="H3" s="58"/>
    </row>
    <row r="4" spans="1:8" ht="12" customHeight="1" thickBot="1" x14ac:dyDescent="0.3">
      <c r="A4" s="59"/>
      <c r="B4" s="60"/>
      <c r="C4" s="60"/>
      <c r="D4" s="60"/>
      <c r="E4" s="61" t="s">
        <v>2</v>
      </c>
      <c r="F4" s="60"/>
      <c r="G4" s="60"/>
      <c r="H4" s="62"/>
    </row>
    <row r="5" spans="1:8" ht="30" customHeight="1" thickBot="1" x14ac:dyDescent="0.3">
      <c r="A5" s="63" t="s">
        <v>140</v>
      </c>
      <c r="B5" s="64" t="s">
        <v>3</v>
      </c>
      <c r="C5" s="65" t="s">
        <v>128</v>
      </c>
      <c r="D5" s="65" t="s">
        <v>321</v>
      </c>
      <c r="E5" s="65" t="s">
        <v>318</v>
      </c>
      <c r="F5" s="65" t="s">
        <v>319</v>
      </c>
      <c r="G5" s="73" t="s">
        <v>325</v>
      </c>
      <c r="H5" s="66" t="s">
        <v>320</v>
      </c>
    </row>
    <row r="6" spans="1:8" ht="15.75" hidden="1" customHeight="1" x14ac:dyDescent="0.25">
      <c r="A6" s="138" t="s">
        <v>141</v>
      </c>
      <c r="B6" s="14" t="s">
        <v>8</v>
      </c>
      <c r="C6" s="14" t="s">
        <v>9</v>
      </c>
      <c r="D6" s="14"/>
      <c r="E6" s="14"/>
      <c r="F6" s="14">
        <v>2</v>
      </c>
      <c r="G6" s="74"/>
      <c r="H6" s="15"/>
    </row>
    <row r="7" spans="1:8" ht="15.75" hidden="1" customHeight="1" x14ac:dyDescent="0.25">
      <c r="A7" s="139"/>
      <c r="B7" s="4" t="s">
        <v>10</v>
      </c>
      <c r="C7" s="4" t="s">
        <v>11</v>
      </c>
      <c r="D7" s="4"/>
      <c r="E7" s="4"/>
      <c r="F7" s="4">
        <v>2</v>
      </c>
      <c r="G7" s="9"/>
      <c r="H7" s="16"/>
    </row>
    <row r="8" spans="1:8" ht="15.75" hidden="1" customHeight="1" x14ac:dyDescent="0.25">
      <c r="A8" s="139"/>
      <c r="B8" s="4" t="s">
        <v>152</v>
      </c>
      <c r="C8" s="4" t="s">
        <v>153</v>
      </c>
      <c r="D8" s="4"/>
      <c r="E8" s="4"/>
      <c r="F8" s="4">
        <v>2</v>
      </c>
      <c r="G8" s="9"/>
      <c r="H8" s="16"/>
    </row>
    <row r="9" spans="1:8" ht="15.75" hidden="1" customHeight="1" thickBot="1" x14ac:dyDescent="0.3">
      <c r="A9" s="140"/>
      <c r="B9" s="17" t="s">
        <v>12</v>
      </c>
      <c r="C9" s="17" t="s">
        <v>13</v>
      </c>
      <c r="D9" s="17"/>
      <c r="E9" s="17"/>
      <c r="F9" s="17">
        <v>2</v>
      </c>
      <c r="G9" s="75"/>
      <c r="H9" s="18"/>
    </row>
    <row r="10" spans="1:8" ht="15.75" hidden="1" customHeight="1" x14ac:dyDescent="0.25">
      <c r="A10" s="138" t="s">
        <v>142</v>
      </c>
      <c r="B10" s="14" t="s">
        <v>14</v>
      </c>
      <c r="C10" s="14" t="s">
        <v>15</v>
      </c>
      <c r="D10" s="14"/>
      <c r="E10" s="14"/>
      <c r="F10" s="14" t="s">
        <v>139</v>
      </c>
      <c r="G10" s="74"/>
      <c r="H10" s="15"/>
    </row>
    <row r="11" spans="1:8" ht="15.75" hidden="1" customHeight="1" x14ac:dyDescent="0.25">
      <c r="A11" s="139"/>
      <c r="B11" s="4" t="s">
        <v>16</v>
      </c>
      <c r="C11" s="4" t="s">
        <v>17</v>
      </c>
      <c r="D11" s="4"/>
      <c r="E11" s="4"/>
      <c r="F11" s="4" t="s">
        <v>139</v>
      </c>
      <c r="G11" s="9"/>
      <c r="H11" s="16"/>
    </row>
    <row r="12" spans="1:8" ht="15.75" hidden="1" customHeight="1" x14ac:dyDescent="0.25">
      <c r="A12" s="139"/>
      <c r="B12" s="4" t="s">
        <v>18</v>
      </c>
      <c r="C12" s="4" t="s">
        <v>19</v>
      </c>
      <c r="D12" s="4"/>
      <c r="E12" s="4"/>
      <c r="F12" s="4" t="s">
        <v>139</v>
      </c>
      <c r="G12" s="9"/>
      <c r="H12" s="16"/>
    </row>
    <row r="13" spans="1:8" ht="15.75" hidden="1" customHeight="1" x14ac:dyDescent="0.25">
      <c r="A13" s="139"/>
      <c r="B13" s="4" t="s">
        <v>20</v>
      </c>
      <c r="C13" s="4" t="s">
        <v>21</v>
      </c>
      <c r="D13" s="4"/>
      <c r="E13" s="4"/>
      <c r="F13" s="4" t="s">
        <v>139</v>
      </c>
      <c r="G13" s="9"/>
      <c r="H13" s="16"/>
    </row>
    <row r="14" spans="1:8" ht="15.75" hidden="1" customHeight="1" x14ac:dyDescent="0.25">
      <c r="A14" s="139"/>
      <c r="B14" s="4" t="s">
        <v>22</v>
      </c>
      <c r="C14" s="4" t="s">
        <v>23</v>
      </c>
      <c r="D14" s="4"/>
      <c r="E14" s="4"/>
      <c r="F14" s="4" t="s">
        <v>139</v>
      </c>
      <c r="G14" s="9"/>
      <c r="H14" s="16"/>
    </row>
    <row r="15" spans="1:8" ht="15.75" hidden="1" customHeight="1" thickBot="1" x14ac:dyDescent="0.3">
      <c r="A15" s="140"/>
      <c r="B15" s="17" t="s">
        <v>24</v>
      </c>
      <c r="C15" s="17" t="s">
        <v>25</v>
      </c>
      <c r="D15" s="17"/>
      <c r="E15" s="17"/>
      <c r="F15" s="17">
        <v>2</v>
      </c>
      <c r="G15" s="75"/>
      <c r="H15" s="18"/>
    </row>
    <row r="16" spans="1:8" ht="15.75" hidden="1" customHeight="1" thickBot="1" x14ac:dyDescent="0.3">
      <c r="A16" s="7" t="s">
        <v>143</v>
      </c>
      <c r="B16" s="19" t="s">
        <v>26</v>
      </c>
      <c r="C16" s="19" t="s">
        <v>27</v>
      </c>
      <c r="D16" s="19"/>
      <c r="E16" s="19"/>
      <c r="F16" s="19" t="s">
        <v>139</v>
      </c>
      <c r="G16" s="19"/>
      <c r="H16" s="19"/>
    </row>
    <row r="17" spans="1:8" ht="15.75" hidden="1" customHeight="1" x14ac:dyDescent="0.25">
      <c r="A17" s="138" t="s">
        <v>144</v>
      </c>
      <c r="B17" s="20" t="s">
        <v>28</v>
      </c>
      <c r="C17" s="14" t="s">
        <v>29</v>
      </c>
      <c r="D17" s="14"/>
      <c r="E17" s="14"/>
      <c r="F17" s="14">
        <v>1</v>
      </c>
      <c r="G17" s="74"/>
      <c r="H17" s="15"/>
    </row>
    <row r="18" spans="1:8" ht="15.75" hidden="1" customHeight="1" x14ac:dyDescent="0.25">
      <c r="A18" s="139"/>
      <c r="B18" s="5" t="s">
        <v>30</v>
      </c>
      <c r="C18" s="4" t="s">
        <v>31</v>
      </c>
      <c r="D18" s="4"/>
      <c r="E18" s="4"/>
      <c r="F18" s="4">
        <v>3</v>
      </c>
      <c r="G18" s="9"/>
      <c r="H18" s="16"/>
    </row>
    <row r="19" spans="1:8" ht="15.75" hidden="1" customHeight="1" x14ac:dyDescent="0.25">
      <c r="A19" s="139"/>
      <c r="B19" s="5" t="s">
        <v>32</v>
      </c>
      <c r="C19" s="4" t="s">
        <v>33</v>
      </c>
      <c r="D19" s="4"/>
      <c r="E19" s="4"/>
      <c r="F19" s="4">
        <v>1</v>
      </c>
      <c r="G19" s="9"/>
      <c r="H19" s="16"/>
    </row>
    <row r="20" spans="1:8" ht="15.75" hidden="1" customHeight="1" x14ac:dyDescent="0.25">
      <c r="A20" s="139"/>
      <c r="B20" s="5" t="s">
        <v>34</v>
      </c>
      <c r="C20" s="4" t="s">
        <v>35</v>
      </c>
      <c r="D20" s="4"/>
      <c r="E20" s="4"/>
      <c r="F20" s="4">
        <v>1</v>
      </c>
      <c r="G20" s="9"/>
      <c r="H20" s="16"/>
    </row>
    <row r="21" spans="1:8" ht="15.75" hidden="1" customHeight="1" x14ac:dyDescent="0.25">
      <c r="A21" s="139"/>
      <c r="B21" s="5" t="s">
        <v>36</v>
      </c>
      <c r="C21" s="4" t="s">
        <v>37</v>
      </c>
      <c r="D21" s="4"/>
      <c r="E21" s="4"/>
      <c r="F21" s="4">
        <v>1</v>
      </c>
      <c r="G21" s="9"/>
      <c r="H21" s="16"/>
    </row>
    <row r="22" spans="1:8" ht="15.75" hidden="1" customHeight="1" x14ac:dyDescent="0.25">
      <c r="A22" s="139"/>
      <c r="B22" s="5" t="s">
        <v>38</v>
      </c>
      <c r="C22" s="4" t="s">
        <v>39</v>
      </c>
      <c r="D22" s="4"/>
      <c r="E22" s="4"/>
      <c r="F22" s="4">
        <v>1</v>
      </c>
      <c r="G22" s="9"/>
      <c r="H22" s="16"/>
    </row>
    <row r="23" spans="1:8" ht="15.75" hidden="1" customHeight="1" x14ac:dyDescent="0.25">
      <c r="A23" s="139"/>
      <c r="B23" s="5" t="s">
        <v>40</v>
      </c>
      <c r="C23" s="4" t="s">
        <v>41</v>
      </c>
      <c r="D23" s="4"/>
      <c r="E23" s="4"/>
      <c r="F23" s="4">
        <v>1</v>
      </c>
      <c r="G23" s="9"/>
      <c r="H23" s="16"/>
    </row>
    <row r="24" spans="1:8" ht="15.75" hidden="1" customHeight="1" x14ac:dyDescent="0.25">
      <c r="A24" s="139"/>
      <c r="B24" s="5" t="s">
        <v>42</v>
      </c>
      <c r="C24" s="4" t="s">
        <v>43</v>
      </c>
      <c r="D24" s="4"/>
      <c r="E24" s="4"/>
      <c r="F24" s="4">
        <v>1</v>
      </c>
      <c r="G24" s="9"/>
      <c r="H24" s="16"/>
    </row>
    <row r="25" spans="1:8" ht="15.75" hidden="1" customHeight="1" x14ac:dyDescent="0.25">
      <c r="A25" s="139"/>
      <c r="B25" s="5" t="s">
        <v>44</v>
      </c>
      <c r="C25" s="4" t="s">
        <v>45</v>
      </c>
      <c r="D25" s="4"/>
      <c r="E25" s="4"/>
      <c r="F25" s="4">
        <v>1</v>
      </c>
      <c r="G25" s="9"/>
      <c r="H25" s="16"/>
    </row>
    <row r="26" spans="1:8" ht="15.75" hidden="1" customHeight="1" x14ac:dyDescent="0.25">
      <c r="A26" s="139"/>
      <c r="B26" s="5" t="s">
        <v>154</v>
      </c>
      <c r="C26" s="4" t="s">
        <v>159</v>
      </c>
      <c r="D26" s="4"/>
      <c r="E26" s="4"/>
      <c r="F26" s="4"/>
      <c r="G26" s="9"/>
      <c r="H26" s="16"/>
    </row>
    <row r="27" spans="1:8" ht="15.75" hidden="1" customHeight="1" thickBot="1" x14ac:dyDescent="0.3">
      <c r="A27" s="140"/>
      <c r="B27" s="21" t="s">
        <v>46</v>
      </c>
      <c r="C27" s="17" t="s">
        <v>47</v>
      </c>
      <c r="D27" s="17"/>
      <c r="E27" s="17"/>
      <c r="F27" s="17" t="s">
        <v>139</v>
      </c>
      <c r="G27" s="75"/>
      <c r="H27" s="18"/>
    </row>
    <row r="28" spans="1:8" ht="15.75" hidden="1" customHeight="1" x14ac:dyDescent="0.25">
      <c r="A28" s="150" t="s">
        <v>145</v>
      </c>
      <c r="B28" s="20" t="s">
        <v>48</v>
      </c>
      <c r="C28" s="14" t="s">
        <v>49</v>
      </c>
      <c r="D28" s="14"/>
      <c r="E28" s="14"/>
      <c r="F28" s="14">
        <v>4</v>
      </c>
      <c r="G28" s="74"/>
      <c r="H28" s="15"/>
    </row>
    <row r="29" spans="1:8" ht="15.75" hidden="1" customHeight="1" x14ac:dyDescent="0.25">
      <c r="A29" s="151"/>
      <c r="B29" s="5" t="s">
        <v>50</v>
      </c>
      <c r="C29" s="4" t="s">
        <v>51</v>
      </c>
      <c r="D29" s="4"/>
      <c r="E29" s="4"/>
      <c r="F29" s="4">
        <v>4</v>
      </c>
      <c r="G29" s="9"/>
      <c r="H29" s="16"/>
    </row>
    <row r="30" spans="1:8" ht="15.75" hidden="1" customHeight="1" x14ac:dyDescent="0.25">
      <c r="A30" s="151"/>
      <c r="B30" s="5" t="s">
        <v>52</v>
      </c>
      <c r="C30" s="4" t="s">
        <v>53</v>
      </c>
      <c r="D30" s="4"/>
      <c r="E30" s="4"/>
      <c r="F30" s="4">
        <v>4</v>
      </c>
      <c r="G30" s="9"/>
      <c r="H30" s="16"/>
    </row>
    <row r="31" spans="1:8" ht="15.75" hidden="1" customHeight="1" x14ac:dyDescent="0.25">
      <c r="A31" s="151"/>
      <c r="B31" s="5" t="s">
        <v>54</v>
      </c>
      <c r="C31" s="4" t="s">
        <v>55</v>
      </c>
      <c r="D31" s="4"/>
      <c r="E31" s="4"/>
      <c r="F31" s="4">
        <v>8</v>
      </c>
      <c r="G31" s="9"/>
      <c r="H31" s="16"/>
    </row>
    <row r="32" spans="1:8" ht="15.75" hidden="1" customHeight="1" thickBot="1" x14ac:dyDescent="0.3">
      <c r="A32" s="151"/>
      <c r="B32" s="5" t="s">
        <v>56</v>
      </c>
      <c r="C32" s="4" t="s">
        <v>57</v>
      </c>
      <c r="D32" s="4"/>
      <c r="E32" s="4"/>
      <c r="F32" s="4">
        <v>8</v>
      </c>
      <c r="G32" s="9"/>
      <c r="H32" s="16"/>
    </row>
    <row r="33" spans="1:8" ht="15.75" hidden="1" customHeight="1" x14ac:dyDescent="0.25">
      <c r="A33" s="151"/>
      <c r="B33" s="5" t="s">
        <v>58</v>
      </c>
      <c r="C33" s="4" t="s">
        <v>59</v>
      </c>
      <c r="D33" s="4"/>
      <c r="E33" s="4"/>
      <c r="F33" s="4">
        <v>2</v>
      </c>
      <c r="G33" s="9"/>
      <c r="H33" s="16"/>
    </row>
    <row r="34" spans="1:8" ht="15.75" hidden="1" customHeight="1" thickBot="1" x14ac:dyDescent="0.3">
      <c r="A34" s="152"/>
      <c r="B34" s="21" t="s">
        <v>60</v>
      </c>
      <c r="C34" s="17" t="s">
        <v>61</v>
      </c>
      <c r="D34" s="17"/>
      <c r="E34" s="17"/>
      <c r="F34" s="17">
        <v>2</v>
      </c>
      <c r="G34" s="75"/>
      <c r="H34" s="18"/>
    </row>
    <row r="35" spans="1:8" ht="15.75" hidden="1" customHeight="1" x14ac:dyDescent="0.25">
      <c r="A35" s="138" t="s">
        <v>146</v>
      </c>
      <c r="B35" s="20" t="s">
        <v>62</v>
      </c>
      <c r="C35" s="14" t="s">
        <v>63</v>
      </c>
      <c r="D35" s="14"/>
      <c r="E35" s="14"/>
      <c r="F35" s="14" t="s">
        <v>139</v>
      </c>
      <c r="G35" s="74"/>
      <c r="H35" s="15"/>
    </row>
    <row r="36" spans="1:8" ht="15.75" hidden="1" customHeight="1" x14ac:dyDescent="0.25">
      <c r="A36" s="139"/>
      <c r="B36" s="5" t="s">
        <v>64</v>
      </c>
      <c r="C36" s="4" t="s">
        <v>65</v>
      </c>
      <c r="D36" s="4"/>
      <c r="E36" s="4"/>
      <c r="F36" s="4" t="s">
        <v>139</v>
      </c>
      <c r="G36" s="9"/>
      <c r="H36" s="16"/>
    </row>
    <row r="37" spans="1:8" ht="15.75" hidden="1" customHeight="1" x14ac:dyDescent="0.25">
      <c r="A37" s="139"/>
      <c r="B37" s="5" t="s">
        <v>66</v>
      </c>
      <c r="C37" s="4" t="s">
        <v>67</v>
      </c>
      <c r="D37" s="4"/>
      <c r="E37" s="4"/>
      <c r="F37" s="4" t="s">
        <v>139</v>
      </c>
      <c r="G37" s="9"/>
      <c r="H37" s="16"/>
    </row>
    <row r="38" spans="1:8" ht="15.75" hidden="1" customHeight="1" x14ac:dyDescent="0.25">
      <c r="A38" s="139"/>
      <c r="B38" s="5" t="s">
        <v>68</v>
      </c>
      <c r="C38" s="4" t="s">
        <v>69</v>
      </c>
      <c r="D38" s="4"/>
      <c r="E38" s="4"/>
      <c r="F38" s="4" t="s">
        <v>139</v>
      </c>
      <c r="G38" s="9"/>
      <c r="H38" s="16"/>
    </row>
    <row r="39" spans="1:8" ht="15.75" hidden="1" customHeight="1" thickBot="1" x14ac:dyDescent="0.3">
      <c r="A39" s="140"/>
      <c r="B39" s="21" t="s">
        <v>70</v>
      </c>
      <c r="C39" s="17" t="s">
        <v>71</v>
      </c>
      <c r="D39" s="17"/>
      <c r="E39" s="17"/>
      <c r="F39" s="17" t="s">
        <v>139</v>
      </c>
      <c r="G39" s="75"/>
      <c r="H39" s="18"/>
    </row>
    <row r="40" spans="1:8" ht="15.75" hidden="1" customHeight="1" x14ac:dyDescent="0.25">
      <c r="A40" s="27" t="s">
        <v>147</v>
      </c>
      <c r="B40" s="24" t="s">
        <v>72</v>
      </c>
      <c r="C40" s="14" t="s">
        <v>73</v>
      </c>
      <c r="D40" s="14"/>
      <c r="E40" s="14"/>
      <c r="F40" s="14">
        <v>10</v>
      </c>
      <c r="G40" s="74"/>
      <c r="H40" s="15"/>
    </row>
    <row r="41" spans="1:8" ht="15.75" hidden="1" customHeight="1" x14ac:dyDescent="0.25">
      <c r="A41" s="28"/>
      <c r="B41" s="25" t="s">
        <v>74</v>
      </c>
      <c r="C41" s="4" t="s">
        <v>75</v>
      </c>
      <c r="D41" s="4"/>
      <c r="E41" s="4"/>
      <c r="F41" s="4">
        <v>10</v>
      </c>
      <c r="G41" s="9"/>
      <c r="H41" s="16"/>
    </row>
    <row r="42" spans="1:8" ht="15.75" hidden="1" customHeight="1" x14ac:dyDescent="0.25">
      <c r="A42" s="28"/>
      <c r="B42" s="25" t="s">
        <v>164</v>
      </c>
      <c r="C42" s="4" t="s">
        <v>160</v>
      </c>
      <c r="D42" s="4"/>
      <c r="E42" s="4"/>
      <c r="F42" s="4"/>
      <c r="G42" s="9"/>
      <c r="H42" s="16"/>
    </row>
    <row r="43" spans="1:8" ht="15.75" hidden="1" customHeight="1" x14ac:dyDescent="0.25">
      <c r="A43" s="28"/>
      <c r="B43" s="25" t="s">
        <v>148</v>
      </c>
      <c r="C43" s="4" t="s">
        <v>165</v>
      </c>
      <c r="D43" s="4"/>
      <c r="E43" s="4"/>
      <c r="F43" s="4"/>
      <c r="G43" s="9"/>
      <c r="H43" s="16"/>
    </row>
    <row r="44" spans="1:8" ht="15.75" hidden="1" customHeight="1" thickBot="1" x14ac:dyDescent="0.3">
      <c r="A44" s="28"/>
      <c r="B44" s="26" t="s">
        <v>149</v>
      </c>
      <c r="C44" s="22" t="s">
        <v>166</v>
      </c>
      <c r="D44" s="22"/>
      <c r="E44" s="22"/>
      <c r="F44" s="22"/>
      <c r="G44" s="76"/>
      <c r="H44" s="23"/>
    </row>
    <row r="45" spans="1:8" ht="15.75" hidden="1" customHeight="1" thickBot="1" x14ac:dyDescent="0.3">
      <c r="A45" s="33" t="s">
        <v>147</v>
      </c>
      <c r="B45" s="31" t="s">
        <v>76</v>
      </c>
      <c r="C45" s="32" t="s">
        <v>77</v>
      </c>
      <c r="D45" s="32"/>
      <c r="E45" s="32"/>
      <c r="F45" s="32">
        <v>5</v>
      </c>
      <c r="G45" s="77"/>
      <c r="H45" s="34"/>
    </row>
    <row r="46" spans="1:8" ht="15.75" hidden="1" customHeight="1" x14ac:dyDescent="0.25">
      <c r="A46" s="138" t="s">
        <v>195</v>
      </c>
      <c r="B46" s="20" t="s">
        <v>197</v>
      </c>
      <c r="C46" s="14" t="s">
        <v>78</v>
      </c>
      <c r="D46" s="14"/>
      <c r="E46" s="14"/>
      <c r="F46" s="14">
        <v>2</v>
      </c>
      <c r="G46" s="74"/>
      <c r="H46" s="15"/>
    </row>
    <row r="47" spans="1:8" ht="15.75" customHeight="1" x14ac:dyDescent="0.25">
      <c r="A47" s="139"/>
      <c r="B47" s="5" t="s">
        <v>196</v>
      </c>
      <c r="C47" s="4" t="s">
        <v>163</v>
      </c>
      <c r="D47" s="83" t="s">
        <v>346</v>
      </c>
      <c r="E47" s="83" t="s">
        <v>341</v>
      </c>
      <c r="F47" s="4" t="s">
        <v>337</v>
      </c>
      <c r="G47" s="9" t="s">
        <v>337</v>
      </c>
      <c r="H47" s="16"/>
    </row>
    <row r="48" spans="1:8" ht="15.75" hidden="1" customHeight="1" x14ac:dyDescent="0.25">
      <c r="A48" s="139"/>
      <c r="B48" s="5" t="s">
        <v>151</v>
      </c>
      <c r="C48" s="4" t="s">
        <v>161</v>
      </c>
      <c r="D48" s="83"/>
      <c r="E48" s="83"/>
      <c r="F48" s="4"/>
      <c r="G48" s="9"/>
      <c r="H48" s="16"/>
    </row>
    <row r="49" spans="1:8" ht="15.75" hidden="1" customHeight="1" x14ac:dyDescent="0.25">
      <c r="A49" s="139"/>
      <c r="B49" s="5" t="s">
        <v>150</v>
      </c>
      <c r="C49" s="4" t="s">
        <v>162</v>
      </c>
      <c r="D49" s="83"/>
      <c r="E49" s="83"/>
      <c r="F49" s="4"/>
      <c r="G49" s="9"/>
      <c r="H49" s="16"/>
    </row>
    <row r="50" spans="1:8" ht="15.75" customHeight="1" x14ac:dyDescent="0.25">
      <c r="A50" s="139"/>
      <c r="B50" s="5" t="s">
        <v>168</v>
      </c>
      <c r="C50" s="4" t="s">
        <v>169</v>
      </c>
      <c r="D50" s="83" t="s">
        <v>346</v>
      </c>
      <c r="E50" s="83" t="s">
        <v>341</v>
      </c>
      <c r="F50" s="4" t="s">
        <v>337</v>
      </c>
      <c r="G50" s="4" t="s">
        <v>337</v>
      </c>
      <c r="H50" s="16"/>
    </row>
    <row r="51" spans="1:8" ht="15.75" hidden="1" customHeight="1" x14ac:dyDescent="0.25">
      <c r="A51" s="139"/>
      <c r="B51" s="5" t="s">
        <v>198</v>
      </c>
      <c r="C51" s="4" t="s">
        <v>167</v>
      </c>
      <c r="D51" s="83" t="s">
        <v>346</v>
      </c>
      <c r="E51" s="83" t="s">
        <v>341</v>
      </c>
      <c r="F51" s="4"/>
      <c r="G51" s="4"/>
      <c r="H51" s="16"/>
    </row>
    <row r="52" spans="1:8" ht="15.75" hidden="1" customHeight="1" x14ac:dyDescent="0.25">
      <c r="A52" s="139"/>
      <c r="B52" s="35" t="s">
        <v>179</v>
      </c>
      <c r="C52" s="22" t="s">
        <v>187</v>
      </c>
      <c r="D52" s="83" t="s">
        <v>346</v>
      </c>
      <c r="E52" s="83" t="s">
        <v>341</v>
      </c>
      <c r="F52" s="4" t="s">
        <v>337</v>
      </c>
      <c r="G52" s="4" t="s">
        <v>337</v>
      </c>
      <c r="H52" s="16"/>
    </row>
    <row r="53" spans="1:8" ht="15.75" hidden="1" customHeight="1" x14ac:dyDescent="0.25">
      <c r="A53" s="139"/>
      <c r="B53" s="35" t="s">
        <v>180</v>
      </c>
      <c r="C53" s="22" t="s">
        <v>188</v>
      </c>
      <c r="D53" s="83" t="s">
        <v>346</v>
      </c>
      <c r="E53" s="83" t="s">
        <v>341</v>
      </c>
      <c r="F53" s="4" t="s">
        <v>337</v>
      </c>
      <c r="G53" s="4" t="s">
        <v>337</v>
      </c>
      <c r="H53" s="16"/>
    </row>
    <row r="54" spans="1:8" ht="15.75" hidden="1" customHeight="1" x14ac:dyDescent="0.25">
      <c r="A54" s="139"/>
      <c r="B54" s="35" t="s">
        <v>181</v>
      </c>
      <c r="C54" s="22" t="s">
        <v>194</v>
      </c>
      <c r="D54" s="83" t="s">
        <v>346</v>
      </c>
      <c r="E54" s="83" t="s">
        <v>341</v>
      </c>
      <c r="F54" s="4"/>
      <c r="G54" s="4"/>
      <c r="H54" s="23"/>
    </row>
    <row r="55" spans="1:8" ht="15.75" hidden="1" customHeight="1" x14ac:dyDescent="0.25">
      <c r="A55" s="139"/>
      <c r="B55" s="35" t="s">
        <v>182</v>
      </c>
      <c r="C55" s="22" t="s">
        <v>190</v>
      </c>
      <c r="D55" s="83" t="s">
        <v>346</v>
      </c>
      <c r="E55" s="83" t="s">
        <v>341</v>
      </c>
      <c r="F55" s="4" t="s">
        <v>337</v>
      </c>
      <c r="G55" s="4" t="s">
        <v>337</v>
      </c>
      <c r="H55" s="23"/>
    </row>
    <row r="56" spans="1:8" ht="15.75" hidden="1" customHeight="1" x14ac:dyDescent="0.25">
      <c r="A56" s="139"/>
      <c r="B56" s="35" t="s">
        <v>183</v>
      </c>
      <c r="C56" s="22" t="s">
        <v>189</v>
      </c>
      <c r="D56" s="83" t="s">
        <v>346</v>
      </c>
      <c r="E56" s="83" t="s">
        <v>341</v>
      </c>
      <c r="F56" s="22"/>
      <c r="G56" s="22"/>
      <c r="H56" s="23"/>
    </row>
    <row r="57" spans="1:8" ht="15.75" hidden="1" customHeight="1" x14ac:dyDescent="0.25">
      <c r="A57" s="139"/>
      <c r="B57" s="35" t="s">
        <v>184</v>
      </c>
      <c r="C57" s="22" t="s">
        <v>193</v>
      </c>
      <c r="D57" s="83" t="s">
        <v>346</v>
      </c>
      <c r="E57" s="83" t="s">
        <v>341</v>
      </c>
      <c r="F57" s="4" t="s">
        <v>337</v>
      </c>
      <c r="G57" s="4" t="s">
        <v>337</v>
      </c>
      <c r="H57" s="23"/>
    </row>
    <row r="58" spans="1:8" ht="15.75" customHeight="1" x14ac:dyDescent="0.25">
      <c r="A58" s="139"/>
      <c r="B58" s="35" t="s">
        <v>185</v>
      </c>
      <c r="C58" s="22" t="s">
        <v>191</v>
      </c>
      <c r="D58" s="83" t="s">
        <v>346</v>
      </c>
      <c r="E58" s="83" t="s">
        <v>341</v>
      </c>
      <c r="F58" s="4" t="s">
        <v>337</v>
      </c>
      <c r="G58" s="4" t="s">
        <v>337</v>
      </c>
      <c r="H58" s="23"/>
    </row>
    <row r="59" spans="1:8" ht="15.75" customHeight="1" x14ac:dyDescent="0.25">
      <c r="A59" s="139"/>
      <c r="B59" s="5" t="s">
        <v>186</v>
      </c>
      <c r="C59" s="4" t="s">
        <v>192</v>
      </c>
      <c r="D59" s="83" t="s">
        <v>346</v>
      </c>
      <c r="E59" s="83" t="s">
        <v>341</v>
      </c>
      <c r="F59" s="4" t="s">
        <v>337</v>
      </c>
      <c r="G59" s="4" t="s">
        <v>337</v>
      </c>
      <c r="H59" s="16"/>
    </row>
    <row r="60" spans="1:8" ht="15.75" hidden="1" customHeight="1" x14ac:dyDescent="0.25">
      <c r="A60" s="139"/>
      <c r="B60" s="35" t="s">
        <v>244</v>
      </c>
      <c r="C60" s="22" t="s">
        <v>249</v>
      </c>
      <c r="D60" s="83" t="s">
        <v>346</v>
      </c>
      <c r="E60" s="83" t="s">
        <v>341</v>
      </c>
      <c r="F60" s="4"/>
      <c r="G60" s="4"/>
      <c r="H60" s="23"/>
    </row>
    <row r="61" spans="1:8" ht="15.75" hidden="1" customHeight="1" x14ac:dyDescent="0.25">
      <c r="A61" s="139"/>
      <c r="B61" s="5" t="s">
        <v>245</v>
      </c>
      <c r="C61" s="4" t="s">
        <v>250</v>
      </c>
      <c r="D61" s="83" t="s">
        <v>346</v>
      </c>
      <c r="E61" s="83" t="s">
        <v>341</v>
      </c>
      <c r="F61" s="4" t="s">
        <v>337</v>
      </c>
      <c r="G61" s="4" t="s">
        <v>337</v>
      </c>
      <c r="H61" s="23"/>
    </row>
    <row r="62" spans="1:8" ht="15.75" hidden="1" customHeight="1" x14ac:dyDescent="0.25">
      <c r="A62" s="139"/>
      <c r="B62" s="40" t="s">
        <v>275</v>
      </c>
      <c r="C62" s="19" t="s">
        <v>280</v>
      </c>
      <c r="D62" s="83" t="s">
        <v>346</v>
      </c>
      <c r="E62" s="83" t="s">
        <v>341</v>
      </c>
      <c r="F62" s="4" t="s">
        <v>337</v>
      </c>
      <c r="G62" s="4" t="s">
        <v>337</v>
      </c>
      <c r="H62" s="23"/>
    </row>
    <row r="63" spans="1:8" ht="15.75" customHeight="1" x14ac:dyDescent="0.25">
      <c r="A63" s="139"/>
      <c r="B63" s="35" t="s">
        <v>276</v>
      </c>
      <c r="C63" s="22" t="s">
        <v>281</v>
      </c>
      <c r="D63" s="83" t="s">
        <v>346</v>
      </c>
      <c r="E63" s="83" t="s">
        <v>341</v>
      </c>
      <c r="F63" s="4" t="s">
        <v>337</v>
      </c>
      <c r="G63" s="4" t="s">
        <v>337</v>
      </c>
      <c r="H63" s="23"/>
    </row>
    <row r="64" spans="1:8" ht="15.75" hidden="1" customHeight="1" x14ac:dyDescent="0.25">
      <c r="A64" s="139"/>
      <c r="B64" s="35" t="s">
        <v>286</v>
      </c>
      <c r="C64" s="22" t="s">
        <v>282</v>
      </c>
      <c r="D64" s="83" t="s">
        <v>346</v>
      </c>
      <c r="E64" s="83" t="s">
        <v>341</v>
      </c>
      <c r="F64" s="4" t="s">
        <v>337</v>
      </c>
      <c r="G64" s="4" t="s">
        <v>337</v>
      </c>
      <c r="H64" s="23"/>
    </row>
    <row r="65" spans="1:8" ht="15.75" hidden="1" customHeight="1" x14ac:dyDescent="0.25">
      <c r="A65" s="139"/>
      <c r="B65" s="35" t="s">
        <v>277</v>
      </c>
      <c r="C65" s="22" t="s">
        <v>283</v>
      </c>
      <c r="D65" s="83" t="s">
        <v>346</v>
      </c>
      <c r="E65" s="83" t="s">
        <v>341</v>
      </c>
      <c r="F65" s="22"/>
      <c r="G65" s="22"/>
      <c r="H65" s="23"/>
    </row>
    <row r="66" spans="1:8" ht="15.75" customHeight="1" x14ac:dyDescent="0.25">
      <c r="A66" s="139"/>
      <c r="B66" s="35" t="s">
        <v>278</v>
      </c>
      <c r="C66" s="22" t="s">
        <v>284</v>
      </c>
      <c r="D66" s="83" t="s">
        <v>346</v>
      </c>
      <c r="E66" s="83" t="s">
        <v>341</v>
      </c>
      <c r="F66" s="4" t="s">
        <v>337</v>
      </c>
      <c r="G66" s="4" t="s">
        <v>337</v>
      </c>
      <c r="H66" s="23"/>
    </row>
    <row r="67" spans="1:8" ht="15.75" customHeight="1" x14ac:dyDescent="0.25">
      <c r="A67" s="139"/>
      <c r="B67" s="5" t="s">
        <v>279</v>
      </c>
      <c r="C67" s="4" t="s">
        <v>285</v>
      </c>
      <c r="D67" s="83" t="s">
        <v>346</v>
      </c>
      <c r="E67" s="83" t="s">
        <v>341</v>
      </c>
      <c r="F67" s="4" t="s">
        <v>337</v>
      </c>
      <c r="G67" s="4" t="s">
        <v>337</v>
      </c>
      <c r="H67" s="16"/>
    </row>
    <row r="68" spans="1:8" ht="15.75" customHeight="1" x14ac:dyDescent="0.25">
      <c r="A68" s="139"/>
      <c r="B68" s="40" t="s">
        <v>302</v>
      </c>
      <c r="C68" s="19" t="s">
        <v>304</v>
      </c>
      <c r="D68" s="83" t="s">
        <v>346</v>
      </c>
      <c r="E68" s="83" t="s">
        <v>341</v>
      </c>
      <c r="F68" s="22" t="s">
        <v>337</v>
      </c>
      <c r="G68" s="22" t="s">
        <v>337</v>
      </c>
      <c r="H68" s="41"/>
    </row>
    <row r="69" spans="1:8" ht="15.75" customHeight="1" x14ac:dyDescent="0.25">
      <c r="A69" s="139"/>
      <c r="B69" s="35" t="s">
        <v>303</v>
      </c>
      <c r="C69" s="22" t="s">
        <v>305</v>
      </c>
      <c r="D69" s="83" t="s">
        <v>346</v>
      </c>
      <c r="E69" s="83" t="s">
        <v>341</v>
      </c>
      <c r="F69" s="22" t="s">
        <v>337</v>
      </c>
      <c r="G69" s="22" t="s">
        <v>337</v>
      </c>
      <c r="H69" s="23"/>
    </row>
    <row r="70" spans="1:8" ht="15.75" hidden="1" customHeight="1" x14ac:dyDescent="0.25">
      <c r="A70" s="139"/>
      <c r="B70" s="35" t="s">
        <v>306</v>
      </c>
      <c r="C70" s="22"/>
      <c r="D70" s="83" t="s">
        <v>346</v>
      </c>
      <c r="E70" s="83" t="s">
        <v>341</v>
      </c>
      <c r="F70" s="22"/>
      <c r="G70" s="76"/>
      <c r="H70" s="23"/>
    </row>
    <row r="71" spans="1:8" ht="15.75" customHeight="1" thickBot="1" x14ac:dyDescent="0.3">
      <c r="A71" s="140"/>
      <c r="B71" s="21" t="s">
        <v>184</v>
      </c>
      <c r="C71" s="17"/>
      <c r="D71" s="86" t="s">
        <v>346</v>
      </c>
      <c r="E71" s="86" t="s">
        <v>341</v>
      </c>
      <c r="F71" s="17" t="s">
        <v>337</v>
      </c>
      <c r="G71" s="75" t="s">
        <v>337</v>
      </c>
      <c r="H71" s="18"/>
    </row>
    <row r="72" spans="1:8" ht="15.75" customHeight="1" x14ac:dyDescent="0.25">
      <c r="A72" s="138" t="s">
        <v>223</v>
      </c>
      <c r="B72" s="20" t="s">
        <v>224</v>
      </c>
      <c r="C72" s="14" t="s">
        <v>235</v>
      </c>
      <c r="D72" s="85" t="s">
        <v>346</v>
      </c>
      <c r="E72" s="85" t="s">
        <v>341</v>
      </c>
      <c r="F72" s="14" t="s">
        <v>337</v>
      </c>
      <c r="G72" s="14" t="s">
        <v>337</v>
      </c>
      <c r="H72" s="15"/>
    </row>
    <row r="73" spans="1:8" ht="15.75" hidden="1" customHeight="1" x14ac:dyDescent="0.25">
      <c r="A73" s="139"/>
      <c r="B73" s="5" t="s">
        <v>225</v>
      </c>
      <c r="C73" s="4" t="s">
        <v>252</v>
      </c>
      <c r="D73" s="83"/>
      <c r="E73" s="83"/>
      <c r="F73" s="4">
        <v>1</v>
      </c>
      <c r="G73" s="4">
        <v>1</v>
      </c>
      <c r="H73" s="16"/>
    </row>
    <row r="74" spans="1:8" ht="15.75" hidden="1" customHeight="1" x14ac:dyDescent="0.25">
      <c r="A74" s="139"/>
      <c r="B74" s="5" t="s">
        <v>246</v>
      </c>
      <c r="C74" s="4" t="s">
        <v>251</v>
      </c>
      <c r="D74" s="83"/>
      <c r="E74" s="83"/>
      <c r="F74" s="4">
        <v>1</v>
      </c>
      <c r="G74" s="4">
        <v>1</v>
      </c>
      <c r="H74" s="16"/>
    </row>
    <row r="75" spans="1:8" ht="15.75" customHeight="1" x14ac:dyDescent="0.25">
      <c r="A75" s="139"/>
      <c r="B75" s="5" t="s">
        <v>226</v>
      </c>
      <c r="C75" s="4" t="s">
        <v>236</v>
      </c>
      <c r="D75" s="83" t="s">
        <v>346</v>
      </c>
      <c r="E75" s="83" t="s">
        <v>341</v>
      </c>
      <c r="F75" s="4" t="s">
        <v>337</v>
      </c>
      <c r="G75" s="4" t="s">
        <v>337</v>
      </c>
      <c r="H75" s="16"/>
    </row>
    <row r="76" spans="1:8" ht="15.75" hidden="1" customHeight="1" x14ac:dyDescent="0.25">
      <c r="A76" s="139"/>
      <c r="B76" s="35" t="s">
        <v>227</v>
      </c>
      <c r="C76" s="22" t="s">
        <v>237</v>
      </c>
      <c r="D76" s="83" t="s">
        <v>346</v>
      </c>
      <c r="E76" s="83" t="s">
        <v>341</v>
      </c>
      <c r="F76" s="4"/>
      <c r="G76" s="4"/>
      <c r="H76" s="16"/>
    </row>
    <row r="77" spans="1:8" ht="15.75" customHeight="1" x14ac:dyDescent="0.25">
      <c r="A77" s="139"/>
      <c r="B77" s="35" t="s">
        <v>228</v>
      </c>
      <c r="C77" s="22" t="s">
        <v>238</v>
      </c>
      <c r="D77" s="83" t="s">
        <v>346</v>
      </c>
      <c r="E77" s="83" t="s">
        <v>341</v>
      </c>
      <c r="F77" s="4" t="s">
        <v>337</v>
      </c>
      <c r="G77" s="4" t="s">
        <v>337</v>
      </c>
      <c r="H77" s="16"/>
    </row>
    <row r="78" spans="1:8" ht="15.75" customHeight="1" x14ac:dyDescent="0.25">
      <c r="A78" s="139"/>
      <c r="B78" s="35" t="s">
        <v>68</v>
      </c>
      <c r="C78" s="22" t="s">
        <v>69</v>
      </c>
      <c r="D78" s="83" t="s">
        <v>346</v>
      </c>
      <c r="E78" s="83" t="s">
        <v>341</v>
      </c>
      <c r="F78" s="4" t="s">
        <v>337</v>
      </c>
      <c r="G78" s="4" t="s">
        <v>337</v>
      </c>
      <c r="H78" s="23"/>
    </row>
    <row r="79" spans="1:8" ht="15.75" hidden="1" customHeight="1" x14ac:dyDescent="0.25">
      <c r="A79" s="139"/>
      <c r="B79" s="35" t="s">
        <v>229</v>
      </c>
      <c r="C79" s="22" t="s">
        <v>239</v>
      </c>
      <c r="D79" s="83" t="s">
        <v>346</v>
      </c>
      <c r="E79" s="83" t="s">
        <v>341</v>
      </c>
      <c r="F79" s="4"/>
      <c r="G79" s="4"/>
      <c r="H79" s="23"/>
    </row>
    <row r="80" spans="1:8" ht="15.75" hidden="1" customHeight="1" x14ac:dyDescent="0.25">
      <c r="A80" s="139"/>
      <c r="B80" s="35" t="s">
        <v>247</v>
      </c>
      <c r="C80" s="22" t="s">
        <v>69</v>
      </c>
      <c r="D80" s="83" t="s">
        <v>346</v>
      </c>
      <c r="E80" s="83" t="s">
        <v>341</v>
      </c>
      <c r="F80" s="4" t="s">
        <v>337</v>
      </c>
      <c r="G80" s="4" t="s">
        <v>337</v>
      </c>
      <c r="H80" s="23"/>
    </row>
    <row r="81" spans="1:8" ht="15.75" hidden="1" customHeight="1" x14ac:dyDescent="0.25">
      <c r="A81" s="139"/>
      <c r="B81" s="35" t="s">
        <v>230</v>
      </c>
      <c r="C81" s="22" t="s">
        <v>243</v>
      </c>
      <c r="D81" s="83" t="s">
        <v>346</v>
      </c>
      <c r="E81" s="83" t="s">
        <v>341</v>
      </c>
      <c r="F81" s="22"/>
      <c r="G81" s="22"/>
      <c r="H81" s="23"/>
    </row>
    <row r="82" spans="1:8" ht="15.75" customHeight="1" x14ac:dyDescent="0.25">
      <c r="A82" s="139"/>
      <c r="B82" s="35" t="s">
        <v>271</v>
      </c>
      <c r="C82" s="22" t="s">
        <v>273</v>
      </c>
      <c r="D82" s="83" t="s">
        <v>346</v>
      </c>
      <c r="E82" s="83" t="s">
        <v>341</v>
      </c>
      <c r="F82" s="4" t="s">
        <v>337</v>
      </c>
      <c r="G82" s="4" t="s">
        <v>337</v>
      </c>
      <c r="H82" s="23"/>
    </row>
    <row r="83" spans="1:8" ht="15.75" customHeight="1" x14ac:dyDescent="0.25">
      <c r="A83" s="139"/>
      <c r="B83" s="35" t="s">
        <v>272</v>
      </c>
      <c r="C83" s="22" t="s">
        <v>274</v>
      </c>
      <c r="D83" s="83" t="s">
        <v>346</v>
      </c>
      <c r="E83" s="83" t="s">
        <v>341</v>
      </c>
      <c r="F83" s="4" t="s">
        <v>337</v>
      </c>
      <c r="G83" s="4" t="s">
        <v>337</v>
      </c>
      <c r="H83" s="23"/>
    </row>
    <row r="84" spans="1:8" ht="15.75" hidden="1" customHeight="1" x14ac:dyDescent="0.25">
      <c r="A84" s="139"/>
      <c r="B84" s="35" t="s">
        <v>231</v>
      </c>
      <c r="C84" s="22" t="s">
        <v>240</v>
      </c>
      <c r="D84" s="83" t="s">
        <v>346</v>
      </c>
      <c r="E84" s="83" t="s">
        <v>341</v>
      </c>
      <c r="F84" s="4"/>
      <c r="G84" s="4"/>
      <c r="H84" s="23"/>
    </row>
    <row r="85" spans="1:8" ht="15.75" hidden="1" customHeight="1" x14ac:dyDescent="0.25">
      <c r="A85" s="139"/>
      <c r="B85" s="35" t="s">
        <v>232</v>
      </c>
      <c r="C85" s="22" t="s">
        <v>241</v>
      </c>
      <c r="D85" s="83" t="s">
        <v>346</v>
      </c>
      <c r="E85" s="83" t="s">
        <v>341</v>
      </c>
      <c r="F85" s="4" t="s">
        <v>337</v>
      </c>
      <c r="G85" s="4" t="s">
        <v>337</v>
      </c>
      <c r="H85" s="23"/>
    </row>
    <row r="86" spans="1:8" ht="15.75" hidden="1" customHeight="1" x14ac:dyDescent="0.25">
      <c r="A86" s="139"/>
      <c r="B86" s="35" t="s">
        <v>233</v>
      </c>
      <c r="C86" s="22" t="s">
        <v>242</v>
      </c>
      <c r="D86" s="83" t="s">
        <v>346</v>
      </c>
      <c r="E86" s="83" t="s">
        <v>341</v>
      </c>
      <c r="F86" s="22"/>
      <c r="G86" s="22"/>
      <c r="H86" s="23"/>
    </row>
    <row r="87" spans="1:8" ht="15.75" customHeight="1" x14ac:dyDescent="0.25">
      <c r="A87" s="139"/>
      <c r="B87" s="35" t="s">
        <v>296</v>
      </c>
      <c r="C87" s="22" t="s">
        <v>299</v>
      </c>
      <c r="D87" s="83" t="s">
        <v>346</v>
      </c>
      <c r="E87" s="83" t="s">
        <v>341</v>
      </c>
      <c r="F87" s="4" t="s">
        <v>337</v>
      </c>
      <c r="G87" s="4" t="s">
        <v>337</v>
      </c>
      <c r="H87" s="23"/>
    </row>
    <row r="88" spans="1:8" ht="15.75" customHeight="1" x14ac:dyDescent="0.25">
      <c r="A88" s="139"/>
      <c r="B88" s="35" t="s">
        <v>297</v>
      </c>
      <c r="C88" s="22" t="s">
        <v>300</v>
      </c>
      <c r="D88" s="83" t="s">
        <v>346</v>
      </c>
      <c r="E88" s="83" t="s">
        <v>341</v>
      </c>
      <c r="F88" s="4" t="s">
        <v>337</v>
      </c>
      <c r="G88" s="4" t="s">
        <v>337</v>
      </c>
      <c r="H88" s="23"/>
    </row>
    <row r="89" spans="1:8" ht="15.75" customHeight="1" x14ac:dyDescent="0.25">
      <c r="A89" s="139"/>
      <c r="B89" s="35" t="s">
        <v>314</v>
      </c>
      <c r="C89" s="22"/>
      <c r="D89" s="83" t="s">
        <v>346</v>
      </c>
      <c r="E89" s="83" t="s">
        <v>341</v>
      </c>
      <c r="F89" s="4" t="s">
        <v>337</v>
      </c>
      <c r="G89" s="4" t="s">
        <v>337</v>
      </c>
      <c r="H89" s="23"/>
    </row>
    <row r="90" spans="1:8" ht="15.75" customHeight="1" x14ac:dyDescent="0.25">
      <c r="A90" s="139"/>
      <c r="B90" s="35" t="s">
        <v>315</v>
      </c>
      <c r="C90" s="22"/>
      <c r="D90" s="83" t="s">
        <v>346</v>
      </c>
      <c r="E90" s="83" t="s">
        <v>341</v>
      </c>
      <c r="F90" s="4" t="s">
        <v>337</v>
      </c>
      <c r="G90" s="4" t="s">
        <v>337</v>
      </c>
      <c r="H90" s="23"/>
    </row>
    <row r="91" spans="1:8" ht="15.75" customHeight="1" x14ac:dyDescent="0.25">
      <c r="A91" s="139"/>
      <c r="B91" s="35" t="s">
        <v>298</v>
      </c>
      <c r="C91" s="22" t="s">
        <v>301</v>
      </c>
      <c r="D91" s="83" t="s">
        <v>346</v>
      </c>
      <c r="E91" s="83" t="s">
        <v>341</v>
      </c>
      <c r="F91" s="4" t="s">
        <v>337</v>
      </c>
      <c r="G91" s="4" t="s">
        <v>337</v>
      </c>
      <c r="H91" s="23"/>
    </row>
    <row r="92" spans="1:8" ht="15.75" customHeight="1" thickBot="1" x14ac:dyDescent="0.3">
      <c r="A92" s="140"/>
      <c r="B92" s="21" t="s">
        <v>234</v>
      </c>
      <c r="C92" s="17" t="s">
        <v>65</v>
      </c>
      <c r="D92" s="86" t="s">
        <v>346</v>
      </c>
      <c r="E92" s="86" t="s">
        <v>341</v>
      </c>
      <c r="F92" s="17" t="s">
        <v>337</v>
      </c>
      <c r="G92" s="17" t="s">
        <v>337</v>
      </c>
      <c r="H92" s="18"/>
    </row>
    <row r="93" spans="1:8" ht="15.75" customHeight="1" thickBot="1" x14ac:dyDescent="0.3">
      <c r="A93" s="82" t="s">
        <v>291</v>
      </c>
      <c r="B93" s="52" t="s">
        <v>294</v>
      </c>
      <c r="C93" s="53" t="s">
        <v>295</v>
      </c>
      <c r="D93" s="87" t="s">
        <v>346</v>
      </c>
      <c r="E93" s="87" t="s">
        <v>341</v>
      </c>
      <c r="F93" s="53" t="s">
        <v>337</v>
      </c>
      <c r="G93" s="78" t="s">
        <v>337</v>
      </c>
      <c r="H93" s="54"/>
    </row>
    <row r="94" spans="1:8" ht="15.75" hidden="1" customHeight="1" thickBot="1" x14ac:dyDescent="0.3">
      <c r="A94" s="46"/>
      <c r="B94" s="43" t="s">
        <v>293</v>
      </c>
      <c r="C94" s="44" t="s">
        <v>292</v>
      </c>
      <c r="D94" s="44"/>
      <c r="E94" s="44"/>
      <c r="F94" s="44"/>
      <c r="G94" s="79"/>
      <c r="H94" s="45"/>
    </row>
    <row r="95" spans="1:8" ht="15.75" hidden="1" customHeight="1" thickBot="1" x14ac:dyDescent="0.3">
      <c r="A95" s="47"/>
      <c r="B95" s="32" t="s">
        <v>79</v>
      </c>
      <c r="C95" s="32" t="s">
        <v>80</v>
      </c>
      <c r="D95" s="32"/>
      <c r="E95" s="32"/>
      <c r="F95" s="32"/>
      <c r="G95" s="77"/>
      <c r="H95" s="34"/>
    </row>
    <row r="96" spans="1:8" ht="15.75" customHeight="1" x14ac:dyDescent="0.25">
      <c r="A96" s="141" t="s">
        <v>170</v>
      </c>
      <c r="B96" s="14" t="s">
        <v>81</v>
      </c>
      <c r="C96" s="14" t="s">
        <v>82</v>
      </c>
      <c r="D96" s="85" t="s">
        <v>343</v>
      </c>
      <c r="E96" s="85" t="s">
        <v>341</v>
      </c>
      <c r="F96" s="14" t="s">
        <v>337</v>
      </c>
      <c r="G96" s="74" t="s">
        <v>337</v>
      </c>
      <c r="H96" s="15"/>
    </row>
    <row r="97" spans="1:8" ht="15.75" customHeight="1" x14ac:dyDescent="0.25">
      <c r="A97" s="142"/>
      <c r="B97" s="5" t="s">
        <v>83</v>
      </c>
      <c r="C97" s="5" t="s">
        <v>176</v>
      </c>
      <c r="D97" s="83" t="s">
        <v>346</v>
      </c>
      <c r="E97" s="83" t="s">
        <v>341</v>
      </c>
      <c r="F97" s="4" t="s">
        <v>337</v>
      </c>
      <c r="G97" s="4" t="s">
        <v>337</v>
      </c>
      <c r="H97" s="16"/>
    </row>
    <row r="98" spans="1:8" ht="15.75" customHeight="1" x14ac:dyDescent="0.25">
      <c r="A98" s="142"/>
      <c r="B98" s="6" t="s">
        <v>84</v>
      </c>
      <c r="C98" s="6" t="s">
        <v>85</v>
      </c>
      <c r="D98" s="83" t="s">
        <v>346</v>
      </c>
      <c r="E98" s="83" t="s">
        <v>341</v>
      </c>
      <c r="F98" s="4" t="s">
        <v>337</v>
      </c>
      <c r="G98" s="4" t="s">
        <v>337</v>
      </c>
      <c r="H98" s="16"/>
    </row>
    <row r="99" spans="1:8" ht="15.75" hidden="1" customHeight="1" x14ac:dyDescent="0.25">
      <c r="A99" s="142"/>
      <c r="B99" s="6" t="s">
        <v>86</v>
      </c>
      <c r="C99" s="4" t="s">
        <v>87</v>
      </c>
      <c r="D99" s="83"/>
      <c r="E99" s="83"/>
      <c r="F99" s="4">
        <v>1</v>
      </c>
      <c r="G99" s="9"/>
      <c r="H99" s="16"/>
    </row>
    <row r="100" spans="1:8" ht="15.75" hidden="1" customHeight="1" x14ac:dyDescent="0.25">
      <c r="A100" s="142"/>
      <c r="B100" s="6" t="s">
        <v>88</v>
      </c>
      <c r="C100" s="4" t="s">
        <v>89</v>
      </c>
      <c r="D100" s="83"/>
      <c r="E100" s="83"/>
      <c r="F100" s="4">
        <v>1</v>
      </c>
      <c r="G100" s="9"/>
      <c r="H100" s="16"/>
    </row>
    <row r="101" spans="1:8" ht="15.75" customHeight="1" thickBot="1" x14ac:dyDescent="0.3">
      <c r="A101" s="143"/>
      <c r="B101" s="29" t="s">
        <v>90</v>
      </c>
      <c r="C101" s="17" t="s">
        <v>91</v>
      </c>
      <c r="D101" s="86" t="s">
        <v>343</v>
      </c>
      <c r="E101" s="86" t="s">
        <v>341</v>
      </c>
      <c r="F101" s="17">
        <v>1</v>
      </c>
      <c r="G101" s="75">
        <v>2</v>
      </c>
      <c r="H101" s="18"/>
    </row>
    <row r="102" spans="1:8" ht="15.75" hidden="1" customHeight="1" x14ac:dyDescent="0.25">
      <c r="A102" s="48"/>
      <c r="B102" s="50" t="s">
        <v>206</v>
      </c>
      <c r="C102" s="51" t="s">
        <v>210</v>
      </c>
      <c r="D102" s="51"/>
      <c r="E102" s="51"/>
      <c r="F102" s="19">
        <v>3</v>
      </c>
      <c r="G102" s="51"/>
      <c r="H102" s="41"/>
    </row>
    <row r="103" spans="1:8" ht="15.75" hidden="1" customHeight="1" thickBot="1" x14ac:dyDescent="0.3">
      <c r="A103" s="49"/>
      <c r="B103" s="29" t="s">
        <v>199</v>
      </c>
      <c r="C103" s="36" t="s">
        <v>25</v>
      </c>
      <c r="D103" s="30"/>
      <c r="E103" s="30"/>
      <c r="F103" s="29">
        <v>5</v>
      </c>
      <c r="G103" s="36"/>
      <c r="H103" s="18"/>
    </row>
    <row r="104" spans="1:8" ht="5.25" customHeight="1" x14ac:dyDescent="0.25">
      <c r="B104" s="7"/>
      <c r="C104" s="7"/>
      <c r="D104" s="7"/>
      <c r="E104" s="7"/>
      <c r="F104" s="7"/>
      <c r="G104" s="7"/>
      <c r="H104" s="7"/>
    </row>
    <row r="105" spans="1:8" ht="30" customHeight="1" x14ac:dyDescent="0.25">
      <c r="A105" s="68"/>
      <c r="B105" s="2" t="s">
        <v>171</v>
      </c>
      <c r="C105" s="3" t="s">
        <v>128</v>
      </c>
      <c r="D105" s="3" t="s">
        <v>321</v>
      </c>
      <c r="E105" s="3" t="s">
        <v>318</v>
      </c>
      <c r="F105" s="3" t="s">
        <v>319</v>
      </c>
      <c r="G105" s="3" t="s">
        <v>325</v>
      </c>
      <c r="H105" s="3" t="s">
        <v>320</v>
      </c>
    </row>
    <row r="106" spans="1:8" ht="15.75" customHeight="1" x14ac:dyDescent="0.25">
      <c r="B106" s="4" t="s">
        <v>172</v>
      </c>
      <c r="C106" s="4">
        <v>56964227</v>
      </c>
      <c r="D106" s="83" t="s">
        <v>343</v>
      </c>
      <c r="E106" s="83" t="s">
        <v>341</v>
      </c>
      <c r="F106" s="4">
        <v>3</v>
      </c>
      <c r="G106" s="69">
        <v>6</v>
      </c>
      <c r="H106" s="4"/>
    </row>
    <row r="107" spans="1:8" ht="15.75" customHeight="1" x14ac:dyDescent="0.25">
      <c r="B107" s="4" t="s">
        <v>173</v>
      </c>
      <c r="C107" s="4">
        <v>50430974</v>
      </c>
      <c r="D107" s="83" t="s">
        <v>343</v>
      </c>
      <c r="E107" s="83" t="s">
        <v>341</v>
      </c>
      <c r="F107" s="4">
        <v>4</v>
      </c>
      <c r="G107" s="4">
        <v>8</v>
      </c>
      <c r="H107" s="4"/>
    </row>
    <row r="108" spans="1:8" ht="15.75" customHeight="1" x14ac:dyDescent="0.25">
      <c r="B108" s="4" t="s">
        <v>110</v>
      </c>
      <c r="C108" s="4">
        <v>54647917</v>
      </c>
      <c r="D108" s="83" t="s">
        <v>343</v>
      </c>
      <c r="E108" s="83" t="s">
        <v>341</v>
      </c>
      <c r="F108" s="4">
        <v>2</v>
      </c>
      <c r="G108" s="4">
        <v>4</v>
      </c>
      <c r="H108" s="4"/>
    </row>
    <row r="109" spans="1:8" ht="5.45" customHeight="1" x14ac:dyDescent="0.25">
      <c r="B109" s="7"/>
      <c r="C109" s="7"/>
      <c r="D109" s="7"/>
      <c r="E109" s="7"/>
      <c r="F109" s="7"/>
      <c r="G109" s="7"/>
      <c r="H109" s="7"/>
    </row>
    <row r="110" spans="1:8" ht="30" customHeight="1" x14ac:dyDescent="0.25">
      <c r="A110" s="68"/>
      <c r="B110" s="2" t="s">
        <v>92</v>
      </c>
      <c r="C110" s="3" t="s">
        <v>128</v>
      </c>
      <c r="D110" s="3" t="s">
        <v>321</v>
      </c>
      <c r="E110" s="3" t="s">
        <v>318</v>
      </c>
      <c r="F110" s="3" t="s">
        <v>319</v>
      </c>
      <c r="G110" s="3" t="s">
        <v>325</v>
      </c>
      <c r="H110" s="3" t="s">
        <v>320</v>
      </c>
    </row>
    <row r="111" spans="1:8" ht="15.75" customHeight="1" x14ac:dyDescent="0.25">
      <c r="B111" s="4" t="s">
        <v>157</v>
      </c>
      <c r="C111" s="4" t="s">
        <v>93</v>
      </c>
      <c r="D111" s="83" t="s">
        <v>346</v>
      </c>
      <c r="E111" s="83" t="s">
        <v>341</v>
      </c>
      <c r="F111" s="4" t="s">
        <v>337</v>
      </c>
      <c r="G111" s="69" t="s">
        <v>337</v>
      </c>
      <c r="H111" s="4"/>
    </row>
    <row r="112" spans="1:8" ht="15.75" hidden="1" customHeight="1" x14ac:dyDescent="0.25">
      <c r="B112" s="4" t="s">
        <v>155</v>
      </c>
      <c r="C112" s="4" t="s">
        <v>94</v>
      </c>
      <c r="D112" s="83" t="s">
        <v>340</v>
      </c>
      <c r="E112" s="83" t="s">
        <v>341</v>
      </c>
      <c r="F112" s="4"/>
      <c r="G112" s="4"/>
      <c r="H112" s="4"/>
    </row>
    <row r="113" spans="2:8" ht="15.75" hidden="1" customHeight="1" x14ac:dyDescent="0.25">
      <c r="B113" s="4" t="s">
        <v>156</v>
      </c>
      <c r="C113" s="4" t="s">
        <v>95</v>
      </c>
      <c r="D113" s="83" t="s">
        <v>340</v>
      </c>
      <c r="E113" s="83" t="s">
        <v>341</v>
      </c>
      <c r="F113" s="4"/>
      <c r="G113" s="4"/>
      <c r="H113" s="4"/>
    </row>
    <row r="114" spans="2:8" ht="15.75" hidden="1" customHeight="1" x14ac:dyDescent="0.25">
      <c r="B114" s="4" t="s">
        <v>96</v>
      </c>
      <c r="C114" s="4" t="s">
        <v>97</v>
      </c>
      <c r="D114" s="83" t="s">
        <v>340</v>
      </c>
      <c r="E114" s="83" t="s">
        <v>341</v>
      </c>
      <c r="F114" s="4"/>
      <c r="G114" s="4"/>
      <c r="H114" s="4"/>
    </row>
    <row r="115" spans="2:8" ht="15.75" hidden="1" customHeight="1" x14ac:dyDescent="0.25">
      <c r="B115" s="4" t="s">
        <v>98</v>
      </c>
      <c r="C115" s="4" t="s">
        <v>99</v>
      </c>
      <c r="D115" s="83" t="s">
        <v>340</v>
      </c>
      <c r="E115" s="83" t="s">
        <v>341</v>
      </c>
      <c r="F115" s="4"/>
      <c r="G115" s="4"/>
      <c r="H115" s="4"/>
    </row>
    <row r="116" spans="2:8" ht="15.75" hidden="1" customHeight="1" x14ac:dyDescent="0.25">
      <c r="B116" s="4" t="s">
        <v>100</v>
      </c>
      <c r="C116" s="4" t="s">
        <v>101</v>
      </c>
      <c r="D116" s="83" t="s">
        <v>340</v>
      </c>
      <c r="E116" s="83" t="s">
        <v>341</v>
      </c>
      <c r="F116" s="4"/>
      <c r="G116" s="4"/>
      <c r="H116" s="4"/>
    </row>
    <row r="117" spans="2:8" ht="15.75" hidden="1" customHeight="1" x14ac:dyDescent="0.25">
      <c r="B117" s="4" t="s">
        <v>50</v>
      </c>
      <c r="C117" s="4" t="s">
        <v>102</v>
      </c>
      <c r="D117" s="83" t="s">
        <v>340</v>
      </c>
      <c r="E117" s="83" t="s">
        <v>341</v>
      </c>
      <c r="F117" s="4"/>
      <c r="G117" s="4"/>
      <c r="H117" s="4"/>
    </row>
    <row r="118" spans="2:8" ht="15.75" hidden="1" customHeight="1" x14ac:dyDescent="0.25">
      <c r="B118" s="4" t="s">
        <v>103</v>
      </c>
      <c r="C118" s="67" t="s">
        <v>104</v>
      </c>
      <c r="D118" s="83" t="s">
        <v>340</v>
      </c>
      <c r="E118" s="83" t="s">
        <v>341</v>
      </c>
      <c r="F118" s="4"/>
      <c r="G118" s="4"/>
      <c r="H118" s="4"/>
    </row>
    <row r="119" spans="2:8" ht="15.75" customHeight="1" x14ac:dyDescent="0.25">
      <c r="B119" s="4" t="s">
        <v>105</v>
      </c>
      <c r="C119" s="67" t="s">
        <v>106</v>
      </c>
      <c r="D119" s="83" t="s">
        <v>346</v>
      </c>
      <c r="E119" s="83" t="s">
        <v>341</v>
      </c>
      <c r="F119" s="4" t="s">
        <v>337</v>
      </c>
      <c r="G119" s="4" t="s">
        <v>337</v>
      </c>
      <c r="H119" s="4"/>
    </row>
    <row r="120" spans="2:8" ht="15.75" customHeight="1" x14ac:dyDescent="0.25">
      <c r="B120" s="4" t="s">
        <v>107</v>
      </c>
      <c r="C120" s="67" t="s">
        <v>108</v>
      </c>
      <c r="D120" s="83" t="s">
        <v>346</v>
      </c>
      <c r="E120" s="83" t="s">
        <v>341</v>
      </c>
      <c r="F120" s="4" t="s">
        <v>337</v>
      </c>
      <c r="G120" s="4" t="s">
        <v>337</v>
      </c>
      <c r="H120" s="4"/>
    </row>
    <row r="121" spans="2:8" ht="15.75" hidden="1" customHeight="1" x14ac:dyDescent="0.25">
      <c r="B121" s="4" t="s">
        <v>205</v>
      </c>
      <c r="C121" s="67" t="s">
        <v>211</v>
      </c>
      <c r="D121" s="83" t="s">
        <v>346</v>
      </c>
      <c r="E121" s="83" t="s">
        <v>341</v>
      </c>
      <c r="F121" s="4"/>
      <c r="G121" s="4"/>
      <c r="H121" s="4"/>
    </row>
    <row r="122" spans="2:8" ht="15.75" hidden="1" customHeight="1" x14ac:dyDescent="0.25">
      <c r="B122" s="4" t="s">
        <v>253</v>
      </c>
      <c r="C122" s="67" t="s">
        <v>270</v>
      </c>
      <c r="D122" s="83" t="s">
        <v>346</v>
      </c>
      <c r="E122" s="83" t="s">
        <v>341</v>
      </c>
      <c r="F122" s="4"/>
      <c r="G122" s="4"/>
      <c r="H122" s="4"/>
    </row>
    <row r="123" spans="2:8" ht="15.75" hidden="1" customHeight="1" x14ac:dyDescent="0.25">
      <c r="B123" s="4" t="s">
        <v>287</v>
      </c>
      <c r="C123" s="67" t="s">
        <v>288</v>
      </c>
      <c r="D123" s="83" t="s">
        <v>346</v>
      </c>
      <c r="E123" s="83" t="s">
        <v>341</v>
      </c>
      <c r="F123" s="4"/>
      <c r="G123" s="4"/>
      <c r="H123" s="4"/>
    </row>
    <row r="124" spans="2:8" ht="15.75" customHeight="1" x14ac:dyDescent="0.25">
      <c r="B124" s="4" t="s">
        <v>48</v>
      </c>
      <c r="C124" s="67" t="s">
        <v>99</v>
      </c>
      <c r="D124" s="83" t="s">
        <v>346</v>
      </c>
      <c r="E124" s="83" t="s">
        <v>341</v>
      </c>
      <c r="F124" s="4" t="s">
        <v>337</v>
      </c>
      <c r="G124" s="4" t="s">
        <v>337</v>
      </c>
      <c r="H124" s="4"/>
    </row>
    <row r="125" spans="2:8" ht="15.75" hidden="1" customHeight="1" x14ac:dyDescent="0.25">
      <c r="B125" s="4" t="s">
        <v>289</v>
      </c>
      <c r="C125" s="67" t="s">
        <v>309</v>
      </c>
      <c r="D125" s="83" t="s">
        <v>346</v>
      </c>
      <c r="E125" s="83" t="s">
        <v>341</v>
      </c>
      <c r="F125" s="4"/>
      <c r="G125" s="4"/>
      <c r="H125" s="4"/>
    </row>
    <row r="126" spans="2:8" ht="15.75" customHeight="1" x14ac:dyDescent="0.25">
      <c r="B126" s="4" t="s">
        <v>200</v>
      </c>
      <c r="C126" s="67" t="s">
        <v>310</v>
      </c>
      <c r="D126" s="83" t="s">
        <v>346</v>
      </c>
      <c r="E126" s="83" t="s">
        <v>341</v>
      </c>
      <c r="F126" s="4" t="s">
        <v>337</v>
      </c>
      <c r="G126" s="4" t="s">
        <v>337</v>
      </c>
      <c r="H126" s="4"/>
    </row>
    <row r="127" spans="2:8" ht="15.75" customHeight="1" x14ac:dyDescent="0.25">
      <c r="B127" s="4" t="s">
        <v>364</v>
      </c>
      <c r="C127" s="67" t="s">
        <v>365</v>
      </c>
      <c r="D127" s="83" t="s">
        <v>346</v>
      </c>
      <c r="E127" s="83" t="s">
        <v>341</v>
      </c>
      <c r="F127" s="4" t="s">
        <v>337</v>
      </c>
      <c r="G127" s="4" t="s">
        <v>337</v>
      </c>
      <c r="H127" s="4"/>
    </row>
    <row r="128" spans="2:8" ht="15.75" customHeight="1" x14ac:dyDescent="0.25">
      <c r="B128" s="4" t="s">
        <v>79</v>
      </c>
      <c r="C128" s="67" t="s">
        <v>311</v>
      </c>
      <c r="D128" s="83" t="s">
        <v>346</v>
      </c>
      <c r="E128" s="83" t="s">
        <v>341</v>
      </c>
      <c r="F128" s="4" t="s">
        <v>337</v>
      </c>
      <c r="G128" s="4" t="s">
        <v>337</v>
      </c>
      <c r="H128" s="4"/>
    </row>
    <row r="129" spans="1:8" ht="15.75" customHeight="1" x14ac:dyDescent="0.25">
      <c r="B129" s="4" t="s">
        <v>79</v>
      </c>
      <c r="C129" s="67" t="s">
        <v>368</v>
      </c>
      <c r="D129" s="83" t="s">
        <v>346</v>
      </c>
      <c r="E129" s="83" t="s">
        <v>341</v>
      </c>
      <c r="F129" s="4" t="s">
        <v>337</v>
      </c>
      <c r="G129" s="4" t="s">
        <v>337</v>
      </c>
      <c r="H129" s="4"/>
    </row>
    <row r="130" spans="1:8" ht="15.75" customHeight="1" x14ac:dyDescent="0.25">
      <c r="B130" s="8" t="s">
        <v>158</v>
      </c>
      <c r="C130" s="4" t="s">
        <v>109</v>
      </c>
      <c r="D130" s="83" t="s">
        <v>343</v>
      </c>
      <c r="E130" s="83" t="s">
        <v>341</v>
      </c>
      <c r="F130" s="4" t="s">
        <v>337</v>
      </c>
      <c r="G130" s="4" t="s">
        <v>337</v>
      </c>
      <c r="H130" s="4"/>
    </row>
    <row r="131" spans="1:8" ht="15.75" customHeight="1" x14ac:dyDescent="0.25">
      <c r="B131" s="8" t="s">
        <v>158</v>
      </c>
      <c r="C131" s="4" t="s">
        <v>312</v>
      </c>
      <c r="D131" s="83" t="s">
        <v>343</v>
      </c>
      <c r="E131" s="83" t="s">
        <v>341</v>
      </c>
      <c r="F131" s="4">
        <v>8</v>
      </c>
      <c r="G131" s="4">
        <v>16</v>
      </c>
      <c r="H131" s="4"/>
    </row>
    <row r="132" spans="1:8" ht="15.75" customHeight="1" x14ac:dyDescent="0.25">
      <c r="B132" s="8" t="s">
        <v>308</v>
      </c>
      <c r="C132" s="4" t="s">
        <v>307</v>
      </c>
      <c r="D132" s="83" t="s">
        <v>346</v>
      </c>
      <c r="E132" s="83" t="s">
        <v>341</v>
      </c>
      <c r="F132" s="4" t="s">
        <v>337</v>
      </c>
      <c r="G132" s="4" t="s">
        <v>337</v>
      </c>
      <c r="H132" s="4"/>
    </row>
    <row r="133" spans="1:8" ht="15.75" customHeight="1" x14ac:dyDescent="0.25">
      <c r="B133" s="4" t="s">
        <v>110</v>
      </c>
      <c r="C133" s="4" t="s">
        <v>111</v>
      </c>
      <c r="D133" s="83" t="s">
        <v>343</v>
      </c>
      <c r="E133" s="83" t="s">
        <v>341</v>
      </c>
      <c r="F133" s="4">
        <v>8</v>
      </c>
      <c r="G133" s="4">
        <v>16</v>
      </c>
      <c r="H133" s="4"/>
    </row>
    <row r="134" spans="1:8" ht="15.75" hidden="1" customHeight="1" x14ac:dyDescent="0.25">
      <c r="B134" s="4" t="s">
        <v>255</v>
      </c>
      <c r="C134" s="4" t="s">
        <v>267</v>
      </c>
      <c r="D134" s="4"/>
      <c r="E134" s="4"/>
      <c r="F134" s="4"/>
      <c r="G134" s="4"/>
      <c r="H134" s="4"/>
    </row>
    <row r="135" spans="1:8" ht="15.75" hidden="1" customHeight="1" x14ac:dyDescent="0.25">
      <c r="B135" s="4" t="s">
        <v>254</v>
      </c>
      <c r="C135" s="4" t="s">
        <v>266</v>
      </c>
      <c r="D135" s="4"/>
      <c r="E135" s="4"/>
      <c r="F135" s="4"/>
      <c r="G135" s="4"/>
      <c r="H135" s="4"/>
    </row>
    <row r="136" spans="1:8" ht="15.75" hidden="1" customHeight="1" x14ac:dyDescent="0.25">
      <c r="B136" s="4" t="s">
        <v>256</v>
      </c>
      <c r="C136" s="4" t="s">
        <v>268</v>
      </c>
      <c r="D136" s="4"/>
      <c r="E136" s="4"/>
      <c r="F136" s="4"/>
      <c r="G136" s="4"/>
      <c r="H136" s="4"/>
    </row>
    <row r="137" spans="1:8" ht="15.75" hidden="1" customHeight="1" x14ac:dyDescent="0.25">
      <c r="B137" s="4" t="s">
        <v>257</v>
      </c>
      <c r="C137" s="4" t="s">
        <v>269</v>
      </c>
      <c r="D137" s="4"/>
      <c r="E137" s="4"/>
      <c r="F137" s="4"/>
      <c r="G137" s="4"/>
      <c r="H137" s="4"/>
    </row>
    <row r="138" spans="1:8" ht="5.45" customHeight="1" x14ac:dyDescent="0.25">
      <c r="B138" s="7"/>
      <c r="C138" s="7"/>
      <c r="D138" s="7"/>
      <c r="E138" s="7"/>
      <c r="F138" s="7"/>
      <c r="G138" s="7"/>
      <c r="H138" s="7"/>
    </row>
    <row r="139" spans="1:8" ht="30" customHeight="1" x14ac:dyDescent="0.25">
      <c r="A139" s="68"/>
      <c r="B139" s="2" t="s">
        <v>112</v>
      </c>
      <c r="C139" s="3" t="s">
        <v>128</v>
      </c>
      <c r="D139" s="3" t="s">
        <v>321</v>
      </c>
      <c r="E139" s="3" t="s">
        <v>318</v>
      </c>
      <c r="F139" s="3" t="s">
        <v>319</v>
      </c>
      <c r="G139" s="3" t="s">
        <v>325</v>
      </c>
      <c r="H139" s="3" t="s">
        <v>320</v>
      </c>
    </row>
    <row r="140" spans="1:8" ht="15.75" customHeight="1" x14ac:dyDescent="0.25">
      <c r="B140" s="4" t="s">
        <v>113</v>
      </c>
      <c r="C140" s="4" t="s">
        <v>114</v>
      </c>
      <c r="D140" s="83" t="s">
        <v>346</v>
      </c>
      <c r="E140" s="83" t="s">
        <v>341</v>
      </c>
      <c r="F140" s="4" t="s">
        <v>337</v>
      </c>
      <c r="G140" s="4" t="s">
        <v>337</v>
      </c>
      <c r="H140" s="4"/>
    </row>
    <row r="141" spans="1:8" ht="15.75" hidden="1" customHeight="1" x14ac:dyDescent="0.25">
      <c r="B141" s="4" t="s">
        <v>289</v>
      </c>
      <c r="C141" s="4" t="s">
        <v>290</v>
      </c>
      <c r="D141" s="83"/>
      <c r="E141" s="83"/>
      <c r="F141" s="4"/>
      <c r="G141" s="4"/>
      <c r="H141" s="4"/>
    </row>
    <row r="142" spans="1:8" ht="15.75" customHeight="1" x14ac:dyDescent="0.25">
      <c r="B142" s="4" t="s">
        <v>200</v>
      </c>
      <c r="C142" s="4" t="s">
        <v>203</v>
      </c>
      <c r="D142" s="83" t="s">
        <v>346</v>
      </c>
      <c r="E142" s="83" t="s">
        <v>341</v>
      </c>
      <c r="F142" s="4" t="s">
        <v>337</v>
      </c>
      <c r="G142" s="4" t="s">
        <v>337</v>
      </c>
      <c r="H142" s="4"/>
    </row>
    <row r="143" spans="1:8" ht="15.75" hidden="1" customHeight="1" x14ac:dyDescent="0.25">
      <c r="B143" s="4" t="s">
        <v>248</v>
      </c>
      <c r="C143" s="4" t="s">
        <v>265</v>
      </c>
      <c r="D143" s="83"/>
      <c r="E143" s="83"/>
      <c r="F143" s="4"/>
      <c r="G143" s="4"/>
      <c r="H143" s="4"/>
    </row>
    <row r="144" spans="1:8" ht="15.75" customHeight="1" x14ac:dyDescent="0.25">
      <c r="B144" s="4" t="s">
        <v>126</v>
      </c>
      <c r="C144" s="4" t="s">
        <v>212</v>
      </c>
      <c r="D144" s="83" t="s">
        <v>346</v>
      </c>
      <c r="E144" s="83" t="s">
        <v>341</v>
      </c>
      <c r="F144" s="4" t="s">
        <v>337</v>
      </c>
      <c r="G144" s="4" t="s">
        <v>337</v>
      </c>
      <c r="H144" s="4"/>
    </row>
    <row r="145" spans="2:8" ht="15.75" hidden="1" customHeight="1" x14ac:dyDescent="0.25">
      <c r="B145" s="4" t="s">
        <v>115</v>
      </c>
      <c r="C145" s="4" t="s">
        <v>116</v>
      </c>
      <c r="D145" s="4"/>
      <c r="E145" s="4"/>
      <c r="F145" s="4">
        <v>3</v>
      </c>
      <c r="G145" s="4"/>
      <c r="H145" s="4"/>
    </row>
    <row r="146" spans="2:8" ht="15.75" hidden="1" customHeight="1" x14ac:dyDescent="0.25">
      <c r="B146" s="4" t="s">
        <v>117</v>
      </c>
      <c r="C146" s="4" t="s">
        <v>118</v>
      </c>
      <c r="D146" s="4"/>
      <c r="E146" s="4"/>
      <c r="F146" s="4" t="s">
        <v>139</v>
      </c>
      <c r="G146" s="4"/>
      <c r="H146" s="4"/>
    </row>
    <row r="147" spans="2:8" ht="15.75" hidden="1" customHeight="1" x14ac:dyDescent="0.25">
      <c r="B147" s="7"/>
      <c r="C147" s="7"/>
      <c r="D147" s="7"/>
      <c r="E147" s="7"/>
      <c r="F147" s="7"/>
      <c r="G147" s="7"/>
      <c r="H147" s="7"/>
    </row>
    <row r="148" spans="2:8" ht="15.75" hidden="1" customHeight="1" x14ac:dyDescent="0.25">
      <c r="B148" s="2" t="s">
        <v>119</v>
      </c>
      <c r="C148" s="3" t="s">
        <v>4</v>
      </c>
      <c r="D148" s="3" t="s">
        <v>120</v>
      </c>
      <c r="E148" s="3" t="s">
        <v>5</v>
      </c>
      <c r="F148" s="3" t="s">
        <v>6</v>
      </c>
      <c r="G148" s="3"/>
      <c r="H148" s="3" t="s">
        <v>7</v>
      </c>
    </row>
    <row r="149" spans="2:8" ht="15.75" hidden="1" customHeight="1" x14ac:dyDescent="0.25">
      <c r="B149" s="4" t="s">
        <v>121</v>
      </c>
      <c r="C149" s="4" t="s">
        <v>122</v>
      </c>
      <c r="D149" s="4"/>
      <c r="E149" s="4"/>
      <c r="F149" s="4" t="s">
        <v>139</v>
      </c>
      <c r="G149" s="4"/>
      <c r="H149" s="4"/>
    </row>
    <row r="150" spans="2:8" ht="15.75" hidden="1" customHeight="1" x14ac:dyDescent="0.25">
      <c r="B150" s="7"/>
      <c r="C150" s="7"/>
      <c r="D150" s="7"/>
      <c r="E150" s="7"/>
      <c r="F150" s="7"/>
      <c r="G150" s="7"/>
      <c r="H150" s="7"/>
    </row>
    <row r="151" spans="2:8" ht="15.75" hidden="1" customHeight="1" x14ac:dyDescent="0.25">
      <c r="B151" s="2" t="s">
        <v>123</v>
      </c>
      <c r="C151" s="3" t="s">
        <v>4</v>
      </c>
      <c r="D151" s="3" t="s">
        <v>120</v>
      </c>
      <c r="E151" s="3" t="s">
        <v>5</v>
      </c>
      <c r="F151" s="3" t="s">
        <v>6</v>
      </c>
      <c r="G151" s="3"/>
      <c r="H151" s="3" t="s">
        <v>7</v>
      </c>
    </row>
    <row r="152" spans="2:8" ht="15.75" hidden="1" customHeight="1" x14ac:dyDescent="0.25">
      <c r="B152" s="4" t="s">
        <v>124</v>
      </c>
      <c r="C152" s="4" t="s">
        <v>125</v>
      </c>
      <c r="D152" s="4"/>
      <c r="E152" s="9"/>
      <c r="F152" s="4" t="s">
        <v>139</v>
      </c>
      <c r="G152" s="4"/>
      <c r="H152" s="4"/>
    </row>
    <row r="153" spans="2:8" ht="15.75" hidden="1" customHeight="1" x14ac:dyDescent="0.25">
      <c r="B153" s="4" t="s">
        <v>126</v>
      </c>
      <c r="C153" s="4" t="s">
        <v>127</v>
      </c>
      <c r="D153" s="4"/>
      <c r="E153" s="9"/>
      <c r="F153" s="4" t="s">
        <v>139</v>
      </c>
      <c r="G153" s="4"/>
      <c r="H153" s="4"/>
    </row>
    <row r="154" spans="2:8" ht="15.75" hidden="1" customHeight="1" x14ac:dyDescent="0.25">
      <c r="B154"/>
    </row>
    <row r="155" spans="2:8" ht="15.75" hidden="1" customHeight="1" x14ac:dyDescent="0.25">
      <c r="B155"/>
    </row>
    <row r="156" spans="2:8" ht="15.75" hidden="1" customHeight="1" x14ac:dyDescent="0.25">
      <c r="B156" s="2" t="s">
        <v>177</v>
      </c>
      <c r="C156" s="3" t="s">
        <v>128</v>
      </c>
      <c r="D156" s="3" t="s">
        <v>201</v>
      </c>
      <c r="E156" s="13" t="s">
        <v>202</v>
      </c>
      <c r="F156" s="3" t="s">
        <v>6</v>
      </c>
      <c r="G156" s="3"/>
      <c r="H156" s="3" t="s">
        <v>7</v>
      </c>
    </row>
    <row r="157" spans="2:8" ht="15.75" hidden="1" customHeight="1" x14ac:dyDescent="0.25">
      <c r="B157" s="6" t="s">
        <v>178</v>
      </c>
      <c r="C157" s="6" t="s">
        <v>204</v>
      </c>
      <c r="D157" s="10"/>
      <c r="E157" s="10"/>
      <c r="F157" s="10"/>
      <c r="G157" s="10"/>
      <c r="H157" s="10"/>
    </row>
    <row r="158" spans="2:8" ht="5.45" customHeight="1" x14ac:dyDescent="0.25">
      <c r="B158"/>
      <c r="C158" s="1"/>
    </row>
    <row r="159" spans="2:8" ht="15.75" hidden="1" customHeight="1" x14ac:dyDescent="0.25">
      <c r="B159" s="2" t="s">
        <v>258</v>
      </c>
      <c r="C159" s="3" t="s">
        <v>128</v>
      </c>
      <c r="D159" s="3" t="s">
        <v>201</v>
      </c>
      <c r="E159" s="13" t="s">
        <v>202</v>
      </c>
      <c r="F159" s="3" t="s">
        <v>6</v>
      </c>
      <c r="G159" s="3"/>
      <c r="H159" s="3" t="s">
        <v>7</v>
      </c>
    </row>
    <row r="160" spans="2:8" ht="15.75" hidden="1" customHeight="1" x14ac:dyDescent="0.25">
      <c r="B160" s="6" t="s">
        <v>260</v>
      </c>
      <c r="C160" s="6" t="s">
        <v>263</v>
      </c>
      <c r="D160" s="10"/>
      <c r="E160" s="10"/>
      <c r="F160" s="10"/>
      <c r="G160" s="10"/>
      <c r="H160" s="10"/>
    </row>
    <row r="161" spans="1:8" ht="15.75" hidden="1" customHeight="1" x14ac:dyDescent="0.25">
      <c r="B161" s="6" t="s">
        <v>259</v>
      </c>
      <c r="C161" s="6" t="s">
        <v>262</v>
      </c>
      <c r="D161" s="10"/>
      <c r="E161" s="10"/>
      <c r="F161" s="10"/>
      <c r="G161" s="10"/>
      <c r="H161" s="10"/>
    </row>
    <row r="162" spans="1:8" ht="15.75" hidden="1" customHeight="1" x14ac:dyDescent="0.25">
      <c r="B162" s="6" t="s">
        <v>261</v>
      </c>
      <c r="C162" s="6" t="s">
        <v>264</v>
      </c>
      <c r="D162" s="10"/>
      <c r="E162" s="10"/>
      <c r="F162" s="10"/>
      <c r="G162" s="10"/>
      <c r="H162" s="10"/>
    </row>
    <row r="163" spans="1:8" ht="15.75" hidden="1" customHeight="1" x14ac:dyDescent="0.25">
      <c r="B163" s="70"/>
      <c r="C163" s="71"/>
      <c r="D163" s="71"/>
      <c r="E163" s="71"/>
      <c r="F163" s="71"/>
      <c r="G163" s="71"/>
      <c r="H163" s="71"/>
    </row>
    <row r="164" spans="1:8" ht="30" customHeight="1" x14ac:dyDescent="0.25">
      <c r="A164" s="68"/>
      <c r="B164" s="2" t="s">
        <v>132</v>
      </c>
      <c r="C164" s="3" t="s">
        <v>128</v>
      </c>
      <c r="D164" s="3" t="s">
        <v>321</v>
      </c>
      <c r="E164" s="3" t="s">
        <v>318</v>
      </c>
      <c r="F164" s="3" t="s">
        <v>319</v>
      </c>
      <c r="G164" s="3" t="s">
        <v>325</v>
      </c>
      <c r="H164" s="3" t="s">
        <v>320</v>
      </c>
    </row>
    <row r="165" spans="1:8" ht="15.75" customHeight="1" x14ac:dyDescent="0.25">
      <c r="B165" s="4" t="s">
        <v>133</v>
      </c>
      <c r="C165" s="12">
        <v>40002</v>
      </c>
      <c r="D165" s="83" t="s">
        <v>343</v>
      </c>
      <c r="E165" s="83" t="s">
        <v>341</v>
      </c>
      <c r="F165" s="4">
        <v>2</v>
      </c>
      <c r="G165" s="69">
        <v>4</v>
      </c>
      <c r="H165" s="4"/>
    </row>
    <row r="166" spans="1:8" ht="15.75" customHeight="1" x14ac:dyDescent="0.25">
      <c r="B166" s="4" t="s">
        <v>134</v>
      </c>
      <c r="C166" s="12">
        <v>80264</v>
      </c>
      <c r="D166" s="83" t="s">
        <v>343</v>
      </c>
      <c r="E166" s="83" t="s">
        <v>341</v>
      </c>
      <c r="F166" s="11" t="s">
        <v>324</v>
      </c>
      <c r="G166" s="11" t="s">
        <v>336</v>
      </c>
      <c r="H166" s="4"/>
    </row>
    <row r="167" spans="1:8" ht="15.75" customHeight="1" x14ac:dyDescent="0.25">
      <c r="B167" s="4" t="s">
        <v>135</v>
      </c>
      <c r="C167" s="12">
        <v>778701</v>
      </c>
      <c r="D167" s="83" t="s">
        <v>343</v>
      </c>
      <c r="E167" s="83" t="s">
        <v>341</v>
      </c>
      <c r="F167" s="11" t="s">
        <v>323</v>
      </c>
      <c r="G167" s="11" t="s">
        <v>324</v>
      </c>
      <c r="H167" s="4"/>
    </row>
    <row r="168" spans="1:8" ht="15.75" customHeight="1" x14ac:dyDescent="0.25">
      <c r="B168" s="4" t="s">
        <v>136</v>
      </c>
      <c r="C168" s="12">
        <v>778598</v>
      </c>
      <c r="D168" s="83" t="s">
        <v>343</v>
      </c>
      <c r="E168" s="83" t="s">
        <v>341</v>
      </c>
      <c r="F168" s="11" t="s">
        <v>323</v>
      </c>
      <c r="G168" s="11" t="s">
        <v>324</v>
      </c>
      <c r="H168" s="4"/>
    </row>
    <row r="169" spans="1:8" ht="15.75" customHeight="1" x14ac:dyDescent="0.25">
      <c r="B169" s="4" t="s">
        <v>137</v>
      </c>
      <c r="C169" s="12">
        <v>785911</v>
      </c>
      <c r="D169" s="83" t="s">
        <v>343</v>
      </c>
      <c r="E169" s="83" t="s">
        <v>341</v>
      </c>
      <c r="F169" s="4">
        <v>2</v>
      </c>
      <c r="G169" s="4">
        <v>4</v>
      </c>
      <c r="H169" s="4"/>
    </row>
    <row r="170" spans="1:8" ht="15.75" customHeight="1" x14ac:dyDescent="0.25">
      <c r="B170" s="4" t="s">
        <v>138</v>
      </c>
      <c r="C170" s="12">
        <v>794278</v>
      </c>
      <c r="D170" s="83" t="s">
        <v>343</v>
      </c>
      <c r="E170" s="83" t="s">
        <v>341</v>
      </c>
      <c r="F170" s="4">
        <v>4</v>
      </c>
      <c r="G170" s="4">
        <v>8</v>
      </c>
      <c r="H170" s="4"/>
    </row>
    <row r="171" spans="1:8" ht="15.75" customHeight="1" x14ac:dyDescent="0.25">
      <c r="B171" s="4" t="s">
        <v>219</v>
      </c>
      <c r="C171" s="72" t="s">
        <v>220</v>
      </c>
      <c r="D171" s="83" t="s">
        <v>343</v>
      </c>
      <c r="E171" s="83" t="s">
        <v>341</v>
      </c>
      <c r="F171" s="4">
        <v>1</v>
      </c>
      <c r="G171" s="4">
        <v>2</v>
      </c>
      <c r="H171" s="4"/>
    </row>
    <row r="172" spans="1:8" ht="15.75" customHeight="1" x14ac:dyDescent="0.25">
      <c r="B172" s="4" t="s">
        <v>208</v>
      </c>
      <c r="C172" s="12" t="s">
        <v>209</v>
      </c>
      <c r="D172" s="83" t="s">
        <v>342</v>
      </c>
      <c r="E172" s="84" t="s">
        <v>358</v>
      </c>
      <c r="F172" s="4">
        <v>1</v>
      </c>
      <c r="G172" s="4">
        <v>2</v>
      </c>
      <c r="H172" s="4"/>
    </row>
    <row r="173" spans="1:8" ht="5.45" customHeight="1" x14ac:dyDescent="0.25">
      <c r="B173" s="7"/>
      <c r="C173" s="38"/>
      <c r="D173" s="7"/>
      <c r="E173" s="39"/>
      <c r="F173" s="7"/>
      <c r="G173" s="7"/>
      <c r="H173" s="7"/>
    </row>
    <row r="174" spans="1:8" ht="30" customHeight="1" x14ac:dyDescent="0.25">
      <c r="A174" s="68"/>
      <c r="B174" s="2" t="s">
        <v>322</v>
      </c>
      <c r="C174" s="3" t="s">
        <v>128</v>
      </c>
      <c r="D174" s="3" t="s">
        <v>321</v>
      </c>
      <c r="E174" s="3" t="s">
        <v>326</v>
      </c>
      <c r="F174" s="3" t="s">
        <v>319</v>
      </c>
      <c r="G174" s="3" t="s">
        <v>325</v>
      </c>
      <c r="H174" s="3" t="s">
        <v>320</v>
      </c>
    </row>
    <row r="175" spans="1:8" ht="14.45" customHeight="1" x14ac:dyDescent="0.25">
      <c r="A175" s="68"/>
      <c r="B175" s="10" t="s">
        <v>222</v>
      </c>
      <c r="C175" s="10" t="s">
        <v>338</v>
      </c>
      <c r="D175" s="80" t="s">
        <v>346</v>
      </c>
      <c r="E175" s="80" t="s">
        <v>341</v>
      </c>
      <c r="F175" s="6" t="s">
        <v>339</v>
      </c>
      <c r="G175" s="81" t="s">
        <v>335</v>
      </c>
      <c r="H175" s="10"/>
    </row>
    <row r="176" spans="1:8" ht="14.45" customHeight="1" x14ac:dyDescent="0.25">
      <c r="A176" s="68"/>
      <c r="B176" s="10" t="s">
        <v>359</v>
      </c>
      <c r="C176" s="10"/>
      <c r="D176" s="80" t="s">
        <v>346</v>
      </c>
      <c r="E176" s="80" t="s">
        <v>341</v>
      </c>
      <c r="F176" s="6" t="s">
        <v>339</v>
      </c>
      <c r="G176" s="81" t="s">
        <v>335</v>
      </c>
      <c r="H176" s="10"/>
    </row>
    <row r="177" spans="1:10" ht="14.45" customHeight="1" x14ac:dyDescent="0.25">
      <c r="A177" s="68"/>
      <c r="B177" s="10" t="s">
        <v>356</v>
      </c>
      <c r="C177" s="10"/>
      <c r="D177" s="80" t="s">
        <v>346</v>
      </c>
      <c r="E177" s="80" t="s">
        <v>341</v>
      </c>
      <c r="F177" s="6" t="s">
        <v>339</v>
      </c>
      <c r="G177" s="81" t="s">
        <v>335</v>
      </c>
      <c r="H177" s="10"/>
    </row>
    <row r="178" spans="1:10" ht="14.45" customHeight="1" x14ac:dyDescent="0.25">
      <c r="A178" s="68"/>
      <c r="B178" s="10" t="s">
        <v>355</v>
      </c>
      <c r="C178" s="10"/>
      <c r="D178" s="80" t="s">
        <v>346</v>
      </c>
      <c r="E178" s="80" t="s">
        <v>341</v>
      </c>
      <c r="F178" s="6" t="s">
        <v>339</v>
      </c>
      <c r="G178" s="81" t="s">
        <v>335</v>
      </c>
      <c r="H178" s="10"/>
    </row>
    <row r="179" spans="1:10" x14ac:dyDescent="0.25">
      <c r="B179" s="10" t="s">
        <v>332</v>
      </c>
      <c r="C179" s="10" t="s">
        <v>327</v>
      </c>
      <c r="D179" s="80" t="s">
        <v>328</v>
      </c>
      <c r="E179" s="10"/>
      <c r="F179" s="6" t="s">
        <v>329</v>
      </c>
      <c r="G179" s="81" t="s">
        <v>330</v>
      </c>
      <c r="H179" s="10"/>
    </row>
    <row r="180" spans="1:10" x14ac:dyDescent="0.25">
      <c r="B180" s="10" t="s">
        <v>174</v>
      </c>
      <c r="C180" s="10" t="s">
        <v>175</v>
      </c>
      <c r="D180" s="80" t="s">
        <v>328</v>
      </c>
      <c r="E180" s="10"/>
      <c r="F180" s="6" t="s">
        <v>331</v>
      </c>
      <c r="G180" s="6"/>
      <c r="H180" s="10"/>
    </row>
    <row r="181" spans="1:10" x14ac:dyDescent="0.25">
      <c r="B181" s="10" t="s">
        <v>129</v>
      </c>
      <c r="C181" s="10" t="s">
        <v>130</v>
      </c>
      <c r="D181" s="6"/>
      <c r="E181" s="10"/>
      <c r="F181" s="6" t="s">
        <v>131</v>
      </c>
      <c r="G181" s="6"/>
      <c r="H181" s="10"/>
    </row>
    <row r="182" spans="1:10" x14ac:dyDescent="0.25">
      <c r="B182" s="10" t="s">
        <v>349</v>
      </c>
      <c r="C182" s="10"/>
      <c r="D182" s="80" t="s">
        <v>333</v>
      </c>
      <c r="E182" s="80" t="s">
        <v>357</v>
      </c>
      <c r="F182" s="6" t="s">
        <v>207</v>
      </c>
      <c r="G182" s="6" t="s">
        <v>334</v>
      </c>
      <c r="H182" s="10"/>
    </row>
    <row r="183" spans="1:10" x14ac:dyDescent="0.25">
      <c r="B183" s="10" t="s">
        <v>350</v>
      </c>
      <c r="C183" s="10" t="s">
        <v>348</v>
      </c>
      <c r="D183" s="80" t="s">
        <v>328</v>
      </c>
      <c r="E183" s="80" t="s">
        <v>328</v>
      </c>
      <c r="F183" s="10" t="s">
        <v>360</v>
      </c>
      <c r="G183" s="10" t="s">
        <v>363</v>
      </c>
      <c r="H183" s="10"/>
    </row>
    <row r="184" spans="1:10" x14ac:dyDescent="0.25">
      <c r="B184" s="10" t="s">
        <v>351</v>
      </c>
      <c r="C184" s="10" t="s">
        <v>348</v>
      </c>
      <c r="D184" s="80" t="s">
        <v>328</v>
      </c>
      <c r="E184" s="80" t="s">
        <v>328</v>
      </c>
      <c r="F184" s="10" t="s">
        <v>360</v>
      </c>
      <c r="G184" s="10" t="s">
        <v>363</v>
      </c>
      <c r="H184" s="10"/>
    </row>
    <row r="185" spans="1:10" x14ac:dyDescent="0.25">
      <c r="B185" s="10" t="s">
        <v>352</v>
      </c>
      <c r="C185" s="10" t="s">
        <v>348</v>
      </c>
      <c r="D185" s="80" t="s">
        <v>328</v>
      </c>
      <c r="E185" s="80" t="s">
        <v>328</v>
      </c>
      <c r="F185" s="10" t="s">
        <v>360</v>
      </c>
      <c r="G185" s="10" t="s">
        <v>363</v>
      </c>
      <c r="H185" s="10"/>
    </row>
    <row r="186" spans="1:10" x14ac:dyDescent="0.25">
      <c r="B186" s="10" t="s">
        <v>353</v>
      </c>
      <c r="C186" s="10" t="s">
        <v>348</v>
      </c>
      <c r="D186" s="80" t="s">
        <v>328</v>
      </c>
      <c r="E186" s="80" t="s">
        <v>328</v>
      </c>
      <c r="F186" s="10" t="s">
        <v>360</v>
      </c>
      <c r="G186" s="10" t="s">
        <v>363</v>
      </c>
      <c r="H186" s="10"/>
    </row>
    <row r="187" spans="1:10" x14ac:dyDescent="0.25">
      <c r="B187" s="10" t="s">
        <v>354</v>
      </c>
      <c r="C187" s="10" t="s">
        <v>348</v>
      </c>
      <c r="D187" s="80" t="s">
        <v>328</v>
      </c>
      <c r="E187" s="80" t="s">
        <v>328</v>
      </c>
      <c r="F187" s="10" t="s">
        <v>361</v>
      </c>
      <c r="G187" s="10" t="s">
        <v>362</v>
      </c>
      <c r="H187" s="10"/>
      <c r="I187" s="88" t="s">
        <v>347</v>
      </c>
      <c r="J187" s="89"/>
    </row>
  </sheetData>
  <mergeCells count="9">
    <mergeCell ref="A72:A92"/>
    <mergeCell ref="A96:A101"/>
    <mergeCell ref="A1:H2"/>
    <mergeCell ref="A35:A39"/>
    <mergeCell ref="A46:A71"/>
    <mergeCell ref="A6:A9"/>
    <mergeCell ref="A10:A15"/>
    <mergeCell ref="A17:A27"/>
    <mergeCell ref="A28:A34"/>
  </mergeCells>
  <phoneticPr fontId="6" type="noConversion"/>
  <pageMargins left="0.23622047244094499" right="0.23622047244094499" top="0.74803149606299202" bottom="0.74803149606299202" header="0.31496062992126" footer="0.31496062992126"/>
  <pageSetup orientation="portrait" horizontalDpi="300" verticalDpi="300" r:id="rId1"/>
  <headerFooter>
    <oddFooter>&amp;L&amp;F&amp;RCreated : 07/07/16JB
Revised: 10/08/24AS</oddFooter>
  </headerFooter>
  <rowBreaks count="1" manualBreakCount="1">
    <brk id="108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KCUXSFP4QNP6FZTZLVHYMLFU52DIKTLF:ms-officescript%3A%2F%2Fonedrive_business_sharinglink%2Fu!aHR0cHM6Ly9zZWxlY3RmaW5pc2hpbmctbXkuc2hhcmVwb2ludC5jb20vOnU6L2cvcGVyc29uYWwvdGVvZG9yYV9zdWNpdV9zZWxlY3RmaW5pc2hpbmdfY2EvRWZ5RFgtTG1lVjFQaGl5MDdvYUZUV1VCdnZJYXE2Mm5HSzJZbzZxU1A4UEEtUQ"/>
</scriptIds>
</file>

<file path=customXml/itemProps1.xml><?xml version="1.0" encoding="utf-8"?>
<ds:datastoreItem xmlns:ds="http://schemas.openxmlformats.org/officeDocument/2006/customXml" ds:itemID="{A0ECB8B4-EDD9-4C35-A64C-55426EA23857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Rev 7</vt:lpstr>
      <vt:lpstr>Rev Log</vt:lpstr>
      <vt:lpstr>Rev 6</vt:lpstr>
      <vt:lpstr>'Rev 6'!Print_Area</vt:lpstr>
      <vt:lpstr>'Rev 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</dc:creator>
  <cp:lastModifiedBy>Nicholas Franche</cp:lastModifiedBy>
  <cp:lastPrinted>2025-01-17T14:08:09Z</cp:lastPrinted>
  <dcterms:created xsi:type="dcterms:W3CDTF">2016-11-09T21:33:55Z</dcterms:created>
  <dcterms:modified xsi:type="dcterms:W3CDTF">2025-01-17T15:01:29Z</dcterms:modified>
</cp:coreProperties>
</file>