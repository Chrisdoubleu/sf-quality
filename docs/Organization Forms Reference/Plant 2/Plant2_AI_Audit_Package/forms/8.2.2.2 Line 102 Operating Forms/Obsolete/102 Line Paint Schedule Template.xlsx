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7 Scheduling\Plant 2\102 Line\"/>
    </mc:Choice>
  </mc:AlternateContent>
  <xr:revisionPtr revIDLastSave="0" documentId="13_ncr:1_{C4D35342-F393-4910-A97A-522A7FC3FBC3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Monday" sheetId="2" r:id="rId1"/>
    <sheet name="Tuesday" sheetId="8" r:id="rId2"/>
    <sheet name="Wednesday" sheetId="9" r:id="rId3"/>
    <sheet name="Thursday" sheetId="10" r:id="rId4"/>
    <sheet name="Friday" sheetId="11" r:id="rId5"/>
    <sheet name="Saturday" sheetId="12" r:id="rId6"/>
    <sheet name="ScheduleMasterRef" sheetId="7" state="hidden" r:id="rId7"/>
    <sheet name="MasterTimeRef" sheetId="3" state="hidden" r:id="rId8"/>
    <sheet name="MasterJobRef" sheetId="6" state="hidden" r:id="rId9"/>
  </sheets>
  <definedNames>
    <definedName name="_xlnm._FilterDatabase" localSheetId="4" hidden="1">Friday!$V$5:$V$17</definedName>
    <definedName name="_xlnm._FilterDatabase" localSheetId="0" hidden="1">Monday!$Q$5:$Q$33</definedName>
    <definedName name="_xlnm.Print_Area" localSheetId="0">Monday!$C$1:$H$43</definedName>
  </definedNames>
  <calcPr calcId="181029"/>
</workbook>
</file>

<file path=xl/calcChain.xml><?xml version="1.0" encoding="utf-8"?>
<calcChain xmlns="http://schemas.openxmlformats.org/spreadsheetml/2006/main">
  <c r="I8" i="12" l="1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7" i="12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7" i="11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7" i="10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7" i="9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7" i="8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7" i="2"/>
  <c r="F4" i="12"/>
  <c r="F4" i="11"/>
  <c r="F4" i="10"/>
  <c r="F4" i="9"/>
  <c r="F4" i="8"/>
  <c r="H42" i="12"/>
  <c r="I42" i="12" s="1"/>
  <c r="I41" i="12"/>
  <c r="I40" i="12"/>
  <c r="M9" i="12"/>
  <c r="M8" i="12"/>
  <c r="A7" i="12" a="1"/>
  <c r="A41" i="12" s="1"/>
  <c r="B41" i="12" s="1"/>
  <c r="H42" i="11"/>
  <c r="I42" i="11" s="1"/>
  <c r="I41" i="11"/>
  <c r="I40" i="11"/>
  <c r="M9" i="11"/>
  <c r="A7" i="11" a="1"/>
  <c r="H42" i="10"/>
  <c r="I42" i="10" s="1"/>
  <c r="I41" i="10"/>
  <c r="I40" i="10"/>
  <c r="M9" i="10"/>
  <c r="M8" i="10"/>
  <c r="A7" i="10" a="1"/>
  <c r="A41" i="10" s="1"/>
  <c r="B41" i="10" s="1"/>
  <c r="H42" i="9"/>
  <c r="I42" i="9" s="1"/>
  <c r="I41" i="9"/>
  <c r="I40" i="9"/>
  <c r="M9" i="9"/>
  <c r="M8" i="9"/>
  <c r="A7" i="9" a="1"/>
  <c r="A41" i="9" s="1"/>
  <c r="B41" i="9" s="1"/>
  <c r="H42" i="8"/>
  <c r="I42" i="8" s="1"/>
  <c r="I41" i="8"/>
  <c r="I40" i="8"/>
  <c r="M7" i="8"/>
  <c r="M9" i="8"/>
  <c r="M8" i="8"/>
  <c r="A7" i="8" a="1"/>
  <c r="M7" i="12" l="1"/>
  <c r="M7" i="11"/>
  <c r="M8" i="11"/>
  <c r="M6" i="10"/>
  <c r="M7" i="10"/>
  <c r="M7" i="9"/>
  <c r="M6" i="12"/>
  <c r="M6" i="9"/>
  <c r="A14" i="12"/>
  <c r="B14" i="12" s="1"/>
  <c r="A22" i="12"/>
  <c r="B22" i="12" s="1"/>
  <c r="C22" i="12" s="1"/>
  <c r="A30" i="12"/>
  <c r="B30" i="12" s="1"/>
  <c r="A38" i="12"/>
  <c r="B38" i="12" s="1"/>
  <c r="A7" i="12"/>
  <c r="B7" i="12" s="1"/>
  <c r="A11" i="12"/>
  <c r="B11" i="12" s="1"/>
  <c r="A15" i="12"/>
  <c r="B15" i="12" s="1"/>
  <c r="A19" i="12"/>
  <c r="B19" i="12" s="1"/>
  <c r="A23" i="12"/>
  <c r="B23" i="12" s="1"/>
  <c r="A27" i="12"/>
  <c r="B27" i="12" s="1"/>
  <c r="A31" i="12"/>
  <c r="B31" i="12" s="1"/>
  <c r="C31" i="12" s="1"/>
  <c r="A35" i="12"/>
  <c r="B35" i="12" s="1"/>
  <c r="A39" i="12"/>
  <c r="B39" i="12" s="1"/>
  <c r="A43" i="12"/>
  <c r="B43" i="12" s="1"/>
  <c r="C43" i="12" s="1"/>
  <c r="A10" i="12"/>
  <c r="B10" i="12" s="1"/>
  <c r="A8" i="12"/>
  <c r="B8" i="12" s="1"/>
  <c r="A12" i="12"/>
  <c r="B12" i="12" s="1"/>
  <c r="A16" i="12"/>
  <c r="B16" i="12" s="1"/>
  <c r="A20" i="12"/>
  <c r="B20" i="12" s="1"/>
  <c r="A24" i="12"/>
  <c r="B24" i="12" s="1"/>
  <c r="A28" i="12"/>
  <c r="B28" i="12" s="1"/>
  <c r="A32" i="12"/>
  <c r="B32" i="12" s="1"/>
  <c r="A36" i="12"/>
  <c r="B36" i="12" s="1"/>
  <c r="A40" i="12"/>
  <c r="B40" i="12" s="1"/>
  <c r="A18" i="12"/>
  <c r="B18" i="12" s="1"/>
  <c r="A26" i="12"/>
  <c r="B26" i="12" s="1"/>
  <c r="C26" i="12" s="1"/>
  <c r="A34" i="12"/>
  <c r="B34" i="12" s="1"/>
  <c r="A42" i="12"/>
  <c r="B42" i="12" s="1"/>
  <c r="C42" i="12" s="1"/>
  <c r="A9" i="12"/>
  <c r="B9" i="12" s="1"/>
  <c r="A13" i="12"/>
  <c r="B13" i="12" s="1"/>
  <c r="C13" i="12" s="1"/>
  <c r="A17" i="12"/>
  <c r="B17" i="12" s="1"/>
  <c r="A21" i="12"/>
  <c r="B21" i="12" s="1"/>
  <c r="A25" i="12"/>
  <c r="B25" i="12" s="1"/>
  <c r="A29" i="12"/>
  <c r="B29" i="12" s="1"/>
  <c r="C29" i="12" s="1"/>
  <c r="A33" i="12"/>
  <c r="B33" i="12" s="1"/>
  <c r="A37" i="12"/>
  <c r="B37" i="12" s="1"/>
  <c r="A41" i="11"/>
  <c r="B41" i="11" s="1"/>
  <c r="A37" i="11"/>
  <c r="B37" i="11" s="1"/>
  <c r="A33" i="11"/>
  <c r="B33" i="11" s="1"/>
  <c r="A29" i="11"/>
  <c r="B29" i="11" s="1"/>
  <c r="A25" i="11"/>
  <c r="B25" i="11" s="1"/>
  <c r="A21" i="11"/>
  <c r="B21" i="11" s="1"/>
  <c r="A17" i="11"/>
  <c r="B17" i="11" s="1"/>
  <c r="A13" i="11"/>
  <c r="B13" i="11" s="1"/>
  <c r="A9" i="11"/>
  <c r="B9" i="11" s="1"/>
  <c r="A40" i="11"/>
  <c r="B40" i="11" s="1"/>
  <c r="A36" i="11"/>
  <c r="B36" i="11" s="1"/>
  <c r="A32" i="11"/>
  <c r="B32" i="11" s="1"/>
  <c r="C32" i="11" s="1"/>
  <c r="A28" i="11"/>
  <c r="B28" i="11" s="1"/>
  <c r="A24" i="11"/>
  <c r="B24" i="11" s="1"/>
  <c r="A20" i="11"/>
  <c r="B20" i="11" s="1"/>
  <c r="A16" i="11"/>
  <c r="B16" i="11" s="1"/>
  <c r="C16" i="11" s="1"/>
  <c r="A12" i="11"/>
  <c r="B12" i="11" s="1"/>
  <c r="A8" i="11"/>
  <c r="B8" i="11" s="1"/>
  <c r="A43" i="11"/>
  <c r="B43" i="11" s="1"/>
  <c r="A39" i="11"/>
  <c r="B39" i="11" s="1"/>
  <c r="C39" i="11" s="1"/>
  <c r="A35" i="11"/>
  <c r="B35" i="11" s="1"/>
  <c r="A31" i="11"/>
  <c r="B31" i="11" s="1"/>
  <c r="A27" i="11"/>
  <c r="B27" i="11" s="1"/>
  <c r="A23" i="11"/>
  <c r="B23" i="11" s="1"/>
  <c r="C23" i="11" s="1"/>
  <c r="A19" i="11"/>
  <c r="B19" i="11" s="1"/>
  <c r="A15" i="11"/>
  <c r="B15" i="11" s="1"/>
  <c r="A11" i="11"/>
  <c r="B11" i="11" s="1"/>
  <c r="A18" i="11"/>
  <c r="B18" i="11" s="1"/>
  <c r="C18" i="11" s="1"/>
  <c r="A7" i="11"/>
  <c r="B7" i="11" s="1"/>
  <c r="A22" i="11"/>
  <c r="B22" i="11" s="1"/>
  <c r="C22" i="11" s="1"/>
  <c r="A38" i="11"/>
  <c r="B38" i="11" s="1"/>
  <c r="C38" i="11" s="1"/>
  <c r="A26" i="11"/>
  <c r="B26" i="11" s="1"/>
  <c r="A42" i="11"/>
  <c r="B42" i="11" s="1"/>
  <c r="C42" i="11" s="1"/>
  <c r="A34" i="11"/>
  <c r="B34" i="11" s="1"/>
  <c r="A10" i="11"/>
  <c r="B10" i="11" s="1"/>
  <c r="M6" i="11"/>
  <c r="A14" i="11"/>
  <c r="B14" i="11" s="1"/>
  <c r="A30" i="11"/>
  <c r="B30" i="11" s="1"/>
  <c r="A14" i="10"/>
  <c r="B14" i="10" s="1"/>
  <c r="A26" i="10"/>
  <c r="B26" i="10" s="1"/>
  <c r="A34" i="10"/>
  <c r="B34" i="10" s="1"/>
  <c r="A38" i="10"/>
  <c r="B38" i="10" s="1"/>
  <c r="A7" i="10"/>
  <c r="B7" i="10" s="1"/>
  <c r="A11" i="10"/>
  <c r="B11" i="10" s="1"/>
  <c r="A15" i="10"/>
  <c r="B15" i="10" s="1"/>
  <c r="A19" i="10"/>
  <c r="B19" i="10" s="1"/>
  <c r="A23" i="10"/>
  <c r="B23" i="10" s="1"/>
  <c r="C23" i="10" s="1"/>
  <c r="A27" i="10"/>
  <c r="B27" i="10" s="1"/>
  <c r="C27" i="10" s="1"/>
  <c r="A31" i="10"/>
  <c r="B31" i="10" s="1"/>
  <c r="A35" i="10"/>
  <c r="B35" i="10" s="1"/>
  <c r="A39" i="10"/>
  <c r="B39" i="10" s="1"/>
  <c r="C39" i="10" s="1"/>
  <c r="A43" i="10"/>
  <c r="B43" i="10" s="1"/>
  <c r="A10" i="10"/>
  <c r="B10" i="10" s="1"/>
  <c r="A22" i="10"/>
  <c r="B22" i="10" s="1"/>
  <c r="A30" i="10"/>
  <c r="B30" i="10" s="1"/>
  <c r="A42" i="10"/>
  <c r="B42" i="10" s="1"/>
  <c r="C42" i="10" s="1"/>
  <c r="A8" i="10"/>
  <c r="B8" i="10" s="1"/>
  <c r="A12" i="10"/>
  <c r="B12" i="10" s="1"/>
  <c r="A16" i="10"/>
  <c r="B16" i="10" s="1"/>
  <c r="A20" i="10"/>
  <c r="B20" i="10" s="1"/>
  <c r="A24" i="10"/>
  <c r="B24" i="10" s="1"/>
  <c r="A28" i="10"/>
  <c r="B28" i="10" s="1"/>
  <c r="A32" i="10"/>
  <c r="B32" i="10" s="1"/>
  <c r="A36" i="10"/>
  <c r="B36" i="10" s="1"/>
  <c r="A40" i="10"/>
  <c r="B40" i="10" s="1"/>
  <c r="A18" i="10"/>
  <c r="B18" i="10" s="1"/>
  <c r="A9" i="10"/>
  <c r="B9" i="10" s="1"/>
  <c r="A13" i="10"/>
  <c r="B13" i="10" s="1"/>
  <c r="A17" i="10"/>
  <c r="B17" i="10" s="1"/>
  <c r="A21" i="10"/>
  <c r="B21" i="10" s="1"/>
  <c r="A25" i="10"/>
  <c r="B25" i="10" s="1"/>
  <c r="A29" i="10"/>
  <c r="B29" i="10" s="1"/>
  <c r="A33" i="10"/>
  <c r="B33" i="10" s="1"/>
  <c r="A37" i="10"/>
  <c r="B37" i="10" s="1"/>
  <c r="A22" i="9"/>
  <c r="B22" i="9" s="1"/>
  <c r="A30" i="9"/>
  <c r="B30" i="9" s="1"/>
  <c r="A38" i="9"/>
  <c r="B38" i="9" s="1"/>
  <c r="C38" i="9" s="1"/>
  <c r="A7" i="9"/>
  <c r="B7" i="9" s="1"/>
  <c r="A11" i="9"/>
  <c r="B11" i="9" s="1"/>
  <c r="C11" i="9" s="1"/>
  <c r="A15" i="9"/>
  <c r="B15" i="9" s="1"/>
  <c r="A19" i="9"/>
  <c r="B19" i="9" s="1"/>
  <c r="C19" i="9" s="1"/>
  <c r="A23" i="9"/>
  <c r="B23" i="9" s="1"/>
  <c r="A27" i="9"/>
  <c r="B27" i="9" s="1"/>
  <c r="A31" i="9"/>
  <c r="B31" i="9" s="1"/>
  <c r="C31" i="9" s="1"/>
  <c r="A35" i="9"/>
  <c r="B35" i="9" s="1"/>
  <c r="A39" i="9"/>
  <c r="B39" i="9" s="1"/>
  <c r="A43" i="9"/>
  <c r="B43" i="9" s="1"/>
  <c r="C43" i="9" s="1"/>
  <c r="A14" i="9"/>
  <c r="B14" i="9" s="1"/>
  <c r="A8" i="9"/>
  <c r="B8" i="9" s="1"/>
  <c r="C8" i="9" s="1"/>
  <c r="A12" i="9"/>
  <c r="B12" i="9" s="1"/>
  <c r="A16" i="9"/>
  <c r="B16" i="9" s="1"/>
  <c r="A20" i="9"/>
  <c r="B20" i="9" s="1"/>
  <c r="A24" i="9"/>
  <c r="B24" i="9" s="1"/>
  <c r="C24" i="9" s="1"/>
  <c r="A28" i="9"/>
  <c r="B28" i="9" s="1"/>
  <c r="A32" i="9"/>
  <c r="B32" i="9" s="1"/>
  <c r="A36" i="9"/>
  <c r="B36" i="9" s="1"/>
  <c r="A40" i="9"/>
  <c r="B40" i="9" s="1"/>
  <c r="C40" i="9" s="1"/>
  <c r="A10" i="9"/>
  <c r="B10" i="9" s="1"/>
  <c r="A18" i="9"/>
  <c r="B18" i="9" s="1"/>
  <c r="A26" i="9"/>
  <c r="B26" i="9" s="1"/>
  <c r="C26" i="9" s="1"/>
  <c r="A34" i="9"/>
  <c r="B34" i="9" s="1"/>
  <c r="A42" i="9"/>
  <c r="B42" i="9" s="1"/>
  <c r="C42" i="9" s="1"/>
  <c r="A9" i="9"/>
  <c r="B9" i="9" s="1"/>
  <c r="A13" i="9"/>
  <c r="B13" i="9" s="1"/>
  <c r="C13" i="9" s="1"/>
  <c r="A17" i="9"/>
  <c r="B17" i="9" s="1"/>
  <c r="C17" i="9" s="1"/>
  <c r="A21" i="9"/>
  <c r="B21" i="9" s="1"/>
  <c r="A25" i="9"/>
  <c r="B25" i="9" s="1"/>
  <c r="A29" i="9"/>
  <c r="B29" i="9" s="1"/>
  <c r="C29" i="9" s="1"/>
  <c r="A33" i="9"/>
  <c r="B33" i="9" s="1"/>
  <c r="C33" i="9" s="1"/>
  <c r="A37" i="9"/>
  <c r="B37" i="9" s="1"/>
  <c r="A41" i="8"/>
  <c r="B41" i="8" s="1"/>
  <c r="A37" i="8"/>
  <c r="B37" i="8" s="1"/>
  <c r="A33" i="8"/>
  <c r="B33" i="8" s="1"/>
  <c r="A29" i="8"/>
  <c r="B29" i="8" s="1"/>
  <c r="C29" i="8" s="1"/>
  <c r="A25" i="8"/>
  <c r="B25" i="8" s="1"/>
  <c r="A21" i="8"/>
  <c r="B21" i="8" s="1"/>
  <c r="A17" i="8"/>
  <c r="B17" i="8" s="1"/>
  <c r="A13" i="8"/>
  <c r="B13" i="8" s="1"/>
  <c r="C13" i="8" s="1"/>
  <c r="A9" i="8"/>
  <c r="B9" i="8" s="1"/>
  <c r="A40" i="8"/>
  <c r="B40" i="8" s="1"/>
  <c r="A36" i="8"/>
  <c r="B36" i="8" s="1"/>
  <c r="C36" i="8" s="1"/>
  <c r="A32" i="8"/>
  <c r="B32" i="8" s="1"/>
  <c r="C32" i="8" s="1"/>
  <c r="A28" i="8"/>
  <c r="B28" i="8" s="1"/>
  <c r="A24" i="8"/>
  <c r="B24" i="8" s="1"/>
  <c r="A20" i="8"/>
  <c r="B20" i="8" s="1"/>
  <c r="C20" i="8" s="1"/>
  <c r="A16" i="8"/>
  <c r="B16" i="8" s="1"/>
  <c r="C16" i="8" s="1"/>
  <c r="A12" i="8"/>
  <c r="B12" i="8" s="1"/>
  <c r="A8" i="8"/>
  <c r="B8" i="8" s="1"/>
  <c r="A43" i="8"/>
  <c r="B43" i="8" s="1"/>
  <c r="A39" i="8"/>
  <c r="B39" i="8" s="1"/>
  <c r="A35" i="8"/>
  <c r="B35" i="8" s="1"/>
  <c r="A31" i="8"/>
  <c r="B31" i="8" s="1"/>
  <c r="A27" i="8"/>
  <c r="B27" i="8" s="1"/>
  <c r="A23" i="8"/>
  <c r="B23" i="8" s="1"/>
  <c r="C23" i="8" s="1"/>
  <c r="A19" i="8"/>
  <c r="B19" i="8" s="1"/>
  <c r="A15" i="8"/>
  <c r="B15" i="8" s="1"/>
  <c r="A11" i="8"/>
  <c r="B11" i="8" s="1"/>
  <c r="C11" i="8" s="1"/>
  <c r="A18" i="8"/>
  <c r="B18" i="8" s="1"/>
  <c r="C18" i="8" s="1"/>
  <c r="A34" i="8"/>
  <c r="B34" i="8" s="1"/>
  <c r="A7" i="8"/>
  <c r="B7" i="8" s="1"/>
  <c r="A22" i="8"/>
  <c r="B22" i="8" s="1"/>
  <c r="C22" i="8" s="1"/>
  <c r="A38" i="8"/>
  <c r="B38" i="8" s="1"/>
  <c r="C38" i="8" s="1"/>
  <c r="A10" i="8"/>
  <c r="B10" i="8" s="1"/>
  <c r="C10" i="8" s="1"/>
  <c r="A26" i="8"/>
  <c r="B26" i="8" s="1"/>
  <c r="C26" i="8" s="1"/>
  <c r="A42" i="8"/>
  <c r="B42" i="8" s="1"/>
  <c r="C42" i="8" s="1"/>
  <c r="M6" i="8"/>
  <c r="A14" i="8"/>
  <c r="B14" i="8" s="1"/>
  <c r="A30" i="8"/>
  <c r="B30" i="8" s="1"/>
  <c r="C33" i="12" l="1"/>
  <c r="C17" i="12"/>
  <c r="C36" i="12"/>
  <c r="C20" i="12"/>
  <c r="C10" i="12"/>
  <c r="C15" i="12"/>
  <c r="C30" i="12"/>
  <c r="C25" i="12"/>
  <c r="C9" i="12"/>
  <c r="C39" i="12"/>
  <c r="C13" i="11"/>
  <c r="C29" i="11"/>
  <c r="C26" i="11"/>
  <c r="C43" i="11"/>
  <c r="C36" i="11"/>
  <c r="C10" i="11"/>
  <c r="C20" i="11"/>
  <c r="C17" i="10"/>
  <c r="C40" i="10"/>
  <c r="C24" i="10"/>
  <c r="C8" i="10"/>
  <c r="C10" i="10"/>
  <c r="C31" i="10"/>
  <c r="C15" i="10"/>
  <c r="C33" i="10"/>
  <c r="C29" i="10"/>
  <c r="C13" i="10"/>
  <c r="C36" i="10"/>
  <c r="C20" i="10"/>
  <c r="C26" i="10"/>
  <c r="C27" i="8"/>
  <c r="C15" i="8"/>
  <c r="C32" i="12"/>
  <c r="C16" i="12"/>
  <c r="C18" i="12"/>
  <c r="C28" i="12"/>
  <c r="C12" i="12"/>
  <c r="C23" i="12"/>
  <c r="C14" i="12"/>
  <c r="C34" i="12"/>
  <c r="C27" i="12"/>
  <c r="C11" i="12"/>
  <c r="C37" i="12"/>
  <c r="C21" i="12"/>
  <c r="C40" i="12"/>
  <c r="C24" i="12"/>
  <c r="C8" i="12"/>
  <c r="C35" i="12"/>
  <c r="C19" i="12"/>
  <c r="C38" i="12"/>
  <c r="C41" i="12"/>
  <c r="C33" i="11"/>
  <c r="C30" i="11"/>
  <c r="C34" i="11"/>
  <c r="C15" i="11"/>
  <c r="C31" i="11"/>
  <c r="C8" i="11"/>
  <c r="C24" i="11"/>
  <c r="C40" i="11"/>
  <c r="C21" i="11"/>
  <c r="C37" i="11"/>
  <c r="C11" i="11"/>
  <c r="C27" i="11"/>
  <c r="C17" i="11"/>
  <c r="C14" i="11"/>
  <c r="C19" i="11"/>
  <c r="C35" i="11"/>
  <c r="C12" i="11"/>
  <c r="C28" i="11"/>
  <c r="C9" i="11"/>
  <c r="C25" i="11"/>
  <c r="C41" i="11"/>
  <c r="C34" i="10"/>
  <c r="C43" i="10"/>
  <c r="C11" i="10"/>
  <c r="C25" i="10"/>
  <c r="C9" i="10"/>
  <c r="C32" i="10"/>
  <c r="C16" i="10"/>
  <c r="C30" i="10"/>
  <c r="C14" i="10"/>
  <c r="C37" i="10"/>
  <c r="C21" i="10"/>
  <c r="C18" i="10"/>
  <c r="C28" i="10"/>
  <c r="C12" i="10"/>
  <c r="C22" i="10"/>
  <c r="C35" i="10"/>
  <c r="C19" i="10"/>
  <c r="C38" i="10"/>
  <c r="C41" i="10"/>
  <c r="C36" i="9"/>
  <c r="C20" i="9"/>
  <c r="C14" i="9"/>
  <c r="C15" i="9"/>
  <c r="C9" i="9"/>
  <c r="C18" i="9"/>
  <c r="C16" i="9"/>
  <c r="C27" i="9"/>
  <c r="C22" i="9"/>
  <c r="C34" i="9"/>
  <c r="C35" i="9"/>
  <c r="C30" i="9"/>
  <c r="C25" i="9"/>
  <c r="C32" i="9"/>
  <c r="C37" i="9"/>
  <c r="C21" i="9"/>
  <c r="C10" i="9"/>
  <c r="C28" i="9"/>
  <c r="C12" i="9"/>
  <c r="C39" i="9"/>
  <c r="C23" i="9"/>
  <c r="C41" i="9"/>
  <c r="C39" i="8"/>
  <c r="C17" i="8"/>
  <c r="C31" i="8"/>
  <c r="C24" i="8"/>
  <c r="C37" i="8"/>
  <c r="C43" i="8"/>
  <c r="C33" i="8"/>
  <c r="C30" i="8"/>
  <c r="C8" i="8"/>
  <c r="C40" i="8"/>
  <c r="C21" i="8"/>
  <c r="C14" i="8"/>
  <c r="C34" i="8"/>
  <c r="C19" i="8"/>
  <c r="C35" i="8"/>
  <c r="C12" i="8"/>
  <c r="C28" i="8"/>
  <c r="C9" i="8"/>
  <c r="C25" i="8"/>
  <c r="C41" i="8"/>
  <c r="H42" i="2" l="1"/>
  <c r="I42" i="2" s="1"/>
  <c r="A7" i="2" l="1" a="1"/>
  <c r="A7" i="2" s="1"/>
  <c r="B7" i="2" l="1"/>
  <c r="I41" i="2" l="1"/>
  <c r="I40" i="2"/>
  <c r="M6" i="2" l="1"/>
  <c r="M7" i="2"/>
  <c r="A43" i="2"/>
  <c r="B43" i="2" s="1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B42" i="2" l="1"/>
  <c r="B41" i="2" l="1"/>
  <c r="C43" i="2"/>
  <c r="B40" i="2" l="1"/>
  <c r="C42" i="2"/>
  <c r="B39" i="2" l="1"/>
  <c r="C41" i="2"/>
  <c r="B38" i="2" l="1"/>
  <c r="C39" i="2" s="1"/>
  <c r="C40" i="2"/>
  <c r="B37" i="2" l="1"/>
  <c r="B36" i="2" l="1"/>
  <c r="C38" i="2"/>
  <c r="B35" i="2" l="1"/>
  <c r="C37" i="2"/>
  <c r="B34" i="2" l="1"/>
  <c r="C35" i="2" s="1"/>
  <c r="C36" i="2"/>
  <c r="B33" i="2" l="1"/>
  <c r="B32" i="2" l="1"/>
  <c r="C34" i="2"/>
  <c r="B31" i="2" l="1"/>
  <c r="C33" i="2"/>
  <c r="B30" i="2" l="1"/>
  <c r="C32" i="2"/>
  <c r="B29" i="2" l="1"/>
  <c r="C31" i="2"/>
  <c r="B28" i="2" l="1"/>
  <c r="C30" i="2"/>
  <c r="B27" i="2" l="1"/>
  <c r="C28" i="2" s="1"/>
  <c r="C29" i="2"/>
  <c r="B26" i="2" l="1"/>
  <c r="B25" i="2" l="1"/>
  <c r="C27" i="2"/>
  <c r="B24" i="2" l="1"/>
  <c r="C25" i="2" s="1"/>
  <c r="C26" i="2"/>
  <c r="B23" i="2" l="1"/>
  <c r="B22" i="2" l="1"/>
  <c r="C24" i="2"/>
  <c r="B21" i="2" l="1"/>
  <c r="C23" i="2"/>
  <c r="B20" i="2" l="1"/>
  <c r="C22" i="2"/>
  <c r="B19" i="2" l="1"/>
  <c r="C21" i="2"/>
  <c r="B18" i="2" l="1"/>
  <c r="C20" i="2"/>
  <c r="B17" i="2" l="1"/>
  <c r="C19" i="2"/>
  <c r="B16" i="2" l="1"/>
  <c r="C18" i="2"/>
  <c r="B15" i="2" l="1"/>
  <c r="C17" i="2"/>
  <c r="B14" i="2" l="1"/>
  <c r="C16" i="2"/>
  <c r="B13" i="2" l="1"/>
  <c r="C15" i="2"/>
  <c r="B12" i="2" l="1"/>
  <c r="C14" i="2"/>
  <c r="B11" i="2" l="1"/>
  <c r="C13" i="2"/>
  <c r="B10" i="2" l="1"/>
  <c r="C12" i="2"/>
  <c r="B9" i="2" l="1"/>
  <c r="C11" i="2"/>
  <c r="B8" i="2" l="1"/>
  <c r="C8" i="2" s="1"/>
  <c r="C10" i="2"/>
  <c r="C9" i="2" l="1"/>
  <c r="M9" i="2" l="1"/>
  <c r="M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<sst xmlns="http://schemas.openxmlformats.org/spreadsheetml/2006/main" count="626" uniqueCount="127">
  <si>
    <t># of Racks</t>
  </si>
  <si>
    <t>Time (Mins)</t>
  </si>
  <si>
    <t># of Parts</t>
  </si>
  <si>
    <t>Colour</t>
  </si>
  <si>
    <t>Length</t>
  </si>
  <si>
    <t>Part</t>
  </si>
  <si>
    <t xml:space="preserve"> </t>
  </si>
  <si>
    <t>102 Line Paint Schedule</t>
  </si>
  <si>
    <t>Small</t>
  </si>
  <si>
    <t>Star White</t>
  </si>
  <si>
    <t>Short</t>
  </si>
  <si>
    <t>Long</t>
  </si>
  <si>
    <t>Black</t>
  </si>
  <si>
    <t>LG Magnetic</t>
  </si>
  <si>
    <t>RH Cantrial</t>
  </si>
  <si>
    <t>Roof Bow</t>
  </si>
  <si>
    <t>Hood Trim</t>
  </si>
  <si>
    <t>LU-05</t>
  </si>
  <si>
    <t>Prime</t>
  </si>
  <si>
    <t>LU-06</t>
  </si>
  <si>
    <t>LU-07</t>
  </si>
  <si>
    <t>LU-10</t>
  </si>
  <si>
    <t>Empties</t>
  </si>
  <si>
    <t>LU-08</t>
  </si>
  <si>
    <t>ACS Spoilers</t>
  </si>
  <si>
    <t>Prime/Base/Clear</t>
  </si>
  <si>
    <t>Prime/Base</t>
  </si>
  <si>
    <t>Black II</t>
  </si>
  <si>
    <t>BMW</t>
  </si>
  <si>
    <t>LU-01</t>
  </si>
  <si>
    <t>LU-02</t>
  </si>
  <si>
    <t>LU-03</t>
  </si>
  <si>
    <t>LU-04</t>
  </si>
  <si>
    <t>LU-09</t>
  </si>
  <si>
    <t>Total Racks:</t>
  </si>
  <si>
    <t>Summary</t>
  </si>
  <si>
    <t>Total Parts:</t>
  </si>
  <si>
    <t>Total hours without Colour Change:</t>
  </si>
  <si>
    <t>Total Hours with Colour Change:</t>
  </si>
  <si>
    <t>Base JOB</t>
  </si>
  <si>
    <t>Base Colour</t>
  </si>
  <si>
    <t>Base Presets</t>
  </si>
  <si>
    <t>General Base Cup Shot</t>
  </si>
  <si>
    <t>Target Base Cup Shot</t>
  </si>
  <si>
    <t>Clear Job</t>
  </si>
  <si>
    <t>Clear Colour</t>
  </si>
  <si>
    <t>Clear Presets</t>
  </si>
  <si>
    <t>General Clear Cup Shot</t>
  </si>
  <si>
    <t>Target Clear Cup Shot</t>
  </si>
  <si>
    <t>30-50ml</t>
  </si>
  <si>
    <t>1</t>
  </si>
  <si>
    <t>40-60ml</t>
  </si>
  <si>
    <t>-</t>
  </si>
  <si>
    <t>1/2</t>
  </si>
  <si>
    <t>30-45ml</t>
  </si>
  <si>
    <t>30-35ml</t>
  </si>
  <si>
    <t>205</t>
  </si>
  <si>
    <t>206</t>
  </si>
  <si>
    <t>208</t>
  </si>
  <si>
    <t>210</t>
  </si>
  <si>
    <t>LH w/Holes</t>
  </si>
  <si>
    <t>RH w/Holes</t>
  </si>
  <si>
    <t>JOB Ref</t>
  </si>
  <si>
    <t>20-40ml</t>
  </si>
  <si>
    <t>25-32ml</t>
  </si>
  <si>
    <t>95</t>
  </si>
  <si>
    <t>120-150cc/min</t>
  </si>
  <si>
    <t>130-140cc/min</t>
  </si>
  <si>
    <t>46</t>
  </si>
  <si>
    <t>3 &amp; 1</t>
  </si>
  <si>
    <t>140-180cc/min</t>
  </si>
  <si>
    <t>150-160cc/min</t>
  </si>
  <si>
    <t>Primer</t>
  </si>
  <si>
    <t>48-54ml</t>
  </si>
  <si>
    <t>42-47ml</t>
  </si>
  <si>
    <t>44</t>
  </si>
  <si>
    <t>4</t>
  </si>
  <si>
    <t>33 &amp; 44</t>
  </si>
  <si>
    <t>3 &amp; 4</t>
  </si>
  <si>
    <t>3 (2K)</t>
  </si>
  <si>
    <t>33 (2K)</t>
  </si>
  <si>
    <t>100-200cc/min</t>
  </si>
  <si>
    <t>160-170cc/min</t>
  </si>
  <si>
    <t>Stone Gray</t>
  </si>
  <si>
    <t>Decklid</t>
  </si>
  <si>
    <t>Notes</t>
  </si>
  <si>
    <t>207</t>
  </si>
  <si>
    <t>209</t>
  </si>
  <si>
    <t>LH Cantrial</t>
  </si>
  <si>
    <t>LH</t>
  </si>
  <si>
    <t>RH</t>
  </si>
  <si>
    <t>Base/Clear</t>
  </si>
  <si>
    <t>Trial</t>
  </si>
  <si>
    <t>U22X</t>
  </si>
  <si>
    <t>Harley</t>
  </si>
  <si>
    <t>MidGloss</t>
  </si>
  <si>
    <t>High Gloss</t>
  </si>
  <si>
    <t>Burgundy Velvet</t>
  </si>
  <si>
    <t>Kodiak Brown</t>
  </si>
  <si>
    <t>Agate Black</t>
  </si>
  <si>
    <t>Red Hot</t>
  </si>
  <si>
    <t>Anti Matter Blue</t>
  </si>
  <si>
    <t>Dark Matter Gray</t>
  </si>
  <si>
    <t>Forged Green</t>
  </si>
  <si>
    <t>Infinite Blue</t>
  </si>
  <si>
    <t>Flight Blue</t>
  </si>
  <si>
    <t>LG Carbonized Gray</t>
  </si>
  <si>
    <t>901/902</t>
  </si>
  <si>
    <t>306</t>
  </si>
  <si>
    <t>100-110cc/min</t>
  </si>
  <si>
    <t>95-110cc/min</t>
  </si>
  <si>
    <t>49</t>
  </si>
  <si>
    <t xml:space="preserve">High Gloss Part trial </t>
  </si>
  <si>
    <t>115-125cc/min</t>
  </si>
  <si>
    <t>155-165cc/min</t>
  </si>
  <si>
    <t>903</t>
  </si>
  <si>
    <t>28-35ml</t>
  </si>
  <si>
    <t>138-148cc/min</t>
  </si>
  <si>
    <t>25-28ml</t>
  </si>
  <si>
    <t>High Gloss Clear</t>
  </si>
  <si>
    <t>20-30ml</t>
  </si>
  <si>
    <t>90-120cc/min</t>
  </si>
  <si>
    <t>95-105cc/min</t>
  </si>
  <si>
    <t>Iconic Silver</t>
  </si>
  <si>
    <t>Jewel Red</t>
  </si>
  <si>
    <t>Colour Changes</t>
  </si>
  <si>
    <t>Number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</si>
</sst>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2"/>
      <color theme="1"/>
      <name val="Arial"/>
      <family val="2"/>
    </font>
    <font>
      <sz val="12"/>
      <color theme="2" tint="-0.89999084444715716"/>
      <name val="Arial"/>
      <family val="2"/>
    </font>
    <font>
      <sz val="14"/>
      <color theme="1"/>
      <name val="Arial"/>
      <family val="2"/>
    </font>
    <font>
      <sz val="11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2" tint="-0.89999084444715716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6"/>
      <color theme="2" tint="-0.89999084444715716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6" fillId="0" borderId="0" xfId="0" applyFont="1"/>
    <xf numFmtId="0" fontId="6" fillId="0" borderId="0" xfId="0" applyFont="1" applyAlignment="1" applyProtection="1">
      <alignment horizontal="left"/>
      <protection locked="0"/>
    </xf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8" fillId="0" borderId="14" xfId="0" applyFont="1" applyBorder="1"/>
    <xf numFmtId="0" fontId="8" fillId="0" borderId="15" xfId="0" applyFont="1" applyBorder="1" applyAlignment="1">
      <alignment horizontal="center"/>
    </xf>
    <xf numFmtId="0" fontId="8" fillId="0" borderId="15" xfId="0" applyFont="1" applyBorder="1"/>
    <xf numFmtId="0" fontId="8" fillId="0" borderId="16" xfId="0" applyFont="1" applyBorder="1" applyAlignment="1">
      <alignment horizontal="center"/>
    </xf>
    <xf numFmtId="0" fontId="1" fillId="0" borderId="0" xfId="0" applyFont="1"/>
    <xf numFmtId="0" fontId="9" fillId="0" borderId="0" xfId="0" applyFont="1"/>
    <xf numFmtId="0" fontId="10" fillId="0" borderId="0" xfId="0" applyFont="1"/>
    <xf numFmtId="0" fontId="1" fillId="0" borderId="12" xfId="0" applyFont="1" applyBorder="1"/>
    <xf numFmtId="0" fontId="8" fillId="0" borderId="12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5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8" fillId="0" borderId="17" xfId="0" applyFont="1" applyBorder="1" applyAlignment="1">
      <alignment horizontal="center"/>
    </xf>
    <xf numFmtId="0" fontId="13" fillId="0" borderId="0" xfId="0" applyFont="1"/>
    <xf numFmtId="0" fontId="8" fillId="0" borderId="28" xfId="0" applyFont="1" applyBorder="1" applyAlignment="1">
      <alignment horizontal="center"/>
    </xf>
    <xf numFmtId="16" fontId="8" fillId="0" borderId="0" xfId="0" applyNumberFormat="1" applyFont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9" fillId="0" borderId="19" xfId="0" applyFont="1" applyBorder="1"/>
    <xf numFmtId="2" fontId="9" fillId="0" borderId="23" xfId="0" applyNumberFormat="1" applyFont="1" applyBorder="1"/>
    <xf numFmtId="0" fontId="4" fillId="0" borderId="12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1" fillId="0" borderId="18" xfId="0" applyFont="1" applyBorder="1" applyAlignment="1" applyProtection="1">
      <alignment horizontal="center"/>
      <protection locked="0"/>
    </xf>
    <xf numFmtId="0" fontId="16" fillId="0" borderId="4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6" fillId="0" borderId="8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18" xfId="0" applyFont="1" applyBorder="1"/>
    <xf numFmtId="0" fontId="16" fillId="0" borderId="2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/>
    </xf>
    <xf numFmtId="0" fontId="9" fillId="0" borderId="23" xfId="0" applyFont="1" applyBorder="1"/>
    <xf numFmtId="0" fontId="9" fillId="0" borderId="5" xfId="0" applyFont="1" applyBorder="1"/>
    <xf numFmtId="0" fontId="9" fillId="0" borderId="29" xfId="0" applyFont="1" applyBorder="1"/>
    <xf numFmtId="0" fontId="9" fillId="0" borderId="0" xfId="0" applyFont="1" applyAlignment="1">
      <alignment horizontal="right"/>
    </xf>
    <xf numFmtId="0" fontId="9" fillId="0" borderId="0" xfId="0" applyFont="1" applyProtection="1">
      <protection locked="0"/>
    </xf>
    <xf numFmtId="14" fontId="4" fillId="0" borderId="12" xfId="0" applyNumberFormat="1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1" fillId="0" borderId="0" xfId="0" applyFont="1"/>
    <xf numFmtId="0" fontId="17" fillId="0" borderId="0" xfId="0" applyFont="1" applyProtection="1">
      <protection locked="0"/>
    </xf>
    <xf numFmtId="0" fontId="17" fillId="0" borderId="0" xfId="0" applyFont="1"/>
    <xf numFmtId="0" fontId="4" fillId="0" borderId="12" xfId="0" applyFont="1" applyBorder="1" applyAlignment="1">
      <alignment shrinkToFit="1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15" fontId="1" fillId="0" borderId="12" xfId="0" applyNumberFormat="1" applyFont="1" applyBorder="1" applyAlignment="1">
      <alignment vertical="center"/>
    </xf>
    <xf numFmtId="0" fontId="4" fillId="0" borderId="2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0" borderId="5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Alignment="1">
      <alignment horizontal="center"/>
    </xf>
    <xf numFmtId="0" fontId="18" fillId="0" borderId="0" xfId="0" applyFont="1"/>
    <xf numFmtId="0" fontId="14" fillId="0" borderId="30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1" fillId="0" borderId="19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0" fontId="16" fillId="0" borderId="33" xfId="0" applyFont="1" applyBorder="1" applyAlignment="1" applyProtection="1">
      <alignment horizontal="center"/>
      <protection locked="0"/>
    </xf>
    <xf numFmtId="0" fontId="11" fillId="0" borderId="34" xfId="0" applyFont="1" applyBorder="1" applyAlignment="1" applyProtection="1">
      <alignment horizontal="center"/>
      <protection locked="0"/>
    </xf>
    <xf numFmtId="0" fontId="16" fillId="0" borderId="1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115185</xdr:colOff>
      <xdr:row>0</xdr:row>
      <xdr:rowOff>35467</xdr:rowOff>
    </xdr:from>
    <xdr:to>
      <xdr:col>3</xdr:col>
      <xdr:colOff>992421</xdr:colOff>
      <xdr:row>4</xdr:row>
      <xdr:rowOff>94117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6C9975-541C-4D64-831C-C0FF807CA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85" y="35467"/>
          <a:ext cx="2365517" cy="903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177517</xdr:colOff>
      <xdr:row>0</xdr:row>
      <xdr:rowOff>71437</xdr:rowOff>
    </xdr:from>
    <xdr:to>
      <xdr:col>3</xdr:col>
      <xdr:colOff>1054753</xdr:colOff>
      <xdr:row>4</xdr:row>
      <xdr:rowOff>130087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C7445A-7F50-4573-AFEA-3D3A0B83E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17" y="71437"/>
          <a:ext cx="2365517" cy="9039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65599</xdr:colOff>
      <xdr:row>0</xdr:row>
      <xdr:rowOff>15157</xdr:rowOff>
    </xdr:from>
    <xdr:to>
      <xdr:col>3</xdr:col>
      <xdr:colOff>945216</xdr:colOff>
      <xdr:row>4</xdr:row>
      <xdr:rowOff>73807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872971-C8BE-4ADA-9F56-64E08FAD1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99" y="15157"/>
          <a:ext cx="2365517" cy="906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113224</xdr:colOff>
      <xdr:row>0</xdr:row>
      <xdr:rowOff>72307</xdr:rowOff>
    </xdr:from>
    <xdr:to>
      <xdr:col>3</xdr:col>
      <xdr:colOff>992841</xdr:colOff>
      <xdr:row>4</xdr:row>
      <xdr:rowOff>130957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3B1CE7-1CA3-4508-BB7E-ADE45EF21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24" y="72307"/>
          <a:ext cx="2365517" cy="906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113224</xdr:colOff>
      <xdr:row>0</xdr:row>
      <xdr:rowOff>62782</xdr:rowOff>
    </xdr:from>
    <xdr:to>
      <xdr:col>3</xdr:col>
      <xdr:colOff>992841</xdr:colOff>
      <xdr:row>4</xdr:row>
      <xdr:rowOff>121432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DF283A-90CE-47EB-A519-2A626DCE9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24" y="62782"/>
          <a:ext cx="2365517" cy="9063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103699</xdr:colOff>
      <xdr:row>0</xdr:row>
      <xdr:rowOff>43732</xdr:rowOff>
    </xdr:from>
    <xdr:to>
      <xdr:col>3</xdr:col>
      <xdr:colOff>983316</xdr:colOff>
      <xdr:row>4</xdr:row>
      <xdr:rowOff>102382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CF9679-B87B-4A80-8501-573FF2D8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99" y="43732"/>
          <a:ext cx="2365517" cy="90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6"/>
  <sheetViews>
    <sheetView tabSelected="1" topLeftCell="C1" zoomScale="80" zoomScaleNormal="80" workbookViewId="0">
      <selection activeCell="E15" sqref="E15"/>
    </sheetView>
  </sheetViews>
  <sheetFormatPr defaultRowHeight="14.25" x14ac:dyDescent="0.2"/>
  <cols>
    <col min="1" max="2" width="22.28515625" style="25" hidden="1" customWidth="1"/>
    <col min="3" max="3" width="22.28515625" style="25" customWidth="1"/>
    <col min="4" max="4" width="18.42578125" style="76" customWidth="1"/>
    <col min="5" max="5" width="16.5703125" style="25" customWidth="1"/>
    <col min="6" max="6" width="64.28515625" style="25" bestFit="1" customWidth="1"/>
    <col min="7" max="7" width="19" style="76" customWidth="1"/>
    <col min="8" max="8" width="16.28515625" style="76" bestFit="1" customWidth="1"/>
    <col min="9" max="9" width="11.7109375" style="25" bestFit="1" customWidth="1"/>
    <col min="10" max="10" width="14.85546875" style="25" bestFit="1" customWidth="1"/>
    <col min="11" max="11" width="9.140625" style="25"/>
    <col min="12" max="12" width="31.140625" style="26" customWidth="1"/>
    <col min="13" max="13" width="6" style="26" bestFit="1" customWidth="1"/>
    <col min="14" max="14" width="8.85546875" style="26"/>
    <col min="15" max="15" width="13.140625" style="27" bestFit="1" customWidth="1"/>
    <col min="16" max="16" width="9.5703125" style="27" bestFit="1" customWidth="1"/>
    <col min="17" max="17" width="23.5703125" style="27" bestFit="1" customWidth="1"/>
    <col min="18" max="19" width="8.85546875" style="26"/>
    <col min="20" max="16384" width="9.140625" style="25"/>
  </cols>
  <sheetData>
    <row r="1" spans="1:17" ht="18" x14ac:dyDescent="0.2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2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25">
      <c r="A3" s="28"/>
      <c r="C3" s="29"/>
      <c r="D3" s="30"/>
      <c r="E3" s="31"/>
      <c r="F3" s="30"/>
      <c r="G3" s="32"/>
      <c r="H3" s="33"/>
      <c r="I3" s="34"/>
      <c r="J3" s="34"/>
    </row>
    <row r="4" spans="1:17" ht="18.75" thickBot="1" x14ac:dyDescent="0.3">
      <c r="A4" s="28" t="s">
        <v>6</v>
      </c>
      <c r="C4" s="29"/>
      <c r="D4" s="30"/>
      <c r="E4" s="31"/>
      <c r="F4" s="35">
        <v>45033</v>
      </c>
      <c r="G4" s="36"/>
      <c r="H4" s="37"/>
      <c r="O4" s="38" t="s">
        <v>5</v>
      </c>
      <c r="P4" s="38" t="s">
        <v>4</v>
      </c>
      <c r="Q4" s="38" t="s">
        <v>3</v>
      </c>
    </row>
    <row r="5" spans="1:17" ht="18.75" thickBot="1" x14ac:dyDescent="0.3">
      <c r="A5" s="28"/>
      <c r="C5" s="29"/>
      <c r="D5" s="39"/>
      <c r="E5" s="31"/>
      <c r="F5" s="40"/>
      <c r="G5" s="30"/>
      <c r="H5" s="37"/>
      <c r="L5" s="86" t="s">
        <v>35</v>
      </c>
      <c r="M5" s="87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 t="s">
        <v>3</v>
      </c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88"/>
      <c r="E7" s="89"/>
      <c r="F7" s="90"/>
      <c r="G7" s="91"/>
      <c r="H7" s="92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54"/>
      <c r="F8" s="55"/>
      <c r="G8" s="56"/>
      <c r="H8" s="61"/>
      <c r="I8" s="58">
        <f t="shared" ref="I8:I39" si="1">H8*5</f>
        <v>0</v>
      </c>
      <c r="J8" s="62"/>
      <c r="L8" s="60" t="s">
        <v>34</v>
      </c>
      <c r="M8" s="63">
        <f>SUM(H7:H43)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5"/>
      <c r="H9" s="57"/>
      <c r="I9" s="58">
        <f t="shared" si="1"/>
        <v>0</v>
      </c>
      <c r="J9" s="62"/>
      <c r="L9" s="64" t="s">
        <v>36</v>
      </c>
      <c r="M9" s="65">
        <f>SUM(G7:G43)</f>
        <v>0</v>
      </c>
      <c r="O9" s="16" t="s">
        <v>10</v>
      </c>
      <c r="P9" s="16"/>
      <c r="Q9" s="16" t="s">
        <v>105</v>
      </c>
    </row>
    <row r="10" spans="1:17" ht="20.25" x14ac:dyDescent="0.3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 t="shared" si="1"/>
        <v>0</v>
      </c>
      <c r="J10" s="62"/>
      <c r="O10" s="18" t="s">
        <v>93</v>
      </c>
      <c r="P10" s="16"/>
      <c r="Q10" s="17" t="s">
        <v>123</v>
      </c>
    </row>
    <row r="11" spans="1:17" ht="20.25" x14ac:dyDescent="0.3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5"/>
      <c r="H11" s="57"/>
      <c r="I11" s="58">
        <f t="shared" si="1"/>
        <v>0</v>
      </c>
      <c r="J11" s="62"/>
      <c r="O11" s="16"/>
      <c r="P11" s="16"/>
      <c r="Q11" s="16" t="s">
        <v>104</v>
      </c>
    </row>
    <row r="12" spans="1:17" ht="20.25" x14ac:dyDescent="0.3">
      <c r="A12" s="51" t="str">
        <v/>
      </c>
      <c r="B12" s="51" t="str">
        <f t="shared" si="0"/>
        <v/>
      </c>
      <c r="C12" s="52" t="str">
        <f t="shared" si="2"/>
        <v/>
      </c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/>
      <c r="O12" s="18"/>
      <c r="P12" s="16"/>
      <c r="Q12" s="16" t="s">
        <v>124</v>
      </c>
    </row>
    <row r="13" spans="1:17" ht="20.25" x14ac:dyDescent="0.3">
      <c r="A13" s="51" t="str">
        <v/>
      </c>
      <c r="B13" s="51" t="str">
        <f t="shared" si="0"/>
        <v/>
      </c>
      <c r="C13" s="52" t="str">
        <f t="shared" si="2"/>
        <v/>
      </c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.25" x14ac:dyDescent="0.3">
      <c r="A14" s="51" t="str">
        <v/>
      </c>
      <c r="B14" s="51" t="str">
        <f t="shared" si="0"/>
        <v/>
      </c>
      <c r="C14" s="52" t="str">
        <f t="shared" si="2"/>
        <v/>
      </c>
      <c r="D14" s="53"/>
      <c r="E14" s="54"/>
      <c r="F14" s="55"/>
      <c r="G14" s="56"/>
      <c r="H14" s="61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.25" x14ac:dyDescent="0.3">
      <c r="A15" s="51" t="str">
        <v/>
      </c>
      <c r="B15" s="51" t="str">
        <f t="shared" si="0"/>
        <v/>
      </c>
      <c r="C15" s="52" t="str">
        <f t="shared" si="2"/>
        <v/>
      </c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.25" x14ac:dyDescent="0.3">
      <c r="A16" s="51" t="str">
        <v/>
      </c>
      <c r="B16" s="51" t="str">
        <f t="shared" si="0"/>
        <v/>
      </c>
      <c r="C16" s="52" t="str">
        <f t="shared" si="2"/>
        <v/>
      </c>
      <c r="D16" s="53"/>
      <c r="E16" s="54"/>
      <c r="F16" s="55"/>
      <c r="G16" s="55"/>
      <c r="H16" s="57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.25" x14ac:dyDescent="0.3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54"/>
      <c r="F17" s="55"/>
      <c r="G17" s="55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.25" x14ac:dyDescent="0.3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/>
    </row>
    <row r="19" spans="1:19" s="71" customFormat="1" ht="20.25" x14ac:dyDescent="0.3">
      <c r="A19" s="69" t="str">
        <v/>
      </c>
      <c r="B19" s="69" t="str">
        <f t="shared" si="0"/>
        <v/>
      </c>
      <c r="C19" s="52" t="str">
        <f t="shared" si="2"/>
        <v/>
      </c>
      <c r="D19" s="53"/>
      <c r="E19" s="54"/>
      <c r="F19" s="55"/>
      <c r="G19" s="55"/>
      <c r="H19" s="5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.25" x14ac:dyDescent="0.3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54"/>
      <c r="F20" s="55"/>
      <c r="G20" s="56"/>
      <c r="H20" s="61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.25" x14ac:dyDescent="0.3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54"/>
      <c r="F21" s="55"/>
      <c r="G21" s="55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.25" x14ac:dyDescent="0.3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54"/>
      <c r="F22" s="55"/>
      <c r="G22" s="56"/>
      <c r="H22" s="61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.25" x14ac:dyDescent="0.3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.25" x14ac:dyDescent="0.3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.25" x14ac:dyDescent="0.3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.25" x14ac:dyDescent="0.3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.25" x14ac:dyDescent="0.3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.25" x14ac:dyDescent="0.3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.25" x14ac:dyDescent="0.3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.25" x14ac:dyDescent="0.3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.25" x14ac:dyDescent="0.3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.25" x14ac:dyDescent="0.3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.25" x14ac:dyDescent="0.3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.25" x14ac:dyDescent="0.3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.25" x14ac:dyDescent="0.3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.25" x14ac:dyDescent="0.3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.25" x14ac:dyDescent="0.3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.25" x14ac:dyDescent="0.3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.25" x14ac:dyDescent="0.3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.25" x14ac:dyDescent="0.3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.25" x14ac:dyDescent="0.3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.25" x14ac:dyDescent="0.3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1" thickBot="1" x14ac:dyDescent="0.3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3"/>
      <c r="F43" s="81"/>
      <c r="G43" s="81"/>
      <c r="H43" s="82"/>
      <c r="I43" s="58"/>
      <c r="J43" s="62"/>
    </row>
    <row r="44" spans="1:19" x14ac:dyDescent="0.2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2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2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2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2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2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2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2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2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2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2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2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2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2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2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2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2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2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2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2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2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2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2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2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2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2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2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2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2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2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2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2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2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2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2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2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2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2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2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2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2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2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2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2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2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2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2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2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2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2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2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2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2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2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2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2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2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2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2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2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2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2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2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2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2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2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2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2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2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2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2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2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2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2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2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2">
      <c r="L119" s="25"/>
      <c r="M119" s="25"/>
      <c r="N119" s="25"/>
      <c r="O119" s="85"/>
      <c r="P119" s="85"/>
      <c r="Q119" s="85"/>
      <c r="R119" s="25"/>
      <c r="S119" s="25"/>
    </row>
    <row r="120" spans="4:19" x14ac:dyDescent="0.2">
      <c r="L120" s="25"/>
      <c r="M120" s="25"/>
      <c r="N120" s="25"/>
      <c r="O120" s="85"/>
      <c r="P120" s="85"/>
      <c r="Q120" s="85"/>
      <c r="R120" s="25"/>
      <c r="S120" s="25"/>
    </row>
    <row r="121" spans="4:19" x14ac:dyDescent="0.2">
      <c r="L121" s="25"/>
      <c r="M121" s="25"/>
      <c r="N121" s="25"/>
      <c r="O121" s="85"/>
      <c r="P121" s="85"/>
      <c r="Q121" s="85"/>
      <c r="R121" s="25"/>
      <c r="S121" s="25"/>
    </row>
    <row r="122" spans="4:19" x14ac:dyDescent="0.2">
      <c r="L122" s="25"/>
      <c r="M122" s="25"/>
      <c r="N122" s="25"/>
      <c r="O122" s="85"/>
      <c r="P122" s="85"/>
      <c r="Q122" s="85"/>
      <c r="R122" s="25"/>
      <c r="S122" s="25"/>
    </row>
    <row r="123" spans="4:19" x14ac:dyDescent="0.2">
      <c r="L123" s="25"/>
      <c r="M123" s="25"/>
      <c r="N123" s="25"/>
      <c r="O123" s="85"/>
      <c r="P123" s="85"/>
      <c r="Q123" s="85"/>
      <c r="R123" s="25"/>
      <c r="S123" s="25"/>
    </row>
    <row r="124" spans="4:19" x14ac:dyDescent="0.2">
      <c r="L124" s="25"/>
      <c r="M124" s="25"/>
      <c r="N124" s="25"/>
      <c r="O124" s="85"/>
      <c r="P124" s="85"/>
      <c r="Q124" s="85"/>
      <c r="R124" s="25"/>
      <c r="S124" s="25"/>
    </row>
    <row r="125" spans="4:19" x14ac:dyDescent="0.2">
      <c r="L125" s="25"/>
      <c r="M125" s="25"/>
      <c r="N125" s="25"/>
      <c r="O125" s="85"/>
      <c r="P125" s="85"/>
      <c r="Q125" s="85"/>
      <c r="R125" s="25"/>
      <c r="S125" s="25"/>
    </row>
    <row r="126" spans="4:19" x14ac:dyDescent="0.2">
      <c r="L126" s="25"/>
      <c r="M126" s="25"/>
      <c r="N126" s="25"/>
      <c r="O126" s="85"/>
      <c r="P126" s="85"/>
      <c r="Q126" s="85"/>
      <c r="R126" s="25"/>
      <c r="S126" s="25"/>
    </row>
  </sheetData>
  <sheetProtection formatCells="0" formatColumns="0" formatRows="0"/>
  <sortState xmlns:xlrd2="http://schemas.microsoft.com/office/spreadsheetml/2017/richdata2" ref="O5:O11">
    <sortCondition ref="O5:O11"/>
  </sortState>
  <mergeCells count="1">
    <mergeCell ref="L5:M5"/>
  </mergeCells>
  <dataValidations count="3">
    <dataValidation type="list" allowBlank="1" showInputMessage="1" showErrorMessage="1" sqref="D7:D43" xr:uid="{00000000-0002-0000-0000-000000000000}">
      <formula1>$O$5:$O$12</formula1>
    </dataValidation>
    <dataValidation type="list" allowBlank="1" showInputMessage="1" showErrorMessage="1" sqref="F7:F43" xr:uid="{BB5DABA6-3CF1-449A-A03C-62C8883BE333}">
      <formula1>$Q$5:$Q$32</formula1>
    </dataValidation>
    <dataValidation type="list" allowBlank="1" showInputMessage="1" showErrorMessage="1" sqref="E15:E43 E7:E13" xr:uid="{B7192C08-4D6F-4B72-B9C6-D3B29DDE58E1}">
      <formula1>$P$5:$P$9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B64195-BE49-4140-9EF2-56D51ADB6F83}">
          <x14:formula1>
            <xm:f>ScheduleMasterRef!$A$2:$A$16</xm:f>
          </x14:formula1>
          <xm:sqref>D7 D26:D43 D23:D24 D21 D9:D13 D15:D19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5D2D-D72A-4F82-B4D4-17616EBF609F}">
  <dimension ref="A1:S126"/>
  <sheetViews>
    <sheetView topLeftCell="C1" zoomScale="80" zoomScaleNormal="80" workbookViewId="0">
      <selection activeCell="D7" sqref="D7:H31"/>
    </sheetView>
  </sheetViews>
  <sheetFormatPr defaultRowHeight="14.25" x14ac:dyDescent="0.2"/>
  <cols>
    <col min="1" max="2" width="22.28515625" style="25" hidden="1" customWidth="1"/>
    <col min="3" max="3" width="22.28515625" style="25" customWidth="1"/>
    <col min="4" max="4" width="18.42578125" style="76" customWidth="1"/>
    <col min="5" max="5" width="16.5703125" style="25" customWidth="1"/>
    <col min="6" max="6" width="64.28515625" style="25" bestFit="1" customWidth="1"/>
    <col min="7" max="7" width="19" style="76" customWidth="1"/>
    <col min="8" max="8" width="16.28515625" style="76" bestFit="1" customWidth="1"/>
    <col min="9" max="9" width="11.7109375" style="25" bestFit="1" customWidth="1"/>
    <col min="10" max="10" width="14.85546875" style="25" bestFit="1" customWidth="1"/>
    <col min="11" max="11" width="9.140625" style="25"/>
    <col min="12" max="12" width="31.140625" style="26" customWidth="1"/>
    <col min="13" max="13" width="6" style="26" bestFit="1" customWidth="1"/>
    <col min="14" max="14" width="9.140625" style="26"/>
    <col min="15" max="15" width="13.140625" style="27" bestFit="1" customWidth="1"/>
    <col min="16" max="16" width="9.5703125" style="27" bestFit="1" customWidth="1"/>
    <col min="17" max="17" width="23.5703125" style="27" bestFit="1" customWidth="1"/>
    <col min="18" max="19" width="9.140625" style="26"/>
    <col min="20" max="16384" width="9.140625" style="25"/>
  </cols>
  <sheetData>
    <row r="1" spans="1:17" ht="18" x14ac:dyDescent="0.2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2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25">
      <c r="A3" s="28"/>
      <c r="C3" s="29"/>
      <c r="D3" s="30"/>
      <c r="E3" s="31"/>
      <c r="F3" s="30"/>
      <c r="G3" s="32"/>
      <c r="H3" s="33"/>
      <c r="I3" s="34"/>
      <c r="J3" s="34"/>
    </row>
    <row r="4" spans="1:17" ht="18.75" thickBot="1" x14ac:dyDescent="0.3">
      <c r="A4" s="28" t="s">
        <v>6</v>
      </c>
      <c r="C4" s="29"/>
      <c r="D4" s="30"/>
      <c r="E4" s="31"/>
      <c r="F4" s="35">
        <f>Monday!F4+1</f>
        <v>45034</v>
      </c>
      <c r="G4" s="36"/>
      <c r="H4" s="37"/>
      <c r="O4" s="38" t="s">
        <v>5</v>
      </c>
      <c r="P4" s="38" t="s">
        <v>4</v>
      </c>
      <c r="Q4" s="38" t="s">
        <v>3</v>
      </c>
    </row>
    <row r="5" spans="1:17" ht="18.75" thickBot="1" x14ac:dyDescent="0.3">
      <c r="A5" s="28"/>
      <c r="C5" s="29"/>
      <c r="D5" s="39"/>
      <c r="E5" s="31"/>
      <c r="F5" s="40"/>
      <c r="G5" s="30"/>
      <c r="H5" s="37"/>
      <c r="L5" s="86" t="s">
        <v>35</v>
      </c>
      <c r="M5" s="87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 t="s">
        <v>3</v>
      </c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88"/>
      <c r="E7" s="89"/>
      <c r="F7" s="90"/>
      <c r="G7" s="91"/>
      <c r="H7" s="92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54"/>
      <c r="F8" s="55"/>
      <c r="G8" s="56"/>
      <c r="H8" s="61"/>
      <c r="I8" s="58">
        <f t="shared" ref="I8:I39" si="1">H8*5</f>
        <v>0</v>
      </c>
      <c r="J8" s="62"/>
      <c r="L8" s="60" t="s">
        <v>34</v>
      </c>
      <c r="M8" s="63">
        <f>SUM(H7:H43)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5"/>
      <c r="H9" s="57"/>
      <c r="I9" s="58">
        <f t="shared" si="1"/>
        <v>0</v>
      </c>
      <c r="J9" s="62"/>
      <c r="L9" s="64" t="s">
        <v>36</v>
      </c>
      <c r="M9" s="65">
        <f>SUM(G7:G43)</f>
        <v>0</v>
      </c>
      <c r="O9" s="16" t="s">
        <v>10</v>
      </c>
      <c r="P9" s="16"/>
      <c r="Q9" s="16" t="s">
        <v>105</v>
      </c>
    </row>
    <row r="10" spans="1:17" ht="20.25" x14ac:dyDescent="0.3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 t="shared" si="1"/>
        <v>0</v>
      </c>
      <c r="J10" s="62"/>
      <c r="O10" s="18" t="s">
        <v>93</v>
      </c>
      <c r="P10" s="16"/>
      <c r="Q10" s="17" t="s">
        <v>123</v>
      </c>
    </row>
    <row r="11" spans="1:17" ht="20.25" x14ac:dyDescent="0.3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5"/>
      <c r="H11" s="57"/>
      <c r="I11" s="58">
        <f t="shared" si="1"/>
        <v>0</v>
      </c>
      <c r="J11" s="62"/>
      <c r="O11" s="16"/>
      <c r="P11" s="16"/>
      <c r="Q11" s="16" t="s">
        <v>104</v>
      </c>
    </row>
    <row r="12" spans="1:17" ht="20.25" x14ac:dyDescent="0.3">
      <c r="A12" s="51" t="str">
        <v/>
      </c>
      <c r="B12" s="51" t="str">
        <f t="shared" si="0"/>
        <v/>
      </c>
      <c r="C12" s="52" t="str">
        <f t="shared" si="2"/>
        <v/>
      </c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/>
      <c r="O12" s="18"/>
      <c r="P12" s="16"/>
      <c r="Q12" s="16" t="s">
        <v>124</v>
      </c>
    </row>
    <row r="13" spans="1:17" ht="20.25" x14ac:dyDescent="0.3">
      <c r="A13" s="51" t="str">
        <v/>
      </c>
      <c r="B13" s="51" t="str">
        <f t="shared" si="0"/>
        <v/>
      </c>
      <c r="C13" s="52" t="str">
        <f t="shared" si="2"/>
        <v/>
      </c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.25" x14ac:dyDescent="0.3">
      <c r="A14" s="51" t="str">
        <v/>
      </c>
      <c r="B14" s="51" t="str">
        <f t="shared" si="0"/>
        <v/>
      </c>
      <c r="C14" s="52" t="str">
        <f t="shared" si="2"/>
        <v/>
      </c>
      <c r="D14" s="53"/>
      <c r="E14" s="54"/>
      <c r="F14" s="55"/>
      <c r="G14" s="56"/>
      <c r="H14" s="61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.25" x14ac:dyDescent="0.3">
      <c r="A15" s="51" t="str">
        <v/>
      </c>
      <c r="B15" s="51" t="str">
        <f t="shared" si="0"/>
        <v/>
      </c>
      <c r="C15" s="52" t="str">
        <f t="shared" si="2"/>
        <v/>
      </c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.25" x14ac:dyDescent="0.3">
      <c r="A16" s="51" t="str">
        <v/>
      </c>
      <c r="B16" s="51" t="str">
        <f t="shared" si="0"/>
        <v/>
      </c>
      <c r="C16" s="52" t="str">
        <f t="shared" si="2"/>
        <v/>
      </c>
      <c r="D16" s="53"/>
      <c r="E16" s="54"/>
      <c r="F16" s="55"/>
      <c r="G16" s="55"/>
      <c r="H16" s="57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.25" x14ac:dyDescent="0.3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54"/>
      <c r="F17" s="55"/>
      <c r="G17" s="55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.25" x14ac:dyDescent="0.3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/>
    </row>
    <row r="19" spans="1:19" s="71" customFormat="1" ht="20.25" x14ac:dyDescent="0.3">
      <c r="A19" s="69" t="str">
        <v/>
      </c>
      <c r="B19" s="69" t="str">
        <f t="shared" si="0"/>
        <v/>
      </c>
      <c r="C19" s="52" t="str">
        <f t="shared" si="2"/>
        <v/>
      </c>
      <c r="D19" s="53"/>
      <c r="E19" s="54"/>
      <c r="F19" s="55"/>
      <c r="G19" s="55"/>
      <c r="H19" s="5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.25" x14ac:dyDescent="0.3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54"/>
      <c r="F20" s="55"/>
      <c r="G20" s="56"/>
      <c r="H20" s="61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.25" x14ac:dyDescent="0.3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54"/>
      <c r="F21" s="55"/>
      <c r="G21" s="55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.25" x14ac:dyDescent="0.3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54"/>
      <c r="F22" s="55"/>
      <c r="G22" s="56"/>
      <c r="H22" s="61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.25" x14ac:dyDescent="0.3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.25" x14ac:dyDescent="0.3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.25" x14ac:dyDescent="0.3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.25" x14ac:dyDescent="0.3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.25" x14ac:dyDescent="0.3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.25" x14ac:dyDescent="0.3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.25" x14ac:dyDescent="0.3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.25" x14ac:dyDescent="0.3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.25" x14ac:dyDescent="0.3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.25" x14ac:dyDescent="0.3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.25" x14ac:dyDescent="0.3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.25" x14ac:dyDescent="0.3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.25" x14ac:dyDescent="0.3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.25" x14ac:dyDescent="0.3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.25" x14ac:dyDescent="0.3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.25" x14ac:dyDescent="0.3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.25" x14ac:dyDescent="0.3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.25" x14ac:dyDescent="0.3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.25" x14ac:dyDescent="0.3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.25" x14ac:dyDescent="0.3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1" thickBot="1" x14ac:dyDescent="0.3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3"/>
      <c r="F43" s="81"/>
      <c r="G43" s="81"/>
      <c r="H43" s="82"/>
      <c r="I43" s="58"/>
      <c r="J43" s="62"/>
    </row>
    <row r="44" spans="1:19" x14ac:dyDescent="0.2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2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2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2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2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2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2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2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2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2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2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2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2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2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2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2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2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2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2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2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2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2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2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2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2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2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2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2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2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2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2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2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2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2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2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2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2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2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2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2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2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2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2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2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2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2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2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2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2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2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2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2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2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2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2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2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2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2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2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2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2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2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2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2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2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2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2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2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2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2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2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2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2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2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2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2">
      <c r="L119" s="25"/>
      <c r="M119" s="25"/>
      <c r="N119" s="25"/>
      <c r="O119" s="85"/>
      <c r="P119" s="85"/>
      <c r="Q119" s="85"/>
      <c r="R119" s="25"/>
      <c r="S119" s="25"/>
    </row>
    <row r="120" spans="4:19" x14ac:dyDescent="0.2">
      <c r="L120" s="25"/>
      <c r="M120" s="25"/>
      <c r="N120" s="25"/>
      <c r="O120" s="85"/>
      <c r="P120" s="85"/>
      <c r="Q120" s="85"/>
      <c r="R120" s="25"/>
      <c r="S120" s="25"/>
    </row>
    <row r="121" spans="4:19" x14ac:dyDescent="0.2">
      <c r="L121" s="25"/>
      <c r="M121" s="25"/>
      <c r="N121" s="25"/>
      <c r="O121" s="85"/>
      <c r="P121" s="85"/>
      <c r="Q121" s="85"/>
      <c r="R121" s="25"/>
      <c r="S121" s="25"/>
    </row>
    <row r="122" spans="4:19" x14ac:dyDescent="0.2">
      <c r="L122" s="25"/>
      <c r="M122" s="25"/>
      <c r="N122" s="25"/>
      <c r="O122" s="85"/>
      <c r="P122" s="85"/>
      <c r="Q122" s="85"/>
      <c r="R122" s="25"/>
      <c r="S122" s="25"/>
    </row>
    <row r="123" spans="4:19" x14ac:dyDescent="0.2">
      <c r="L123" s="25"/>
      <c r="M123" s="25"/>
      <c r="N123" s="25"/>
      <c r="O123" s="85"/>
      <c r="P123" s="85"/>
      <c r="Q123" s="85"/>
      <c r="R123" s="25"/>
      <c r="S123" s="25"/>
    </row>
    <row r="124" spans="4:19" x14ac:dyDescent="0.2">
      <c r="L124" s="25"/>
      <c r="M124" s="25"/>
      <c r="N124" s="25"/>
      <c r="O124" s="85"/>
      <c r="P124" s="85"/>
      <c r="Q124" s="85"/>
      <c r="R124" s="25"/>
      <c r="S124" s="25"/>
    </row>
    <row r="125" spans="4:19" x14ac:dyDescent="0.2">
      <c r="L125" s="25"/>
      <c r="M125" s="25"/>
      <c r="N125" s="25"/>
      <c r="O125" s="85"/>
      <c r="P125" s="85"/>
      <c r="Q125" s="85"/>
      <c r="R125" s="25"/>
      <c r="S125" s="25"/>
    </row>
    <row r="126" spans="4:19" x14ac:dyDescent="0.2">
      <c r="L126" s="25"/>
      <c r="M126" s="25"/>
      <c r="N126" s="25"/>
      <c r="O126" s="85"/>
      <c r="P126" s="85"/>
      <c r="Q126" s="85"/>
      <c r="R126" s="25"/>
      <c r="S126" s="25"/>
    </row>
  </sheetData>
  <mergeCells count="1">
    <mergeCell ref="L5:M5"/>
  </mergeCells>
  <dataValidations count="3">
    <dataValidation type="list" allowBlank="1" showInputMessage="1" showErrorMessage="1" sqref="E15:E43 E7:E13" xr:uid="{61C5560A-979E-4D37-9EE5-7BF0F509EE78}">
      <formula1>$P$5:$P$9</formula1>
    </dataValidation>
    <dataValidation type="list" allowBlank="1" showInputMessage="1" showErrorMessage="1" sqref="F7:F43" xr:uid="{EDF18934-9F70-4AD8-B580-C87BDD67F74A}">
      <formula1>$Q$5:$Q$32</formula1>
    </dataValidation>
    <dataValidation type="list" allowBlank="1" showInputMessage="1" showErrorMessage="1" sqref="D7:D43" xr:uid="{6C38AA43-B46B-4834-81C1-EA15FE8DC4CF}">
      <formula1>$O$5:$O$12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A8AC02-7B42-4B6B-A3DE-833AE199CA14}">
          <x14:formula1>
            <xm:f>ScheduleMasterRef!$A$2:$A$16</xm:f>
          </x14:formula1>
          <xm:sqref>D7 D26:D43 D23:D24 D21 D9:D13 D15:D19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1492-FAD0-4779-985B-39C792334DAB}">
  <dimension ref="A1:S126"/>
  <sheetViews>
    <sheetView topLeftCell="C1" zoomScale="80" zoomScaleNormal="80" workbookViewId="0">
      <selection activeCell="F27" sqref="F27"/>
    </sheetView>
  </sheetViews>
  <sheetFormatPr defaultRowHeight="14.25" x14ac:dyDescent="0.2"/>
  <cols>
    <col min="1" max="2" width="22.28515625" style="25" hidden="1" customWidth="1"/>
    <col min="3" max="3" width="22.28515625" style="25" customWidth="1"/>
    <col min="4" max="4" width="18.42578125" style="76" customWidth="1"/>
    <col min="5" max="5" width="16.5703125" style="25" customWidth="1"/>
    <col min="6" max="6" width="64.28515625" style="25" bestFit="1" customWidth="1"/>
    <col min="7" max="7" width="19" style="76" customWidth="1"/>
    <col min="8" max="8" width="16.28515625" style="76" bestFit="1" customWidth="1"/>
    <col min="9" max="9" width="11.7109375" style="25" bestFit="1" customWidth="1"/>
    <col min="10" max="10" width="14.85546875" style="25" bestFit="1" customWidth="1"/>
    <col min="11" max="11" width="9.140625" style="25"/>
    <col min="12" max="12" width="31.140625" style="26" customWidth="1"/>
    <col min="13" max="13" width="6" style="26" bestFit="1" customWidth="1"/>
    <col min="14" max="14" width="9.140625" style="26"/>
    <col min="15" max="15" width="13.140625" style="27" bestFit="1" customWidth="1"/>
    <col min="16" max="16" width="9.5703125" style="27" bestFit="1" customWidth="1"/>
    <col min="17" max="17" width="23.5703125" style="27" bestFit="1" customWidth="1"/>
    <col min="18" max="19" width="9.140625" style="26"/>
    <col min="20" max="16384" width="9.140625" style="25"/>
  </cols>
  <sheetData>
    <row r="1" spans="1:17" ht="18" x14ac:dyDescent="0.2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2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25">
      <c r="A3" s="28"/>
      <c r="C3" s="29"/>
      <c r="D3" s="30"/>
      <c r="E3" s="31"/>
      <c r="F3" s="30"/>
      <c r="G3" s="32"/>
      <c r="H3" s="33"/>
      <c r="I3" s="34"/>
      <c r="J3" s="34"/>
    </row>
    <row r="4" spans="1:17" ht="18.75" thickBot="1" x14ac:dyDescent="0.3">
      <c r="A4" s="28" t="s">
        <v>6</v>
      </c>
      <c r="C4" s="29"/>
      <c r="D4" s="30"/>
      <c r="E4" s="31"/>
      <c r="F4" s="35">
        <f>Tuesday!$F$4+1</f>
        <v>45035</v>
      </c>
      <c r="G4" s="36"/>
      <c r="H4" s="37"/>
      <c r="O4" s="38" t="s">
        <v>5</v>
      </c>
      <c r="P4" s="38" t="s">
        <v>4</v>
      </c>
      <c r="Q4" s="38" t="s">
        <v>3</v>
      </c>
    </row>
    <row r="5" spans="1:17" ht="18.75" thickBot="1" x14ac:dyDescent="0.3">
      <c r="A5" s="28"/>
      <c r="C5" s="29"/>
      <c r="D5" s="39"/>
      <c r="E5" s="31"/>
      <c r="F5" s="40"/>
      <c r="G5" s="30"/>
      <c r="H5" s="37"/>
      <c r="L5" s="86" t="s">
        <v>35</v>
      </c>
      <c r="M5" s="87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 t="s">
        <v>3</v>
      </c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88"/>
      <c r="E7" s="89"/>
      <c r="F7" s="90"/>
      <c r="G7" s="91"/>
      <c r="H7" s="92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54"/>
      <c r="F8" s="55"/>
      <c r="G8" s="56"/>
      <c r="H8" s="61"/>
      <c r="I8" s="58">
        <f t="shared" ref="I8:I39" si="1">H8*5</f>
        <v>0</v>
      </c>
      <c r="J8" s="62"/>
      <c r="L8" s="60" t="s">
        <v>34</v>
      </c>
      <c r="M8" s="63">
        <f>SUM(H7:H43)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5"/>
      <c r="H9" s="57"/>
      <c r="I9" s="58">
        <f t="shared" si="1"/>
        <v>0</v>
      </c>
      <c r="J9" s="62"/>
      <c r="L9" s="64" t="s">
        <v>36</v>
      </c>
      <c r="M9" s="65">
        <f>SUM(G7:G43)</f>
        <v>0</v>
      </c>
      <c r="O9" s="16" t="s">
        <v>10</v>
      </c>
      <c r="P9" s="16"/>
      <c r="Q9" s="16" t="s">
        <v>105</v>
      </c>
    </row>
    <row r="10" spans="1:17" ht="20.25" x14ac:dyDescent="0.3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 t="shared" si="1"/>
        <v>0</v>
      </c>
      <c r="J10" s="62"/>
      <c r="O10" s="18" t="s">
        <v>93</v>
      </c>
      <c r="P10" s="16"/>
      <c r="Q10" s="17" t="s">
        <v>123</v>
      </c>
    </row>
    <row r="11" spans="1:17" ht="20.25" x14ac:dyDescent="0.3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5"/>
      <c r="H11" s="57"/>
      <c r="I11" s="58">
        <f t="shared" si="1"/>
        <v>0</v>
      </c>
      <c r="J11" s="62"/>
      <c r="O11" s="16"/>
      <c r="P11" s="16"/>
      <c r="Q11" s="16" t="s">
        <v>104</v>
      </c>
    </row>
    <row r="12" spans="1:17" ht="20.25" x14ac:dyDescent="0.3">
      <c r="A12" s="51" t="str">
        <v/>
      </c>
      <c r="B12" s="51" t="str">
        <f t="shared" si="0"/>
        <v/>
      </c>
      <c r="C12" s="52" t="str">
        <f t="shared" si="2"/>
        <v/>
      </c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/>
      <c r="O12" s="18"/>
      <c r="P12" s="16"/>
      <c r="Q12" s="16" t="s">
        <v>124</v>
      </c>
    </row>
    <row r="13" spans="1:17" ht="20.25" x14ac:dyDescent="0.3">
      <c r="A13" s="51" t="str">
        <v/>
      </c>
      <c r="B13" s="51" t="str">
        <f t="shared" si="0"/>
        <v/>
      </c>
      <c r="C13" s="52" t="str">
        <f t="shared" si="2"/>
        <v/>
      </c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.25" x14ac:dyDescent="0.3">
      <c r="A14" s="51" t="str">
        <v/>
      </c>
      <c r="B14" s="51" t="str">
        <f t="shared" si="0"/>
        <v/>
      </c>
      <c r="C14" s="52" t="str">
        <f t="shared" si="2"/>
        <v/>
      </c>
      <c r="D14" s="53"/>
      <c r="E14" s="54"/>
      <c r="F14" s="55"/>
      <c r="G14" s="56"/>
      <c r="H14" s="61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.25" x14ac:dyDescent="0.3">
      <c r="A15" s="51" t="str">
        <v/>
      </c>
      <c r="B15" s="51" t="str">
        <f t="shared" si="0"/>
        <v/>
      </c>
      <c r="C15" s="52" t="str">
        <f t="shared" si="2"/>
        <v/>
      </c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.25" x14ac:dyDescent="0.3">
      <c r="A16" s="51" t="str">
        <v/>
      </c>
      <c r="B16" s="51" t="str">
        <f t="shared" si="0"/>
        <v/>
      </c>
      <c r="C16" s="52" t="str">
        <f t="shared" si="2"/>
        <v/>
      </c>
      <c r="D16" s="53"/>
      <c r="E16" s="54"/>
      <c r="F16" s="55"/>
      <c r="G16" s="55"/>
      <c r="H16" s="57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.25" x14ac:dyDescent="0.3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54"/>
      <c r="F17" s="55"/>
      <c r="G17" s="55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.25" x14ac:dyDescent="0.3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/>
    </row>
    <row r="19" spans="1:19" s="71" customFormat="1" ht="20.25" x14ac:dyDescent="0.3">
      <c r="A19" s="69" t="str">
        <v/>
      </c>
      <c r="B19" s="69" t="str">
        <f t="shared" si="0"/>
        <v/>
      </c>
      <c r="C19" s="52" t="str">
        <f t="shared" si="2"/>
        <v/>
      </c>
      <c r="D19" s="53"/>
      <c r="E19" s="54"/>
      <c r="F19" s="55"/>
      <c r="G19" s="55"/>
      <c r="H19" s="5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.25" x14ac:dyDescent="0.3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54"/>
      <c r="F20" s="55"/>
      <c r="G20" s="56"/>
      <c r="H20" s="61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.25" x14ac:dyDescent="0.3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54"/>
      <c r="F21" s="55"/>
      <c r="G21" s="55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.25" x14ac:dyDescent="0.3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54"/>
      <c r="F22" s="55"/>
      <c r="G22" s="56"/>
      <c r="H22" s="61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.25" x14ac:dyDescent="0.3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.25" x14ac:dyDescent="0.3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.25" x14ac:dyDescent="0.3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.25" x14ac:dyDescent="0.3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.25" x14ac:dyDescent="0.3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.25" x14ac:dyDescent="0.3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.25" x14ac:dyDescent="0.3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.25" x14ac:dyDescent="0.3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.25" x14ac:dyDescent="0.3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.25" x14ac:dyDescent="0.3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.25" x14ac:dyDescent="0.3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.25" x14ac:dyDescent="0.3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.25" x14ac:dyDescent="0.3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.25" x14ac:dyDescent="0.3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.25" x14ac:dyDescent="0.3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.25" x14ac:dyDescent="0.3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.25" x14ac:dyDescent="0.3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.25" x14ac:dyDescent="0.3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.25" x14ac:dyDescent="0.3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.25" x14ac:dyDescent="0.3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1" thickBot="1" x14ac:dyDescent="0.3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3"/>
      <c r="F43" s="81"/>
      <c r="G43" s="81"/>
      <c r="H43" s="82"/>
      <c r="I43" s="58"/>
      <c r="J43" s="62"/>
    </row>
    <row r="44" spans="1:19" x14ac:dyDescent="0.2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2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2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2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2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2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2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2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2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2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2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2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2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2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2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2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2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2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2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2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2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2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2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2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2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2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2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2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2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2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2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2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2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2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2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2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2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2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2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2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2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2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2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2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2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2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2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2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2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2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2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2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2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2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2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2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2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2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2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2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2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2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2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2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2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2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2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2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2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2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2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2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2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2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2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2">
      <c r="L119" s="25"/>
      <c r="M119" s="25"/>
      <c r="N119" s="25"/>
      <c r="O119" s="85"/>
      <c r="P119" s="85"/>
      <c r="Q119" s="85"/>
      <c r="R119" s="25"/>
      <c r="S119" s="25"/>
    </row>
    <row r="120" spans="4:19" x14ac:dyDescent="0.2">
      <c r="L120" s="25"/>
      <c r="M120" s="25"/>
      <c r="N120" s="25"/>
      <c r="O120" s="85"/>
      <c r="P120" s="85"/>
      <c r="Q120" s="85"/>
      <c r="R120" s="25"/>
      <c r="S120" s="25"/>
    </row>
    <row r="121" spans="4:19" x14ac:dyDescent="0.2">
      <c r="L121" s="25"/>
      <c r="M121" s="25"/>
      <c r="N121" s="25"/>
      <c r="O121" s="85"/>
      <c r="P121" s="85"/>
      <c r="Q121" s="85"/>
      <c r="R121" s="25"/>
      <c r="S121" s="25"/>
    </row>
    <row r="122" spans="4:19" x14ac:dyDescent="0.2">
      <c r="L122" s="25"/>
      <c r="M122" s="25"/>
      <c r="N122" s="25"/>
      <c r="O122" s="85"/>
      <c r="P122" s="85"/>
      <c r="Q122" s="85"/>
      <c r="R122" s="25"/>
      <c r="S122" s="25"/>
    </row>
    <row r="123" spans="4:19" x14ac:dyDescent="0.2">
      <c r="L123" s="25"/>
      <c r="M123" s="25"/>
      <c r="N123" s="25"/>
      <c r="O123" s="85"/>
      <c r="P123" s="85"/>
      <c r="Q123" s="85"/>
      <c r="R123" s="25"/>
      <c r="S123" s="25"/>
    </row>
    <row r="124" spans="4:19" x14ac:dyDescent="0.2">
      <c r="L124" s="25"/>
      <c r="M124" s="25"/>
      <c r="N124" s="25"/>
      <c r="O124" s="85"/>
      <c r="P124" s="85"/>
      <c r="Q124" s="85"/>
      <c r="R124" s="25"/>
      <c r="S124" s="25"/>
    </row>
    <row r="125" spans="4:19" x14ac:dyDescent="0.2">
      <c r="L125" s="25"/>
      <c r="M125" s="25"/>
      <c r="N125" s="25"/>
      <c r="O125" s="85"/>
      <c r="P125" s="85"/>
      <c r="Q125" s="85"/>
      <c r="R125" s="25"/>
      <c r="S125" s="25"/>
    </row>
    <row r="126" spans="4:19" x14ac:dyDescent="0.2">
      <c r="L126" s="25"/>
      <c r="M126" s="25"/>
      <c r="N126" s="25"/>
      <c r="O126" s="85"/>
      <c r="P126" s="85"/>
      <c r="Q126" s="85"/>
      <c r="R126" s="25"/>
      <c r="S126" s="25"/>
    </row>
  </sheetData>
  <mergeCells count="1">
    <mergeCell ref="L5:M5"/>
  </mergeCells>
  <dataValidations count="3">
    <dataValidation type="list" allowBlank="1" showInputMessage="1" showErrorMessage="1" sqref="E15:E43 E7:E13" xr:uid="{C3EC0F93-AFF7-4DBA-8BEF-ED8E88B890A8}">
      <formula1>$P$5:$P$9</formula1>
    </dataValidation>
    <dataValidation type="list" allowBlank="1" showInputMessage="1" showErrorMessage="1" sqref="F7:F43" xr:uid="{AED484B9-2195-496D-933A-EB4952E30E71}">
      <formula1>$Q$5:$Q$32</formula1>
    </dataValidation>
    <dataValidation type="list" allowBlank="1" showInputMessage="1" showErrorMessage="1" sqref="D7:D43" xr:uid="{A69746E6-71A3-4EA6-A013-ADF92C6398FE}">
      <formula1>$O$5:$O$12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A76DCA-0CDD-43C7-A0F0-42486FEEB89E}">
          <x14:formula1>
            <xm:f>ScheduleMasterRef!$A$2:$A$16</xm:f>
          </x14:formula1>
          <xm:sqref>D7 D26:D43 D23:D24 D21 D9:D13 D15:D19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D9B3-41B5-4545-8833-DA0FC23829CC}">
  <dimension ref="A1:S126"/>
  <sheetViews>
    <sheetView topLeftCell="C1" zoomScale="80" zoomScaleNormal="80" workbookViewId="0">
      <selection activeCell="D7" sqref="D7:H32"/>
    </sheetView>
  </sheetViews>
  <sheetFormatPr defaultRowHeight="14.25" x14ac:dyDescent="0.2"/>
  <cols>
    <col min="1" max="2" width="22.28515625" style="25" hidden="1" customWidth="1"/>
    <col min="3" max="3" width="22.28515625" style="25" customWidth="1"/>
    <col min="4" max="4" width="18.42578125" style="76" customWidth="1"/>
    <col min="5" max="5" width="16.5703125" style="25" customWidth="1"/>
    <col min="6" max="6" width="64.28515625" style="25" bestFit="1" customWidth="1"/>
    <col min="7" max="7" width="19" style="76" customWidth="1"/>
    <col min="8" max="8" width="16.28515625" style="76" bestFit="1" customWidth="1"/>
    <col min="9" max="9" width="11.7109375" style="25" bestFit="1" customWidth="1"/>
    <col min="10" max="10" width="14.85546875" style="25" bestFit="1" customWidth="1"/>
    <col min="11" max="11" width="9.140625" style="25"/>
    <col min="12" max="12" width="31.140625" style="26" customWidth="1"/>
    <col min="13" max="13" width="6" style="26" bestFit="1" customWidth="1"/>
    <col min="14" max="14" width="9.140625" style="26"/>
    <col min="15" max="15" width="13.140625" style="27" bestFit="1" customWidth="1"/>
    <col min="16" max="16" width="9.5703125" style="27" bestFit="1" customWidth="1"/>
    <col min="17" max="17" width="23.5703125" style="27" bestFit="1" customWidth="1"/>
    <col min="18" max="19" width="9.140625" style="26"/>
    <col min="20" max="16384" width="9.140625" style="25"/>
  </cols>
  <sheetData>
    <row r="1" spans="1:17" ht="18" x14ac:dyDescent="0.2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2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25">
      <c r="A3" s="28"/>
      <c r="C3" s="29"/>
      <c r="D3" s="30"/>
      <c r="E3" s="31"/>
      <c r="F3" s="30"/>
      <c r="G3" s="32"/>
      <c r="H3" s="33"/>
      <c r="I3" s="34"/>
      <c r="J3" s="34"/>
    </row>
    <row r="4" spans="1:17" ht="18.75" thickBot="1" x14ac:dyDescent="0.3">
      <c r="A4" s="28" t="s">
        <v>6</v>
      </c>
      <c r="C4" s="29"/>
      <c r="D4" s="30"/>
      <c r="E4" s="31"/>
      <c r="F4" s="35">
        <f>Wednesday!F4+1</f>
        <v>45036</v>
      </c>
      <c r="G4" s="36"/>
      <c r="H4" s="37"/>
      <c r="O4" s="38" t="s">
        <v>5</v>
      </c>
      <c r="P4" s="38" t="s">
        <v>4</v>
      </c>
      <c r="Q4" s="38" t="s">
        <v>3</v>
      </c>
    </row>
    <row r="5" spans="1:17" ht="18.75" thickBot="1" x14ac:dyDescent="0.3">
      <c r="A5" s="28"/>
      <c r="C5" s="29"/>
      <c r="D5" s="39"/>
      <c r="E5" s="31"/>
      <c r="F5" s="40"/>
      <c r="G5" s="30"/>
      <c r="H5" s="37"/>
      <c r="L5" s="86" t="s">
        <v>35</v>
      </c>
      <c r="M5" s="87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 t="s">
        <v>3</v>
      </c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88"/>
      <c r="E7" s="89"/>
      <c r="F7" s="90"/>
      <c r="G7" s="91"/>
      <c r="H7" s="92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54"/>
      <c r="F8" s="55"/>
      <c r="G8" s="56"/>
      <c r="H8" s="61"/>
      <c r="I8" s="58">
        <f t="shared" ref="I8:I39" si="1">H8*5</f>
        <v>0</v>
      </c>
      <c r="J8" s="62"/>
      <c r="L8" s="60" t="s">
        <v>34</v>
      </c>
      <c r="M8" s="63">
        <f>SUM(H7:H43)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5"/>
      <c r="H9" s="57"/>
      <c r="I9" s="58">
        <f t="shared" si="1"/>
        <v>0</v>
      </c>
      <c r="J9" s="62"/>
      <c r="L9" s="64" t="s">
        <v>36</v>
      </c>
      <c r="M9" s="65">
        <f>SUM(G7:G43)</f>
        <v>0</v>
      </c>
      <c r="O9" s="16" t="s">
        <v>10</v>
      </c>
      <c r="P9" s="16"/>
      <c r="Q9" s="16" t="s">
        <v>105</v>
      </c>
    </row>
    <row r="10" spans="1:17" ht="20.25" x14ac:dyDescent="0.3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 t="shared" si="1"/>
        <v>0</v>
      </c>
      <c r="J10" s="62"/>
      <c r="O10" s="18" t="s">
        <v>93</v>
      </c>
      <c r="P10" s="16"/>
      <c r="Q10" s="17" t="s">
        <v>123</v>
      </c>
    </row>
    <row r="11" spans="1:17" ht="20.25" x14ac:dyDescent="0.3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5"/>
      <c r="H11" s="57"/>
      <c r="I11" s="58">
        <f t="shared" si="1"/>
        <v>0</v>
      </c>
      <c r="J11" s="62"/>
      <c r="O11" s="16"/>
      <c r="P11" s="16"/>
      <c r="Q11" s="16" t="s">
        <v>104</v>
      </c>
    </row>
    <row r="12" spans="1:17" ht="20.25" x14ac:dyDescent="0.3">
      <c r="A12" s="51" t="str">
        <v/>
      </c>
      <c r="B12" s="51" t="str">
        <f t="shared" si="0"/>
        <v/>
      </c>
      <c r="C12" s="52" t="str">
        <f t="shared" si="2"/>
        <v/>
      </c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/>
      <c r="O12" s="18"/>
      <c r="P12" s="16"/>
      <c r="Q12" s="16" t="s">
        <v>124</v>
      </c>
    </row>
    <row r="13" spans="1:17" ht="20.25" x14ac:dyDescent="0.3">
      <c r="A13" s="51" t="str">
        <v/>
      </c>
      <c r="B13" s="51" t="str">
        <f t="shared" si="0"/>
        <v/>
      </c>
      <c r="C13" s="52" t="str">
        <f t="shared" si="2"/>
        <v/>
      </c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.25" x14ac:dyDescent="0.3">
      <c r="A14" s="51" t="str">
        <v/>
      </c>
      <c r="B14" s="51" t="str">
        <f t="shared" si="0"/>
        <v/>
      </c>
      <c r="C14" s="52" t="str">
        <f t="shared" si="2"/>
        <v/>
      </c>
      <c r="D14" s="53"/>
      <c r="E14" s="54"/>
      <c r="F14" s="55"/>
      <c r="G14" s="56"/>
      <c r="H14" s="61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.25" x14ac:dyDescent="0.3">
      <c r="A15" s="51" t="str">
        <v/>
      </c>
      <c r="B15" s="51" t="str">
        <f t="shared" si="0"/>
        <v/>
      </c>
      <c r="C15" s="52" t="str">
        <f t="shared" si="2"/>
        <v/>
      </c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.25" x14ac:dyDescent="0.3">
      <c r="A16" s="51" t="str">
        <v/>
      </c>
      <c r="B16" s="51" t="str">
        <f t="shared" si="0"/>
        <v/>
      </c>
      <c r="C16" s="52" t="str">
        <f t="shared" si="2"/>
        <v/>
      </c>
      <c r="D16" s="53"/>
      <c r="E16" s="54"/>
      <c r="F16" s="55"/>
      <c r="G16" s="55"/>
      <c r="H16" s="57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.25" x14ac:dyDescent="0.3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54"/>
      <c r="F17" s="55"/>
      <c r="G17" s="55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.25" x14ac:dyDescent="0.3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/>
    </row>
    <row r="19" spans="1:19" s="71" customFormat="1" ht="20.25" x14ac:dyDescent="0.3">
      <c r="A19" s="69" t="str">
        <v/>
      </c>
      <c r="B19" s="69" t="str">
        <f t="shared" si="0"/>
        <v/>
      </c>
      <c r="C19" s="52" t="str">
        <f t="shared" si="2"/>
        <v/>
      </c>
      <c r="D19" s="53"/>
      <c r="E19" s="54"/>
      <c r="F19" s="55"/>
      <c r="G19" s="55"/>
      <c r="H19" s="5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.25" x14ac:dyDescent="0.3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54"/>
      <c r="F20" s="55"/>
      <c r="G20" s="56"/>
      <c r="H20" s="61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.25" x14ac:dyDescent="0.3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54"/>
      <c r="F21" s="55"/>
      <c r="G21" s="55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.25" x14ac:dyDescent="0.3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54"/>
      <c r="F22" s="55"/>
      <c r="G22" s="56"/>
      <c r="H22" s="61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.25" x14ac:dyDescent="0.3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.25" x14ac:dyDescent="0.3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.25" x14ac:dyDescent="0.3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.25" x14ac:dyDescent="0.3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.25" x14ac:dyDescent="0.3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.25" x14ac:dyDescent="0.3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.25" x14ac:dyDescent="0.3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.25" x14ac:dyDescent="0.3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.25" x14ac:dyDescent="0.3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.25" x14ac:dyDescent="0.3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.25" x14ac:dyDescent="0.3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.25" x14ac:dyDescent="0.3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.25" x14ac:dyDescent="0.3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.25" x14ac:dyDescent="0.3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.25" x14ac:dyDescent="0.3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.25" x14ac:dyDescent="0.3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.25" x14ac:dyDescent="0.3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.25" x14ac:dyDescent="0.3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.25" x14ac:dyDescent="0.3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.25" x14ac:dyDescent="0.3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1" thickBot="1" x14ac:dyDescent="0.3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3"/>
      <c r="F43" s="81"/>
      <c r="G43" s="81"/>
      <c r="H43" s="82"/>
      <c r="I43" s="58"/>
      <c r="J43" s="62"/>
    </row>
    <row r="44" spans="1:19" x14ac:dyDescent="0.2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2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2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2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2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2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2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2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2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2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2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2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2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2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2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2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2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2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2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2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2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2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2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2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2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2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2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2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2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2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2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2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2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2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2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2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2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2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2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2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2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2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2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2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2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2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2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2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2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2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2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2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2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2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2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2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2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2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2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2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2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2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2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2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2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2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2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2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2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2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2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2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2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2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2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2">
      <c r="L119" s="25"/>
      <c r="M119" s="25"/>
      <c r="N119" s="25"/>
      <c r="O119" s="85"/>
      <c r="P119" s="85"/>
      <c r="Q119" s="85"/>
      <c r="R119" s="25"/>
      <c r="S119" s="25"/>
    </row>
    <row r="120" spans="4:19" x14ac:dyDescent="0.2">
      <c r="L120" s="25"/>
      <c r="M120" s="25"/>
      <c r="N120" s="25"/>
      <c r="O120" s="85"/>
      <c r="P120" s="85"/>
      <c r="Q120" s="85"/>
      <c r="R120" s="25"/>
      <c r="S120" s="25"/>
    </row>
    <row r="121" spans="4:19" x14ac:dyDescent="0.2">
      <c r="L121" s="25"/>
      <c r="M121" s="25"/>
      <c r="N121" s="25"/>
      <c r="O121" s="85"/>
      <c r="P121" s="85"/>
      <c r="Q121" s="85"/>
      <c r="R121" s="25"/>
      <c r="S121" s="25"/>
    </row>
    <row r="122" spans="4:19" x14ac:dyDescent="0.2">
      <c r="L122" s="25"/>
      <c r="M122" s="25"/>
      <c r="N122" s="25"/>
      <c r="O122" s="85"/>
      <c r="P122" s="85"/>
      <c r="Q122" s="85"/>
      <c r="R122" s="25"/>
      <c r="S122" s="25"/>
    </row>
    <row r="123" spans="4:19" x14ac:dyDescent="0.2">
      <c r="L123" s="25"/>
      <c r="M123" s="25"/>
      <c r="N123" s="25"/>
      <c r="O123" s="85"/>
      <c r="P123" s="85"/>
      <c r="Q123" s="85"/>
      <c r="R123" s="25"/>
      <c r="S123" s="25"/>
    </row>
    <row r="124" spans="4:19" x14ac:dyDescent="0.2">
      <c r="L124" s="25"/>
      <c r="M124" s="25"/>
      <c r="N124" s="25"/>
      <c r="O124" s="85"/>
      <c r="P124" s="85"/>
      <c r="Q124" s="85"/>
      <c r="R124" s="25"/>
      <c r="S124" s="25"/>
    </row>
    <row r="125" spans="4:19" x14ac:dyDescent="0.2">
      <c r="L125" s="25"/>
      <c r="M125" s="25"/>
      <c r="N125" s="25"/>
      <c r="O125" s="85"/>
      <c r="P125" s="85"/>
      <c r="Q125" s="85"/>
      <c r="R125" s="25"/>
      <c r="S125" s="25"/>
    </row>
    <row r="126" spans="4:19" x14ac:dyDescent="0.2">
      <c r="L126" s="25"/>
      <c r="M126" s="25"/>
      <c r="N126" s="25"/>
      <c r="O126" s="85"/>
      <c r="P126" s="85"/>
      <c r="Q126" s="85"/>
      <c r="R126" s="25"/>
      <c r="S126" s="25"/>
    </row>
  </sheetData>
  <sortState xmlns:xlrd2="http://schemas.microsoft.com/office/spreadsheetml/2017/richdata2" ref="V6:V20">
    <sortCondition ref="V5:V20"/>
  </sortState>
  <mergeCells count="1">
    <mergeCell ref="L5:M5"/>
  </mergeCells>
  <dataValidations count="3">
    <dataValidation type="list" allowBlank="1" showInputMessage="1" showErrorMessage="1" sqref="E15:E43 E7:E13" xr:uid="{C7A11189-4E1B-47F0-BB11-9B226AC06A35}">
      <formula1>$P$5:$P$9</formula1>
    </dataValidation>
    <dataValidation type="list" allowBlank="1" showInputMessage="1" showErrorMessage="1" sqref="F7:F43" xr:uid="{2961CB83-EAE3-4029-9AE7-1A8044BC686A}">
      <formula1>$Q$5:$Q$32</formula1>
    </dataValidation>
    <dataValidation type="list" allowBlank="1" showInputMessage="1" showErrorMessage="1" sqref="D7:D43" xr:uid="{E0C9B713-BFEC-4F44-91AE-68CDDFF37D5A}">
      <formula1>$O$5:$O$12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E6CBED-1D4D-48BF-8BD7-061B603096FC}">
          <x14:formula1>
            <xm:f>ScheduleMasterRef!$A$2:$A$16</xm:f>
          </x14:formula1>
          <xm:sqref>D7 D26:D43 D23:D24 D21 D9:D13 D15:D19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8145-3FD6-4B78-985A-D7F436A061FE}">
  <dimension ref="A1:S126"/>
  <sheetViews>
    <sheetView topLeftCell="C1" zoomScale="80" zoomScaleNormal="80" workbookViewId="0">
      <selection activeCell="D7" sqref="D7:H34"/>
    </sheetView>
  </sheetViews>
  <sheetFormatPr defaultRowHeight="14.25" x14ac:dyDescent="0.2"/>
  <cols>
    <col min="1" max="2" width="22.28515625" style="25" hidden="1" customWidth="1"/>
    <col min="3" max="3" width="22.28515625" style="25" customWidth="1"/>
    <col min="4" max="4" width="18.42578125" style="76" customWidth="1"/>
    <col min="5" max="5" width="16.5703125" style="25" customWidth="1"/>
    <col min="6" max="6" width="64.28515625" style="25" bestFit="1" customWidth="1"/>
    <col min="7" max="7" width="19" style="76" customWidth="1"/>
    <col min="8" max="8" width="16.28515625" style="76" bestFit="1" customWidth="1"/>
    <col min="9" max="9" width="11.7109375" style="25" bestFit="1" customWidth="1"/>
    <col min="10" max="10" width="14.85546875" style="25" bestFit="1" customWidth="1"/>
    <col min="11" max="11" width="9.140625" style="25"/>
    <col min="12" max="12" width="31.140625" style="26" customWidth="1"/>
    <col min="13" max="13" width="6" style="26" bestFit="1" customWidth="1"/>
    <col min="14" max="14" width="9.140625" style="26"/>
    <col min="15" max="15" width="13.140625" style="27" bestFit="1" customWidth="1"/>
    <col min="16" max="16" width="9.5703125" style="27" bestFit="1" customWidth="1"/>
    <col min="17" max="17" width="23.5703125" style="27" bestFit="1" customWidth="1"/>
    <col min="18" max="19" width="9.140625" style="26"/>
    <col min="20" max="16384" width="9.140625" style="25"/>
  </cols>
  <sheetData>
    <row r="1" spans="1:17" ht="18" x14ac:dyDescent="0.2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2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25">
      <c r="A3" s="28"/>
      <c r="C3" s="29"/>
      <c r="D3" s="30"/>
      <c r="E3" s="31"/>
      <c r="F3" s="30"/>
      <c r="G3" s="32"/>
      <c r="H3" s="33"/>
      <c r="I3" s="34"/>
      <c r="J3" s="34"/>
    </row>
    <row r="4" spans="1:17" ht="18.75" thickBot="1" x14ac:dyDescent="0.3">
      <c r="A4" s="28" t="s">
        <v>6</v>
      </c>
      <c r="C4" s="29"/>
      <c r="D4" s="30"/>
      <c r="E4" s="31"/>
      <c r="F4" s="35">
        <f>Thursday!F4+1</f>
        <v>45037</v>
      </c>
      <c r="G4" s="36"/>
      <c r="H4" s="37"/>
      <c r="O4" s="38" t="s">
        <v>5</v>
      </c>
      <c r="P4" s="38" t="s">
        <v>4</v>
      </c>
      <c r="Q4" s="38" t="s">
        <v>3</v>
      </c>
    </row>
    <row r="5" spans="1:17" ht="18.75" thickBot="1" x14ac:dyDescent="0.3">
      <c r="A5" s="28"/>
      <c r="C5" s="29"/>
      <c r="D5" s="39"/>
      <c r="E5" s="31"/>
      <c r="F5" s="40"/>
      <c r="G5" s="30"/>
      <c r="H5" s="37"/>
      <c r="L5" s="86" t="s">
        <v>35</v>
      </c>
      <c r="M5" s="87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 t="s">
        <v>3</v>
      </c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88"/>
      <c r="E7" s="89"/>
      <c r="F7" s="90"/>
      <c r="G7" s="91"/>
      <c r="H7" s="92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54"/>
      <c r="F8" s="55"/>
      <c r="G8" s="56"/>
      <c r="H8" s="61"/>
      <c r="I8" s="58">
        <f t="shared" ref="I8:I39" si="1">H8*5</f>
        <v>0</v>
      </c>
      <c r="J8" s="62"/>
      <c r="L8" s="60" t="s">
        <v>34</v>
      </c>
      <c r="M8" s="63">
        <f>SUM(H7:H43)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5"/>
      <c r="H9" s="57"/>
      <c r="I9" s="58">
        <f t="shared" si="1"/>
        <v>0</v>
      </c>
      <c r="J9" s="62"/>
      <c r="L9" s="64" t="s">
        <v>36</v>
      </c>
      <c r="M9" s="65">
        <f>SUM(G7:G43)</f>
        <v>0</v>
      </c>
      <c r="O9" s="16" t="s">
        <v>10</v>
      </c>
      <c r="P9" s="16"/>
      <c r="Q9" s="16" t="s">
        <v>105</v>
      </c>
    </row>
    <row r="10" spans="1:17" ht="20.25" x14ac:dyDescent="0.3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 t="shared" si="1"/>
        <v>0</v>
      </c>
      <c r="J10" s="62"/>
      <c r="O10" s="18" t="s">
        <v>93</v>
      </c>
      <c r="P10" s="16"/>
      <c r="Q10" s="17" t="s">
        <v>123</v>
      </c>
    </row>
    <row r="11" spans="1:17" ht="20.25" x14ac:dyDescent="0.3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5"/>
      <c r="H11" s="57"/>
      <c r="I11" s="58">
        <f t="shared" si="1"/>
        <v>0</v>
      </c>
      <c r="J11" s="62"/>
      <c r="O11" s="16"/>
      <c r="P11" s="16"/>
      <c r="Q11" s="16" t="s">
        <v>104</v>
      </c>
    </row>
    <row r="12" spans="1:17" ht="20.25" x14ac:dyDescent="0.3">
      <c r="A12" s="51" t="str">
        <v/>
      </c>
      <c r="B12" s="51" t="str">
        <f t="shared" si="0"/>
        <v/>
      </c>
      <c r="C12" s="52" t="str">
        <f t="shared" si="2"/>
        <v/>
      </c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/>
      <c r="O12" s="18"/>
      <c r="P12" s="16"/>
      <c r="Q12" s="16" t="s">
        <v>124</v>
      </c>
    </row>
    <row r="13" spans="1:17" ht="20.25" x14ac:dyDescent="0.3">
      <c r="A13" s="51" t="str">
        <v/>
      </c>
      <c r="B13" s="51" t="str">
        <f t="shared" si="0"/>
        <v/>
      </c>
      <c r="C13" s="52" t="str">
        <f t="shared" si="2"/>
        <v/>
      </c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.25" x14ac:dyDescent="0.3">
      <c r="A14" s="51" t="str">
        <v/>
      </c>
      <c r="B14" s="51" t="str">
        <f t="shared" si="0"/>
        <v/>
      </c>
      <c r="C14" s="52" t="str">
        <f t="shared" si="2"/>
        <v/>
      </c>
      <c r="D14" s="53"/>
      <c r="E14" s="54"/>
      <c r="F14" s="55"/>
      <c r="G14" s="56"/>
      <c r="H14" s="61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.25" x14ac:dyDescent="0.3">
      <c r="A15" s="51" t="str">
        <v/>
      </c>
      <c r="B15" s="51" t="str">
        <f t="shared" si="0"/>
        <v/>
      </c>
      <c r="C15" s="52" t="str">
        <f t="shared" si="2"/>
        <v/>
      </c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.25" x14ac:dyDescent="0.3">
      <c r="A16" s="51" t="str">
        <v/>
      </c>
      <c r="B16" s="51" t="str">
        <f t="shared" si="0"/>
        <v/>
      </c>
      <c r="C16" s="52" t="str">
        <f t="shared" si="2"/>
        <v/>
      </c>
      <c r="D16" s="53"/>
      <c r="E16" s="54"/>
      <c r="F16" s="55"/>
      <c r="G16" s="55"/>
      <c r="H16" s="57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.25" x14ac:dyDescent="0.3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54"/>
      <c r="F17" s="55"/>
      <c r="G17" s="55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.25" x14ac:dyDescent="0.3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/>
    </row>
    <row r="19" spans="1:19" s="71" customFormat="1" ht="20.25" x14ac:dyDescent="0.3">
      <c r="A19" s="69" t="str">
        <v/>
      </c>
      <c r="B19" s="69" t="str">
        <f t="shared" si="0"/>
        <v/>
      </c>
      <c r="C19" s="52" t="str">
        <f t="shared" si="2"/>
        <v/>
      </c>
      <c r="D19" s="53"/>
      <c r="E19" s="54"/>
      <c r="F19" s="55"/>
      <c r="G19" s="55"/>
      <c r="H19" s="5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.25" x14ac:dyDescent="0.3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54"/>
      <c r="F20" s="55"/>
      <c r="G20" s="56"/>
      <c r="H20" s="61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.25" x14ac:dyDescent="0.3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54"/>
      <c r="F21" s="55"/>
      <c r="G21" s="55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.25" x14ac:dyDescent="0.3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54"/>
      <c r="F22" s="55"/>
      <c r="G22" s="56"/>
      <c r="H22" s="61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.25" x14ac:dyDescent="0.3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.25" x14ac:dyDescent="0.3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.25" x14ac:dyDescent="0.3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.25" x14ac:dyDescent="0.3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.25" x14ac:dyDescent="0.3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.25" x14ac:dyDescent="0.3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.25" x14ac:dyDescent="0.3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.25" x14ac:dyDescent="0.3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.25" x14ac:dyDescent="0.3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.25" x14ac:dyDescent="0.3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.25" x14ac:dyDescent="0.3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.25" x14ac:dyDescent="0.3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.25" x14ac:dyDescent="0.3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.25" x14ac:dyDescent="0.3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.25" x14ac:dyDescent="0.3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.25" x14ac:dyDescent="0.3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.25" x14ac:dyDescent="0.3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.25" x14ac:dyDescent="0.3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.25" x14ac:dyDescent="0.3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.25" x14ac:dyDescent="0.3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1" thickBot="1" x14ac:dyDescent="0.3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3"/>
      <c r="F43" s="81"/>
      <c r="G43" s="81"/>
      <c r="H43" s="82"/>
      <c r="I43" s="58"/>
      <c r="J43" s="62"/>
    </row>
    <row r="44" spans="1:19" x14ac:dyDescent="0.2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2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2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2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2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2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2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2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2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2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2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2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2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2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2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2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2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2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2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2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2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2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2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2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2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2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2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2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2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2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2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2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2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2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2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2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2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2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2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2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2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2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2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2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2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2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2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2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2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2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2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2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2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2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2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2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2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2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2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2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2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2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2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2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2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2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2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2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2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2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2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2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2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2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2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2">
      <c r="L119" s="25"/>
      <c r="M119" s="25"/>
      <c r="N119" s="25"/>
      <c r="O119" s="85"/>
      <c r="P119" s="85"/>
      <c r="Q119" s="85"/>
      <c r="R119" s="25"/>
      <c r="S119" s="25"/>
    </row>
    <row r="120" spans="4:19" x14ac:dyDescent="0.2">
      <c r="L120" s="25"/>
      <c r="M120" s="25"/>
      <c r="N120" s="25"/>
      <c r="O120" s="85"/>
      <c r="P120" s="85"/>
      <c r="Q120" s="85"/>
      <c r="R120" s="25"/>
      <c r="S120" s="25"/>
    </row>
    <row r="121" spans="4:19" x14ac:dyDescent="0.2">
      <c r="L121" s="25"/>
      <c r="M121" s="25"/>
      <c r="N121" s="25"/>
      <c r="O121" s="85"/>
      <c r="P121" s="85"/>
      <c r="Q121" s="85"/>
      <c r="R121" s="25"/>
      <c r="S121" s="25"/>
    </row>
    <row r="122" spans="4:19" x14ac:dyDescent="0.2">
      <c r="L122" s="25"/>
      <c r="M122" s="25"/>
      <c r="N122" s="25"/>
      <c r="O122" s="85"/>
      <c r="P122" s="85"/>
      <c r="Q122" s="85"/>
      <c r="R122" s="25"/>
      <c r="S122" s="25"/>
    </row>
    <row r="123" spans="4:19" x14ac:dyDescent="0.2">
      <c r="L123" s="25"/>
      <c r="M123" s="25"/>
      <c r="N123" s="25"/>
      <c r="O123" s="85"/>
      <c r="P123" s="85"/>
      <c r="Q123" s="85"/>
      <c r="R123" s="25"/>
      <c r="S123" s="25"/>
    </row>
    <row r="124" spans="4:19" x14ac:dyDescent="0.2">
      <c r="L124" s="25"/>
      <c r="M124" s="25"/>
      <c r="N124" s="25"/>
      <c r="O124" s="85"/>
      <c r="P124" s="85"/>
      <c r="Q124" s="85"/>
      <c r="R124" s="25"/>
      <c r="S124" s="25"/>
    </row>
    <row r="125" spans="4:19" x14ac:dyDescent="0.2">
      <c r="L125" s="25"/>
      <c r="M125" s="25"/>
      <c r="N125" s="25"/>
      <c r="O125" s="85"/>
      <c r="P125" s="85"/>
      <c r="Q125" s="85"/>
      <c r="R125" s="25"/>
      <c r="S125" s="25"/>
    </row>
    <row r="126" spans="4:19" x14ac:dyDescent="0.2">
      <c r="L126" s="25"/>
      <c r="M126" s="25"/>
      <c r="N126" s="25"/>
      <c r="O126" s="85"/>
      <c r="P126" s="85"/>
      <c r="Q126" s="85"/>
      <c r="R126" s="25"/>
      <c r="S126" s="25"/>
    </row>
  </sheetData>
  <mergeCells count="1">
    <mergeCell ref="L5:M5"/>
  </mergeCells>
  <dataValidations count="3">
    <dataValidation type="list" allowBlank="1" showInputMessage="1" showErrorMessage="1" sqref="E15:E43 E7:E13" xr:uid="{3813F2C6-C6E3-42B3-A6A0-2FE820735F92}">
      <formula1>$P$5:$P$9</formula1>
    </dataValidation>
    <dataValidation type="list" allowBlank="1" showInputMessage="1" showErrorMessage="1" sqref="F7:F43" xr:uid="{BAC363F4-C935-4A45-807C-E59F0895D705}">
      <formula1>$Q$5:$Q$32</formula1>
    </dataValidation>
    <dataValidation type="list" allowBlank="1" showInputMessage="1" showErrorMessage="1" sqref="D7:D43" xr:uid="{C8BCF570-5587-48BF-B430-DC6687CB9E69}">
      <formula1>$O$5:$O$12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541EDD-42E9-4A30-B00E-D6D50FFF50C6}">
          <x14:formula1>
            <xm:f>ScheduleMasterRef!$A$2:$A$16</xm:f>
          </x14:formula1>
          <xm:sqref>D7 D26:D43 D23:D24 D21 D9:D13 D15:D19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CDDA-57E1-418D-88CA-113EAA8FD584}">
  <dimension ref="A1:S126"/>
  <sheetViews>
    <sheetView topLeftCell="C1" zoomScale="80" zoomScaleNormal="80" workbookViewId="0">
      <selection activeCell="F12" sqref="F12:F24"/>
    </sheetView>
  </sheetViews>
  <sheetFormatPr defaultRowHeight="14.25" x14ac:dyDescent="0.2"/>
  <cols>
    <col min="1" max="2" width="22.28515625" style="25" hidden="1" customWidth="1"/>
    <col min="3" max="3" width="22.28515625" style="25" customWidth="1"/>
    <col min="4" max="4" width="18.42578125" style="76" customWidth="1"/>
    <col min="5" max="5" width="16.5703125" style="25" customWidth="1"/>
    <col min="6" max="6" width="64.28515625" style="25" bestFit="1" customWidth="1"/>
    <col min="7" max="7" width="19" style="76" customWidth="1"/>
    <col min="8" max="8" width="16.28515625" style="76" bestFit="1" customWidth="1"/>
    <col min="9" max="9" width="11.7109375" style="25" bestFit="1" customWidth="1"/>
    <col min="10" max="10" width="14.85546875" style="25" bestFit="1" customWidth="1"/>
    <col min="11" max="11" width="9.140625" style="25"/>
    <col min="12" max="12" width="31.140625" style="26" customWidth="1"/>
    <col min="13" max="13" width="6" style="26" bestFit="1" customWidth="1"/>
    <col min="14" max="14" width="9.140625" style="26"/>
    <col min="15" max="15" width="13.140625" style="27" bestFit="1" customWidth="1"/>
    <col min="16" max="16" width="9.5703125" style="27" bestFit="1" customWidth="1"/>
    <col min="17" max="17" width="23.5703125" style="27" bestFit="1" customWidth="1"/>
    <col min="18" max="19" width="9.140625" style="26"/>
    <col min="20" max="16384" width="9.140625" style="25"/>
  </cols>
  <sheetData>
    <row r="1" spans="1:17" ht="18" x14ac:dyDescent="0.2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2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25">
      <c r="A3" s="28"/>
      <c r="C3" s="29"/>
      <c r="D3" s="30"/>
      <c r="E3" s="31"/>
      <c r="F3" s="30"/>
      <c r="G3" s="32"/>
      <c r="H3" s="33"/>
      <c r="I3" s="34"/>
      <c r="J3" s="34"/>
    </row>
    <row r="4" spans="1:17" ht="18.75" thickBot="1" x14ac:dyDescent="0.3">
      <c r="A4" s="28" t="s">
        <v>6</v>
      </c>
      <c r="C4" s="29"/>
      <c r="D4" s="30"/>
      <c r="E4" s="31"/>
      <c r="F4" s="35">
        <f>Friday!F4+1</f>
        <v>45038</v>
      </c>
      <c r="G4" s="36"/>
      <c r="H4" s="37"/>
      <c r="O4" s="38" t="s">
        <v>5</v>
      </c>
      <c r="P4" s="38" t="s">
        <v>4</v>
      </c>
      <c r="Q4" s="38" t="s">
        <v>3</v>
      </c>
    </row>
    <row r="5" spans="1:17" ht="18.75" thickBot="1" x14ac:dyDescent="0.3">
      <c r="A5" s="28"/>
      <c r="C5" s="29"/>
      <c r="D5" s="39"/>
      <c r="E5" s="31"/>
      <c r="F5" s="40"/>
      <c r="G5" s="30"/>
      <c r="H5" s="37"/>
      <c r="L5" s="86" t="s">
        <v>35</v>
      </c>
      <c r="M5" s="87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 t="s">
        <v>3</v>
      </c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88"/>
      <c r="E7" s="89"/>
      <c r="F7" s="90"/>
      <c r="G7" s="91"/>
      <c r="H7" s="92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54"/>
      <c r="F8" s="55"/>
      <c r="G8" s="56"/>
      <c r="H8" s="61"/>
      <c r="I8" s="58">
        <f t="shared" ref="I8:I39" si="1">H8*5</f>
        <v>0</v>
      </c>
      <c r="J8" s="62"/>
      <c r="L8" s="60" t="s">
        <v>34</v>
      </c>
      <c r="M8" s="63">
        <f>SUM(H7:H43)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5"/>
      <c r="H9" s="57"/>
      <c r="I9" s="58">
        <f t="shared" si="1"/>
        <v>0</v>
      </c>
      <c r="J9" s="62"/>
      <c r="L9" s="64" t="s">
        <v>36</v>
      </c>
      <c r="M9" s="65">
        <f>SUM(G7:G43)</f>
        <v>0</v>
      </c>
      <c r="O9" s="16" t="s">
        <v>10</v>
      </c>
      <c r="P9" s="16"/>
      <c r="Q9" s="16" t="s">
        <v>105</v>
      </c>
    </row>
    <row r="10" spans="1:17" ht="20.25" x14ac:dyDescent="0.3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 t="shared" si="1"/>
        <v>0</v>
      </c>
      <c r="J10" s="62"/>
      <c r="O10" s="18" t="s">
        <v>93</v>
      </c>
      <c r="P10" s="16"/>
      <c r="Q10" s="17" t="s">
        <v>123</v>
      </c>
    </row>
    <row r="11" spans="1:17" ht="20.25" x14ac:dyDescent="0.3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5"/>
      <c r="H11" s="57"/>
      <c r="I11" s="58">
        <f t="shared" si="1"/>
        <v>0</v>
      </c>
      <c r="J11" s="62"/>
      <c r="O11" s="16"/>
      <c r="P11" s="16"/>
      <c r="Q11" s="16" t="s">
        <v>104</v>
      </c>
    </row>
    <row r="12" spans="1:17" ht="20.25" x14ac:dyDescent="0.3">
      <c r="A12" s="51" t="str">
        <v/>
      </c>
      <c r="B12" s="51" t="str">
        <f t="shared" si="0"/>
        <v/>
      </c>
      <c r="C12" s="52" t="str">
        <f t="shared" si="2"/>
        <v/>
      </c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/>
      <c r="O12" s="18"/>
      <c r="P12" s="16"/>
      <c r="Q12" s="16" t="s">
        <v>124</v>
      </c>
    </row>
    <row r="13" spans="1:17" ht="20.25" x14ac:dyDescent="0.3">
      <c r="A13" s="51" t="str">
        <v/>
      </c>
      <c r="B13" s="51" t="str">
        <f t="shared" si="0"/>
        <v/>
      </c>
      <c r="C13" s="52" t="str">
        <f t="shared" si="2"/>
        <v/>
      </c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.25" x14ac:dyDescent="0.3">
      <c r="A14" s="51" t="str">
        <v/>
      </c>
      <c r="B14" s="51" t="str">
        <f t="shared" si="0"/>
        <v/>
      </c>
      <c r="C14" s="52" t="str">
        <f t="shared" si="2"/>
        <v/>
      </c>
      <c r="D14" s="53"/>
      <c r="E14" s="54"/>
      <c r="F14" s="55"/>
      <c r="G14" s="56"/>
      <c r="H14" s="61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.25" x14ac:dyDescent="0.3">
      <c r="A15" s="51" t="str">
        <v/>
      </c>
      <c r="B15" s="51" t="str">
        <f t="shared" si="0"/>
        <v/>
      </c>
      <c r="C15" s="52" t="str">
        <f t="shared" si="2"/>
        <v/>
      </c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.25" x14ac:dyDescent="0.3">
      <c r="A16" s="51" t="str">
        <v/>
      </c>
      <c r="B16" s="51" t="str">
        <f t="shared" si="0"/>
        <v/>
      </c>
      <c r="C16" s="52" t="str">
        <f t="shared" si="2"/>
        <v/>
      </c>
      <c r="D16" s="53"/>
      <c r="E16" s="54"/>
      <c r="F16" s="55"/>
      <c r="G16" s="55"/>
      <c r="H16" s="57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.25" x14ac:dyDescent="0.3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54"/>
      <c r="F17" s="55"/>
      <c r="G17" s="55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.25" x14ac:dyDescent="0.3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/>
    </row>
    <row r="19" spans="1:19" s="71" customFormat="1" ht="20.25" x14ac:dyDescent="0.3">
      <c r="A19" s="69" t="str">
        <v/>
      </c>
      <c r="B19" s="69" t="str">
        <f t="shared" si="0"/>
        <v/>
      </c>
      <c r="C19" s="52" t="str">
        <f t="shared" si="2"/>
        <v/>
      </c>
      <c r="D19" s="53"/>
      <c r="E19" s="54"/>
      <c r="F19" s="55"/>
      <c r="G19" s="55"/>
      <c r="H19" s="5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.25" x14ac:dyDescent="0.3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54"/>
      <c r="F20" s="55"/>
      <c r="G20" s="56"/>
      <c r="H20" s="61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.25" x14ac:dyDescent="0.3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54"/>
      <c r="F21" s="55"/>
      <c r="G21" s="55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.25" x14ac:dyDescent="0.3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54"/>
      <c r="F22" s="55"/>
      <c r="G22" s="56"/>
      <c r="H22" s="61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.25" x14ac:dyDescent="0.3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.25" x14ac:dyDescent="0.3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.25" x14ac:dyDescent="0.3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.25" x14ac:dyDescent="0.3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.25" x14ac:dyDescent="0.3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.25" x14ac:dyDescent="0.3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.25" x14ac:dyDescent="0.3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.25" x14ac:dyDescent="0.3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.25" x14ac:dyDescent="0.3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.25" x14ac:dyDescent="0.3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.25" x14ac:dyDescent="0.3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.25" x14ac:dyDescent="0.3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.25" x14ac:dyDescent="0.3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.25" x14ac:dyDescent="0.3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.25" x14ac:dyDescent="0.3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.25" x14ac:dyDescent="0.3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.25" x14ac:dyDescent="0.3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.25" x14ac:dyDescent="0.3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.25" x14ac:dyDescent="0.3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.25" x14ac:dyDescent="0.3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1" thickBot="1" x14ac:dyDescent="0.3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3"/>
      <c r="F43" s="81"/>
      <c r="G43" s="81"/>
      <c r="H43" s="82"/>
      <c r="I43" s="58"/>
      <c r="J43" s="62"/>
    </row>
    <row r="44" spans="1:19" x14ac:dyDescent="0.2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2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2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2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2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2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2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2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2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2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2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2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2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2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2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2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2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2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2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2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2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2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2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2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2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2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2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2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2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2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2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2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2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2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2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2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2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2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2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2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2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2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2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2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2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2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2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2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2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2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2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2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2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2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2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2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2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2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2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2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2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2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2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2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2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2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2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2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2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2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2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2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2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2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2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2">
      <c r="L119" s="25"/>
      <c r="M119" s="25"/>
      <c r="N119" s="25"/>
      <c r="O119" s="85"/>
      <c r="P119" s="85"/>
      <c r="Q119" s="85"/>
      <c r="R119" s="25"/>
      <c r="S119" s="25"/>
    </row>
    <row r="120" spans="4:19" x14ac:dyDescent="0.2">
      <c r="L120" s="25"/>
      <c r="M120" s="25"/>
      <c r="N120" s="25"/>
      <c r="O120" s="85"/>
      <c r="P120" s="85"/>
      <c r="Q120" s="85"/>
      <c r="R120" s="25"/>
      <c r="S120" s="25"/>
    </row>
    <row r="121" spans="4:19" x14ac:dyDescent="0.2">
      <c r="L121" s="25"/>
      <c r="M121" s="25"/>
      <c r="N121" s="25"/>
      <c r="O121" s="85"/>
      <c r="P121" s="85"/>
      <c r="Q121" s="85"/>
      <c r="R121" s="25"/>
      <c r="S121" s="25"/>
    </row>
    <row r="122" spans="4:19" x14ac:dyDescent="0.2">
      <c r="L122" s="25"/>
      <c r="M122" s="25"/>
      <c r="N122" s="25"/>
      <c r="O122" s="85"/>
      <c r="P122" s="85"/>
      <c r="Q122" s="85"/>
      <c r="R122" s="25"/>
      <c r="S122" s="25"/>
    </row>
    <row r="123" spans="4:19" x14ac:dyDescent="0.2">
      <c r="L123" s="25"/>
      <c r="M123" s="25"/>
      <c r="N123" s="25"/>
      <c r="O123" s="85"/>
      <c r="P123" s="85"/>
      <c r="Q123" s="85"/>
      <c r="R123" s="25"/>
      <c r="S123" s="25"/>
    </row>
    <row r="124" spans="4:19" x14ac:dyDescent="0.2">
      <c r="L124" s="25"/>
      <c r="M124" s="25"/>
      <c r="N124" s="25"/>
      <c r="O124" s="85"/>
      <c r="P124" s="85"/>
      <c r="Q124" s="85"/>
      <c r="R124" s="25"/>
      <c r="S124" s="25"/>
    </row>
    <row r="125" spans="4:19" x14ac:dyDescent="0.2">
      <c r="L125" s="25"/>
      <c r="M125" s="25"/>
      <c r="N125" s="25"/>
      <c r="O125" s="85"/>
      <c r="P125" s="85"/>
      <c r="Q125" s="85"/>
      <c r="R125" s="25"/>
      <c r="S125" s="25"/>
    </row>
    <row r="126" spans="4:19" x14ac:dyDescent="0.2">
      <c r="L126" s="25"/>
      <c r="M126" s="25"/>
      <c r="N126" s="25"/>
      <c r="O126" s="85"/>
      <c r="P126" s="85"/>
      <c r="Q126" s="85"/>
      <c r="R126" s="25"/>
      <c r="S126" s="25"/>
    </row>
  </sheetData>
  <mergeCells count="1">
    <mergeCell ref="L5:M5"/>
  </mergeCells>
  <dataValidations count="3">
    <dataValidation type="list" allowBlank="1" showInputMessage="1" showErrorMessage="1" sqref="E15:E43 E7:E13" xr:uid="{5B41BB76-482B-43FC-98E3-F7FE64E0EF19}">
      <formula1>$P$5:$P$9</formula1>
    </dataValidation>
    <dataValidation type="list" allowBlank="1" showInputMessage="1" showErrorMessage="1" sqref="F7:F43" xr:uid="{78AFE3E6-03FE-4213-BB44-32A56018A0AA}">
      <formula1>$Q$5:$Q$32</formula1>
    </dataValidation>
    <dataValidation type="list" allowBlank="1" showInputMessage="1" showErrorMessage="1" sqref="D7:D43" xr:uid="{A4F4E50B-FD9D-4FF8-B930-53C80F406881}">
      <formula1>$O$5:$O$12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E346D7-6EFA-4122-965F-5D6B426C81D9}">
          <x14:formula1>
            <xm:f>ScheduleMasterRef!$A$2:$A$16</xm:f>
          </x14:formula1>
          <xm:sqref>D7 D26:D43 D23:D24 D21 D9:D13 D15:D19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D21" sqref="D21"/>
    </sheetView>
  </sheetViews>
  <sheetFormatPr defaultRowHeight="15" x14ac:dyDescent="0.25"/>
  <cols>
    <col min="1" max="1" width="11.28515625" bestFit="1" customWidth="1"/>
    <col min="2" max="2" width="10.7109375" bestFit="1" customWidth="1"/>
    <col min="3" max="3" width="11.7109375" bestFit="1" customWidth="1"/>
  </cols>
  <sheetData>
    <row r="1" spans="1:3" x14ac:dyDescent="0.25">
      <c r="A1" t="s">
        <v>5</v>
      </c>
      <c r="B1" t="s">
        <v>4</v>
      </c>
      <c r="C1" t="s">
        <v>3</v>
      </c>
    </row>
    <row r="2" spans="1:3" x14ac:dyDescent="0.25">
      <c r="A2" t="s">
        <v>11</v>
      </c>
      <c r="B2" t="s">
        <v>8</v>
      </c>
      <c r="C2" t="s">
        <v>27</v>
      </c>
    </row>
    <row r="3" spans="1:3" x14ac:dyDescent="0.25">
      <c r="A3" t="s">
        <v>10</v>
      </c>
      <c r="B3" t="s">
        <v>28</v>
      </c>
      <c r="C3" t="s">
        <v>9</v>
      </c>
    </row>
    <row r="4" spans="1:3" x14ac:dyDescent="0.25">
      <c r="A4" t="s">
        <v>60</v>
      </c>
      <c r="B4" t="s">
        <v>88</v>
      </c>
      <c r="C4" t="s">
        <v>83</v>
      </c>
    </row>
    <row r="5" spans="1:3" x14ac:dyDescent="0.25">
      <c r="A5" t="s">
        <v>61</v>
      </c>
      <c r="B5" t="s">
        <v>14</v>
      </c>
      <c r="C5" t="s">
        <v>12</v>
      </c>
    </row>
    <row r="6" spans="1:3" x14ac:dyDescent="0.25">
      <c r="A6" t="s">
        <v>29</v>
      </c>
      <c r="B6" t="s">
        <v>15</v>
      </c>
      <c r="C6" t="s">
        <v>22</v>
      </c>
    </row>
    <row r="7" spans="1:3" x14ac:dyDescent="0.25">
      <c r="A7" t="s">
        <v>30</v>
      </c>
      <c r="B7" t="s">
        <v>16</v>
      </c>
      <c r="C7" s="13" t="s">
        <v>13</v>
      </c>
    </row>
    <row r="8" spans="1:3" x14ac:dyDescent="0.25">
      <c r="A8" t="s">
        <v>31</v>
      </c>
      <c r="B8" t="s">
        <v>84</v>
      </c>
      <c r="C8" t="s">
        <v>18</v>
      </c>
    </row>
    <row r="9" spans="1:3" x14ac:dyDescent="0.25">
      <c r="A9" t="s">
        <v>32</v>
      </c>
      <c r="B9" t="s">
        <v>89</v>
      </c>
    </row>
    <row r="10" spans="1:3" x14ac:dyDescent="0.25">
      <c r="A10" t="s">
        <v>17</v>
      </c>
      <c r="B10" t="s">
        <v>90</v>
      </c>
    </row>
    <row r="11" spans="1:3" x14ac:dyDescent="0.25">
      <c r="A11" t="s">
        <v>19</v>
      </c>
    </row>
    <row r="12" spans="1:3" x14ac:dyDescent="0.25">
      <c r="A12" t="s">
        <v>20</v>
      </c>
    </row>
    <row r="13" spans="1:3" x14ac:dyDescent="0.25">
      <c r="A13" t="s">
        <v>23</v>
      </c>
    </row>
    <row r="14" spans="1:3" x14ac:dyDescent="0.25">
      <c r="A14" t="s">
        <v>33</v>
      </c>
    </row>
    <row r="15" spans="1:3" x14ac:dyDescent="0.25">
      <c r="A15" t="s">
        <v>21</v>
      </c>
    </row>
    <row r="16" spans="1:3" x14ac:dyDescent="0.25">
      <c r="A16" t="s">
        <v>22</v>
      </c>
    </row>
  </sheetData>
  <sheetProtection password="D40C" sheet="1" objects="1" scenarios="1"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1:AF17"/>
  <sheetViews>
    <sheetView topLeftCell="D1" workbookViewId="0">
      <selection activeCell="N2" sqref="N2:N11"/>
    </sheetView>
  </sheetViews>
  <sheetFormatPr defaultRowHeight="15" x14ac:dyDescent="0.25"/>
  <cols>
    <col min="1" max="1" width="12" bestFit="1" customWidth="1"/>
    <col min="2" max="2" width="16.85546875" bestFit="1" customWidth="1"/>
    <col min="3" max="3" width="11.140625" bestFit="1" customWidth="1"/>
    <col min="6" max="6" width="12" bestFit="1" customWidth="1"/>
    <col min="7" max="7" width="6.28515625" bestFit="1" customWidth="1"/>
    <col min="8" max="8" width="9.5703125" bestFit="1" customWidth="1"/>
    <col min="9" max="9" width="15.28515625" bestFit="1" customWidth="1"/>
    <col min="10" max="10" width="5.5703125" bestFit="1" customWidth="1"/>
    <col min="11" max="11" width="7.140625" bestFit="1" customWidth="1"/>
    <col min="12" max="12" width="11.28515625" bestFit="1" customWidth="1"/>
    <col min="13" max="13" width="16.85546875" bestFit="1" customWidth="1"/>
    <col min="14" max="14" width="16.85546875" customWidth="1"/>
    <col min="15" max="15" width="10.28515625" bestFit="1" customWidth="1"/>
    <col min="16" max="16" width="8.140625" bestFit="1" customWidth="1"/>
    <col min="17" max="17" width="8.140625" customWidth="1"/>
    <col min="18" max="18" width="10.5703125" bestFit="1" customWidth="1"/>
    <col min="19" max="30" width="10.5703125" customWidth="1"/>
    <col min="31" max="31" width="11.7109375" bestFit="1" customWidth="1"/>
    <col min="32" max="32" width="10.5703125" bestFit="1" customWidth="1"/>
  </cols>
  <sheetData>
    <row r="1" spans="6:32" x14ac:dyDescent="0.25">
      <c r="F1" t="s">
        <v>5</v>
      </c>
      <c r="G1" t="s">
        <v>18</v>
      </c>
      <c r="H1" t="s">
        <v>95</v>
      </c>
      <c r="I1" t="s">
        <v>119</v>
      </c>
      <c r="J1" t="s">
        <v>12</v>
      </c>
      <c r="K1" t="s">
        <v>27</v>
      </c>
      <c r="L1" t="s">
        <v>26</v>
      </c>
      <c r="M1" t="s">
        <v>25</v>
      </c>
      <c r="N1" t="s">
        <v>91</v>
      </c>
      <c r="O1" t="s">
        <v>9</v>
      </c>
      <c r="P1" t="s">
        <v>22</v>
      </c>
      <c r="Q1" t="s">
        <v>92</v>
      </c>
      <c r="R1" t="s">
        <v>83</v>
      </c>
      <c r="S1" t="s">
        <v>96</v>
      </c>
      <c r="T1" t="s">
        <v>83</v>
      </c>
      <c r="U1" t="s">
        <v>99</v>
      </c>
      <c r="V1" t="s">
        <v>97</v>
      </c>
      <c r="W1" t="s">
        <v>100</v>
      </c>
      <c r="X1" t="s">
        <v>98</v>
      </c>
      <c r="Y1" t="s">
        <v>101</v>
      </c>
      <c r="Z1" t="s">
        <v>102</v>
      </c>
      <c r="AA1" t="s">
        <v>103</v>
      </c>
      <c r="AB1" t="s">
        <v>106</v>
      </c>
      <c r="AC1" t="s">
        <v>104</v>
      </c>
      <c r="AD1" s="15" t="s">
        <v>13</v>
      </c>
      <c r="AE1" t="s">
        <v>105</v>
      </c>
      <c r="AF1" s="15"/>
    </row>
    <row r="2" spans="6:32" x14ac:dyDescent="0.25">
      <c r="F2" t="s">
        <v>29</v>
      </c>
      <c r="G2">
        <v>4</v>
      </c>
      <c r="H2">
        <v>4</v>
      </c>
      <c r="I2">
        <v>4</v>
      </c>
      <c r="L2">
        <v>4</v>
      </c>
      <c r="M2">
        <v>4</v>
      </c>
      <c r="N2">
        <v>4</v>
      </c>
      <c r="Q2">
        <v>4</v>
      </c>
    </row>
    <row r="3" spans="6:32" x14ac:dyDescent="0.25">
      <c r="F3" t="s">
        <v>30</v>
      </c>
      <c r="G3">
        <v>4</v>
      </c>
      <c r="H3">
        <v>4</v>
      </c>
      <c r="I3">
        <v>4</v>
      </c>
      <c r="L3">
        <v>4</v>
      </c>
      <c r="M3">
        <v>4</v>
      </c>
      <c r="N3">
        <v>4</v>
      </c>
      <c r="Q3">
        <v>4</v>
      </c>
    </row>
    <row r="4" spans="6:32" x14ac:dyDescent="0.25">
      <c r="F4" t="s">
        <v>31</v>
      </c>
      <c r="G4">
        <v>1.3</v>
      </c>
      <c r="J4">
        <v>4</v>
      </c>
      <c r="L4">
        <v>4</v>
      </c>
      <c r="M4">
        <v>4</v>
      </c>
      <c r="N4">
        <v>4</v>
      </c>
      <c r="Q4">
        <v>4</v>
      </c>
    </row>
    <row r="5" spans="6:32" x14ac:dyDescent="0.25">
      <c r="F5" t="s">
        <v>32</v>
      </c>
      <c r="G5">
        <v>1.3</v>
      </c>
      <c r="J5">
        <v>4</v>
      </c>
      <c r="L5">
        <v>4</v>
      </c>
      <c r="M5">
        <v>4</v>
      </c>
      <c r="N5">
        <v>4</v>
      </c>
      <c r="Q5">
        <v>4</v>
      </c>
    </row>
    <row r="6" spans="6:32" x14ac:dyDescent="0.25">
      <c r="F6" t="s">
        <v>17</v>
      </c>
      <c r="G6">
        <v>1.3</v>
      </c>
      <c r="J6">
        <v>4</v>
      </c>
      <c r="L6">
        <v>4</v>
      </c>
      <c r="M6">
        <v>4</v>
      </c>
      <c r="N6">
        <v>4</v>
      </c>
      <c r="Q6">
        <v>4</v>
      </c>
    </row>
    <row r="7" spans="6:32" x14ac:dyDescent="0.25">
      <c r="F7" t="s">
        <v>19</v>
      </c>
      <c r="G7">
        <v>1.3</v>
      </c>
      <c r="J7">
        <v>4</v>
      </c>
      <c r="L7">
        <v>4</v>
      </c>
      <c r="M7">
        <v>4</v>
      </c>
      <c r="N7">
        <v>4</v>
      </c>
      <c r="Q7">
        <v>4</v>
      </c>
    </row>
    <row r="8" spans="6:32" x14ac:dyDescent="0.25">
      <c r="F8" t="s">
        <v>20</v>
      </c>
      <c r="G8">
        <v>1.3</v>
      </c>
      <c r="J8">
        <v>4</v>
      </c>
      <c r="L8">
        <v>4</v>
      </c>
      <c r="M8">
        <v>4</v>
      </c>
      <c r="N8">
        <v>4</v>
      </c>
      <c r="Q8">
        <v>4</v>
      </c>
    </row>
    <row r="9" spans="6:32" x14ac:dyDescent="0.25">
      <c r="F9" t="s">
        <v>23</v>
      </c>
      <c r="G9">
        <v>1.3</v>
      </c>
      <c r="J9">
        <v>4</v>
      </c>
      <c r="L9">
        <v>4</v>
      </c>
      <c r="M9">
        <v>4</v>
      </c>
      <c r="N9">
        <v>4</v>
      </c>
      <c r="Q9">
        <v>4</v>
      </c>
    </row>
    <row r="10" spans="6:32" x14ac:dyDescent="0.25">
      <c r="F10" t="s">
        <v>33</v>
      </c>
      <c r="G10">
        <v>1.3</v>
      </c>
      <c r="J10">
        <v>4</v>
      </c>
      <c r="L10">
        <v>4</v>
      </c>
      <c r="M10">
        <v>4</v>
      </c>
      <c r="N10">
        <v>4</v>
      </c>
      <c r="Q10">
        <v>4</v>
      </c>
    </row>
    <row r="11" spans="6:32" x14ac:dyDescent="0.25">
      <c r="F11" t="s">
        <v>21</v>
      </c>
      <c r="G11">
        <v>1.3</v>
      </c>
      <c r="J11">
        <v>4</v>
      </c>
      <c r="L11">
        <v>4</v>
      </c>
      <c r="M11">
        <v>4</v>
      </c>
      <c r="N11">
        <v>4</v>
      </c>
      <c r="Q11">
        <v>4</v>
      </c>
    </row>
    <row r="12" spans="6:32" x14ac:dyDescent="0.25">
      <c r="F12" t="s">
        <v>24</v>
      </c>
      <c r="G12">
        <v>4</v>
      </c>
      <c r="L12">
        <v>4</v>
      </c>
      <c r="M12">
        <v>4</v>
      </c>
      <c r="Q12">
        <v>4</v>
      </c>
    </row>
    <row r="13" spans="6:32" x14ac:dyDescent="0.25">
      <c r="F13" t="s">
        <v>11</v>
      </c>
      <c r="G13">
        <v>4</v>
      </c>
      <c r="O13">
        <v>7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</row>
    <row r="14" spans="6:32" x14ac:dyDescent="0.25">
      <c r="F14" t="s">
        <v>10</v>
      </c>
      <c r="G14">
        <v>4</v>
      </c>
      <c r="O14">
        <v>7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</row>
    <row r="15" spans="6:32" x14ac:dyDescent="0.25">
      <c r="F15" t="s">
        <v>22</v>
      </c>
      <c r="P15">
        <v>4</v>
      </c>
      <c r="Q15">
        <v>4</v>
      </c>
    </row>
    <row r="16" spans="6:32" x14ac:dyDescent="0.25">
      <c r="F16" t="s">
        <v>60</v>
      </c>
      <c r="K16">
        <v>4</v>
      </c>
      <c r="Q16">
        <v>4</v>
      </c>
    </row>
    <row r="17" spans="6:17" x14ac:dyDescent="0.25">
      <c r="F17" t="s">
        <v>61</v>
      </c>
      <c r="K17">
        <v>4</v>
      </c>
      <c r="Q17">
        <v>4</v>
      </c>
    </row>
  </sheetData>
  <sheetProtection algorithmName="SHA-512" hashValue="7Hkxp7H9/mpOsPxAfyCJ+oFVAefzPEawv+xyWD2StwZNLE1HO53Pf8bNA31Qf9N3wCcn7XTsCeeSnpB+mQTmYg==" saltValue="BWe5NTcnzVk1fMdGdj4OWg==" spinCount="100000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0"/>
  <sheetViews>
    <sheetView topLeftCell="A25" workbookViewId="0">
      <selection activeCell="A43" sqref="A43"/>
    </sheetView>
  </sheetViews>
  <sheetFormatPr defaultRowHeight="15" x14ac:dyDescent="0.25"/>
  <cols>
    <col min="1" max="1" width="16.140625" bestFit="1" customWidth="1"/>
    <col min="2" max="2" width="11.42578125" bestFit="1" customWidth="1"/>
    <col min="3" max="3" width="12.140625" bestFit="1" customWidth="1"/>
    <col min="4" max="4" width="21.42578125" bestFit="1" customWidth="1"/>
    <col min="5" max="5" width="19.7109375" bestFit="1" customWidth="1"/>
    <col min="6" max="6" width="11.28515625" bestFit="1" customWidth="1"/>
    <col min="7" max="7" width="16.85546875" bestFit="1" customWidth="1"/>
    <col min="8" max="8" width="16.85546875" customWidth="1"/>
    <col min="9" max="9" width="12.5703125" bestFit="1" customWidth="1"/>
    <col min="10" max="10" width="21.85546875" bestFit="1" customWidth="1"/>
    <col min="11" max="11" width="20.140625" bestFit="1" customWidth="1"/>
    <col min="12" max="14" width="20.140625" customWidth="1"/>
    <col min="15" max="15" width="20.140625" bestFit="1" customWidth="1"/>
    <col min="16" max="16" width="20.140625" customWidth="1"/>
    <col min="17" max="17" width="9.85546875" bestFit="1" customWidth="1"/>
  </cols>
  <sheetData>
    <row r="1" spans="1:17" x14ac:dyDescent="0.25">
      <c r="A1" s="10" t="s">
        <v>62</v>
      </c>
      <c r="B1" s="5"/>
    </row>
    <row r="2" spans="1:17" x14ac:dyDescent="0.25">
      <c r="A2" t="s">
        <v>5</v>
      </c>
      <c r="B2" t="s">
        <v>18</v>
      </c>
      <c r="C2" t="s">
        <v>95</v>
      </c>
      <c r="D2" t="s">
        <v>12</v>
      </c>
      <c r="E2" t="s">
        <v>27</v>
      </c>
      <c r="F2" t="s">
        <v>26</v>
      </c>
      <c r="G2" t="s">
        <v>25</v>
      </c>
      <c r="H2" t="s">
        <v>91</v>
      </c>
      <c r="I2" t="s">
        <v>9</v>
      </c>
      <c r="J2" t="s">
        <v>22</v>
      </c>
      <c r="K2" t="s">
        <v>13</v>
      </c>
      <c r="L2" t="s">
        <v>92</v>
      </c>
      <c r="M2" t="s">
        <v>119</v>
      </c>
      <c r="N2" t="s">
        <v>100</v>
      </c>
      <c r="O2" t="s">
        <v>72</v>
      </c>
      <c r="P2" t="s">
        <v>112</v>
      </c>
      <c r="Q2" t="s">
        <v>83</v>
      </c>
    </row>
    <row r="3" spans="1:17" x14ac:dyDescent="0.25">
      <c r="A3" t="s">
        <v>29</v>
      </c>
      <c r="B3" t="s">
        <v>107</v>
      </c>
      <c r="C3" t="s">
        <v>107</v>
      </c>
      <c r="G3" t="s">
        <v>107</v>
      </c>
      <c r="L3" t="s">
        <v>52</v>
      </c>
      <c r="M3" t="s">
        <v>107</v>
      </c>
      <c r="P3" t="s">
        <v>107</v>
      </c>
    </row>
    <row r="4" spans="1:17" x14ac:dyDescent="0.25">
      <c r="A4" t="s">
        <v>30</v>
      </c>
      <c r="B4">
        <v>903</v>
      </c>
      <c r="C4">
        <v>903</v>
      </c>
      <c r="G4">
        <v>903</v>
      </c>
      <c r="L4" t="s">
        <v>52</v>
      </c>
      <c r="M4">
        <v>903</v>
      </c>
      <c r="P4">
        <v>903</v>
      </c>
    </row>
    <row r="5" spans="1:17" x14ac:dyDescent="0.25">
      <c r="A5" t="s">
        <v>31</v>
      </c>
      <c r="B5">
        <v>146</v>
      </c>
      <c r="D5">
        <v>161</v>
      </c>
      <c r="G5">
        <v>161</v>
      </c>
      <c r="H5">
        <v>156</v>
      </c>
      <c r="L5" t="s">
        <v>52</v>
      </c>
    </row>
    <row r="6" spans="1:17" x14ac:dyDescent="0.25">
      <c r="A6" t="s">
        <v>32</v>
      </c>
      <c r="B6">
        <v>146</v>
      </c>
      <c r="D6">
        <v>160</v>
      </c>
      <c r="G6">
        <v>160</v>
      </c>
      <c r="H6">
        <v>156</v>
      </c>
      <c r="L6" t="s">
        <v>52</v>
      </c>
    </row>
    <row r="7" spans="1:17" x14ac:dyDescent="0.25">
      <c r="A7" t="s">
        <v>17</v>
      </c>
      <c r="B7">
        <v>105</v>
      </c>
      <c r="D7">
        <v>205</v>
      </c>
      <c r="G7">
        <v>205</v>
      </c>
      <c r="H7">
        <v>205</v>
      </c>
      <c r="L7" t="s">
        <v>52</v>
      </c>
    </row>
    <row r="8" spans="1:17" x14ac:dyDescent="0.25">
      <c r="A8" t="s">
        <v>19</v>
      </c>
      <c r="B8">
        <v>106</v>
      </c>
      <c r="D8">
        <v>206</v>
      </c>
      <c r="G8">
        <v>206</v>
      </c>
      <c r="H8">
        <v>206</v>
      </c>
      <c r="L8" t="s">
        <v>52</v>
      </c>
    </row>
    <row r="9" spans="1:17" x14ac:dyDescent="0.25">
      <c r="A9" t="s">
        <v>20</v>
      </c>
      <c r="B9">
        <v>107</v>
      </c>
      <c r="D9">
        <v>207</v>
      </c>
      <c r="G9">
        <v>207</v>
      </c>
      <c r="H9">
        <v>207</v>
      </c>
      <c r="L9" t="s">
        <v>52</v>
      </c>
    </row>
    <row r="10" spans="1:17" x14ac:dyDescent="0.25">
      <c r="A10" t="s">
        <v>23</v>
      </c>
      <c r="B10">
        <v>108</v>
      </c>
      <c r="D10">
        <v>208</v>
      </c>
      <c r="G10">
        <v>208</v>
      </c>
      <c r="H10">
        <v>208</v>
      </c>
      <c r="L10" t="s">
        <v>52</v>
      </c>
    </row>
    <row r="11" spans="1:17" x14ac:dyDescent="0.25">
      <c r="A11" t="s">
        <v>33</v>
      </c>
      <c r="B11">
        <v>109</v>
      </c>
      <c r="D11">
        <v>209</v>
      </c>
      <c r="G11">
        <v>209</v>
      </c>
      <c r="H11">
        <v>209</v>
      </c>
      <c r="L11" t="s">
        <v>52</v>
      </c>
    </row>
    <row r="12" spans="1:17" x14ac:dyDescent="0.25">
      <c r="A12" t="s">
        <v>21</v>
      </c>
      <c r="B12">
        <v>110</v>
      </c>
      <c r="D12">
        <v>210</v>
      </c>
      <c r="G12">
        <v>210</v>
      </c>
      <c r="H12">
        <v>210</v>
      </c>
      <c r="L12" t="s">
        <v>52</v>
      </c>
    </row>
    <row r="13" spans="1:17" x14ac:dyDescent="0.25">
      <c r="A13" t="s">
        <v>24</v>
      </c>
      <c r="B13" t="s">
        <v>52</v>
      </c>
      <c r="F13" t="s">
        <v>52</v>
      </c>
      <c r="G13" t="s">
        <v>52</v>
      </c>
      <c r="L13" t="s">
        <v>52</v>
      </c>
    </row>
    <row r="14" spans="1:17" x14ac:dyDescent="0.25">
      <c r="A14" t="s">
        <v>11</v>
      </c>
      <c r="B14">
        <v>33</v>
      </c>
      <c r="I14">
        <v>55</v>
      </c>
      <c r="K14" s="12" t="s">
        <v>80</v>
      </c>
      <c r="L14" t="s">
        <v>52</v>
      </c>
      <c r="N14">
        <v>33</v>
      </c>
      <c r="O14" s="12" t="s">
        <v>80</v>
      </c>
      <c r="P14" s="12"/>
      <c r="Q14">
        <v>33</v>
      </c>
    </row>
    <row r="15" spans="1:17" x14ac:dyDescent="0.25">
      <c r="A15" t="s">
        <v>10</v>
      </c>
      <c r="B15">
        <v>3</v>
      </c>
      <c r="I15">
        <v>5</v>
      </c>
      <c r="K15" s="12" t="s">
        <v>79</v>
      </c>
      <c r="L15" t="s">
        <v>52</v>
      </c>
      <c r="N15">
        <v>3</v>
      </c>
      <c r="O15" s="12" t="s">
        <v>79</v>
      </c>
      <c r="P15" s="12"/>
      <c r="Q15">
        <v>3</v>
      </c>
    </row>
    <row r="16" spans="1:17" x14ac:dyDescent="0.25">
      <c r="A16" t="s">
        <v>94</v>
      </c>
      <c r="B16" s="12" t="s">
        <v>80</v>
      </c>
      <c r="K16" s="12"/>
      <c r="O16" s="12"/>
      <c r="P16" s="12"/>
    </row>
    <row r="17" spans="1:16" x14ac:dyDescent="0.25">
      <c r="A17" t="s">
        <v>93</v>
      </c>
      <c r="B17" s="12" t="s">
        <v>80</v>
      </c>
      <c r="K17" s="12"/>
      <c r="O17" s="12"/>
      <c r="P17" s="12"/>
    </row>
    <row r="18" spans="1:16" x14ac:dyDescent="0.25">
      <c r="A18" t="s">
        <v>22</v>
      </c>
      <c r="J18">
        <v>95</v>
      </c>
      <c r="L18" t="s">
        <v>52</v>
      </c>
    </row>
    <row r="19" spans="1:16" x14ac:dyDescent="0.25">
      <c r="A19" t="s">
        <v>60</v>
      </c>
      <c r="E19">
        <v>36</v>
      </c>
      <c r="L19" t="s">
        <v>52</v>
      </c>
    </row>
    <row r="20" spans="1:16" x14ac:dyDescent="0.25">
      <c r="A20" t="s">
        <v>61</v>
      </c>
      <c r="E20">
        <v>35</v>
      </c>
      <c r="L20" t="s">
        <v>52</v>
      </c>
    </row>
    <row r="21" spans="1:16" x14ac:dyDescent="0.25">
      <c r="L21" t="s">
        <v>52</v>
      </c>
    </row>
    <row r="22" spans="1:16" x14ac:dyDescent="0.25">
      <c r="L22" t="s">
        <v>52</v>
      </c>
    </row>
    <row r="23" spans="1:16" x14ac:dyDescent="0.25">
      <c r="L23" t="s">
        <v>52</v>
      </c>
    </row>
    <row r="24" spans="1:16" x14ac:dyDescent="0.25">
      <c r="L24" t="s">
        <v>52</v>
      </c>
    </row>
    <row r="29" spans="1:16" ht="15.75" thickBot="1" x14ac:dyDescent="0.3"/>
    <row r="30" spans="1:16" ht="15.75" thickBot="1" x14ac:dyDescent="0.3">
      <c r="A30" s="6" t="s">
        <v>39</v>
      </c>
      <c r="B30" s="7" t="s">
        <v>40</v>
      </c>
      <c r="C30" s="6" t="s">
        <v>41</v>
      </c>
      <c r="D30" s="6" t="s">
        <v>42</v>
      </c>
      <c r="E30" s="6" t="s">
        <v>43</v>
      </c>
      <c r="F30" s="6" t="s">
        <v>44</v>
      </c>
      <c r="G30" s="6" t="s">
        <v>45</v>
      </c>
      <c r="H30" s="6"/>
      <c r="I30" s="6" t="s">
        <v>46</v>
      </c>
      <c r="J30" s="6" t="s">
        <v>47</v>
      </c>
      <c r="K30" s="11" t="s">
        <v>48</v>
      </c>
      <c r="L30" s="5"/>
      <c r="M30" s="5"/>
      <c r="N30" s="5"/>
    </row>
    <row r="31" spans="1:16" x14ac:dyDescent="0.25">
      <c r="A31" s="1" t="s">
        <v>107</v>
      </c>
      <c r="B31" s="1">
        <v>4</v>
      </c>
      <c r="C31" s="8" t="s">
        <v>53</v>
      </c>
      <c r="D31" s="1" t="s">
        <v>63</v>
      </c>
      <c r="E31" s="1" t="s">
        <v>118</v>
      </c>
      <c r="F31" s="1" t="s">
        <v>107</v>
      </c>
      <c r="G31" s="1">
        <v>1</v>
      </c>
      <c r="H31" s="1"/>
      <c r="I31" s="8" t="s">
        <v>53</v>
      </c>
      <c r="J31" s="2" t="s">
        <v>49</v>
      </c>
      <c r="K31" s="9" t="s">
        <v>117</v>
      </c>
      <c r="L31" s="3"/>
      <c r="M31" s="3"/>
      <c r="N31" s="3"/>
    </row>
    <row r="32" spans="1:16" x14ac:dyDescent="0.25">
      <c r="A32" s="1">
        <v>101</v>
      </c>
      <c r="B32" s="1">
        <v>4</v>
      </c>
      <c r="C32" s="1">
        <v>2</v>
      </c>
      <c r="D32" s="1" t="s">
        <v>63</v>
      </c>
      <c r="E32" s="1" t="s">
        <v>64</v>
      </c>
      <c r="F32" s="1">
        <v>102</v>
      </c>
      <c r="G32" s="1">
        <v>1</v>
      </c>
      <c r="H32" s="1"/>
      <c r="I32" s="1">
        <v>2</v>
      </c>
      <c r="J32" s="1" t="s">
        <v>49</v>
      </c>
      <c r="K32" s="9" t="s">
        <v>114</v>
      </c>
      <c r="L32" s="3"/>
      <c r="M32" s="3"/>
      <c r="N32" s="3"/>
    </row>
    <row r="33" spans="1:14" x14ac:dyDescent="0.25">
      <c r="A33" s="4">
        <v>903</v>
      </c>
      <c r="B33" s="4">
        <v>4</v>
      </c>
      <c r="C33" s="8" t="s">
        <v>53</v>
      </c>
      <c r="D33" s="1" t="s">
        <v>63</v>
      </c>
      <c r="E33" s="1" t="s">
        <v>118</v>
      </c>
      <c r="F33" s="8" t="s">
        <v>115</v>
      </c>
      <c r="G33" s="8" t="s">
        <v>50</v>
      </c>
      <c r="H33" s="8"/>
      <c r="I33" s="8" t="s">
        <v>53</v>
      </c>
      <c r="J33" s="1" t="s">
        <v>51</v>
      </c>
      <c r="K33" s="9" t="s">
        <v>71</v>
      </c>
      <c r="L33" s="14"/>
      <c r="M33" s="14"/>
      <c r="N33" s="14"/>
    </row>
    <row r="34" spans="1:14" x14ac:dyDescent="0.25">
      <c r="A34" s="4">
        <v>146</v>
      </c>
      <c r="B34" s="4">
        <v>4</v>
      </c>
      <c r="C34" s="1">
        <v>1</v>
      </c>
      <c r="D34" s="1" t="s">
        <v>63</v>
      </c>
      <c r="E34" s="1" t="s">
        <v>64</v>
      </c>
      <c r="F34" s="1">
        <v>95</v>
      </c>
      <c r="G34" s="1">
        <v>1</v>
      </c>
      <c r="H34" s="1"/>
      <c r="I34" s="1" t="s">
        <v>52</v>
      </c>
      <c r="J34" s="1" t="s">
        <v>52</v>
      </c>
      <c r="K34" s="4" t="s">
        <v>52</v>
      </c>
      <c r="L34" s="3"/>
      <c r="M34" s="3"/>
      <c r="N34" s="3"/>
    </row>
    <row r="35" spans="1:14" x14ac:dyDescent="0.25">
      <c r="A35" s="4">
        <v>146</v>
      </c>
      <c r="B35" s="1">
        <v>4</v>
      </c>
      <c r="C35" s="1">
        <v>1</v>
      </c>
      <c r="D35" s="1" t="s">
        <v>63</v>
      </c>
      <c r="E35" s="1" t="s">
        <v>64</v>
      </c>
      <c r="F35" s="1">
        <v>95</v>
      </c>
      <c r="G35" s="1">
        <v>1</v>
      </c>
      <c r="H35" s="1"/>
      <c r="I35" s="1" t="s">
        <v>52</v>
      </c>
      <c r="J35" s="1" t="s">
        <v>52</v>
      </c>
      <c r="K35" s="4" t="s">
        <v>52</v>
      </c>
      <c r="L35" s="3"/>
      <c r="M35" s="3"/>
      <c r="N35" s="3"/>
    </row>
    <row r="36" spans="1:14" x14ac:dyDescent="0.25">
      <c r="A36" s="4">
        <v>105</v>
      </c>
      <c r="B36" s="1">
        <v>4</v>
      </c>
      <c r="C36" s="4">
        <v>1</v>
      </c>
      <c r="D36" s="1" t="s">
        <v>63</v>
      </c>
      <c r="E36" s="1" t="s">
        <v>64</v>
      </c>
      <c r="F36" s="4">
        <v>95</v>
      </c>
      <c r="G36" s="4">
        <v>1</v>
      </c>
      <c r="H36" s="4"/>
      <c r="I36" s="4" t="s">
        <v>52</v>
      </c>
      <c r="J36" s="4" t="s">
        <v>52</v>
      </c>
      <c r="K36" s="4" t="s">
        <v>52</v>
      </c>
      <c r="L36" s="3"/>
      <c r="M36" s="3"/>
      <c r="N36" s="3"/>
    </row>
    <row r="37" spans="1:14" x14ac:dyDescent="0.25">
      <c r="A37" s="4">
        <v>106</v>
      </c>
      <c r="B37" s="1">
        <v>4</v>
      </c>
      <c r="C37" s="4">
        <v>1</v>
      </c>
      <c r="D37" s="1" t="s">
        <v>63</v>
      </c>
      <c r="E37" s="1" t="s">
        <v>64</v>
      </c>
      <c r="F37" s="4">
        <v>95</v>
      </c>
      <c r="G37" s="4">
        <v>1</v>
      </c>
      <c r="H37" s="4"/>
      <c r="I37" s="4" t="s">
        <v>52</v>
      </c>
      <c r="J37" s="4" t="s">
        <v>52</v>
      </c>
      <c r="K37" s="4" t="s">
        <v>52</v>
      </c>
      <c r="L37" s="3"/>
      <c r="M37" s="3"/>
      <c r="N37" s="3"/>
    </row>
    <row r="38" spans="1:14" x14ac:dyDescent="0.25">
      <c r="A38" s="1">
        <v>107</v>
      </c>
      <c r="B38" s="4">
        <v>4</v>
      </c>
      <c r="C38" s="1">
        <v>1</v>
      </c>
      <c r="D38" s="1" t="s">
        <v>63</v>
      </c>
      <c r="E38" s="1" t="s">
        <v>64</v>
      </c>
      <c r="F38" s="1">
        <v>95</v>
      </c>
      <c r="G38" s="1">
        <v>1</v>
      </c>
      <c r="H38" s="1"/>
      <c r="I38" s="1" t="s">
        <v>52</v>
      </c>
      <c r="J38" s="1" t="s">
        <v>52</v>
      </c>
      <c r="K38" s="4" t="s">
        <v>52</v>
      </c>
      <c r="L38" s="3"/>
      <c r="M38" s="3"/>
      <c r="N38" s="3"/>
    </row>
    <row r="39" spans="1:14" x14ac:dyDescent="0.25">
      <c r="A39" s="1">
        <v>108</v>
      </c>
      <c r="B39" s="1">
        <v>4</v>
      </c>
      <c r="C39" s="1">
        <v>1</v>
      </c>
      <c r="D39" s="1" t="s">
        <v>63</v>
      </c>
      <c r="E39" s="1" t="s">
        <v>64</v>
      </c>
      <c r="F39" s="1">
        <v>95</v>
      </c>
      <c r="G39" s="1">
        <v>1</v>
      </c>
      <c r="H39" s="1"/>
      <c r="I39" s="1" t="s">
        <v>52</v>
      </c>
      <c r="J39" s="1" t="s">
        <v>52</v>
      </c>
      <c r="K39" s="4" t="s">
        <v>52</v>
      </c>
      <c r="L39" s="3"/>
      <c r="M39" s="3"/>
      <c r="N39" s="3"/>
    </row>
    <row r="40" spans="1:14" x14ac:dyDescent="0.25">
      <c r="A40" s="1">
        <v>109</v>
      </c>
      <c r="B40" s="1">
        <v>4</v>
      </c>
      <c r="C40" s="1">
        <v>1</v>
      </c>
      <c r="D40" s="1" t="s">
        <v>63</v>
      </c>
      <c r="E40" s="1" t="s">
        <v>64</v>
      </c>
      <c r="F40" s="1">
        <v>95</v>
      </c>
      <c r="G40" s="1">
        <v>1</v>
      </c>
      <c r="H40" s="1"/>
      <c r="I40" s="1" t="s">
        <v>52</v>
      </c>
      <c r="J40" s="1" t="s">
        <v>52</v>
      </c>
      <c r="K40" s="4" t="s">
        <v>52</v>
      </c>
      <c r="L40" s="3"/>
      <c r="M40" s="3"/>
      <c r="N40" s="3"/>
    </row>
    <row r="41" spans="1:14" x14ac:dyDescent="0.25">
      <c r="A41" s="1">
        <v>110</v>
      </c>
      <c r="B41" s="1">
        <v>4</v>
      </c>
      <c r="C41" s="1">
        <v>1</v>
      </c>
      <c r="D41" s="1" t="s">
        <v>63</v>
      </c>
      <c r="E41" s="1" t="s">
        <v>64</v>
      </c>
      <c r="F41" s="1">
        <v>95</v>
      </c>
      <c r="G41" s="1">
        <v>1</v>
      </c>
      <c r="H41" s="1"/>
      <c r="I41" s="1" t="s">
        <v>52</v>
      </c>
      <c r="J41" s="1" t="s">
        <v>52</v>
      </c>
      <c r="K41" s="4" t="s">
        <v>52</v>
      </c>
      <c r="L41" s="3"/>
      <c r="M41" s="3"/>
      <c r="N41" s="3"/>
    </row>
    <row r="42" spans="1:14" x14ac:dyDescent="0.25">
      <c r="A42" s="1">
        <v>156</v>
      </c>
      <c r="B42" s="1">
        <v>1</v>
      </c>
      <c r="C42" s="1">
        <v>1</v>
      </c>
      <c r="D42" s="1" t="s">
        <v>63</v>
      </c>
      <c r="E42" s="1" t="s">
        <v>120</v>
      </c>
      <c r="F42" s="1">
        <v>304</v>
      </c>
      <c r="G42" s="1">
        <v>1</v>
      </c>
      <c r="H42" s="1"/>
      <c r="I42" s="1">
        <v>1</v>
      </c>
      <c r="J42" s="1" t="s">
        <v>121</v>
      </c>
      <c r="K42" s="1" t="s">
        <v>122</v>
      </c>
      <c r="L42" s="3"/>
      <c r="M42" s="3"/>
      <c r="N42" s="3"/>
    </row>
    <row r="43" spans="1:14" x14ac:dyDescent="0.25">
      <c r="A43" s="4">
        <v>161</v>
      </c>
      <c r="B43" s="1">
        <v>1</v>
      </c>
      <c r="C43" s="8" t="s">
        <v>53</v>
      </c>
      <c r="D43" s="8" t="s">
        <v>54</v>
      </c>
      <c r="E43" s="8" t="s">
        <v>116</v>
      </c>
      <c r="F43" s="8" t="s">
        <v>108</v>
      </c>
      <c r="G43" s="8" t="s">
        <v>50</v>
      </c>
      <c r="H43" s="8"/>
      <c r="I43" s="8" t="s">
        <v>53</v>
      </c>
      <c r="J43" s="8" t="s">
        <v>110</v>
      </c>
      <c r="K43" s="8" t="s">
        <v>109</v>
      </c>
      <c r="L43" s="14"/>
      <c r="M43" s="14"/>
      <c r="N43" s="14"/>
    </row>
    <row r="44" spans="1:14" x14ac:dyDescent="0.25">
      <c r="A44" s="4">
        <v>160</v>
      </c>
      <c r="B44" s="1">
        <v>1</v>
      </c>
      <c r="C44" s="8" t="s">
        <v>53</v>
      </c>
      <c r="D44" s="8" t="s">
        <v>54</v>
      </c>
      <c r="E44" s="8" t="s">
        <v>116</v>
      </c>
      <c r="F44" s="8" t="s">
        <v>108</v>
      </c>
      <c r="G44" s="8" t="s">
        <v>50</v>
      </c>
      <c r="H44" s="8"/>
      <c r="I44" s="8" t="s">
        <v>53</v>
      </c>
      <c r="J44" s="8" t="s">
        <v>110</v>
      </c>
      <c r="K44" s="8" t="s">
        <v>109</v>
      </c>
      <c r="L44" s="14"/>
      <c r="M44" s="14"/>
      <c r="N44" s="14"/>
    </row>
    <row r="45" spans="1:14" x14ac:dyDescent="0.25">
      <c r="A45" s="4">
        <v>205</v>
      </c>
      <c r="B45" s="4">
        <v>1</v>
      </c>
      <c r="C45" s="8" t="s">
        <v>53</v>
      </c>
      <c r="D45" s="8" t="s">
        <v>54</v>
      </c>
      <c r="E45" s="8" t="s">
        <v>55</v>
      </c>
      <c r="F45" s="8" t="s">
        <v>56</v>
      </c>
      <c r="G45" s="8" t="s">
        <v>50</v>
      </c>
      <c r="H45" s="8"/>
      <c r="I45" s="8" t="s">
        <v>53</v>
      </c>
      <c r="J45" s="8" t="s">
        <v>49</v>
      </c>
      <c r="K45" s="9" t="s">
        <v>113</v>
      </c>
      <c r="L45" s="14"/>
      <c r="M45" s="14"/>
      <c r="N45" s="14"/>
    </row>
    <row r="46" spans="1:14" x14ac:dyDescent="0.25">
      <c r="A46" s="4">
        <v>206</v>
      </c>
      <c r="B46" s="4">
        <v>1</v>
      </c>
      <c r="C46" s="8" t="s">
        <v>53</v>
      </c>
      <c r="D46" s="8" t="s">
        <v>54</v>
      </c>
      <c r="E46" s="8" t="s">
        <v>55</v>
      </c>
      <c r="F46" s="8" t="s">
        <v>57</v>
      </c>
      <c r="G46" s="8" t="s">
        <v>50</v>
      </c>
      <c r="H46" s="8"/>
      <c r="I46" s="8" t="s">
        <v>53</v>
      </c>
      <c r="J46" s="8" t="s">
        <v>49</v>
      </c>
      <c r="K46" s="9" t="s">
        <v>113</v>
      </c>
      <c r="L46" s="14"/>
      <c r="M46" s="14"/>
      <c r="N46" s="14"/>
    </row>
    <row r="47" spans="1:14" x14ac:dyDescent="0.25">
      <c r="A47" s="1">
        <v>207</v>
      </c>
      <c r="B47" s="1">
        <v>1</v>
      </c>
      <c r="C47" s="8" t="s">
        <v>53</v>
      </c>
      <c r="D47" s="8" t="s">
        <v>54</v>
      </c>
      <c r="E47" s="8" t="s">
        <v>55</v>
      </c>
      <c r="F47" s="8" t="s">
        <v>86</v>
      </c>
      <c r="G47" s="8" t="s">
        <v>50</v>
      </c>
      <c r="H47" s="8"/>
      <c r="I47" s="8" t="s">
        <v>53</v>
      </c>
      <c r="J47" s="8" t="s">
        <v>49</v>
      </c>
      <c r="K47" s="9" t="s">
        <v>113</v>
      </c>
      <c r="L47" s="14"/>
      <c r="M47" s="14"/>
      <c r="N47" s="14"/>
    </row>
    <row r="48" spans="1:14" x14ac:dyDescent="0.25">
      <c r="A48" s="1">
        <v>208</v>
      </c>
      <c r="B48" s="1">
        <v>1</v>
      </c>
      <c r="C48" s="8" t="s">
        <v>53</v>
      </c>
      <c r="D48" s="8" t="s">
        <v>54</v>
      </c>
      <c r="E48" s="8" t="s">
        <v>55</v>
      </c>
      <c r="F48" s="8" t="s">
        <v>58</v>
      </c>
      <c r="G48" s="8" t="s">
        <v>50</v>
      </c>
      <c r="H48" s="8"/>
      <c r="I48" s="8" t="s">
        <v>53</v>
      </c>
      <c r="J48" s="8" t="s">
        <v>49</v>
      </c>
      <c r="K48" s="9" t="s">
        <v>113</v>
      </c>
      <c r="L48" s="14"/>
      <c r="M48" s="14"/>
      <c r="N48" s="14"/>
    </row>
    <row r="49" spans="1:14" x14ac:dyDescent="0.25">
      <c r="A49" s="1">
        <v>209</v>
      </c>
      <c r="B49" s="1">
        <v>1</v>
      </c>
      <c r="C49" s="8" t="s">
        <v>53</v>
      </c>
      <c r="D49" s="8" t="s">
        <v>54</v>
      </c>
      <c r="E49" s="8" t="s">
        <v>55</v>
      </c>
      <c r="F49" s="8" t="s">
        <v>87</v>
      </c>
      <c r="G49" s="8" t="s">
        <v>50</v>
      </c>
      <c r="H49" s="8"/>
      <c r="I49" s="8" t="s">
        <v>53</v>
      </c>
      <c r="J49" s="8" t="s">
        <v>49</v>
      </c>
      <c r="K49" s="9" t="s">
        <v>113</v>
      </c>
      <c r="L49" s="14"/>
      <c r="M49" s="14"/>
      <c r="N49" s="14"/>
    </row>
    <row r="50" spans="1:14" x14ac:dyDescent="0.25">
      <c r="A50" s="1">
        <v>210</v>
      </c>
      <c r="B50" s="1">
        <v>1</v>
      </c>
      <c r="C50" s="8" t="s">
        <v>53</v>
      </c>
      <c r="D50" s="8" t="s">
        <v>54</v>
      </c>
      <c r="E50" s="8" t="s">
        <v>55</v>
      </c>
      <c r="F50" s="8" t="s">
        <v>59</v>
      </c>
      <c r="G50" s="8" t="s">
        <v>50</v>
      </c>
      <c r="H50" s="8"/>
      <c r="I50" s="8" t="s">
        <v>53</v>
      </c>
      <c r="J50" s="8" t="s">
        <v>49</v>
      </c>
      <c r="K50" s="9" t="s">
        <v>113</v>
      </c>
      <c r="L50" s="14"/>
      <c r="M50" s="14"/>
      <c r="N50" s="14"/>
    </row>
    <row r="51" spans="1:14" x14ac:dyDescent="0.25">
      <c r="A51" s="1">
        <v>33</v>
      </c>
      <c r="B51" s="1">
        <v>1</v>
      </c>
      <c r="C51" s="8" t="s">
        <v>53</v>
      </c>
      <c r="D51" s="8" t="s">
        <v>51</v>
      </c>
      <c r="E51" s="8" t="s">
        <v>74</v>
      </c>
      <c r="F51" s="8" t="s">
        <v>75</v>
      </c>
      <c r="G51" s="8" t="s">
        <v>50</v>
      </c>
      <c r="H51" s="8"/>
      <c r="I51" s="8" t="s">
        <v>53</v>
      </c>
      <c r="J51" s="8" t="s">
        <v>70</v>
      </c>
      <c r="K51" s="9" t="s">
        <v>71</v>
      </c>
      <c r="L51" s="14"/>
      <c r="M51" s="14"/>
      <c r="N51" s="14"/>
    </row>
    <row r="52" spans="1:14" x14ac:dyDescent="0.25">
      <c r="A52" s="1">
        <v>3</v>
      </c>
      <c r="B52" s="1">
        <v>1</v>
      </c>
      <c r="C52" s="8" t="s">
        <v>53</v>
      </c>
      <c r="D52" s="8" t="s">
        <v>51</v>
      </c>
      <c r="E52" s="8" t="s">
        <v>74</v>
      </c>
      <c r="F52" s="8" t="s">
        <v>76</v>
      </c>
      <c r="G52" s="8" t="s">
        <v>50</v>
      </c>
      <c r="H52" s="8"/>
      <c r="I52" s="8" t="s">
        <v>53</v>
      </c>
      <c r="J52" s="8" t="s">
        <v>70</v>
      </c>
      <c r="K52" s="9" t="s">
        <v>71</v>
      </c>
      <c r="L52" s="14"/>
      <c r="M52" s="14"/>
      <c r="N52" s="14"/>
    </row>
    <row r="53" spans="1:14" x14ac:dyDescent="0.25">
      <c r="A53" s="1">
        <v>35</v>
      </c>
      <c r="B53" s="1">
        <v>21</v>
      </c>
      <c r="C53" s="8" t="s">
        <v>53</v>
      </c>
      <c r="D53" s="8" t="s">
        <v>66</v>
      </c>
      <c r="E53" s="8" t="s">
        <v>67</v>
      </c>
      <c r="F53" s="8" t="s">
        <v>111</v>
      </c>
      <c r="G53" s="8" t="s">
        <v>50</v>
      </c>
      <c r="H53" s="8"/>
      <c r="I53" s="8" t="s">
        <v>53</v>
      </c>
      <c r="J53" s="8" t="s">
        <v>66</v>
      </c>
      <c r="K53" s="8" t="s">
        <v>114</v>
      </c>
      <c r="L53" s="14"/>
      <c r="M53" s="14"/>
      <c r="N53" s="14"/>
    </row>
    <row r="54" spans="1:14" x14ac:dyDescent="0.25">
      <c r="A54" s="1">
        <v>36</v>
      </c>
      <c r="B54" s="1">
        <v>21</v>
      </c>
      <c r="C54" s="8" t="s">
        <v>53</v>
      </c>
      <c r="D54" s="8" t="s">
        <v>66</v>
      </c>
      <c r="E54" s="8" t="s">
        <v>67</v>
      </c>
      <c r="F54" s="8" t="s">
        <v>68</v>
      </c>
      <c r="G54" s="8" t="s">
        <v>50</v>
      </c>
      <c r="H54" s="8"/>
      <c r="I54" s="8" t="s">
        <v>53</v>
      </c>
      <c r="J54" s="8" t="s">
        <v>66</v>
      </c>
      <c r="K54" s="8" t="s">
        <v>114</v>
      </c>
      <c r="L54" s="14"/>
      <c r="M54" s="14"/>
      <c r="N54" s="14"/>
    </row>
    <row r="55" spans="1:14" x14ac:dyDescent="0.25">
      <c r="A55" s="1">
        <v>55</v>
      </c>
      <c r="B55" s="1">
        <v>1</v>
      </c>
      <c r="C55" s="8" t="s">
        <v>53</v>
      </c>
      <c r="D55" s="8" t="s">
        <v>51</v>
      </c>
      <c r="E55" s="8" t="s">
        <v>73</v>
      </c>
      <c r="F55" s="8" t="s">
        <v>77</v>
      </c>
      <c r="G55" s="8" t="s">
        <v>69</v>
      </c>
      <c r="H55" s="8"/>
      <c r="I55" s="8" t="s">
        <v>53</v>
      </c>
      <c r="J55" s="8" t="s">
        <v>70</v>
      </c>
      <c r="K55" s="9" t="s">
        <v>71</v>
      </c>
      <c r="L55" s="14"/>
      <c r="M55" s="14"/>
      <c r="N55" s="14"/>
    </row>
    <row r="56" spans="1:14" x14ac:dyDescent="0.25">
      <c r="A56" s="1">
        <v>5</v>
      </c>
      <c r="B56" s="1">
        <v>1</v>
      </c>
      <c r="C56" s="8" t="s">
        <v>53</v>
      </c>
      <c r="D56" s="8" t="s">
        <v>51</v>
      </c>
      <c r="E56" s="8" t="s">
        <v>73</v>
      </c>
      <c r="F56" s="8" t="s">
        <v>78</v>
      </c>
      <c r="G56" s="8" t="s">
        <v>69</v>
      </c>
      <c r="H56" s="8"/>
      <c r="I56" s="8" t="s">
        <v>53</v>
      </c>
      <c r="J56" s="8" t="s">
        <v>70</v>
      </c>
      <c r="K56" s="9" t="s">
        <v>71</v>
      </c>
      <c r="L56" s="14"/>
      <c r="M56" s="14"/>
      <c r="N56" s="14"/>
    </row>
    <row r="57" spans="1:14" x14ac:dyDescent="0.25">
      <c r="A57" s="1" t="s">
        <v>80</v>
      </c>
      <c r="B57" s="1">
        <v>21</v>
      </c>
      <c r="C57" s="8" t="s">
        <v>53</v>
      </c>
      <c r="D57" s="8" t="s">
        <v>81</v>
      </c>
      <c r="E57" s="8" t="s">
        <v>82</v>
      </c>
      <c r="F57" s="8" t="s">
        <v>65</v>
      </c>
      <c r="G57" s="8" t="s">
        <v>50</v>
      </c>
      <c r="H57" s="8"/>
      <c r="I57" s="8" t="s">
        <v>52</v>
      </c>
      <c r="J57" s="8" t="s">
        <v>52</v>
      </c>
      <c r="K57" s="9" t="s">
        <v>52</v>
      </c>
      <c r="L57" s="14"/>
      <c r="M57" s="14"/>
      <c r="N57" s="14"/>
    </row>
    <row r="58" spans="1:14" x14ac:dyDescent="0.25">
      <c r="A58" s="1" t="s">
        <v>79</v>
      </c>
      <c r="B58" s="1">
        <v>21</v>
      </c>
      <c r="C58" s="8" t="s">
        <v>53</v>
      </c>
      <c r="D58" s="8" t="s">
        <v>81</v>
      </c>
      <c r="E58" s="8" t="s">
        <v>82</v>
      </c>
      <c r="F58" s="8" t="s">
        <v>65</v>
      </c>
      <c r="G58" s="8" t="s">
        <v>50</v>
      </c>
      <c r="H58" s="8"/>
      <c r="I58" s="8" t="s">
        <v>52</v>
      </c>
      <c r="J58" s="8" t="s">
        <v>52</v>
      </c>
      <c r="K58" s="9" t="s">
        <v>52</v>
      </c>
      <c r="L58" s="14"/>
      <c r="M58" s="14"/>
      <c r="N58" s="14"/>
    </row>
    <row r="59" spans="1:14" x14ac:dyDescent="0.25">
      <c r="A59" s="1" t="s">
        <v>52</v>
      </c>
      <c r="B59" s="1" t="s">
        <v>52</v>
      </c>
      <c r="C59" s="8" t="s">
        <v>52</v>
      </c>
      <c r="D59" s="8" t="s">
        <v>52</v>
      </c>
      <c r="E59" s="8" t="s">
        <v>52</v>
      </c>
      <c r="F59" s="8" t="s">
        <v>52</v>
      </c>
      <c r="G59" s="8" t="s">
        <v>52</v>
      </c>
      <c r="H59" s="8"/>
      <c r="I59" s="8" t="s">
        <v>52</v>
      </c>
      <c r="J59" s="8" t="s">
        <v>52</v>
      </c>
      <c r="K59" s="9" t="s">
        <v>52</v>
      </c>
      <c r="L59" s="14"/>
      <c r="M59" s="14"/>
      <c r="N59" s="14"/>
    </row>
    <row r="60" spans="1:14" x14ac:dyDescent="0.25">
      <c r="A60" s="1">
        <v>95</v>
      </c>
      <c r="B60" s="1">
        <v>1</v>
      </c>
      <c r="C60" s="8" t="s">
        <v>52</v>
      </c>
      <c r="D60" s="8" t="s">
        <v>52</v>
      </c>
      <c r="E60" s="8" t="s">
        <v>52</v>
      </c>
      <c r="F60" s="8" t="s">
        <v>65</v>
      </c>
      <c r="G60" s="8" t="s">
        <v>50</v>
      </c>
      <c r="H60" s="8"/>
      <c r="I60" s="8" t="s">
        <v>52</v>
      </c>
      <c r="J60" s="8" t="s">
        <v>52</v>
      </c>
      <c r="K60" s="9" t="s">
        <v>52</v>
      </c>
      <c r="L60" s="14"/>
      <c r="M60" s="14"/>
      <c r="N60" s="14"/>
    </row>
  </sheetData>
  <sheetProtection algorithmName="SHA-512" hashValue="iYJq+6pXh5j9tuyMDn0K1RTH2pkrE8WB6X3RfCkK5xsLMVT9F2UXu0mynd4a2GgGZhvy51UL+/k6GICTUt2lGQ==" saltValue="VNNr2TJAJgIiIBADHYMltw==" spinCount="100000" sheet="1" objects="1" scenarios="1"/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DCE2C9-622F-49C3-9BD8-747F994CC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Monday</vt:lpstr>
      <vt:lpstr>Tuesday</vt:lpstr>
      <vt:lpstr>Wednesday</vt:lpstr>
      <vt:lpstr>Thursday</vt:lpstr>
      <vt:lpstr>Friday</vt:lpstr>
      <vt:lpstr>Saturday</vt:lpstr>
      <vt:lpstr>ScheduleMasterRef</vt:lpstr>
      <vt:lpstr>MasterTimeRef</vt:lpstr>
      <vt:lpstr>MasterJobRef</vt:lpstr>
      <vt:lpstr>Monday!Print_Area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Becky</cp:lastModifiedBy>
  <cp:lastPrinted>2023-04-20T12:10:50Z</cp:lastPrinted>
  <dcterms:created xsi:type="dcterms:W3CDTF">2020-07-15T09:22:27Z</dcterms:created>
  <dcterms:modified xsi:type="dcterms:W3CDTF">2023-04-21T14:21:16Z</dcterms:modified>
</cp:coreProperties>
</file>