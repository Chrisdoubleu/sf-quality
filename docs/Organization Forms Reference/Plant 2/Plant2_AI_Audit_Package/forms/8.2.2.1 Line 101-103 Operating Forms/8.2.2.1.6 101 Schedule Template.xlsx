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1 Line 101-103 Operating Forms\"/>
    </mc:Choice>
  </mc:AlternateContent>
  <xr:revisionPtr revIDLastSave="0" documentId="13_ncr:1_{7D93307B-AB22-46C6-A51E-1910214AF0FA}" xr6:coauthVersionLast="47" xr6:coauthVersionMax="47" xr10:uidLastSave="{00000000-0000-0000-0000-000000000000}"/>
  <workbookProtection workbookAlgorithmName="SHA-512" workbookHashValue="4C6U1qIKwCt3Xw+u68NyjmAcJZADn1H/1Fe0krXQv9gjp1y0AAa7LWpJWWB388k+6R0DmnTD+fiYrOIJvUfJdA==" workbookSaltValue="L9FDort1dGA2SP3/Tmy3Gg==" workbookSpinCount="100000" lockStructure="1"/>
  <bookViews>
    <workbookView xWindow="-28920" yWindow="-990" windowWidth="29040" windowHeight="17520" activeTab="3" xr2:uid="{00000000-000D-0000-FFFF-FFFF00000000}"/>
  </bookViews>
  <sheets>
    <sheet name="Weekly Plan" sheetId="56" r:id="rId1"/>
    <sheet name="Paint Usage" sheetId="72" state="hidden" r:id="rId2"/>
    <sheet name="Time Matrix" sheetId="57" state="hidden" r:id="rId3"/>
    <sheet name="Mon (101)" sheetId="49" r:id="rId4"/>
    <sheet name="Tue (101)" sheetId="88" r:id="rId5"/>
    <sheet name="Wed (101)" sheetId="89" r:id="rId6"/>
    <sheet name="Thu (101)" sheetId="90" r:id="rId7"/>
    <sheet name="Fri (101)" sheetId="91" r:id="rId8"/>
    <sheet name="Sat (101)" sheetId="92" r:id="rId9"/>
    <sheet name="Painter Matrix" sheetId="64" state="hidden" r:id="rId10"/>
    <sheet name="Part Info" sheetId="37" state="hidden" r:id="rId11"/>
  </sheets>
  <definedNames>
    <definedName name="_xlnm.Print_Area" localSheetId="7">'Fri (101)'!$A$1:$J$40</definedName>
    <definedName name="_xlnm.Print_Area" localSheetId="3">'Mon (101)'!$A$1:$J$40</definedName>
    <definedName name="_xlnm.Print_Area" localSheetId="8">'Sat (101)'!$A$1:$J$40</definedName>
    <definedName name="_xlnm.Print_Area" localSheetId="6">'Thu (101)'!$A$1:$J$40</definedName>
    <definedName name="_xlnm.Print_Area" localSheetId="4">'Tue (101)'!$A$1:$J$40</definedName>
    <definedName name="_xlnm.Print_Area" localSheetId="5">'Wed (101)'!$A$1:$J$40</definedName>
    <definedName name="_xlnm.Print_Area" localSheetId="0">'Weekly Plan'!$F$1:$M$27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91" l="1"/>
  <c r="J18" i="90"/>
  <c r="G18" i="88"/>
  <c r="G34" i="49"/>
  <c r="K25" i="92"/>
  <c r="K24" i="92"/>
  <c r="K23" i="92"/>
  <c r="K22" i="92"/>
  <c r="K19" i="92"/>
  <c r="K18" i="92"/>
  <c r="K17" i="92"/>
  <c r="K16" i="92"/>
  <c r="K13" i="92"/>
  <c r="L13" i="92" s="1"/>
  <c r="K12" i="92"/>
  <c r="L12" i="92" s="1"/>
  <c r="K11" i="92"/>
  <c r="K10" i="92"/>
  <c r="K9" i="92"/>
  <c r="K8" i="92"/>
  <c r="K7" i="92"/>
  <c r="K6" i="92"/>
  <c r="E25" i="92"/>
  <c r="E24" i="92"/>
  <c r="E23" i="92"/>
  <c r="E22" i="92"/>
  <c r="E19" i="92"/>
  <c r="E18" i="92"/>
  <c r="E17" i="92"/>
  <c r="E16" i="92"/>
  <c r="E11" i="92"/>
  <c r="E10" i="92"/>
  <c r="E9" i="92"/>
  <c r="E8" i="92"/>
  <c r="E7" i="92"/>
  <c r="E6" i="92"/>
  <c r="K25" i="91"/>
  <c r="K24" i="91"/>
  <c r="K23" i="91"/>
  <c r="K22" i="91"/>
  <c r="K19" i="91"/>
  <c r="K18" i="91"/>
  <c r="K17" i="91"/>
  <c r="K16" i="91"/>
  <c r="K13" i="91"/>
  <c r="L13" i="91" s="1"/>
  <c r="K12" i="91"/>
  <c r="L12" i="91" s="1"/>
  <c r="K11" i="91"/>
  <c r="K10" i="91"/>
  <c r="L10" i="91" s="1"/>
  <c r="K9" i="91"/>
  <c r="L9" i="91" s="1"/>
  <c r="K8" i="91"/>
  <c r="K7" i="91"/>
  <c r="K6" i="91"/>
  <c r="E25" i="91"/>
  <c r="E24" i="91"/>
  <c r="E23" i="91"/>
  <c r="E22" i="91"/>
  <c r="E19" i="91"/>
  <c r="E18" i="91"/>
  <c r="E17" i="91"/>
  <c r="E16" i="91"/>
  <c r="E11" i="91"/>
  <c r="E10" i="91"/>
  <c r="F10" i="91" s="1"/>
  <c r="E9" i="91"/>
  <c r="F9" i="91" s="1"/>
  <c r="F8" i="91"/>
  <c r="E8" i="91"/>
  <c r="E7" i="91"/>
  <c r="F7" i="91" s="1"/>
  <c r="E6" i="91"/>
  <c r="E25" i="90"/>
  <c r="E24" i="90"/>
  <c r="E23" i="90"/>
  <c r="E22" i="90"/>
  <c r="E25" i="89"/>
  <c r="E24" i="89"/>
  <c r="E23" i="89"/>
  <c r="E22" i="89"/>
  <c r="E25" i="88"/>
  <c r="E24" i="88"/>
  <c r="E23" i="88"/>
  <c r="E22" i="88"/>
  <c r="E25" i="49"/>
  <c r="E24" i="49"/>
  <c r="E23" i="49"/>
  <c r="E22" i="49"/>
  <c r="S29" i="56"/>
  <c r="T29" i="56"/>
  <c r="U29" i="56"/>
  <c r="V29" i="56"/>
  <c r="S31" i="56"/>
  <c r="T31" i="56"/>
  <c r="U31" i="56"/>
  <c r="V31" i="56"/>
  <c r="S33" i="56"/>
  <c r="T33" i="56"/>
  <c r="U33" i="56"/>
  <c r="V33" i="56"/>
  <c r="I2" i="49" l="1"/>
  <c r="P71" i="56" l="1"/>
  <c r="P69" i="56"/>
  <c r="P73" i="56"/>
  <c r="P68" i="56"/>
  <c r="P67" i="56"/>
  <c r="I2" i="92"/>
  <c r="I2" i="91"/>
  <c r="I2" i="90"/>
  <c r="Q17" i="56"/>
  <c r="V22" i="56"/>
  <c r="U22" i="56"/>
  <c r="T22" i="56"/>
  <c r="S22" i="56"/>
  <c r="R33" i="56"/>
  <c r="R31" i="56"/>
  <c r="R29" i="56"/>
  <c r="R22" i="56"/>
  <c r="Q29" i="56"/>
  <c r="Q31" i="56"/>
  <c r="Q33" i="56"/>
  <c r="P27" i="56"/>
  <c r="P29" i="56"/>
  <c r="P30" i="56"/>
  <c r="P31" i="56"/>
  <c r="P32" i="56"/>
  <c r="P33" i="56"/>
  <c r="P34" i="56"/>
  <c r="G34" i="92"/>
  <c r="C25" i="92"/>
  <c r="A25" i="92"/>
  <c r="D25" i="92" s="1"/>
  <c r="F25" i="92" s="1"/>
  <c r="G32" i="92"/>
  <c r="C24" i="92"/>
  <c r="A24" i="92"/>
  <c r="D24" i="92" s="1"/>
  <c r="F24" i="92" s="1"/>
  <c r="G31" i="92"/>
  <c r="C23" i="92"/>
  <c r="A23" i="92"/>
  <c r="D23" i="92" s="1"/>
  <c r="F23" i="92" s="1"/>
  <c r="C22" i="92"/>
  <c r="A22" i="92"/>
  <c r="D22" i="92" s="1"/>
  <c r="G30" i="92"/>
  <c r="G29" i="92"/>
  <c r="G25" i="92"/>
  <c r="J25" i="92" s="1"/>
  <c r="L25" i="92" s="1"/>
  <c r="G24" i="92"/>
  <c r="J24" i="92" s="1"/>
  <c r="L24" i="92" s="1"/>
  <c r="G23" i="92"/>
  <c r="J23" i="92" s="1"/>
  <c r="L23" i="92" s="1"/>
  <c r="G22" i="92"/>
  <c r="J22" i="92" s="1"/>
  <c r="L22" i="92" s="1"/>
  <c r="I19" i="92"/>
  <c r="G19" i="92"/>
  <c r="I18" i="92"/>
  <c r="G18" i="92"/>
  <c r="I17" i="92"/>
  <c r="G17" i="92"/>
  <c r="C19" i="92"/>
  <c r="A19" i="92"/>
  <c r="D19" i="92" s="1"/>
  <c r="F19" i="92" s="1"/>
  <c r="I16" i="92"/>
  <c r="G16" i="92"/>
  <c r="C18" i="92"/>
  <c r="A18" i="92"/>
  <c r="D18" i="92" s="1"/>
  <c r="F18" i="92" s="1"/>
  <c r="C17" i="92"/>
  <c r="A17" i="92"/>
  <c r="D17" i="92" s="1"/>
  <c r="F17" i="92" s="1"/>
  <c r="C16" i="92"/>
  <c r="A16" i="92"/>
  <c r="D16" i="92" s="1"/>
  <c r="F16" i="92" s="1"/>
  <c r="I13" i="92"/>
  <c r="G13" i="92"/>
  <c r="J13" i="92" s="1"/>
  <c r="L11" i="92" s="1"/>
  <c r="I12" i="92"/>
  <c r="G12" i="92"/>
  <c r="J12" i="92" s="1"/>
  <c r="L10" i="92" s="1"/>
  <c r="I11" i="92"/>
  <c r="G11" i="92"/>
  <c r="J11" i="92" s="1"/>
  <c r="C11" i="92"/>
  <c r="A11" i="92"/>
  <c r="D11" i="92" s="1"/>
  <c r="F11" i="92" s="1"/>
  <c r="I10" i="92"/>
  <c r="G10" i="92"/>
  <c r="J10" i="92" s="1"/>
  <c r="C10" i="92"/>
  <c r="A10" i="92"/>
  <c r="D10" i="92" s="1"/>
  <c r="F10" i="92" s="1"/>
  <c r="I9" i="92"/>
  <c r="G9" i="92"/>
  <c r="J9" i="92" s="1"/>
  <c r="L9" i="92" s="1"/>
  <c r="C9" i="92"/>
  <c r="A9" i="92"/>
  <c r="D9" i="92" s="1"/>
  <c r="F9" i="92" s="1"/>
  <c r="I8" i="92"/>
  <c r="G8" i="92"/>
  <c r="J8" i="92" s="1"/>
  <c r="L8" i="92" s="1"/>
  <c r="C8" i="92"/>
  <c r="A8" i="92"/>
  <c r="D8" i="92" s="1"/>
  <c r="F8" i="92" s="1"/>
  <c r="I7" i="92"/>
  <c r="G7" i="92"/>
  <c r="J7" i="92" s="1"/>
  <c r="L7" i="92" s="1"/>
  <c r="C7" i="92"/>
  <c r="A7" i="92"/>
  <c r="D7" i="92" s="1"/>
  <c r="F7" i="92" s="1"/>
  <c r="I6" i="92"/>
  <c r="G6" i="92"/>
  <c r="J6" i="92" s="1"/>
  <c r="L6" i="92" s="1"/>
  <c r="C6" i="92"/>
  <c r="A6" i="92"/>
  <c r="D6" i="92" s="1"/>
  <c r="F6" i="92" s="1"/>
  <c r="G34" i="91"/>
  <c r="C25" i="91"/>
  <c r="A25" i="91"/>
  <c r="D25" i="91" s="1"/>
  <c r="F25" i="91" s="1"/>
  <c r="G32" i="91"/>
  <c r="C24" i="91"/>
  <c r="A24" i="91"/>
  <c r="D24" i="91" s="1"/>
  <c r="F24" i="91" s="1"/>
  <c r="G31" i="91"/>
  <c r="C23" i="91"/>
  <c r="A23" i="91"/>
  <c r="D23" i="91" s="1"/>
  <c r="F23" i="91" s="1"/>
  <c r="C22" i="91"/>
  <c r="A22" i="91"/>
  <c r="D22" i="91" s="1"/>
  <c r="G30" i="91"/>
  <c r="G29" i="91"/>
  <c r="G25" i="91"/>
  <c r="J25" i="91" s="1"/>
  <c r="L25" i="91" s="1"/>
  <c r="G24" i="91"/>
  <c r="J24" i="91" s="1"/>
  <c r="L24" i="91" s="1"/>
  <c r="G23" i="91"/>
  <c r="L23" i="91" s="1"/>
  <c r="G22" i="91"/>
  <c r="J22" i="91" s="1"/>
  <c r="L22" i="91" s="1"/>
  <c r="I19" i="91"/>
  <c r="G19" i="91"/>
  <c r="J19" i="91" s="1"/>
  <c r="L19" i="91" s="1"/>
  <c r="I18" i="91"/>
  <c r="G18" i="91"/>
  <c r="I17" i="91"/>
  <c r="G17" i="91"/>
  <c r="J17" i="91" s="1"/>
  <c r="L17" i="91" s="1"/>
  <c r="C19" i="91"/>
  <c r="A19" i="91"/>
  <c r="D19" i="91" s="1"/>
  <c r="F19" i="91" s="1"/>
  <c r="I16" i="91"/>
  <c r="G16" i="91"/>
  <c r="C18" i="91"/>
  <c r="A18" i="91"/>
  <c r="D18" i="91" s="1"/>
  <c r="F18" i="91" s="1"/>
  <c r="C17" i="91"/>
  <c r="A17" i="91"/>
  <c r="D17" i="91" s="1"/>
  <c r="F17" i="91" s="1"/>
  <c r="C16" i="91"/>
  <c r="A16" i="91"/>
  <c r="D16" i="91" s="1"/>
  <c r="F16" i="91" s="1"/>
  <c r="I13" i="91"/>
  <c r="G13" i="91"/>
  <c r="J13" i="91" s="1"/>
  <c r="L11" i="91" s="1"/>
  <c r="I12" i="91"/>
  <c r="G12" i="91"/>
  <c r="I11" i="91"/>
  <c r="G11" i="91"/>
  <c r="C11" i="91"/>
  <c r="A11" i="91"/>
  <c r="D11" i="91" s="1"/>
  <c r="F11" i="91" s="1"/>
  <c r="I10" i="91"/>
  <c r="G10" i="91"/>
  <c r="C10" i="91"/>
  <c r="A10" i="91"/>
  <c r="I9" i="91"/>
  <c r="G9" i="91"/>
  <c r="C9" i="91"/>
  <c r="A9" i="91"/>
  <c r="I8" i="91"/>
  <c r="G8" i="91"/>
  <c r="J8" i="91" s="1"/>
  <c r="L8" i="91" s="1"/>
  <c r="C8" i="91"/>
  <c r="A8" i="91"/>
  <c r="I7" i="91"/>
  <c r="G7" i="91"/>
  <c r="J7" i="91" s="1"/>
  <c r="L7" i="91" s="1"/>
  <c r="C7" i="91"/>
  <c r="A7" i="91"/>
  <c r="I6" i="91"/>
  <c r="G6" i="91"/>
  <c r="J6" i="91" s="1"/>
  <c r="L6" i="91" s="1"/>
  <c r="C6" i="91"/>
  <c r="A6" i="91"/>
  <c r="D6" i="91" s="1"/>
  <c r="F6" i="91" s="1"/>
  <c r="C25" i="90"/>
  <c r="A25" i="90"/>
  <c r="D25" i="90" s="1"/>
  <c r="C24" i="90"/>
  <c r="A24" i="90"/>
  <c r="D24" i="90" s="1"/>
  <c r="C23" i="90"/>
  <c r="A23" i="90"/>
  <c r="D23" i="90" s="1"/>
  <c r="C22" i="90"/>
  <c r="A22" i="90"/>
  <c r="D22" i="90" s="1"/>
  <c r="G25" i="90"/>
  <c r="J25" i="90" s="1"/>
  <c r="G24" i="90"/>
  <c r="J24" i="90" s="1"/>
  <c r="G23" i="90"/>
  <c r="J23" i="90" s="1"/>
  <c r="G22" i="90"/>
  <c r="J22" i="90" s="1"/>
  <c r="I19" i="90"/>
  <c r="G19" i="90"/>
  <c r="J19" i="90" s="1"/>
  <c r="I18" i="90"/>
  <c r="G18" i="90"/>
  <c r="I17" i="90"/>
  <c r="G17" i="90"/>
  <c r="J17" i="90" s="1"/>
  <c r="C19" i="90"/>
  <c r="A19" i="90"/>
  <c r="D19" i="90" s="1"/>
  <c r="I16" i="90"/>
  <c r="G16" i="90"/>
  <c r="J16" i="90" s="1"/>
  <c r="C18" i="90"/>
  <c r="A18" i="90"/>
  <c r="D18" i="90" s="1"/>
  <c r="C17" i="90"/>
  <c r="A17" i="90"/>
  <c r="D17" i="90" s="1"/>
  <c r="C16" i="90"/>
  <c r="A16" i="90"/>
  <c r="D16" i="90" s="1"/>
  <c r="I13" i="90"/>
  <c r="G13" i="90"/>
  <c r="J13" i="90" s="1"/>
  <c r="I12" i="90"/>
  <c r="G12" i="90"/>
  <c r="J12" i="90" s="1"/>
  <c r="K11" i="90"/>
  <c r="I11" i="90"/>
  <c r="G11" i="90"/>
  <c r="J11" i="90" s="1"/>
  <c r="C11" i="90"/>
  <c r="A11" i="90"/>
  <c r="D11" i="90" s="1"/>
  <c r="K10" i="90"/>
  <c r="I10" i="90"/>
  <c r="G10" i="90"/>
  <c r="J10" i="90" s="1"/>
  <c r="C10" i="90"/>
  <c r="A10" i="90"/>
  <c r="D10" i="90" s="1"/>
  <c r="I9" i="90"/>
  <c r="G9" i="90"/>
  <c r="J9" i="90" s="1"/>
  <c r="C9" i="90"/>
  <c r="A9" i="90"/>
  <c r="D9" i="90" s="1"/>
  <c r="I8" i="90"/>
  <c r="G8" i="90"/>
  <c r="J8" i="90" s="1"/>
  <c r="C8" i="90"/>
  <c r="A8" i="90"/>
  <c r="D8" i="90" s="1"/>
  <c r="I7" i="90"/>
  <c r="G7" i="90"/>
  <c r="J7" i="90" s="1"/>
  <c r="C7" i="90"/>
  <c r="A7" i="90"/>
  <c r="D7" i="90" s="1"/>
  <c r="I6" i="90"/>
  <c r="G6" i="90"/>
  <c r="J6" i="90" s="1"/>
  <c r="C6" i="90"/>
  <c r="A6" i="90"/>
  <c r="D6" i="90" s="1"/>
  <c r="I2" i="89"/>
  <c r="G34" i="89"/>
  <c r="C25" i="89"/>
  <c r="A25" i="89"/>
  <c r="D25" i="89" s="1"/>
  <c r="G32" i="89"/>
  <c r="C24" i="89"/>
  <c r="A24" i="89"/>
  <c r="D24" i="89" s="1"/>
  <c r="G31" i="89"/>
  <c r="C23" i="89"/>
  <c r="A23" i="89"/>
  <c r="D23" i="89" s="1"/>
  <c r="C22" i="89"/>
  <c r="A22" i="89"/>
  <c r="D22" i="89" s="1"/>
  <c r="G30" i="89"/>
  <c r="G29" i="89"/>
  <c r="G25" i="89"/>
  <c r="J25" i="89" s="1"/>
  <c r="G24" i="89"/>
  <c r="J24" i="89" s="1"/>
  <c r="G23" i="89"/>
  <c r="J23" i="89" s="1"/>
  <c r="G22" i="89"/>
  <c r="J22" i="89" s="1"/>
  <c r="I19" i="89"/>
  <c r="G19" i="89"/>
  <c r="J19" i="89" s="1"/>
  <c r="I18" i="89"/>
  <c r="G18" i="89"/>
  <c r="J18" i="89" s="1"/>
  <c r="I17" i="89"/>
  <c r="G17" i="89"/>
  <c r="J17" i="89" s="1"/>
  <c r="C19" i="89"/>
  <c r="A19" i="89"/>
  <c r="D19" i="89" s="1"/>
  <c r="I16" i="89"/>
  <c r="G16" i="89"/>
  <c r="J16" i="89" s="1"/>
  <c r="C18" i="89"/>
  <c r="A18" i="89"/>
  <c r="D18" i="89" s="1"/>
  <c r="C17" i="89"/>
  <c r="A17" i="89"/>
  <c r="D17" i="89" s="1"/>
  <c r="C16" i="89"/>
  <c r="A16" i="89"/>
  <c r="D16" i="89" s="1"/>
  <c r="I13" i="89"/>
  <c r="G13" i="89"/>
  <c r="J13" i="89" s="1"/>
  <c r="I12" i="89"/>
  <c r="G12" i="89"/>
  <c r="J12" i="89" s="1"/>
  <c r="K11" i="89"/>
  <c r="I11" i="89"/>
  <c r="G11" i="89"/>
  <c r="J11" i="89" s="1"/>
  <c r="C11" i="89"/>
  <c r="A11" i="89"/>
  <c r="D11" i="89" s="1"/>
  <c r="K10" i="89"/>
  <c r="I10" i="89"/>
  <c r="G10" i="89"/>
  <c r="J10" i="89" s="1"/>
  <c r="C10" i="89"/>
  <c r="A10" i="89"/>
  <c r="D10" i="89" s="1"/>
  <c r="I9" i="89"/>
  <c r="G9" i="89"/>
  <c r="J9" i="89" s="1"/>
  <c r="C9" i="89"/>
  <c r="A9" i="89"/>
  <c r="D9" i="89" s="1"/>
  <c r="I8" i="89"/>
  <c r="G8" i="89"/>
  <c r="J8" i="89" s="1"/>
  <c r="C8" i="89"/>
  <c r="A8" i="89"/>
  <c r="D8" i="89" s="1"/>
  <c r="I7" i="89"/>
  <c r="G7" i="89"/>
  <c r="J7" i="89" s="1"/>
  <c r="C7" i="89"/>
  <c r="A7" i="89"/>
  <c r="D7" i="89" s="1"/>
  <c r="I6" i="89"/>
  <c r="G6" i="89"/>
  <c r="J6" i="89" s="1"/>
  <c r="C6" i="89"/>
  <c r="A6" i="89"/>
  <c r="D6" i="89" s="1"/>
  <c r="I2" i="88"/>
  <c r="G34" i="88"/>
  <c r="C25" i="88"/>
  <c r="A25" i="88"/>
  <c r="D25" i="88" s="1"/>
  <c r="G32" i="88"/>
  <c r="C24" i="88"/>
  <c r="A24" i="88"/>
  <c r="D24" i="88" s="1"/>
  <c r="G31" i="88"/>
  <c r="C23" i="88"/>
  <c r="A23" i="88"/>
  <c r="D23" i="88" s="1"/>
  <c r="C22" i="88"/>
  <c r="A22" i="88"/>
  <c r="D22" i="88" s="1"/>
  <c r="G30" i="88"/>
  <c r="G29" i="88"/>
  <c r="G25" i="88"/>
  <c r="J25" i="88" s="1"/>
  <c r="G24" i="88"/>
  <c r="J24" i="88" s="1"/>
  <c r="G23" i="88"/>
  <c r="J23" i="88" s="1"/>
  <c r="G22" i="88"/>
  <c r="J22" i="88" s="1"/>
  <c r="I19" i="88"/>
  <c r="G19" i="88"/>
  <c r="J19" i="88" s="1"/>
  <c r="I18" i="88"/>
  <c r="J18" i="88"/>
  <c r="I17" i="88"/>
  <c r="G17" i="88"/>
  <c r="J17" i="88" s="1"/>
  <c r="C19" i="88"/>
  <c r="A19" i="88"/>
  <c r="D19" i="88" s="1"/>
  <c r="I16" i="88"/>
  <c r="G16" i="88"/>
  <c r="J16" i="88" s="1"/>
  <c r="C18" i="88"/>
  <c r="A18" i="88"/>
  <c r="D18" i="88" s="1"/>
  <c r="C17" i="88"/>
  <c r="A17" i="88"/>
  <c r="D17" i="88" s="1"/>
  <c r="C16" i="88"/>
  <c r="A16" i="88"/>
  <c r="D16" i="88" s="1"/>
  <c r="I13" i="88"/>
  <c r="G13" i="88"/>
  <c r="J13" i="88" s="1"/>
  <c r="I12" i="88"/>
  <c r="G12" i="88"/>
  <c r="J12" i="88" s="1"/>
  <c r="K11" i="88"/>
  <c r="I11" i="88"/>
  <c r="G11" i="88"/>
  <c r="J11" i="88" s="1"/>
  <c r="C11" i="88"/>
  <c r="A11" i="88"/>
  <c r="D11" i="88" s="1"/>
  <c r="K10" i="88"/>
  <c r="I10" i="88"/>
  <c r="G10" i="88"/>
  <c r="J10" i="88" s="1"/>
  <c r="C10" i="88"/>
  <c r="A10" i="88"/>
  <c r="D10" i="88" s="1"/>
  <c r="I9" i="88"/>
  <c r="G9" i="88"/>
  <c r="J9" i="88" s="1"/>
  <c r="C9" i="88"/>
  <c r="A9" i="88"/>
  <c r="D9" i="88" s="1"/>
  <c r="I8" i="88"/>
  <c r="G8" i="88"/>
  <c r="J8" i="88" s="1"/>
  <c r="C8" i="88"/>
  <c r="A8" i="88"/>
  <c r="D8" i="88" s="1"/>
  <c r="I7" i="88"/>
  <c r="G7" i="88"/>
  <c r="J7" i="88" s="1"/>
  <c r="C7" i="88"/>
  <c r="A7" i="88"/>
  <c r="D7" i="88" s="1"/>
  <c r="I6" i="88"/>
  <c r="G6" i="88"/>
  <c r="J6" i="88" s="1"/>
  <c r="C6" i="88"/>
  <c r="A6" i="88"/>
  <c r="D6" i="88" s="1"/>
  <c r="A23" i="49"/>
  <c r="D23" i="49" s="1"/>
  <c r="C23" i="49"/>
  <c r="A24" i="49"/>
  <c r="D24" i="49" s="1"/>
  <c r="C24" i="49"/>
  <c r="A25" i="49"/>
  <c r="D25" i="49" s="1"/>
  <c r="C25" i="49"/>
  <c r="C22" i="49"/>
  <c r="A22" i="49"/>
  <c r="I33" i="89" l="1"/>
  <c r="S27" i="56" s="1"/>
  <c r="I34" i="92"/>
  <c r="I30" i="92"/>
  <c r="I34" i="91"/>
  <c r="I33" i="88"/>
  <c r="I29" i="91"/>
  <c r="I29" i="92"/>
  <c r="I31" i="91"/>
  <c r="F22" i="91"/>
  <c r="I33" i="91"/>
  <c r="U27" i="56" s="1"/>
  <c r="I31" i="92"/>
  <c r="F22" i="92"/>
  <c r="I33" i="92"/>
  <c r="V27" i="56" s="1"/>
  <c r="I33" i="90"/>
  <c r="T27" i="56" s="1"/>
  <c r="I30" i="91"/>
  <c r="J18" i="92"/>
  <c r="L18" i="92" s="1"/>
  <c r="J16" i="91"/>
  <c r="L16" i="91" s="1"/>
  <c r="J18" i="91"/>
  <c r="L18" i="91" s="1"/>
  <c r="J17" i="92"/>
  <c r="L17" i="92" s="1"/>
  <c r="J19" i="92"/>
  <c r="L19" i="92" s="1"/>
  <c r="J16" i="92"/>
  <c r="L16" i="92" s="1"/>
  <c r="L10" i="88"/>
  <c r="L10" i="89"/>
  <c r="L11" i="90"/>
  <c r="L10" i="90"/>
  <c r="L11" i="88"/>
  <c r="L11" i="89"/>
  <c r="D22" i="49"/>
  <c r="I33" i="49" s="1"/>
  <c r="Q27" i="56" s="1"/>
  <c r="R27" i="56"/>
  <c r="A34" i="56"/>
  <c r="A33" i="56"/>
  <c r="A32" i="56"/>
  <c r="A31" i="56"/>
  <c r="A30" i="56"/>
  <c r="K10" i="49"/>
  <c r="K11" i="49"/>
  <c r="G7" i="49"/>
  <c r="J7" i="49" s="1"/>
  <c r="I7" i="49"/>
  <c r="G8" i="49"/>
  <c r="J8" i="49" s="1"/>
  <c r="I8" i="49"/>
  <c r="G9" i="49"/>
  <c r="J9" i="49" s="1"/>
  <c r="I9" i="49"/>
  <c r="G10" i="49"/>
  <c r="J10" i="49" s="1"/>
  <c r="I10" i="49"/>
  <c r="G11" i="49"/>
  <c r="J11" i="49" s="1"/>
  <c r="I11" i="49"/>
  <c r="G12" i="49"/>
  <c r="J12" i="49" s="1"/>
  <c r="I12" i="49"/>
  <c r="G13" i="49"/>
  <c r="J13" i="49" s="1"/>
  <c r="I13" i="49"/>
  <c r="I32" i="91" l="1"/>
  <c r="I36" i="91" s="1"/>
  <c r="I32" i="92"/>
  <c r="I36" i="92" s="1"/>
  <c r="V28" i="56"/>
  <c r="U28" i="56"/>
  <c r="I38" i="92" l="1"/>
  <c r="I40" i="92" s="1"/>
  <c r="I38" i="91"/>
  <c r="I40" i="91" s="1"/>
  <c r="P28" i="56"/>
  <c r="G23" i="49"/>
  <c r="J23" i="49" s="1"/>
  <c r="G24" i="49"/>
  <c r="J24" i="49" s="1"/>
  <c r="G25" i="49"/>
  <c r="J25" i="49" s="1"/>
  <c r="G22" i="49"/>
  <c r="J22" i="49" s="1"/>
  <c r="A39" i="56"/>
  <c r="A38" i="56"/>
  <c r="A37" i="56"/>
  <c r="A36" i="56"/>
  <c r="A35" i="56"/>
  <c r="A29" i="56"/>
  <c r="K22" i="49" l="1"/>
  <c r="L22" i="49" s="1"/>
  <c r="K22" i="88"/>
  <c r="L22" i="88" s="1"/>
  <c r="K22" i="90"/>
  <c r="L22" i="90" s="1"/>
  <c r="K22" i="89"/>
  <c r="L22" i="89" s="1"/>
  <c r="K23" i="90"/>
  <c r="L23" i="90" s="1"/>
  <c r="K23" i="89"/>
  <c r="L23" i="89" s="1"/>
  <c r="K23" i="88"/>
  <c r="L23" i="88" s="1"/>
  <c r="K24" i="90"/>
  <c r="L24" i="90" s="1"/>
  <c r="K24" i="88"/>
  <c r="L24" i="88" s="1"/>
  <c r="K24" i="89"/>
  <c r="L24" i="89" s="1"/>
  <c r="K25" i="89"/>
  <c r="L25" i="89" s="1"/>
  <c r="K25" i="88"/>
  <c r="L25" i="88" s="1"/>
  <c r="K25" i="90"/>
  <c r="L25" i="90" s="1"/>
  <c r="K25" i="49"/>
  <c r="L25" i="49" s="1"/>
  <c r="K23" i="49"/>
  <c r="L23" i="49" s="1"/>
  <c r="K24" i="49"/>
  <c r="L24" i="49" s="1"/>
  <c r="I34" i="88" l="1"/>
  <c r="R28" i="56" s="1"/>
  <c r="I34" i="89"/>
  <c r="S28" i="56" s="1"/>
  <c r="I34" i="90"/>
  <c r="T28" i="56" s="1"/>
  <c r="I34" i="49"/>
  <c r="Q28" i="56" s="1"/>
  <c r="G32" i="49"/>
  <c r="P26" i="56" s="1"/>
  <c r="G31" i="49"/>
  <c r="P25" i="56" s="1"/>
  <c r="G30" i="49"/>
  <c r="P24" i="56" s="1"/>
  <c r="G29" i="49"/>
  <c r="P23" i="56" s="1"/>
  <c r="A4" i="56" l="1"/>
  <c r="A5" i="56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2" i="56"/>
  <c r="A23" i="56"/>
  <c r="A24" i="56"/>
  <c r="A25" i="56"/>
  <c r="A26" i="56"/>
  <c r="A27" i="56"/>
  <c r="A28" i="56"/>
  <c r="K19" i="88" l="1"/>
  <c r="L19" i="88" s="1"/>
  <c r="K19" i="90"/>
  <c r="L19" i="90" s="1"/>
  <c r="K19" i="89"/>
  <c r="L19" i="89" s="1"/>
  <c r="K18" i="89"/>
  <c r="L18" i="89" s="1"/>
  <c r="K18" i="90"/>
  <c r="L18" i="90" s="1"/>
  <c r="K18" i="88"/>
  <c r="L18" i="88" s="1"/>
  <c r="K17" i="89"/>
  <c r="L17" i="89" s="1"/>
  <c r="K17" i="88"/>
  <c r="L17" i="88" s="1"/>
  <c r="K17" i="90"/>
  <c r="L17" i="90" s="1"/>
  <c r="K16" i="89"/>
  <c r="L16" i="89" s="1"/>
  <c r="K16" i="88"/>
  <c r="L16" i="88" s="1"/>
  <c r="K16" i="90"/>
  <c r="L16" i="90" s="1"/>
  <c r="K18" i="49"/>
  <c r="E18" i="89"/>
  <c r="F18" i="89" s="1"/>
  <c r="E18" i="88"/>
  <c r="F18" i="88" s="1"/>
  <c r="E18" i="90"/>
  <c r="F18" i="90" s="1"/>
  <c r="K17" i="49"/>
  <c r="E17" i="90"/>
  <c r="F17" i="90" s="1"/>
  <c r="E17" i="89"/>
  <c r="F17" i="89" s="1"/>
  <c r="E17" i="88"/>
  <c r="F17" i="88" s="1"/>
  <c r="K16" i="49"/>
  <c r="E16" i="89"/>
  <c r="F16" i="89" s="1"/>
  <c r="E16" i="88"/>
  <c r="F16" i="88" s="1"/>
  <c r="E16" i="90"/>
  <c r="F16" i="90" s="1"/>
  <c r="K13" i="49"/>
  <c r="L13" i="49" s="1"/>
  <c r="K13" i="89"/>
  <c r="L13" i="89" s="1"/>
  <c r="K13" i="90"/>
  <c r="L13" i="90" s="1"/>
  <c r="K13" i="88"/>
  <c r="L13" i="88" s="1"/>
  <c r="E11" i="90"/>
  <c r="F11" i="90" s="1"/>
  <c r="E11" i="88"/>
  <c r="F11" i="88" s="1"/>
  <c r="E11" i="89"/>
  <c r="F11" i="89" s="1"/>
  <c r="F25" i="88"/>
  <c r="F25" i="90"/>
  <c r="F25" i="89"/>
  <c r="K12" i="49"/>
  <c r="L12" i="49" s="1"/>
  <c r="K12" i="88"/>
  <c r="L12" i="88" s="1"/>
  <c r="K12" i="89"/>
  <c r="L12" i="89" s="1"/>
  <c r="K12" i="90"/>
  <c r="L12" i="90" s="1"/>
  <c r="E10" i="89"/>
  <c r="F10" i="89" s="1"/>
  <c r="E10" i="90"/>
  <c r="F10" i="90" s="1"/>
  <c r="E10" i="88"/>
  <c r="F10" i="88" s="1"/>
  <c r="F24" i="90"/>
  <c r="F24" i="89"/>
  <c r="F24" i="88"/>
  <c r="K9" i="49"/>
  <c r="K9" i="90"/>
  <c r="L9" i="90" s="1"/>
  <c r="K9" i="88"/>
  <c r="L9" i="88" s="1"/>
  <c r="K9" i="89"/>
  <c r="L9" i="89" s="1"/>
  <c r="E9" i="90"/>
  <c r="F9" i="90" s="1"/>
  <c r="E9" i="88"/>
  <c r="F9" i="88" s="1"/>
  <c r="E9" i="89"/>
  <c r="F9" i="89" s="1"/>
  <c r="F23" i="88"/>
  <c r="F23" i="90"/>
  <c r="F23" i="89"/>
  <c r="K8" i="49"/>
  <c r="K8" i="90"/>
  <c r="L8" i="90" s="1"/>
  <c r="K8" i="89"/>
  <c r="L8" i="89" s="1"/>
  <c r="K8" i="88"/>
  <c r="L8" i="88" s="1"/>
  <c r="E8" i="89"/>
  <c r="F8" i="89" s="1"/>
  <c r="E8" i="88"/>
  <c r="F8" i="88" s="1"/>
  <c r="E8" i="90"/>
  <c r="F8" i="90" s="1"/>
  <c r="F22" i="90"/>
  <c r="F22" i="88"/>
  <c r="F22" i="89"/>
  <c r="K7" i="49"/>
  <c r="K7" i="89"/>
  <c r="L7" i="89" s="1"/>
  <c r="K7" i="90"/>
  <c r="L7" i="90" s="1"/>
  <c r="K7" i="88"/>
  <c r="L7" i="88" s="1"/>
  <c r="E7" i="88"/>
  <c r="F7" i="88" s="1"/>
  <c r="E7" i="90"/>
  <c r="F7" i="90" s="1"/>
  <c r="E7" i="89"/>
  <c r="F7" i="89" s="1"/>
  <c r="K6" i="88"/>
  <c r="L6" i="88" s="1"/>
  <c r="K6" i="89"/>
  <c r="L6" i="89" s="1"/>
  <c r="K6" i="90"/>
  <c r="L6" i="90" s="1"/>
  <c r="E6" i="90"/>
  <c r="F6" i="90" s="1"/>
  <c r="E6" i="89"/>
  <c r="F6" i="89" s="1"/>
  <c r="E6" i="88"/>
  <c r="F6" i="88" s="1"/>
  <c r="K19" i="49"/>
  <c r="E19" i="88"/>
  <c r="F19" i="88" s="1"/>
  <c r="E19" i="90"/>
  <c r="F19" i="90" s="1"/>
  <c r="E19" i="89"/>
  <c r="F19" i="89" s="1"/>
  <c r="F25" i="49"/>
  <c r="F24" i="49"/>
  <c r="F23" i="49"/>
  <c r="F22" i="49"/>
  <c r="E10" i="49"/>
  <c r="E17" i="49"/>
  <c r="E18" i="49"/>
  <c r="E19" i="49"/>
  <c r="C17" i="49"/>
  <c r="C18" i="49"/>
  <c r="C19" i="49"/>
  <c r="C16" i="49"/>
  <c r="A17" i="49"/>
  <c r="D17" i="49" s="1"/>
  <c r="A18" i="49"/>
  <c r="D18" i="49" s="1"/>
  <c r="A19" i="49"/>
  <c r="D19" i="49" s="1"/>
  <c r="A16" i="49"/>
  <c r="D16" i="49" s="1"/>
  <c r="E7" i="49"/>
  <c r="E8" i="49"/>
  <c r="E9" i="49"/>
  <c r="E11" i="49"/>
  <c r="C7" i="49"/>
  <c r="C8" i="49"/>
  <c r="C9" i="49"/>
  <c r="C10" i="49"/>
  <c r="C11" i="49"/>
  <c r="C6" i="49"/>
  <c r="A7" i="49"/>
  <c r="D7" i="49" s="1"/>
  <c r="A8" i="49"/>
  <c r="D8" i="49" s="1"/>
  <c r="A9" i="49"/>
  <c r="D9" i="49" s="1"/>
  <c r="A10" i="49"/>
  <c r="D10" i="49" s="1"/>
  <c r="A11" i="49"/>
  <c r="D11" i="49" s="1"/>
  <c r="A6" i="49"/>
  <c r="D6" i="49" s="1"/>
  <c r="I31" i="88" l="1"/>
  <c r="R25" i="56" s="1"/>
  <c r="I30" i="90"/>
  <c r="T24" i="56" s="1"/>
  <c r="I32" i="90"/>
  <c r="T26" i="56" s="1"/>
  <c r="I30" i="89"/>
  <c r="S24" i="56" s="1"/>
  <c r="I32" i="88"/>
  <c r="R26" i="56" s="1"/>
  <c r="I30" i="88"/>
  <c r="I32" i="89"/>
  <c r="S26" i="56" s="1"/>
  <c r="I29" i="90"/>
  <c r="I29" i="88"/>
  <c r="I29" i="89"/>
  <c r="I31" i="90"/>
  <c r="T25" i="56" s="1"/>
  <c r="I31" i="89"/>
  <c r="S25" i="56" s="1"/>
  <c r="U26" i="56"/>
  <c r="U25" i="56"/>
  <c r="V23" i="56"/>
  <c r="V25" i="56"/>
  <c r="U24" i="56"/>
  <c r="U23" i="56"/>
  <c r="V24" i="56"/>
  <c r="V26" i="56"/>
  <c r="F9" i="49"/>
  <c r="F11" i="49"/>
  <c r="F8" i="49"/>
  <c r="F7" i="49"/>
  <c r="F10" i="49"/>
  <c r="I1" i="56"/>
  <c r="I36" i="88" l="1"/>
  <c r="I38" i="88" s="1"/>
  <c r="I40" i="88" s="1"/>
  <c r="R23" i="56"/>
  <c r="I36" i="89"/>
  <c r="S23" i="56"/>
  <c r="I36" i="90"/>
  <c r="I38" i="90" s="1"/>
  <c r="T32" i="56" s="1"/>
  <c r="T23" i="56"/>
  <c r="R24" i="56"/>
  <c r="J1" i="56"/>
  <c r="F17" i="49"/>
  <c r="F18" i="49"/>
  <c r="F19" i="49"/>
  <c r="I40" i="90" l="1"/>
  <c r="T34" i="56" s="1"/>
  <c r="I38" i="89"/>
  <c r="I40" i="89" s="1"/>
  <c r="T30" i="56"/>
  <c r="K1" i="56"/>
  <c r="L1" i="56" l="1"/>
  <c r="G17" i="49"/>
  <c r="J17" i="49" s="1"/>
  <c r="L17" i="49" s="1"/>
  <c r="I17" i="49"/>
  <c r="G18" i="49"/>
  <c r="J18" i="49" s="1"/>
  <c r="L18" i="49" s="1"/>
  <c r="I18" i="49"/>
  <c r="G19" i="49"/>
  <c r="I19" i="49"/>
  <c r="I16" i="49"/>
  <c r="G16" i="49"/>
  <c r="K6" i="49"/>
  <c r="I6" i="49"/>
  <c r="G6" i="49"/>
  <c r="J6" i="49" s="1"/>
  <c r="E16" i="49"/>
  <c r="E6" i="49"/>
  <c r="J19" i="49" l="1"/>
  <c r="L19" i="49" s="1"/>
  <c r="J16" i="49"/>
  <c r="L16" i="49" s="1"/>
  <c r="F6" i="49"/>
  <c r="I29" i="49" s="1"/>
  <c r="Q23" i="56" s="1"/>
  <c r="L6" i="49"/>
  <c r="M1" i="56"/>
  <c r="P22" i="56"/>
  <c r="Q22" i="56"/>
  <c r="I32" i="49" l="1"/>
  <c r="Q26" i="56" s="1"/>
  <c r="L9" i="49" l="1"/>
  <c r="F16" i="49"/>
  <c r="I30" i="49" s="1"/>
  <c r="Q24" i="56" s="1"/>
  <c r="L8" i="49"/>
  <c r="L10" i="49"/>
  <c r="L11" i="49"/>
  <c r="L7" i="49"/>
  <c r="I31" i="49" l="1"/>
  <c r="H119" i="72"/>
  <c r="H111" i="72"/>
  <c r="H107" i="72"/>
  <c r="H99" i="72"/>
  <c r="H84" i="72"/>
  <c r="H59" i="72"/>
  <c r="H63" i="72"/>
  <c r="H49" i="72"/>
  <c r="H33" i="72"/>
  <c r="H38" i="72"/>
  <c r="H30" i="72"/>
  <c r="H21" i="72"/>
  <c r="H11" i="72"/>
  <c r="H14" i="72"/>
  <c r="H15" i="72"/>
  <c r="H3" i="72"/>
  <c r="G149" i="72"/>
  <c r="G143" i="72"/>
  <c r="G136" i="72"/>
  <c r="G122" i="72"/>
  <c r="G123" i="72"/>
  <c r="G107" i="72"/>
  <c r="G103" i="72"/>
  <c r="G99" i="72"/>
  <c r="G96" i="72"/>
  <c r="G84" i="72"/>
  <c r="G45" i="72"/>
  <c r="G48" i="72"/>
  <c r="G49" i="72"/>
  <c r="G41" i="72"/>
  <c r="G34" i="72"/>
  <c r="G25" i="72"/>
  <c r="G5" i="72"/>
  <c r="G6" i="72"/>
  <c r="G7" i="72"/>
  <c r="G9" i="72"/>
  <c r="G11" i="72"/>
  <c r="G15" i="72"/>
  <c r="G17" i="72"/>
  <c r="G3" i="72"/>
  <c r="G151" i="72"/>
  <c r="G150" i="72"/>
  <c r="G52" i="72"/>
  <c r="G51" i="72"/>
  <c r="G50" i="72"/>
  <c r="G146" i="72"/>
  <c r="G145" i="72"/>
  <c r="G144" i="72"/>
  <c r="G46" i="72"/>
  <c r="G43" i="72"/>
  <c r="G139" i="72"/>
  <c r="G42" i="72"/>
  <c r="F143" i="72"/>
  <c r="F136" i="72"/>
  <c r="F131" i="72"/>
  <c r="F130" i="72"/>
  <c r="F118" i="72"/>
  <c r="F119" i="72"/>
  <c r="F123" i="72"/>
  <c r="F126" i="72"/>
  <c r="F115" i="72"/>
  <c r="F107" i="72"/>
  <c r="F99" i="72"/>
  <c r="F93" i="72"/>
  <c r="F88" i="72"/>
  <c r="F84" i="72"/>
  <c r="F63" i="72"/>
  <c r="F55" i="72"/>
  <c r="F45" i="72"/>
  <c r="F49" i="72"/>
  <c r="F33" i="72"/>
  <c r="F34" i="72"/>
  <c r="F38" i="72"/>
  <c r="F30" i="72"/>
  <c r="F25" i="72"/>
  <c r="F7" i="72"/>
  <c r="F9" i="72"/>
  <c r="F11" i="72"/>
  <c r="F13" i="72"/>
  <c r="F15" i="72"/>
  <c r="F94" i="72"/>
  <c r="F37" i="72"/>
  <c r="F81" i="72"/>
  <c r="F122" i="72"/>
  <c r="F74" i="72"/>
  <c r="F116" i="72"/>
  <c r="F18" i="72"/>
  <c r="F16" i="72"/>
  <c r="F66" i="72"/>
  <c r="F10" i="72"/>
  <c r="F60" i="72"/>
  <c r="F101" i="72"/>
  <c r="F56" i="72"/>
  <c r="F3" i="72"/>
  <c r="E136" i="72"/>
  <c r="E119" i="72"/>
  <c r="E123" i="72"/>
  <c r="E111" i="72"/>
  <c r="E107" i="72"/>
  <c r="E103" i="72"/>
  <c r="E88" i="72"/>
  <c r="E83" i="72"/>
  <c r="E84" i="72"/>
  <c r="E80" i="72"/>
  <c r="E74" i="72"/>
  <c r="E59" i="72"/>
  <c r="E45" i="72"/>
  <c r="E49" i="72"/>
  <c r="E34" i="72"/>
  <c r="E38" i="72"/>
  <c r="E30" i="72"/>
  <c r="E25" i="72"/>
  <c r="E7" i="72"/>
  <c r="E11" i="72"/>
  <c r="E15" i="72"/>
  <c r="E94" i="72"/>
  <c r="E37" i="72"/>
  <c r="E131" i="72"/>
  <c r="E81" i="72"/>
  <c r="E122" i="72"/>
  <c r="E116" i="72"/>
  <c r="E18" i="72"/>
  <c r="E16" i="72"/>
  <c r="E66" i="72"/>
  <c r="E13" i="72"/>
  <c r="E10" i="72"/>
  <c r="E60" i="72"/>
  <c r="E101" i="72"/>
  <c r="E56" i="72"/>
  <c r="E3" i="72"/>
  <c r="D149" i="72"/>
  <c r="D143" i="72"/>
  <c r="D133" i="72"/>
  <c r="D130" i="72"/>
  <c r="D119" i="72"/>
  <c r="D123" i="72"/>
  <c r="D109" i="72"/>
  <c r="D111" i="72"/>
  <c r="D107" i="72"/>
  <c r="D93" i="72"/>
  <c r="D88" i="72"/>
  <c r="D82" i="72"/>
  <c r="D84" i="72"/>
  <c r="D74" i="72"/>
  <c r="D56" i="72"/>
  <c r="D66" i="72"/>
  <c r="D55" i="72"/>
  <c r="D44" i="72"/>
  <c r="D45" i="72"/>
  <c r="D49" i="72"/>
  <c r="D33" i="72"/>
  <c r="D34" i="72"/>
  <c r="D37" i="72"/>
  <c r="D38" i="72"/>
  <c r="D24" i="72"/>
  <c r="D25" i="72"/>
  <c r="D7" i="72"/>
  <c r="D15" i="72"/>
  <c r="D18" i="72"/>
  <c r="D112" i="72"/>
  <c r="D16" i="72"/>
  <c r="D110" i="72"/>
  <c r="D65" i="72"/>
  <c r="D13" i="72"/>
  <c r="D12" i="72"/>
  <c r="D10" i="72"/>
  <c r="D6" i="72"/>
  <c r="D101" i="72"/>
  <c r="D100" i="72"/>
  <c r="D11" i="72"/>
  <c r="C149" i="72"/>
  <c r="C144" i="72"/>
  <c r="C138" i="72"/>
  <c r="C139" i="72"/>
  <c r="C136" i="72"/>
  <c r="C133" i="72"/>
  <c r="C130" i="72"/>
  <c r="C118" i="72"/>
  <c r="C119" i="72"/>
  <c r="C122" i="72"/>
  <c r="C123" i="72"/>
  <c r="C125" i="72"/>
  <c r="C126" i="72"/>
  <c r="C115" i="72"/>
  <c r="C111" i="72"/>
  <c r="C104" i="72"/>
  <c r="C103" i="72"/>
  <c r="C101" i="72"/>
  <c r="C99" i="72"/>
  <c r="C95" i="72"/>
  <c r="C93" i="72"/>
  <c r="C89" i="72"/>
  <c r="C90" i="72"/>
  <c r="C88" i="72"/>
  <c r="C81" i="72"/>
  <c r="C82" i="72"/>
  <c r="C83" i="72"/>
  <c r="C84" i="72"/>
  <c r="C85" i="72"/>
  <c r="C75" i="72"/>
  <c r="C77" i="72"/>
  <c r="C74" i="72"/>
  <c r="C56" i="72"/>
  <c r="C58" i="72"/>
  <c r="C59" i="72"/>
  <c r="C61" i="72"/>
  <c r="C62" i="72"/>
  <c r="C63" i="72"/>
  <c r="C65" i="72"/>
  <c r="C66" i="72"/>
  <c r="C44" i="72"/>
  <c r="C45" i="72"/>
  <c r="C49" i="72"/>
  <c r="C50" i="72"/>
  <c r="C33" i="72"/>
  <c r="C34" i="72"/>
  <c r="C38" i="72"/>
  <c r="C30" i="72"/>
  <c r="C23" i="72"/>
  <c r="C24" i="72"/>
  <c r="C25" i="72"/>
  <c r="C27" i="72"/>
  <c r="C21" i="72"/>
  <c r="C5" i="72"/>
  <c r="C6" i="72"/>
  <c r="C7" i="72"/>
  <c r="C10" i="72"/>
  <c r="C11" i="72"/>
  <c r="C13" i="72"/>
  <c r="C14" i="72"/>
  <c r="C15" i="72"/>
  <c r="C18" i="72"/>
  <c r="C3" i="72"/>
  <c r="H152" i="72"/>
  <c r="H151" i="72"/>
  <c r="H52" i="72"/>
  <c r="H149" i="72"/>
  <c r="H51" i="72"/>
  <c r="H50" i="72"/>
  <c r="H146" i="72"/>
  <c r="H145" i="72"/>
  <c r="H48" i="72"/>
  <c r="H144" i="72"/>
  <c r="H47" i="72"/>
  <c r="H143" i="72"/>
  <c r="H46" i="72"/>
  <c r="H45" i="72"/>
  <c r="H44" i="72"/>
  <c r="H96" i="72"/>
  <c r="H43" i="72"/>
  <c r="H139" i="72"/>
  <c r="H95" i="72"/>
  <c r="H42" i="72"/>
  <c r="H138" i="72"/>
  <c r="H94" i="72"/>
  <c r="H41" i="72"/>
  <c r="H137" i="72"/>
  <c r="H93" i="72"/>
  <c r="H136" i="72"/>
  <c r="H133" i="72"/>
  <c r="H90" i="72"/>
  <c r="H37" i="72"/>
  <c r="H132" i="72"/>
  <c r="H89" i="72"/>
  <c r="H36" i="72"/>
  <c r="H131" i="72"/>
  <c r="H88" i="72"/>
  <c r="H35" i="72"/>
  <c r="H130" i="72"/>
  <c r="H34" i="72"/>
  <c r="H85" i="72"/>
  <c r="H32" i="72"/>
  <c r="H31" i="72"/>
  <c r="H126" i="72"/>
  <c r="H83" i="72"/>
  <c r="H125" i="72"/>
  <c r="H82" i="72"/>
  <c r="H124" i="72"/>
  <c r="H81" i="72"/>
  <c r="H123" i="72"/>
  <c r="H80" i="72"/>
  <c r="H27" i="72"/>
  <c r="H122" i="72"/>
  <c r="H26" i="72"/>
  <c r="H121" i="72"/>
  <c r="H77" i="72"/>
  <c r="H25" i="72"/>
  <c r="H120" i="72"/>
  <c r="H76" i="72"/>
  <c r="H24" i="72"/>
  <c r="H75" i="72"/>
  <c r="H23" i="72"/>
  <c r="H118" i="72"/>
  <c r="H74" i="72"/>
  <c r="H22" i="72"/>
  <c r="H117" i="72"/>
  <c r="H116" i="72"/>
  <c r="H115" i="72"/>
  <c r="H71" i="72"/>
  <c r="H70" i="72"/>
  <c r="H18" i="72"/>
  <c r="H17" i="72"/>
  <c r="H112" i="72"/>
  <c r="H16" i="72"/>
  <c r="H110" i="72"/>
  <c r="H66" i="72"/>
  <c r="H109" i="72"/>
  <c r="H65" i="72"/>
  <c r="H13" i="72"/>
  <c r="H108" i="72"/>
  <c r="H64" i="72"/>
  <c r="H12" i="72"/>
  <c r="H62" i="72"/>
  <c r="H10" i="72"/>
  <c r="H61" i="72"/>
  <c r="H9" i="72"/>
  <c r="H104" i="72"/>
  <c r="H60" i="72"/>
  <c r="H8" i="72"/>
  <c r="H103" i="72"/>
  <c r="H7" i="72"/>
  <c r="H102" i="72"/>
  <c r="H58" i="72"/>
  <c r="H6" i="72"/>
  <c r="H101" i="72"/>
  <c r="H57" i="72"/>
  <c r="H5" i="72"/>
  <c r="H100" i="72"/>
  <c r="H56" i="72"/>
  <c r="H4" i="72"/>
  <c r="H55" i="72"/>
  <c r="G152" i="72"/>
  <c r="G47" i="72"/>
  <c r="G44" i="72"/>
  <c r="G95" i="72"/>
  <c r="G138" i="72"/>
  <c r="G94" i="72"/>
  <c r="G137" i="72"/>
  <c r="G93" i="72"/>
  <c r="G38" i="72"/>
  <c r="G133" i="72"/>
  <c r="G90" i="72"/>
  <c r="G37" i="72"/>
  <c r="G132" i="72"/>
  <c r="G89" i="72"/>
  <c r="G36" i="72"/>
  <c r="G131" i="72"/>
  <c r="G88" i="72"/>
  <c r="G35" i="72"/>
  <c r="G130" i="72"/>
  <c r="G33" i="72"/>
  <c r="G85" i="72"/>
  <c r="G32" i="72"/>
  <c r="G31" i="72"/>
  <c r="G126" i="72"/>
  <c r="G83" i="72"/>
  <c r="G30" i="72"/>
  <c r="G125" i="72"/>
  <c r="G82" i="72"/>
  <c r="G124" i="72"/>
  <c r="G81" i="72"/>
  <c r="G80" i="72"/>
  <c r="G27" i="72"/>
  <c r="G26" i="72"/>
  <c r="G121" i="72"/>
  <c r="G77" i="72"/>
  <c r="G120" i="72"/>
  <c r="G76" i="72"/>
  <c r="G24" i="72"/>
  <c r="G119" i="72"/>
  <c r="G75" i="72"/>
  <c r="G23" i="72"/>
  <c r="G118" i="72"/>
  <c r="G74" i="72"/>
  <c r="G22" i="72"/>
  <c r="G117" i="72"/>
  <c r="G21" i="72"/>
  <c r="G116" i="72"/>
  <c r="G115" i="72"/>
  <c r="G71" i="72"/>
  <c r="G70" i="72"/>
  <c r="G18" i="72"/>
  <c r="G69" i="72"/>
  <c r="G112" i="72"/>
  <c r="G16" i="72"/>
  <c r="G111" i="72"/>
  <c r="G110" i="72"/>
  <c r="G66" i="72"/>
  <c r="G14" i="72"/>
  <c r="G109" i="72"/>
  <c r="G65" i="72"/>
  <c r="G13" i="72"/>
  <c r="G108" i="72"/>
  <c r="G64" i="72"/>
  <c r="G12" i="72"/>
  <c r="G63" i="72"/>
  <c r="G62" i="72"/>
  <c r="G10" i="72"/>
  <c r="G61" i="72"/>
  <c r="G104" i="72"/>
  <c r="G60" i="72"/>
  <c r="G8" i="72"/>
  <c r="G59" i="72"/>
  <c r="G102" i="72"/>
  <c r="G58" i="72"/>
  <c r="G101" i="72"/>
  <c r="G57" i="72"/>
  <c r="G100" i="72"/>
  <c r="G56" i="72"/>
  <c r="G4" i="72"/>
  <c r="G55" i="72"/>
  <c r="F152" i="72"/>
  <c r="F151" i="72"/>
  <c r="F150" i="72"/>
  <c r="F52" i="72"/>
  <c r="F149" i="72"/>
  <c r="F51" i="72"/>
  <c r="F50" i="72"/>
  <c r="F146" i="72"/>
  <c r="F145" i="72"/>
  <c r="F48" i="72"/>
  <c r="F144" i="72"/>
  <c r="F47" i="72"/>
  <c r="F46" i="72"/>
  <c r="F44" i="72"/>
  <c r="F96" i="72"/>
  <c r="F43" i="72"/>
  <c r="F139" i="72"/>
  <c r="F95" i="72"/>
  <c r="F42" i="72"/>
  <c r="F138" i="72"/>
  <c r="F41" i="72"/>
  <c r="F137" i="72"/>
  <c r="F133" i="72"/>
  <c r="F90" i="72"/>
  <c r="F132" i="72"/>
  <c r="F89" i="72"/>
  <c r="F36" i="72"/>
  <c r="F35" i="72"/>
  <c r="F85" i="72"/>
  <c r="F32" i="72"/>
  <c r="F31" i="72"/>
  <c r="F83" i="72"/>
  <c r="F125" i="72"/>
  <c r="F82" i="72"/>
  <c r="F124" i="72"/>
  <c r="F80" i="72"/>
  <c r="F27" i="72"/>
  <c r="F26" i="72"/>
  <c r="F121" i="72"/>
  <c r="F77" i="72"/>
  <c r="F120" i="72"/>
  <c r="F76" i="72"/>
  <c r="F24" i="72"/>
  <c r="F75" i="72"/>
  <c r="F23" i="72"/>
  <c r="F22" i="72"/>
  <c r="F117" i="72"/>
  <c r="F21" i="72"/>
  <c r="F71" i="72"/>
  <c r="F70" i="72"/>
  <c r="F69" i="72"/>
  <c r="F17" i="72"/>
  <c r="F112" i="72"/>
  <c r="F111" i="72"/>
  <c r="F110" i="72"/>
  <c r="F14" i="72"/>
  <c r="F109" i="72"/>
  <c r="F65" i="72"/>
  <c r="F108" i="72"/>
  <c r="F64" i="72"/>
  <c r="F12" i="72"/>
  <c r="F62" i="72"/>
  <c r="F61" i="72"/>
  <c r="F104" i="72"/>
  <c r="F8" i="72"/>
  <c r="F103" i="72"/>
  <c r="F59" i="72"/>
  <c r="F102" i="72"/>
  <c r="F58" i="72"/>
  <c r="F6" i="72"/>
  <c r="F57" i="72"/>
  <c r="F5" i="72"/>
  <c r="F100" i="72"/>
  <c r="F4" i="72"/>
  <c r="E152" i="72"/>
  <c r="E151" i="72"/>
  <c r="E150" i="72"/>
  <c r="E52" i="72"/>
  <c r="E149" i="72"/>
  <c r="E51" i="72"/>
  <c r="E50" i="72"/>
  <c r="E146" i="72"/>
  <c r="E145" i="72"/>
  <c r="E48" i="72"/>
  <c r="E144" i="72"/>
  <c r="E47" i="72"/>
  <c r="E143" i="72"/>
  <c r="E46" i="72"/>
  <c r="E44" i="72"/>
  <c r="E96" i="72"/>
  <c r="E43" i="72"/>
  <c r="E139" i="72"/>
  <c r="E95" i="72"/>
  <c r="E42" i="72"/>
  <c r="E138" i="72"/>
  <c r="E41" i="72"/>
  <c r="E137" i="72"/>
  <c r="E93" i="72"/>
  <c r="E133" i="72"/>
  <c r="E90" i="72"/>
  <c r="E132" i="72"/>
  <c r="E89" i="72"/>
  <c r="E36" i="72"/>
  <c r="E35" i="72"/>
  <c r="E130" i="72"/>
  <c r="E33" i="72"/>
  <c r="E85" i="72"/>
  <c r="E32" i="72"/>
  <c r="E31" i="72"/>
  <c r="E126" i="72"/>
  <c r="E125" i="72"/>
  <c r="E82" i="72"/>
  <c r="E124" i="72"/>
  <c r="E27" i="72"/>
  <c r="E26" i="72"/>
  <c r="E121" i="72"/>
  <c r="E77" i="72"/>
  <c r="E120" i="72"/>
  <c r="E76" i="72"/>
  <c r="E24" i="72"/>
  <c r="E75" i="72"/>
  <c r="E23" i="72"/>
  <c r="E118" i="72"/>
  <c r="E22" i="72"/>
  <c r="E117" i="72"/>
  <c r="E21" i="72"/>
  <c r="E115" i="72"/>
  <c r="E71" i="72"/>
  <c r="E70" i="72"/>
  <c r="E69" i="72"/>
  <c r="E17" i="72"/>
  <c r="E112" i="72"/>
  <c r="E110" i="72"/>
  <c r="E14" i="72"/>
  <c r="E109" i="72"/>
  <c r="E65" i="72"/>
  <c r="E108" i="72"/>
  <c r="E64" i="72"/>
  <c r="E12" i="72"/>
  <c r="E63" i="72"/>
  <c r="E62" i="72"/>
  <c r="E61" i="72"/>
  <c r="E9" i="72"/>
  <c r="E104" i="72"/>
  <c r="E8" i="72"/>
  <c r="E102" i="72"/>
  <c r="E58" i="72"/>
  <c r="E6" i="72"/>
  <c r="E57" i="72"/>
  <c r="E5" i="72"/>
  <c r="E100" i="72"/>
  <c r="E4" i="72"/>
  <c r="E99" i="72"/>
  <c r="E55" i="72"/>
  <c r="D152" i="72"/>
  <c r="D151" i="72"/>
  <c r="D150" i="72"/>
  <c r="D52" i="72"/>
  <c r="D51" i="72"/>
  <c r="D50" i="72"/>
  <c r="D146" i="72"/>
  <c r="D145" i="72"/>
  <c r="D48" i="72"/>
  <c r="D144" i="72"/>
  <c r="D47" i="72"/>
  <c r="D46" i="72"/>
  <c r="D96" i="72"/>
  <c r="D43" i="72"/>
  <c r="D139" i="72"/>
  <c r="D95" i="72"/>
  <c r="D42" i="72"/>
  <c r="D138" i="72"/>
  <c r="D94" i="72"/>
  <c r="D41" i="72"/>
  <c r="D137" i="72"/>
  <c r="D136" i="72"/>
  <c r="D90" i="72"/>
  <c r="D132" i="72"/>
  <c r="D89" i="72"/>
  <c r="D36" i="72"/>
  <c r="D131" i="72"/>
  <c r="D35" i="72"/>
  <c r="D85" i="72"/>
  <c r="D32" i="72"/>
  <c r="D31" i="72"/>
  <c r="D126" i="72"/>
  <c r="D83" i="72"/>
  <c r="D30" i="72"/>
  <c r="D125" i="72"/>
  <c r="D124" i="72"/>
  <c r="D81" i="72"/>
  <c r="D80" i="72"/>
  <c r="D27" i="72"/>
  <c r="D122" i="72"/>
  <c r="D26" i="72"/>
  <c r="D121" i="72"/>
  <c r="D77" i="72"/>
  <c r="D120" i="72"/>
  <c r="D76" i="72"/>
  <c r="D75" i="72"/>
  <c r="D23" i="72"/>
  <c r="D118" i="72"/>
  <c r="D22" i="72"/>
  <c r="D117" i="72"/>
  <c r="D21" i="72"/>
  <c r="D116" i="72"/>
  <c r="D115" i="72"/>
  <c r="D71" i="72"/>
  <c r="D70" i="72"/>
  <c r="D17" i="72"/>
  <c r="D14" i="72"/>
  <c r="D108" i="72"/>
  <c r="D64" i="72"/>
  <c r="D63" i="72"/>
  <c r="D62" i="72"/>
  <c r="D61" i="72"/>
  <c r="D9" i="72"/>
  <c r="D104" i="72"/>
  <c r="D60" i="72"/>
  <c r="D8" i="72"/>
  <c r="D103" i="72"/>
  <c r="D59" i="72"/>
  <c r="D102" i="72"/>
  <c r="D58" i="72"/>
  <c r="D57" i="72"/>
  <c r="D5" i="72"/>
  <c r="D4" i="72"/>
  <c r="D99" i="72"/>
  <c r="C60" i="72"/>
  <c r="C64" i="72"/>
  <c r="C151" i="72"/>
  <c r="C152" i="72"/>
  <c r="C145" i="72"/>
  <c r="C146" i="72"/>
  <c r="C143" i="72"/>
  <c r="C137" i="72"/>
  <c r="C131" i="72"/>
  <c r="C132" i="72"/>
  <c r="C116" i="72"/>
  <c r="C117" i="72"/>
  <c r="C120" i="72"/>
  <c r="C121" i="72"/>
  <c r="C124" i="72"/>
  <c r="C108" i="72"/>
  <c r="C109" i="72"/>
  <c r="C110" i="72"/>
  <c r="C112" i="72"/>
  <c r="C107" i="72"/>
  <c r="C100" i="72"/>
  <c r="C102" i="72"/>
  <c r="C94" i="72"/>
  <c r="C96" i="72"/>
  <c r="C80" i="72"/>
  <c r="C76" i="72"/>
  <c r="C70" i="72"/>
  <c r="C71" i="72"/>
  <c r="C57" i="72"/>
  <c r="C42" i="72"/>
  <c r="C43" i="72"/>
  <c r="C46" i="72"/>
  <c r="C47" i="72"/>
  <c r="C48" i="72"/>
  <c r="C51" i="72"/>
  <c r="C52" i="72"/>
  <c r="C32" i="72"/>
  <c r="C35" i="72"/>
  <c r="C36" i="72"/>
  <c r="C37" i="72"/>
  <c r="C22" i="72"/>
  <c r="C26" i="72"/>
  <c r="C4" i="72"/>
  <c r="C8" i="72"/>
  <c r="C9" i="72"/>
  <c r="C12" i="72"/>
  <c r="C16" i="72"/>
  <c r="C17" i="72"/>
  <c r="Q25" i="56" l="1"/>
  <c r="E72" i="72"/>
  <c r="D91" i="72"/>
  <c r="E127" i="72"/>
  <c r="E147" i="72"/>
  <c r="E153" i="72"/>
  <c r="F53" i="72"/>
  <c r="F153" i="72"/>
  <c r="D53" i="72"/>
  <c r="G97" i="72"/>
  <c r="H147" i="72"/>
  <c r="C147" i="72"/>
  <c r="G91" i="72"/>
  <c r="H127" i="72"/>
  <c r="H78" i="72"/>
  <c r="H97" i="72"/>
  <c r="F97" i="72"/>
  <c r="H28" i="72"/>
  <c r="H134" i="72"/>
  <c r="H39" i="72"/>
  <c r="H105" i="72"/>
  <c r="H53" i="72"/>
  <c r="H19" i="72"/>
  <c r="H67" i="72"/>
  <c r="H91" i="72"/>
  <c r="H140" i="72"/>
  <c r="H150" i="72"/>
  <c r="C150" i="72"/>
  <c r="H113" i="72"/>
  <c r="H69" i="72"/>
  <c r="H86" i="72"/>
  <c r="G67" i="72"/>
  <c r="G72" i="72"/>
  <c r="G78" i="72"/>
  <c r="G86" i="72"/>
  <c r="G134" i="72"/>
  <c r="G19" i="72"/>
  <c r="G105" i="72"/>
  <c r="G127" i="72"/>
  <c r="G28" i="72"/>
  <c r="G39" i="72"/>
  <c r="G140" i="72"/>
  <c r="G53" i="72"/>
  <c r="G113" i="72"/>
  <c r="G147" i="72"/>
  <c r="G153" i="72"/>
  <c r="F67" i="72"/>
  <c r="F134" i="72"/>
  <c r="F72" i="72"/>
  <c r="F19" i="72"/>
  <c r="F39" i="72"/>
  <c r="F113" i="72"/>
  <c r="F140" i="72"/>
  <c r="F28" i="72"/>
  <c r="F86" i="72"/>
  <c r="F105" i="72"/>
  <c r="F78" i="72"/>
  <c r="F91" i="72"/>
  <c r="F147" i="72"/>
  <c r="F127" i="72"/>
  <c r="E28" i="72"/>
  <c r="E97" i="72"/>
  <c r="E140" i="72"/>
  <c r="E134" i="72"/>
  <c r="E19" i="72"/>
  <c r="E86" i="72"/>
  <c r="E78" i="72"/>
  <c r="E91" i="72"/>
  <c r="E53" i="72"/>
  <c r="E105" i="72"/>
  <c r="E113" i="72"/>
  <c r="E67" i="72"/>
  <c r="E39" i="72"/>
  <c r="D28" i="72"/>
  <c r="D78" i="72"/>
  <c r="D97" i="72"/>
  <c r="D147" i="72"/>
  <c r="D105" i="72"/>
  <c r="D113" i="72"/>
  <c r="D86" i="72"/>
  <c r="D39" i="72"/>
  <c r="D140" i="72"/>
  <c r="D67" i="72"/>
  <c r="D153" i="72"/>
  <c r="D127" i="72"/>
  <c r="D134" i="72"/>
  <c r="C140" i="72"/>
  <c r="C134" i="72"/>
  <c r="C127" i="72"/>
  <c r="C113" i="72"/>
  <c r="C105" i="72"/>
  <c r="C97" i="72"/>
  <c r="C91" i="72"/>
  <c r="C86" i="72"/>
  <c r="C28" i="72"/>
  <c r="C78" i="72"/>
  <c r="D69" i="72"/>
  <c r="C31" i="72"/>
  <c r="C69" i="72"/>
  <c r="C55" i="72"/>
  <c r="C41" i="72"/>
  <c r="D3" i="72"/>
  <c r="C19" i="72"/>
  <c r="C153" i="72" l="1"/>
  <c r="C39" i="72"/>
  <c r="C72" i="72"/>
  <c r="C67" i="72"/>
  <c r="H72" i="72"/>
  <c r="H153" i="72"/>
  <c r="C53" i="72"/>
  <c r="D72" i="72"/>
  <c r="D19" i="72"/>
  <c r="C42" i="37" l="1"/>
  <c r="C43" i="37"/>
  <c r="C44" i="37"/>
  <c r="C45" i="37"/>
  <c r="C46" i="37"/>
  <c r="C47" i="37"/>
  <c r="C48" i="37"/>
  <c r="C49" i="37"/>
  <c r="C50" i="37"/>
  <c r="C51" i="37"/>
  <c r="C52" i="37"/>
  <c r="C41" i="37"/>
  <c r="V32" i="56" l="1"/>
  <c r="U32" i="56"/>
  <c r="I36" i="49"/>
  <c r="Q30" i="56" s="1"/>
  <c r="S32" i="56"/>
  <c r="U30" i="56" l="1"/>
  <c r="U34" i="56"/>
  <c r="I38" i="49"/>
  <c r="Q32" i="56" s="1"/>
  <c r="V34" i="56"/>
  <c r="V30" i="56"/>
  <c r="R32" i="56"/>
  <c r="R30" i="56"/>
  <c r="S34" i="56"/>
  <c r="S30" i="56"/>
  <c r="I40" i="49" l="1"/>
  <c r="Q34" i="56" s="1"/>
  <c r="R34" i="56"/>
  <c r="R36" i="56" l="1"/>
</calcChain>
</file>

<file path=xl/sharedStrings.xml><?xml version="1.0" encoding="utf-8"?>
<sst xmlns="http://schemas.openxmlformats.org/spreadsheetml/2006/main" count="858" uniqueCount="284">
  <si>
    <t>V6 CAP</t>
  </si>
  <si>
    <t>V4 CAP</t>
  </si>
  <si>
    <t>V6 HOOD</t>
  </si>
  <si>
    <t>PORT</t>
  </si>
  <si>
    <t>STBD</t>
  </si>
  <si>
    <t>V4 HOOD</t>
  </si>
  <si>
    <t>TALON HOOD</t>
  </si>
  <si>
    <t>FALCON HOOD</t>
  </si>
  <si>
    <t>TAL/FAL PORT</t>
  </si>
  <si>
    <t>TAL/FAL STBD</t>
  </si>
  <si>
    <t>FAL/TAL CAP</t>
  </si>
  <si>
    <t>ROPE HOOD</t>
  </si>
  <si>
    <t>Vegas White</t>
  </si>
  <si>
    <t>Tank Cover</t>
  </si>
  <si>
    <t>Order of Colours:</t>
  </si>
  <si>
    <t>Colour</t>
  </si>
  <si>
    <t>Time (mins)</t>
  </si>
  <si>
    <t>Gaps</t>
  </si>
  <si>
    <t>Total Time (hrs)</t>
  </si>
  <si>
    <t>Top Cap</t>
  </si>
  <si>
    <t>Port</t>
  </si>
  <si>
    <t>Smoke Grey</t>
  </si>
  <si>
    <t>Front Frame Cover</t>
  </si>
  <si>
    <t>Starboard</t>
  </si>
  <si>
    <t>Smoke Grey (Evinrude)</t>
  </si>
  <si>
    <t>Front RH</t>
  </si>
  <si>
    <t>Front LH</t>
  </si>
  <si>
    <t>Rear RH</t>
  </si>
  <si>
    <t>Rear LH</t>
  </si>
  <si>
    <t xml:space="preserve">Date: </t>
  </si>
  <si>
    <t>Evinrude White</t>
  </si>
  <si>
    <t>A0449</t>
  </si>
  <si>
    <t>A0450</t>
  </si>
  <si>
    <t>A0451</t>
  </si>
  <si>
    <t>A0452</t>
  </si>
  <si>
    <t>A0447</t>
  </si>
  <si>
    <t>A0448</t>
  </si>
  <si>
    <t>A0015</t>
  </si>
  <si>
    <t>A0016</t>
  </si>
  <si>
    <t>0686</t>
  </si>
  <si>
    <t>0689</t>
  </si>
  <si>
    <t>0685</t>
  </si>
  <si>
    <t>0685-IR</t>
  </si>
  <si>
    <t>A0467</t>
  </si>
  <si>
    <t>A0510</t>
  </si>
  <si>
    <t>A0506</t>
  </si>
  <si>
    <t>Splash Guards - Black Carbon</t>
  </si>
  <si>
    <t>Vegas White (Spyder)</t>
  </si>
  <si>
    <t>Snipe</t>
  </si>
  <si>
    <t>Osprey</t>
  </si>
  <si>
    <t>Splash Guards</t>
  </si>
  <si>
    <t>Manterra</t>
  </si>
  <si>
    <t>Red Mica (Evinrude)</t>
  </si>
  <si>
    <t>Orbital Blue (Evinrude)</t>
  </si>
  <si>
    <t>Hyper Silver</t>
  </si>
  <si>
    <t>Red Mica</t>
  </si>
  <si>
    <t>Orbital Blue</t>
  </si>
  <si>
    <t>LH Fender</t>
  </si>
  <si>
    <t>RH Fender</t>
  </si>
  <si>
    <t>LH Mirror Shell</t>
  </si>
  <si>
    <t>RH Mirror Shell</t>
  </si>
  <si>
    <t>Electrolux</t>
  </si>
  <si>
    <t>A06387</t>
  </si>
  <si>
    <t>CTRL PAN Rev G</t>
  </si>
  <si>
    <t>CTRL PAN Rev I</t>
  </si>
  <si>
    <t>CTRL PAN Rev H</t>
  </si>
  <si>
    <t>Electrolux (Smoke)</t>
  </si>
  <si>
    <t>Customer</t>
  </si>
  <si>
    <t>Rear Fairing</t>
  </si>
  <si>
    <t>R66 Hood</t>
  </si>
  <si>
    <t>Deep Black (Spyder)</t>
  </si>
  <si>
    <t>Tail Fairing</t>
  </si>
  <si>
    <t>LH F3T Panel</t>
  </si>
  <si>
    <t>RH F3T Panel</t>
  </si>
  <si>
    <t>LH Consol Panel</t>
  </si>
  <si>
    <t>RH Consol Panel</t>
  </si>
  <si>
    <t>LH Upper Fairing</t>
  </si>
  <si>
    <t>RH Upper Fairing</t>
  </si>
  <si>
    <t>Tank Cover with Hole</t>
  </si>
  <si>
    <t>Deep Black</t>
  </si>
  <si>
    <t>Raw Part #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</si>
  <si>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</si>
  <si>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</si>
  <si>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</si>
  <si>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</si>
  <si>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</si>
  <si>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</si>
  <si>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</si>
  <si>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</si>
  <si>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</si>
  <si>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 xml:space="preserve">Main Upper Cover </t>
  </si>
  <si>
    <t xml:space="preserve">Vent Cover </t>
  </si>
  <si>
    <t xml:space="preserve">Rear Belt </t>
  </si>
  <si>
    <t xml:space="preserve">Laval Summit White </t>
  </si>
  <si>
    <t xml:space="preserve">Rear Plate </t>
  </si>
  <si>
    <t xml:space="preserve">Bezel </t>
  </si>
  <si>
    <t xml:space="preserve">IR Cover RH </t>
  </si>
  <si>
    <t xml:space="preserve">IR Cover LH </t>
  </si>
  <si>
    <t xml:space="preserve">Laterial Belt LH </t>
  </si>
  <si>
    <t>Laterial Belt RH</t>
  </si>
  <si>
    <t xml:space="preserve">RH Consol Fairing </t>
  </si>
  <si>
    <t xml:space="preserve">LH Consol Fairing </t>
  </si>
  <si>
    <t>Manterra - Hyper Silver</t>
  </si>
  <si>
    <t>Base Dual, SSR, cw inserts</t>
  </si>
  <si>
    <t>Face Plate, DTM, SSR</t>
  </si>
  <si>
    <t>Face Plate, STM, SSR</t>
  </si>
  <si>
    <t>Hyper Silver (Spyder)</t>
  </si>
  <si>
    <t>Laval</t>
  </si>
  <si>
    <t>Main Lower Cover</t>
  </si>
  <si>
    <t>Manta Green (Spyder F3 / F3T)</t>
  </si>
  <si>
    <t>LH Box Cover</t>
  </si>
  <si>
    <t>RH Box Cover</t>
  </si>
  <si>
    <t>LH Front Fairing</t>
  </si>
  <si>
    <t>RH Front Fairing</t>
  </si>
  <si>
    <t>Name</t>
  </si>
  <si>
    <t>Color</t>
  </si>
  <si>
    <t>BRP</t>
  </si>
  <si>
    <t>PAPP</t>
  </si>
  <si>
    <t xml:space="preserve">Deep Black </t>
  </si>
  <si>
    <t xml:space="preserve">Hyper Silver </t>
  </si>
  <si>
    <t>Manta Green</t>
  </si>
  <si>
    <t>Black Carbon</t>
  </si>
  <si>
    <t>Summit White</t>
  </si>
  <si>
    <t>Waymo Black</t>
  </si>
  <si>
    <t>Colors</t>
  </si>
  <si>
    <t># UP</t>
  </si>
  <si>
    <t>Rack Qty</t>
  </si>
  <si>
    <t>Laval Waymo Black</t>
  </si>
  <si>
    <t>Spoilers</t>
  </si>
  <si>
    <t xml:space="preserve"> BLACK</t>
  </si>
  <si>
    <t xml:space="preserve"> CHERRY BOMB</t>
  </si>
  <si>
    <t xml:space="preserve"> LG BLACK</t>
  </si>
  <si>
    <t>CARBON FLASH</t>
  </si>
  <si>
    <t xml:space="preserve"> OCONUS MET</t>
  </si>
  <si>
    <t xml:space="preserve"> PRIMER</t>
  </si>
  <si>
    <t xml:space="preserve"> PULL ME OVER RED</t>
  </si>
  <si>
    <t xml:space="preserve"> SUMMIT WHITE</t>
  </si>
  <si>
    <t>RAPID</t>
  </si>
  <si>
    <t>VIVID</t>
  </si>
  <si>
    <t>Spoiler</t>
  </si>
  <si>
    <t xml:space="preserve"> DARK SHADOW</t>
  </si>
  <si>
    <t xml:space="preserve"> SATIN STEEL</t>
  </si>
  <si>
    <t>Mitchell Plastics</t>
  </si>
  <si>
    <t>Black - RH</t>
  </si>
  <si>
    <t>Black - LH</t>
  </si>
  <si>
    <t>Red - RH</t>
  </si>
  <si>
    <t>Red - LH</t>
  </si>
  <si>
    <t>Other</t>
  </si>
  <si>
    <t>Metelix - Spoilers</t>
  </si>
  <si>
    <t>Mitchell</t>
  </si>
  <si>
    <t>Metelix</t>
  </si>
  <si>
    <t>LH Trim</t>
  </si>
  <si>
    <t>RH Trim</t>
  </si>
  <si>
    <t>LH Console Panel</t>
  </si>
  <si>
    <t>RH Console Panel</t>
  </si>
  <si>
    <t>LH Console Fairing</t>
  </si>
  <si>
    <t>RH Console Fairing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</si>
  <si>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</si>
  <si>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</si>
  <si>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</si>
  <si>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</si>
  <si>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</si>
  <si>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RH F3T PANEL</t>
  </si>
  <si>
    <t>LH F3T PANEL</t>
  </si>
  <si>
    <t>Total:</t>
  </si>
  <si>
    <t>LG Black</t>
  </si>
  <si>
    <t>Black</t>
  </si>
  <si>
    <t>Cherry Bomb</t>
  </si>
  <si>
    <t>Dk Shdw</t>
  </si>
  <si>
    <t>Oconus</t>
  </si>
  <si>
    <t>Pull Me Over Red</t>
  </si>
  <si>
    <t>Rapid</t>
  </si>
  <si>
    <t>Shock</t>
  </si>
  <si>
    <t>Service Prime</t>
  </si>
  <si>
    <t>Sat Steel Grey</t>
  </si>
  <si>
    <t>Vivid Met</t>
  </si>
  <si>
    <t>Part Num</t>
  </si>
  <si>
    <t>Part</t>
  </si>
  <si>
    <t>Mon</t>
  </si>
  <si>
    <t>Tue</t>
  </si>
  <si>
    <t>Wed</t>
  </si>
  <si>
    <t>Thur</t>
  </si>
  <si>
    <t>Friday</t>
  </si>
  <si>
    <t>Sat</t>
  </si>
  <si>
    <t>Gun on Time</t>
  </si>
  <si>
    <t>Red Mica Snipe</t>
  </si>
  <si>
    <t>Red Mica Osprey</t>
  </si>
  <si>
    <t>Orbital Blue Snipe</t>
  </si>
  <si>
    <t>Orbital Blue Osprey</t>
  </si>
  <si>
    <t>Prime</t>
  </si>
  <si>
    <t>Stack</t>
  </si>
  <si>
    <t xml:space="preserve">Nic </t>
  </si>
  <si>
    <t xml:space="preserve">Jared </t>
  </si>
  <si>
    <t xml:space="preserve">Quinn </t>
  </si>
  <si>
    <t xml:space="preserve">Mike </t>
  </si>
  <si>
    <t xml:space="preserve">Jeremy H </t>
  </si>
  <si>
    <t xml:space="preserve">Mike/Jeremy M </t>
  </si>
  <si>
    <t xml:space="preserve">Jesse </t>
  </si>
  <si>
    <t>Weekly Timing</t>
  </si>
  <si>
    <t>Total Week Run Time:</t>
  </si>
  <si>
    <t>Monday</t>
  </si>
  <si>
    <t>Tuesday</t>
  </si>
  <si>
    <t>Wednesday</t>
  </si>
  <si>
    <t>Thursday</t>
  </si>
  <si>
    <t>Saturday</t>
  </si>
  <si>
    <t>Tesla High Gloss Black</t>
  </si>
  <si>
    <t>MX Applique</t>
  </si>
  <si>
    <t>MS Applique</t>
  </si>
  <si>
    <t>Tesla - High Gloss Black</t>
  </si>
  <si>
    <t>5.5ft</t>
  </si>
  <si>
    <t>MS Applique Rework</t>
  </si>
  <si>
    <t>MX Applique Rework</t>
  </si>
  <si>
    <t>4.5ft</t>
  </si>
  <si>
    <t>pcs/rack</t>
  </si>
  <si>
    <t>Summit White - Laval</t>
  </si>
  <si>
    <t>Black - Laval</t>
  </si>
  <si>
    <t>Bezel</t>
  </si>
  <si>
    <t>IR Cover LH</t>
  </si>
  <si>
    <t>IR Cover RH</t>
  </si>
  <si>
    <t>Lateral Belt LH</t>
  </si>
  <si>
    <t>Lateral Belt RH</t>
  </si>
  <si>
    <t>Rear Belt</t>
  </si>
  <si>
    <t>Main Upper Cover</t>
  </si>
  <si>
    <t>Rear Plate</t>
  </si>
  <si>
    <t>Vent Cover</t>
  </si>
  <si>
    <t>101 Line</t>
  </si>
  <si>
    <t>101 LINE LOAD SHEET</t>
  </si>
  <si>
    <t>Miscellaneous</t>
  </si>
  <si>
    <t>VG0240BL0PA</t>
  </si>
  <si>
    <t>C223 ACCSRY Spoiler</t>
  </si>
  <si>
    <t>VG0241CM0PB</t>
  </si>
  <si>
    <t>Y2XX Stanchion - LH</t>
  </si>
  <si>
    <t>VG0241CM0PD</t>
  </si>
  <si>
    <t>Y2XX Stanchion - RH</t>
  </si>
  <si>
    <t>VG0241CM0PC</t>
  </si>
  <si>
    <t>Y2XX Stanchion - Center</t>
  </si>
  <si>
    <t>VG0241CM0PE</t>
  </si>
  <si>
    <t>Y2XX Winglet -LH</t>
  </si>
  <si>
    <t>VG0241CM0PF</t>
  </si>
  <si>
    <t>Y2XX Winglet -RH</t>
  </si>
  <si>
    <t>VG0241CM0PG</t>
  </si>
  <si>
    <t>Y2XX Screw Cover - LH</t>
  </si>
  <si>
    <t>VG0241CM0PH</t>
  </si>
  <si>
    <t>Y2XX Screw Cover - RH</t>
  </si>
  <si>
    <t>KB Components</t>
  </si>
  <si>
    <t>KB2352</t>
  </si>
  <si>
    <t>W12 Roof Top Cover</t>
  </si>
  <si>
    <t>KB2369</t>
  </si>
  <si>
    <t>W12 Mech Bezel Pod 1</t>
  </si>
  <si>
    <t>KB2370L</t>
  </si>
  <si>
    <t>W12 LH Cover Body Closeout Pod 5</t>
  </si>
  <si>
    <t>KB2370R</t>
  </si>
  <si>
    <t>W12 RH Cover Body Closeout Pod 6</t>
  </si>
  <si>
    <t>Stoney Blue</t>
  </si>
  <si>
    <t>MONDAY</t>
  </si>
  <si>
    <t>TUESDAY</t>
  </si>
  <si>
    <t>WEDNESDAY</t>
  </si>
  <si>
    <t>THURSDAY</t>
  </si>
  <si>
    <t>FRIDAY</t>
  </si>
  <si>
    <t>SATURDAY</t>
  </si>
  <si>
    <t>9405929P</t>
  </si>
  <si>
    <t>9405930P</t>
  </si>
  <si>
    <t>9405929P-REW</t>
  </si>
  <si>
    <t>9405930P-REW</t>
  </si>
  <si>
    <t>PART#1</t>
  </si>
  <si>
    <t>PART#2</t>
  </si>
  <si>
    <t>PART#3</t>
  </si>
  <si>
    <t>PART#4</t>
  </si>
  <si>
    <t>Scheduled</t>
  </si>
  <si>
    <t>Shifts</t>
  </si>
  <si>
    <t>Gap</t>
  </si>
  <si>
    <t>12 min</t>
  </si>
  <si>
    <t>Line speed</t>
  </si>
  <si>
    <t>feet per minute</t>
  </si>
  <si>
    <t>1) Summit White 2) Laval Black 3) Tesla Black rework 4) Carbon Flash</t>
  </si>
  <si>
    <t xml:space="preserve">1) Summit White 2) Tesla -Black 4) Laval- Black  </t>
  </si>
  <si>
    <t xml:space="preserve"> </t>
  </si>
  <si>
    <t>Stoney Blue - KB Components</t>
  </si>
  <si>
    <t>Notes:</t>
  </si>
  <si>
    <t>Unprotect Password 6941</t>
  </si>
  <si>
    <t xml:space="preserve">1) Summit White 2) Laval Black 3) Tesla Black </t>
  </si>
  <si>
    <t>99944 Bezel</t>
  </si>
  <si>
    <t>1)Tesla -Black 2) Summit White</t>
  </si>
  <si>
    <t>**Tesla MX- Rework first, Raw, then 10 rack trial of Conductive Grey Primer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</si>
</sst>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22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43"/>
        <bgColor indexed="26"/>
      </patternFill>
    </fill>
    <fill>
      <patternFill patternType="solid">
        <fgColor indexed="45"/>
        <bgColor indexed="46"/>
      </patternFill>
    </fill>
    <fill>
      <patternFill patternType="solid">
        <fgColor indexed="25"/>
        <bgColor indexed="23"/>
      </patternFill>
    </fill>
    <fill>
      <patternFill patternType="solid">
        <fgColor indexed="50"/>
        <bgColor indexed="19"/>
      </patternFill>
    </fill>
    <fill>
      <patternFill patternType="solid">
        <fgColor indexed="48"/>
        <bgColor indexed="62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10"/>
        <bgColor indexed="60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42"/>
      </bottom>
      <diagonal/>
    </border>
    <border>
      <left/>
      <right/>
      <top/>
      <bottom style="medium">
        <color indexed="4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9">
    <xf numFmtId="0" fontId="0" fillId="0" borderId="0"/>
    <xf numFmtId="0" fontId="9" fillId="0" borderId="0"/>
    <xf numFmtId="43" fontId="9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9" fillId="0" borderId="0"/>
    <xf numFmtId="0" fontId="4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4" borderId="0" applyNumberFormat="0" applyBorder="0" applyAlignment="0" applyProtection="0"/>
    <xf numFmtId="0" fontId="17" fillId="6" borderId="0" applyNumberFormat="0" applyBorder="0" applyAlignment="0" applyProtection="0"/>
    <xf numFmtId="0" fontId="17" fillId="3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6" borderId="0" applyNumberFormat="0" applyBorder="0" applyAlignment="0" applyProtection="0"/>
    <xf numFmtId="0" fontId="17" fillId="4" borderId="0" applyNumberFormat="0" applyBorder="0" applyAlignment="0" applyProtection="0"/>
    <xf numFmtId="0" fontId="18" fillId="6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8" borderId="0" applyNumberFormat="0" applyBorder="0" applyAlignment="0" applyProtection="0"/>
    <xf numFmtId="0" fontId="18" fillId="6" borderId="0" applyNumberFormat="0" applyBorder="0" applyAlignment="0" applyProtection="0"/>
    <xf numFmtId="0" fontId="18" fillId="3" borderId="0" applyNumberFormat="0" applyBorder="0" applyAlignment="0" applyProtection="0"/>
    <xf numFmtId="0" fontId="18" fillId="11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9" fillId="15" borderId="0" applyNumberFormat="0" applyBorder="0" applyAlignment="0" applyProtection="0"/>
    <xf numFmtId="0" fontId="20" fillId="16" borderId="24" applyNumberFormat="0" applyAlignment="0" applyProtection="0"/>
    <xf numFmtId="0" fontId="21" fillId="17" borderId="25" applyNumberFormat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26" applyNumberFormat="0" applyFill="0" applyAlignment="0" applyProtection="0"/>
    <xf numFmtId="0" fontId="25" fillId="0" borderId="27" applyNumberFormat="0" applyFill="0" applyAlignment="0" applyProtection="0"/>
    <xf numFmtId="0" fontId="26" fillId="0" borderId="28" applyNumberFormat="0" applyFill="0" applyAlignment="0" applyProtection="0"/>
    <xf numFmtId="0" fontId="26" fillId="0" borderId="0" applyNumberFormat="0" applyFill="0" applyBorder="0" applyAlignment="0" applyProtection="0"/>
    <xf numFmtId="0" fontId="27" fillId="7" borderId="24" applyNumberFormat="0" applyAlignment="0" applyProtection="0"/>
    <xf numFmtId="0" fontId="28" fillId="0" borderId="29" applyNumberFormat="0" applyFill="0" applyAlignment="0" applyProtection="0"/>
    <xf numFmtId="0" fontId="29" fillId="7" borderId="0" applyNumberFormat="0" applyBorder="0" applyAlignment="0" applyProtection="0"/>
    <xf numFmtId="0" fontId="16" fillId="4" borderId="30" applyNumberFormat="0" applyAlignment="0" applyProtection="0"/>
    <xf numFmtId="0" fontId="30" fillId="16" borderId="31" applyNumberFormat="0" applyAlignment="0" applyProtection="0"/>
    <xf numFmtId="0" fontId="31" fillId="0" borderId="0" applyNumberFormat="0" applyFill="0" applyBorder="0" applyAlignment="0" applyProtection="0"/>
    <xf numFmtId="0" fontId="32" fillId="0" borderId="32" applyNumberFormat="0" applyFill="0" applyAlignment="0" applyProtection="0"/>
    <xf numFmtId="0" fontId="2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1">
    <xf numFmtId="0" fontId="0" fillId="0" borderId="0" xfId="0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/>
    <xf numFmtId="0" fontId="13" fillId="0" borderId="0" xfId="0" applyFont="1" applyAlignment="1">
      <alignment horizontal="center" vertical="center" wrapText="1" shrinkToFit="1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 shrinkToFit="1"/>
    </xf>
    <xf numFmtId="0" fontId="4" fillId="0" borderId="0" xfId="7" applyAlignment="1">
      <alignment horizontal="center"/>
    </xf>
    <xf numFmtId="0" fontId="11" fillId="1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9" applyAlignment="1">
      <alignment horizontal="center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21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7" fillId="0" borderId="0" xfId="0" applyFont="1" applyAlignment="1" applyProtection="1">
      <alignment vertical="top" wrapText="1" shrinkToFit="1"/>
      <protection locked="0"/>
    </xf>
    <xf numFmtId="0" fontId="37" fillId="0" borderId="5" xfId="0" applyFont="1" applyBorder="1" applyAlignment="1" applyProtection="1">
      <alignment horizontal="center" vertical="center" wrapText="1" shrinkToFit="1"/>
      <protection locked="0"/>
    </xf>
    <xf numFmtId="0" fontId="37" fillId="0" borderId="6" xfId="0" applyFont="1" applyBorder="1" applyAlignment="1" applyProtection="1">
      <alignment horizontal="center" vertical="center" wrapText="1" shrinkToFit="1"/>
      <protection locked="0"/>
    </xf>
    <xf numFmtId="0" fontId="2" fillId="0" borderId="21" xfId="0" applyFont="1" applyBorder="1" applyAlignment="1" applyProtection="1">
      <alignment horizontal="center" vertical="center" wrapText="1" shrinkToFit="1"/>
      <protection locked="0"/>
    </xf>
    <xf numFmtId="0" fontId="38" fillId="0" borderId="0" xfId="0" applyFont="1" applyAlignment="1" applyProtection="1">
      <alignment vertical="top" wrapText="1" shrinkToFit="1"/>
      <protection locked="0"/>
    </xf>
    <xf numFmtId="0" fontId="2" fillId="0" borderId="0" xfId="0" applyFont="1" applyAlignment="1" applyProtection="1">
      <alignment horizontal="center" vertical="center" wrapText="1" shrinkToFit="1"/>
      <protection locked="0"/>
    </xf>
    <xf numFmtId="0" fontId="33" fillId="0" borderId="0" xfId="0" applyFont="1" applyAlignment="1" applyProtection="1">
      <alignment vertical="top" wrapText="1" shrinkToFit="1"/>
      <protection locked="0"/>
    </xf>
    <xf numFmtId="0" fontId="42" fillId="0" borderId="0" xfId="0" applyFont="1" applyAlignment="1" applyProtection="1">
      <alignment vertical="top" wrapText="1" shrinkToFit="1"/>
      <protection locked="0"/>
    </xf>
    <xf numFmtId="0" fontId="44" fillId="0" borderId="0" xfId="0" applyFont="1" applyAlignment="1" applyProtection="1">
      <alignment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15" fontId="46" fillId="0" borderId="0" xfId="0" applyNumberFormat="1" applyFont="1" applyAlignment="1" applyProtection="1">
      <alignment horizontal="left"/>
      <protection locked="0"/>
    </xf>
    <xf numFmtId="0" fontId="35" fillId="0" borderId="0" xfId="0" applyFont="1" applyAlignment="1" applyProtection="1">
      <alignment vertical="center" wrapText="1"/>
      <protection locked="0"/>
    </xf>
    <xf numFmtId="0" fontId="40" fillId="0" borderId="0" xfId="0" applyFont="1" applyAlignment="1" applyProtection="1">
      <alignment vertical="center" wrapText="1"/>
      <protection locked="0"/>
    </xf>
    <xf numFmtId="2" fontId="40" fillId="0" borderId="0" xfId="0" applyNumberFormat="1" applyFont="1" applyAlignment="1" applyProtection="1">
      <alignment vertical="center" wrapText="1"/>
      <protection locked="0"/>
    </xf>
    <xf numFmtId="0" fontId="40" fillId="0" borderId="0" xfId="0" applyFont="1" applyAlignment="1" applyProtection="1">
      <alignment horizontal="center" vertical="center" wrapText="1"/>
      <protection locked="0"/>
    </xf>
    <xf numFmtId="0" fontId="33" fillId="0" borderId="22" xfId="0" applyFont="1" applyBorder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2" fontId="39" fillId="0" borderId="0" xfId="0" applyNumberFormat="1" applyFont="1" applyAlignment="1">
      <alignment horizontal="center" vertical="center" shrinkToFit="1"/>
    </xf>
    <xf numFmtId="0" fontId="33" fillId="0" borderId="47" xfId="0" applyFont="1" applyBorder="1" applyAlignment="1">
      <alignment horizontal="center" vertical="center" shrinkToFit="1"/>
    </xf>
    <xf numFmtId="0" fontId="2" fillId="0" borderId="38" xfId="0" applyFont="1" applyBorder="1" applyAlignment="1" applyProtection="1">
      <alignment horizontal="center" vertical="center" shrinkToFit="1"/>
      <protection locked="0"/>
    </xf>
    <xf numFmtId="0" fontId="2" fillId="0" borderId="21" xfId="0" applyFont="1" applyBorder="1" applyAlignment="1" applyProtection="1">
      <alignment horizontal="center" vertical="center" shrinkToFit="1"/>
      <protection locked="0"/>
    </xf>
    <xf numFmtId="0" fontId="2" fillId="0" borderId="35" xfId="0" applyFont="1" applyBorder="1" applyAlignment="1" applyProtection="1">
      <alignment horizontal="center" vertical="center" shrinkToFit="1"/>
      <protection locked="0"/>
    </xf>
    <xf numFmtId="0" fontId="2" fillId="0" borderId="39" xfId="0" applyFont="1" applyBorder="1" applyAlignment="1" applyProtection="1">
      <alignment horizontal="center" vertical="center" shrinkToFit="1"/>
      <protection locked="0"/>
    </xf>
    <xf numFmtId="0" fontId="38" fillId="0" borderId="1" xfId="0" applyFont="1" applyBorder="1" applyAlignment="1" applyProtection="1">
      <alignment horizontal="center" vertical="center" shrinkToFit="1"/>
      <protection locked="0"/>
    </xf>
    <xf numFmtId="0" fontId="3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shrinkToFit="1"/>
      <protection locked="0"/>
    </xf>
    <xf numFmtId="0" fontId="2" fillId="0" borderId="20" xfId="0" applyFont="1" applyBorder="1" applyAlignment="1" applyProtection="1">
      <alignment horizontal="center" vertical="center" shrinkToFit="1"/>
      <protection locked="0"/>
    </xf>
    <xf numFmtId="0" fontId="2" fillId="0" borderId="41" xfId="0" applyFont="1" applyBorder="1" applyAlignment="1" applyProtection="1">
      <alignment horizontal="center" vertical="center"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0" fontId="2" fillId="0" borderId="7" xfId="0" applyFont="1" applyBorder="1" applyAlignment="1" applyProtection="1">
      <alignment horizontal="center" vertical="center" shrinkToFit="1"/>
      <protection locked="0"/>
    </xf>
    <xf numFmtId="0" fontId="35" fillId="0" borderId="5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2" fillId="0" borderId="42" xfId="0" applyFont="1" applyBorder="1" applyAlignment="1" applyProtection="1">
      <alignment horizontal="center" vertical="center" shrinkToFit="1"/>
      <protection locked="0"/>
    </xf>
    <xf numFmtId="0" fontId="37" fillId="0" borderId="20" xfId="0" applyFont="1" applyBorder="1" applyAlignment="1" applyProtection="1">
      <alignment horizontal="center" vertical="center" shrinkToFit="1"/>
      <protection locked="0"/>
    </xf>
    <xf numFmtId="0" fontId="37" fillId="0" borderId="21" xfId="0" applyFont="1" applyBorder="1" applyAlignment="1" applyProtection="1">
      <alignment horizontal="center" vertical="center" shrinkToFit="1"/>
      <protection locked="0"/>
    </xf>
    <xf numFmtId="0" fontId="37" fillId="0" borderId="1" xfId="0" applyFont="1" applyBorder="1" applyAlignment="1" applyProtection="1">
      <alignment horizontal="center" vertical="center" shrinkToFit="1"/>
      <protection locked="0"/>
    </xf>
    <xf numFmtId="0" fontId="2" fillId="0" borderId="5" xfId="0" applyFont="1" applyBorder="1" applyAlignment="1" applyProtection="1">
      <alignment horizontal="center" vertical="center" shrinkToFit="1"/>
      <protection locked="0"/>
    </xf>
    <xf numFmtId="0" fontId="37" fillId="0" borderId="5" xfId="0" applyFont="1" applyBorder="1" applyAlignment="1" applyProtection="1">
      <alignment horizontal="center" vertical="center" shrinkToFit="1"/>
      <protection locked="0"/>
    </xf>
    <xf numFmtId="0" fontId="37" fillId="0" borderId="3" xfId="0" applyFont="1" applyBorder="1" applyAlignment="1" applyProtection="1">
      <alignment horizontal="center" vertical="center" shrinkToFit="1"/>
      <protection locked="0"/>
    </xf>
    <xf numFmtId="0" fontId="2" fillId="0" borderId="6" xfId="0" applyFont="1" applyBorder="1" applyAlignment="1" applyProtection="1">
      <alignment horizontal="center" vertical="center" shrinkToFit="1"/>
      <protection locked="0"/>
    </xf>
    <xf numFmtId="0" fontId="37" fillId="0" borderId="6" xfId="0" applyFont="1" applyBorder="1" applyAlignment="1" applyProtection="1">
      <alignment horizontal="center" vertical="center" shrinkToFit="1"/>
      <protection locked="0"/>
    </xf>
    <xf numFmtId="0" fontId="37" fillId="0" borderId="41" xfId="0" applyFont="1" applyBorder="1" applyAlignment="1" applyProtection="1">
      <alignment horizontal="center" vertical="center" shrinkToFit="1"/>
      <protection locked="0"/>
    </xf>
    <xf numFmtId="0" fontId="37" fillId="0" borderId="7" xfId="0" applyFont="1" applyBorder="1" applyAlignment="1" applyProtection="1">
      <alignment horizontal="center" vertical="center" shrinkToFit="1"/>
      <protection locked="0"/>
    </xf>
    <xf numFmtId="0" fontId="37" fillId="0" borderId="42" xfId="0" applyFont="1" applyBorder="1" applyAlignment="1" applyProtection="1">
      <alignment horizontal="center" vertical="center" shrinkToFit="1"/>
      <protection locked="0"/>
    </xf>
    <xf numFmtId="0" fontId="33" fillId="0" borderId="0" xfId="0" applyFont="1" applyAlignment="1" applyProtection="1">
      <alignment vertical="center"/>
      <protection locked="0"/>
    </xf>
    <xf numFmtId="0" fontId="34" fillId="0" borderId="0" xfId="0" applyFont="1" applyAlignment="1" applyProtection="1">
      <alignment vertical="center"/>
      <protection locked="0"/>
    </xf>
    <xf numFmtId="0" fontId="41" fillId="0" borderId="0" xfId="0" applyFont="1" applyAlignment="1" applyProtection="1">
      <alignment vertical="center"/>
      <protection locked="0"/>
    </xf>
    <xf numFmtId="2" fontId="41" fillId="0" borderId="0" xfId="0" applyNumberFormat="1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34" fillId="0" borderId="0" xfId="0" applyFont="1" applyAlignment="1" applyProtection="1">
      <alignment horizontal="center"/>
      <protection locked="0"/>
    </xf>
    <xf numFmtId="0" fontId="45" fillId="0" borderId="0" xfId="0" applyFont="1" applyAlignment="1" applyProtection="1">
      <alignment horizontal="right"/>
      <protection locked="0"/>
    </xf>
    <xf numFmtId="0" fontId="36" fillId="0" borderId="0" xfId="0" applyFont="1" applyAlignment="1" applyProtection="1">
      <alignment horizontal="center" vertical="top" wrapText="1"/>
      <protection locked="0"/>
    </xf>
    <xf numFmtId="0" fontId="39" fillId="0" borderId="0" xfId="0" applyFont="1" applyAlignment="1" applyProtection="1">
      <alignment horizontal="center" vertical="center" shrinkToFit="1"/>
      <protection locked="0"/>
    </xf>
    <xf numFmtId="2" fontId="39" fillId="0" borderId="0" xfId="0" applyNumberFormat="1" applyFont="1" applyAlignment="1" applyProtection="1">
      <alignment horizontal="center" vertical="center" shrinkToFit="1"/>
      <protection locked="0"/>
    </xf>
    <xf numFmtId="0" fontId="37" fillId="0" borderId="21" xfId="0" applyFont="1" applyBorder="1" applyAlignment="1" applyProtection="1">
      <alignment horizontal="center" vertical="center"/>
      <protection locked="0"/>
    </xf>
    <xf numFmtId="0" fontId="37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 shrinkToFit="1"/>
      <protection locked="0"/>
    </xf>
    <xf numFmtId="0" fontId="33" fillId="0" borderId="0" xfId="0" applyFont="1" applyAlignment="1" applyProtection="1">
      <alignment horizontal="center" vertical="center" shrinkToFit="1"/>
      <protection locked="0"/>
    </xf>
    <xf numFmtId="0" fontId="37" fillId="0" borderId="6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 shrinkToFit="1"/>
      <protection locked="0"/>
    </xf>
    <xf numFmtId="0" fontId="34" fillId="0" borderId="0" xfId="0" applyFont="1" applyAlignment="1" applyProtection="1">
      <alignment horizontal="center" vertical="center" shrinkToFit="1"/>
      <protection locked="0"/>
    </xf>
    <xf numFmtId="0" fontId="37" fillId="0" borderId="0" xfId="0" applyFont="1" applyAlignment="1" applyProtection="1">
      <alignment horizontal="center" vertical="center" shrinkToFit="1"/>
      <protection locked="0"/>
    </xf>
    <xf numFmtId="0" fontId="38" fillId="0" borderId="0" xfId="0" applyFont="1" applyAlignment="1" applyProtection="1">
      <alignment horizontal="center" vertical="center" shrinkToFit="1"/>
      <protection locked="0"/>
    </xf>
    <xf numFmtId="0" fontId="42" fillId="0" borderId="0" xfId="0" applyFont="1" applyAlignment="1" applyProtection="1">
      <alignment horizontal="center" vertical="center" shrinkToFit="1"/>
      <protection locked="0"/>
    </xf>
    <xf numFmtId="0" fontId="38" fillId="0" borderId="36" xfId="0" applyFont="1" applyBorder="1" applyAlignment="1" applyProtection="1">
      <alignment horizontal="center" vertical="center" shrinkToFit="1"/>
      <protection locked="0"/>
    </xf>
    <xf numFmtId="0" fontId="38" fillId="0" borderId="11" xfId="0" applyFont="1" applyBorder="1" applyAlignment="1" applyProtection="1">
      <alignment horizontal="center" vertical="center" shrinkToFit="1"/>
      <protection locked="0"/>
    </xf>
    <xf numFmtId="0" fontId="38" fillId="0" borderId="23" xfId="0" applyFont="1" applyBorder="1" applyAlignment="1" applyProtection="1">
      <alignment horizontal="center" vertical="center" shrinkToFit="1"/>
      <protection locked="0"/>
    </xf>
    <xf numFmtId="2" fontId="41" fillId="0" borderId="0" xfId="0" applyNumberFormat="1" applyFont="1" applyAlignment="1" applyProtection="1">
      <alignment vertical="top" wrapText="1"/>
      <protection locked="0"/>
    </xf>
    <xf numFmtId="0" fontId="38" fillId="0" borderId="43" xfId="0" applyFont="1" applyBorder="1" applyAlignment="1" applyProtection="1">
      <alignment horizontal="center" vertical="center" shrinkToFit="1"/>
      <protection locked="0"/>
    </xf>
    <xf numFmtId="0" fontId="38" fillId="0" borderId="43" xfId="0" applyFont="1" applyBorder="1" applyAlignment="1" applyProtection="1">
      <alignment horizontal="center" vertical="center"/>
      <protection locked="0"/>
    </xf>
    <xf numFmtId="0" fontId="9" fillId="0" borderId="43" xfId="0" applyFont="1" applyBorder="1" applyAlignment="1" applyProtection="1">
      <alignment horizontal="center" vertical="center"/>
      <protection locked="0"/>
    </xf>
    <xf numFmtId="2" fontId="10" fillId="0" borderId="0" xfId="0" applyNumberFormat="1" applyFont="1" applyProtection="1">
      <protection locked="0"/>
    </xf>
    <xf numFmtId="0" fontId="8" fillId="0" borderId="43" xfId="0" applyFont="1" applyBorder="1" applyAlignment="1" applyProtection="1">
      <alignment horizontal="center" vertical="center" shrinkToFit="1"/>
      <protection locked="0"/>
    </xf>
    <xf numFmtId="0" fontId="8" fillId="0" borderId="3" xfId="0" applyFont="1" applyBorder="1" applyAlignment="1" applyProtection="1">
      <alignment horizontal="center" vertical="center" shrinkToFit="1"/>
      <protection locked="0"/>
    </xf>
    <xf numFmtId="0" fontId="8" fillId="0" borderId="44" xfId="0" applyFont="1" applyBorder="1" applyAlignment="1" applyProtection="1">
      <alignment horizontal="center" vertical="center" shrinkToFit="1"/>
      <protection locked="0"/>
    </xf>
    <xf numFmtId="0" fontId="38" fillId="0" borderId="0" xfId="0" applyFont="1" applyProtection="1">
      <protection locked="0"/>
    </xf>
    <xf numFmtId="0" fontId="42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43" fillId="0" borderId="0" xfId="0" applyFont="1" applyAlignment="1" applyProtection="1">
      <alignment vertical="top" wrapText="1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2" fontId="0" fillId="18" borderId="0" xfId="0" applyNumberFormat="1" applyFill="1"/>
    <xf numFmtId="0" fontId="0" fillId="0" borderId="0" xfId="0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15" fontId="0" fillId="18" borderId="0" xfId="0" applyNumberFormat="1" applyFill="1" applyAlignment="1" applyProtection="1">
      <alignment horizontal="center"/>
      <protection locked="0"/>
    </xf>
    <xf numFmtId="15" fontId="0" fillId="0" borderId="0" xfId="0" applyNumberFormat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left"/>
      <protection locked="0"/>
    </xf>
    <xf numFmtId="0" fontId="13" fillId="0" borderId="14" xfId="0" applyFont="1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1" xfId="0" applyBorder="1" applyProtection="1"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9" fillId="0" borderId="5" xfId="0" applyFont="1" applyBorder="1" applyProtection="1">
      <protection locked="0"/>
    </xf>
    <xf numFmtId="0" fontId="0" fillId="0" borderId="14" xfId="0" applyBorder="1" applyProtection="1">
      <protection locked="0"/>
    </xf>
    <xf numFmtId="0" fontId="9" fillId="0" borderId="21" xfId="0" applyFont="1" applyBorder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46" xfId="0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23" xfId="0" applyFont="1" applyBorder="1"/>
    <xf numFmtId="0" fontId="0" fillId="0" borderId="1" xfId="0" applyBorder="1" applyAlignment="1">
      <alignment horizontal="center"/>
    </xf>
    <xf numFmtId="2" fontId="0" fillId="0" borderId="45" xfId="0" applyNumberFormat="1" applyBorder="1"/>
    <xf numFmtId="2" fontId="0" fillId="0" borderId="22" xfId="0" applyNumberFormat="1" applyBorder="1"/>
    <xf numFmtId="0" fontId="11" fillId="0" borderId="1" xfId="0" applyFont="1" applyBorder="1" applyAlignment="1">
      <alignment horizontal="center"/>
    </xf>
    <xf numFmtId="2" fontId="11" fillId="0" borderId="45" xfId="0" applyNumberFormat="1" applyFont="1" applyBorder="1"/>
    <xf numFmtId="2" fontId="11" fillId="0" borderId="22" xfId="0" applyNumberFormat="1" applyFont="1" applyBorder="1"/>
    <xf numFmtId="0" fontId="0" fillId="0" borderId="3" xfId="0" applyBorder="1"/>
    <xf numFmtId="2" fontId="0" fillId="0" borderId="4" xfId="0" applyNumberFormat="1" applyBorder="1"/>
    <xf numFmtId="2" fontId="0" fillId="0" borderId="48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164" fontId="11" fillId="19" borderId="19" xfId="0" applyNumberFormat="1" applyFont="1" applyFill="1" applyBorder="1" applyAlignment="1">
      <alignment horizontal="center"/>
    </xf>
    <xf numFmtId="15" fontId="34" fillId="0" borderId="0" xfId="0" applyNumberFormat="1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/>
      <protection locked="0"/>
    </xf>
    <xf numFmtId="0" fontId="41" fillId="0" borderId="0" xfId="0" applyFont="1" applyAlignment="1" applyProtection="1">
      <alignment vertical="top" wrapText="1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11" fillId="0" borderId="0" xfId="0" applyFont="1" applyAlignment="1" applyProtection="1">
      <alignment horizontal="left" vertical="top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2" fontId="10" fillId="0" borderId="0" xfId="0" applyNumberFormat="1" applyFont="1" applyAlignment="1" applyProtection="1">
      <alignment horizontal="center" vertical="center" wrapText="1"/>
      <protection locked="0"/>
    </xf>
    <xf numFmtId="0" fontId="38" fillId="0" borderId="0" xfId="0" applyFont="1" applyAlignment="1" applyProtection="1">
      <alignment shrinkToFit="1"/>
      <protection locked="0"/>
    </xf>
    <xf numFmtId="0" fontId="42" fillId="0" borderId="0" xfId="0" applyFont="1" applyAlignment="1" applyProtection="1">
      <alignment shrinkToFit="1"/>
      <protection locked="0"/>
    </xf>
    <xf numFmtId="1" fontId="33" fillId="0" borderId="22" xfId="0" applyNumberFormat="1" applyFont="1" applyBorder="1" applyAlignment="1">
      <alignment horizontal="center" vertical="center" shrinkToFit="1"/>
    </xf>
    <xf numFmtId="2" fontId="38" fillId="0" borderId="2" xfId="0" applyNumberFormat="1" applyFont="1" applyBorder="1" applyAlignment="1">
      <alignment horizontal="center" vertical="center" shrinkToFit="1"/>
    </xf>
    <xf numFmtId="2" fontId="8" fillId="0" borderId="2" xfId="0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shrinkToFit="1"/>
    </xf>
    <xf numFmtId="0" fontId="38" fillId="0" borderId="2" xfId="0" applyFont="1" applyBorder="1" applyAlignment="1">
      <alignment horizontal="center" vertical="center" shrinkToFit="1"/>
    </xf>
    <xf numFmtId="164" fontId="38" fillId="0" borderId="4" xfId="0" applyNumberFormat="1" applyFont="1" applyBorder="1" applyAlignment="1">
      <alignment horizontal="center" vertical="center" shrinkToFit="1"/>
    </xf>
    <xf numFmtId="0" fontId="11" fillId="18" borderId="0" xfId="0" applyFont="1" applyFill="1" applyProtection="1">
      <protection locked="0"/>
    </xf>
    <xf numFmtId="0" fontId="47" fillId="0" borderId="21" xfId="0" applyFont="1" applyBorder="1" applyAlignment="1" applyProtection="1">
      <alignment horizontal="center" vertical="center" wrapText="1" shrinkToFit="1"/>
      <protection locked="0"/>
    </xf>
    <xf numFmtId="0" fontId="47" fillId="0" borderId="39" xfId="0" applyFont="1" applyBorder="1" applyAlignment="1" applyProtection="1">
      <alignment horizontal="center" vertical="center" wrapText="1" shrinkToFit="1"/>
      <protection locked="0"/>
    </xf>
    <xf numFmtId="0" fontId="11" fillId="19" borderId="18" xfId="0" applyFont="1" applyFill="1" applyBorder="1" applyAlignment="1">
      <alignment horizontal="right"/>
    </xf>
    <xf numFmtId="0" fontId="11" fillId="19" borderId="11" xfId="0" applyFont="1" applyFill="1" applyBorder="1" applyAlignment="1">
      <alignment horizontal="right"/>
    </xf>
    <xf numFmtId="0" fontId="11" fillId="0" borderId="36" xfId="0" applyFont="1" applyBorder="1" applyAlignment="1" applyProtection="1">
      <alignment horizontal="center" vertical="center"/>
      <protection locked="0"/>
    </xf>
    <xf numFmtId="0" fontId="11" fillId="0" borderId="37" xfId="0" applyFont="1" applyBorder="1" applyAlignment="1" applyProtection="1">
      <alignment horizontal="center" vertical="center"/>
      <protection locked="0"/>
    </xf>
    <xf numFmtId="0" fontId="11" fillId="0" borderId="23" xfId="0" applyFont="1" applyBorder="1" applyAlignment="1" applyProtection="1">
      <alignment horizontal="center" vertical="center"/>
      <protection locked="0"/>
    </xf>
    <xf numFmtId="0" fontId="11" fillId="0" borderId="36" xfId="0" applyFont="1" applyBorder="1" applyAlignment="1" applyProtection="1">
      <alignment horizontal="center" vertical="center" wrapText="1" shrinkToFit="1"/>
      <protection locked="0"/>
    </xf>
    <xf numFmtId="0" fontId="11" fillId="0" borderId="37" xfId="0" applyFont="1" applyBorder="1" applyAlignment="1" applyProtection="1">
      <alignment horizontal="center" vertical="center" wrapText="1" shrinkToFit="1"/>
      <protection locked="0"/>
    </xf>
    <xf numFmtId="0" fontId="11" fillId="0" borderId="23" xfId="0" applyFont="1" applyBorder="1" applyAlignment="1" applyProtection="1">
      <alignment horizontal="center" vertical="center" wrapText="1" shrinkToFit="1"/>
      <protection locked="0"/>
    </xf>
    <xf numFmtId="0" fontId="14" fillId="0" borderId="0" xfId="0" applyFont="1" applyAlignment="1">
      <alignment horizontal="center" wrapText="1"/>
    </xf>
    <xf numFmtId="0" fontId="11" fillId="0" borderId="36" xfId="0" applyFont="1" applyBorder="1" applyAlignment="1" applyProtection="1">
      <alignment horizontal="center" vertical="center" wrapText="1"/>
      <protection locked="0"/>
    </xf>
    <xf numFmtId="0" fontId="11" fillId="0" borderId="37" xfId="0" applyFont="1" applyBorder="1" applyAlignment="1" applyProtection="1">
      <alignment horizontal="center" vertical="center" wrapText="1"/>
      <protection locked="0"/>
    </xf>
    <xf numFmtId="0" fontId="11" fillId="0" borderId="23" xfId="0" applyFont="1" applyBorder="1" applyAlignment="1" applyProtection="1">
      <alignment horizontal="center" vertical="center" wrapText="1"/>
      <protection locked="0"/>
    </xf>
    <xf numFmtId="0" fontId="15" fillId="0" borderId="18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1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1" fillId="0" borderId="16" xfId="0" applyFont="1" applyBorder="1" applyAlignment="1">
      <alignment horizontal="center" vertical="center" wrapText="1" shrinkToFit="1"/>
    </xf>
    <xf numFmtId="0" fontId="11" fillId="0" borderId="0" xfId="0" applyFont="1" applyAlignment="1">
      <alignment horizontal="center" vertical="center" wrapText="1" shrinkToFit="1"/>
    </xf>
    <xf numFmtId="0" fontId="38" fillId="0" borderId="12" xfId="0" applyFont="1" applyBorder="1" applyAlignment="1" applyProtection="1">
      <alignment horizontal="center" vertical="center" shrinkToFit="1"/>
      <protection locked="0"/>
    </xf>
    <xf numFmtId="0" fontId="38" fillId="0" borderId="43" xfId="0" applyFont="1" applyBorder="1" applyAlignment="1" applyProtection="1">
      <alignment horizontal="center" vertical="center" shrinkToFit="1"/>
      <protection locked="0"/>
    </xf>
    <xf numFmtId="0" fontId="38" fillId="0" borderId="13" xfId="0" applyFont="1" applyBorder="1" applyAlignment="1" applyProtection="1">
      <alignment horizontal="center" vertical="center" shrinkToFit="1"/>
      <protection locked="0"/>
    </xf>
    <xf numFmtId="0" fontId="35" fillId="0" borderId="36" xfId="0" applyFont="1" applyBorder="1" applyAlignment="1" applyProtection="1">
      <alignment horizontal="center" vertical="center" shrinkToFit="1"/>
      <protection locked="0"/>
    </xf>
    <xf numFmtId="0" fontId="35" fillId="0" borderId="40" xfId="0" applyFont="1" applyBorder="1" applyAlignment="1" applyProtection="1">
      <alignment horizontal="center" vertical="center" shrinkToFit="1"/>
      <protection locked="0"/>
    </xf>
    <xf numFmtId="0" fontId="35" fillId="0" borderId="37" xfId="0" applyFont="1" applyBorder="1" applyAlignment="1" applyProtection="1">
      <alignment horizontal="center" vertical="center" shrinkToFit="1"/>
      <protection locked="0"/>
    </xf>
    <xf numFmtId="0" fontId="35" fillId="0" borderId="23" xfId="0" applyFont="1" applyBorder="1" applyAlignment="1" applyProtection="1">
      <alignment horizontal="center" vertical="center" shrinkToFit="1"/>
      <protection locked="0"/>
    </xf>
    <xf numFmtId="0" fontId="15" fillId="0" borderId="16" xfId="0" applyFont="1" applyBorder="1" applyAlignment="1" applyProtection="1">
      <alignment horizontal="left" vertical="top" wrapText="1"/>
      <protection locked="0"/>
    </xf>
    <xf numFmtId="0" fontId="15" fillId="0" borderId="0" xfId="0" applyFont="1" applyAlignment="1" applyProtection="1">
      <alignment horizontal="left" vertical="top" wrapText="1"/>
      <protection locked="0"/>
    </xf>
    <xf numFmtId="0" fontId="15" fillId="0" borderId="17" xfId="0" applyFont="1" applyBorder="1" applyAlignment="1" applyProtection="1">
      <alignment horizontal="left" vertical="top" wrapText="1"/>
      <protection locked="0"/>
    </xf>
    <xf numFmtId="0" fontId="15" fillId="0" borderId="35" xfId="0" applyFont="1" applyBorder="1" applyAlignment="1" applyProtection="1">
      <alignment horizontal="left" vertical="top" wrapText="1"/>
      <protection locked="0"/>
    </xf>
    <xf numFmtId="0" fontId="15" fillId="0" borderId="33" xfId="0" applyFont="1" applyBorder="1" applyAlignment="1" applyProtection="1">
      <alignment horizontal="left" vertical="top" wrapText="1"/>
      <protection locked="0"/>
    </xf>
    <xf numFmtId="0" fontId="15" fillId="0" borderId="34" xfId="0" applyFont="1" applyBorder="1" applyAlignment="1" applyProtection="1">
      <alignment horizontal="left" vertical="top" wrapText="1"/>
      <protection locked="0"/>
    </xf>
    <xf numFmtId="0" fontId="35" fillId="0" borderId="9" xfId="0" applyFont="1" applyBorder="1" applyAlignment="1" applyProtection="1">
      <alignment horizontal="left" vertical="center" shrinkToFit="1"/>
      <protection locked="0"/>
    </xf>
    <xf numFmtId="0" fontId="35" fillId="0" borderId="8" xfId="0" applyFont="1" applyBorder="1" applyAlignment="1" applyProtection="1">
      <alignment horizontal="left" vertical="center" shrinkToFit="1"/>
      <protection locked="0"/>
    </xf>
    <xf numFmtId="0" fontId="35" fillId="0" borderId="10" xfId="0" applyFont="1" applyBorder="1" applyAlignment="1" applyProtection="1">
      <alignment horizontal="left" vertical="center" shrinkToFi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35" fillId="0" borderId="18" xfId="0" applyFont="1" applyBorder="1" applyAlignment="1" applyProtection="1">
      <alignment horizontal="center" vertical="center" shrinkToFit="1"/>
      <protection locked="0"/>
    </xf>
    <xf numFmtId="0" fontId="35" fillId="0" borderId="11" xfId="0" applyFont="1" applyBorder="1" applyAlignment="1" applyProtection="1">
      <alignment horizontal="center" vertical="center" shrinkToFit="1"/>
      <protection locked="0"/>
    </xf>
    <xf numFmtId="0" fontId="35" fillId="0" borderId="19" xfId="0" applyFont="1" applyBorder="1" applyAlignment="1" applyProtection="1">
      <alignment horizontal="center" vertical="center" shrinkToFit="1"/>
      <protection locked="0"/>
    </xf>
    <xf numFmtId="0" fontId="35" fillId="0" borderId="0" xfId="0" applyFont="1" applyAlignment="1" applyProtection="1">
      <alignment horizontal="center" vertical="center" wrapText="1"/>
      <protection locked="0"/>
    </xf>
    <xf numFmtId="0" fontId="35" fillId="0" borderId="15" xfId="0" applyFont="1" applyBorder="1" applyAlignment="1" applyProtection="1">
      <alignment horizontal="center" vertical="center" wrapText="1"/>
      <protection locked="0"/>
    </xf>
  </cellXfs>
  <cellStyles count="69">
    <cellStyle name="20% - Accent1 2" xfId="10" xr:uid="{00000000-0005-0000-0000-000000000000}"/>
    <cellStyle name="20% - Accent2 2" xfId="11" xr:uid="{00000000-0005-0000-0000-000001000000}"/>
    <cellStyle name="20% - Accent3 2" xfId="12" xr:uid="{00000000-0005-0000-0000-000002000000}"/>
    <cellStyle name="20% - Accent4 2" xfId="13" xr:uid="{00000000-0005-0000-0000-000003000000}"/>
    <cellStyle name="20% - Accent5 2" xfId="14" xr:uid="{00000000-0005-0000-0000-000004000000}"/>
    <cellStyle name="20% - Accent6 2" xfId="15" xr:uid="{00000000-0005-0000-0000-000005000000}"/>
    <cellStyle name="40% - Accent1 2" xfId="16" xr:uid="{00000000-0005-0000-0000-000006000000}"/>
    <cellStyle name="40% - Accent2 2" xfId="17" xr:uid="{00000000-0005-0000-0000-000007000000}"/>
    <cellStyle name="40% - Accent3 2" xfId="18" xr:uid="{00000000-0005-0000-0000-000008000000}"/>
    <cellStyle name="40% - Accent4 2" xfId="19" xr:uid="{00000000-0005-0000-0000-000009000000}"/>
    <cellStyle name="40% - Accent5 2" xfId="20" xr:uid="{00000000-0005-0000-0000-00000A000000}"/>
    <cellStyle name="40% - Accent6 2" xfId="21" xr:uid="{00000000-0005-0000-0000-00000B000000}"/>
    <cellStyle name="60% - Accent1 2" xfId="22" xr:uid="{00000000-0005-0000-0000-00000C000000}"/>
    <cellStyle name="60% - Accent2 2" xfId="23" xr:uid="{00000000-0005-0000-0000-00000D000000}"/>
    <cellStyle name="60% - Accent3 2" xfId="24" xr:uid="{00000000-0005-0000-0000-00000E000000}"/>
    <cellStyle name="60% - Accent4 2" xfId="25" xr:uid="{00000000-0005-0000-0000-00000F000000}"/>
    <cellStyle name="60% - Accent5 2" xfId="26" xr:uid="{00000000-0005-0000-0000-000010000000}"/>
    <cellStyle name="60% - Accent6 2" xfId="27" xr:uid="{00000000-0005-0000-0000-000011000000}"/>
    <cellStyle name="Accent1 2" xfId="28" xr:uid="{00000000-0005-0000-0000-000012000000}"/>
    <cellStyle name="Accent2 2" xfId="29" xr:uid="{00000000-0005-0000-0000-000013000000}"/>
    <cellStyle name="Accent3 2" xfId="30" xr:uid="{00000000-0005-0000-0000-000014000000}"/>
    <cellStyle name="Accent4 2" xfId="31" xr:uid="{00000000-0005-0000-0000-000015000000}"/>
    <cellStyle name="Accent5 2" xfId="32" xr:uid="{00000000-0005-0000-0000-000016000000}"/>
    <cellStyle name="Accent6 2" xfId="33" xr:uid="{00000000-0005-0000-0000-000017000000}"/>
    <cellStyle name="Bad 2" xfId="34" xr:uid="{00000000-0005-0000-0000-000018000000}"/>
    <cellStyle name="Calculation 2" xfId="35" xr:uid="{00000000-0005-0000-0000-000019000000}"/>
    <cellStyle name="Check Cell 2" xfId="36" xr:uid="{00000000-0005-0000-0000-00001A000000}"/>
    <cellStyle name="Comma 2" xfId="2" xr:uid="{00000000-0005-0000-0000-00001B000000}"/>
    <cellStyle name="Explanatory Text 2" xfId="37" xr:uid="{00000000-0005-0000-0000-00001C000000}"/>
    <cellStyle name="Good 2" xfId="38" xr:uid="{00000000-0005-0000-0000-00001D000000}"/>
    <cellStyle name="Heading 1 2" xfId="39" xr:uid="{00000000-0005-0000-0000-00001E000000}"/>
    <cellStyle name="Heading 2 2" xfId="40" xr:uid="{00000000-0005-0000-0000-00001F000000}"/>
    <cellStyle name="Heading 3 2" xfId="41" xr:uid="{00000000-0005-0000-0000-000020000000}"/>
    <cellStyle name="Heading 4 2" xfId="42" xr:uid="{00000000-0005-0000-0000-000021000000}"/>
    <cellStyle name="Input 2" xfId="43" xr:uid="{00000000-0005-0000-0000-000022000000}"/>
    <cellStyle name="Linked Cell 2" xfId="44" xr:uid="{00000000-0005-0000-0000-000023000000}"/>
    <cellStyle name="Neutral 2" xfId="45" xr:uid="{00000000-0005-0000-0000-000024000000}"/>
    <cellStyle name="Normal" xfId="0" builtinId="0"/>
    <cellStyle name="Normal 2" xfId="1" xr:uid="{00000000-0005-0000-0000-000026000000}"/>
    <cellStyle name="Normal 3" xfId="3" xr:uid="{00000000-0005-0000-0000-000027000000}"/>
    <cellStyle name="Normal 3 2" xfId="4" xr:uid="{00000000-0005-0000-0000-000028000000}"/>
    <cellStyle name="Normal 3 2 2" xfId="5" xr:uid="{00000000-0005-0000-0000-000029000000}"/>
    <cellStyle name="Normal 3 2 2 2" xfId="53" xr:uid="{10FE877A-2D11-4318-99DC-8EBEB0D3B498}"/>
    <cellStyle name="Normal 3 2 2 2 2" xfId="65" xr:uid="{6D29D6DA-41DE-4468-B09A-9AEEF55F3A24}"/>
    <cellStyle name="Normal 3 2 2 3" xfId="59" xr:uid="{8EBCA1A6-D6E8-490A-9D46-006F940301A1}"/>
    <cellStyle name="Normal 3 2 3" xfId="6" xr:uid="{00000000-0005-0000-0000-00002A000000}"/>
    <cellStyle name="Normal 3 2 3 2" xfId="54" xr:uid="{E1896F6D-3A73-47E2-855C-77946EA19AF4}"/>
    <cellStyle name="Normal 3 2 3 2 2" xfId="66" xr:uid="{48AEA95C-D904-49E0-B001-5B84D4AC7B62}"/>
    <cellStyle name="Normal 3 2 3 3" xfId="60" xr:uid="{F15C2DBC-0E25-475E-BEC8-59CDAC5D4F02}"/>
    <cellStyle name="Normal 3 2 4" xfId="9" xr:uid="{00000000-0005-0000-0000-00002B000000}"/>
    <cellStyle name="Normal 3 2 4 2" xfId="56" xr:uid="{902B6082-3767-4982-8C72-B4284ED66321}"/>
    <cellStyle name="Normal 3 2 4 2 2" xfId="68" xr:uid="{3C8368F3-626D-4181-9624-6E7A0D3458F5}"/>
    <cellStyle name="Normal 3 2 4 3" xfId="62" xr:uid="{734F02F5-174B-4A55-8679-2D5671AF3D8E}"/>
    <cellStyle name="Normal 3 2 5" xfId="52" xr:uid="{9B8D2505-9B98-4356-9076-3F31795F081C}"/>
    <cellStyle name="Normal 3 2 5 2" xfId="64" xr:uid="{75A16949-212D-4395-B1A1-5823874DAD95}"/>
    <cellStyle name="Normal 3 2 6" xfId="58" xr:uid="{5EF2A4C6-F7BF-4B53-AEEA-9858F49C028A}"/>
    <cellStyle name="Normal 3 3" xfId="51" xr:uid="{3FFCBD72-CC8E-4771-B0DC-205E10D3D3F0}"/>
    <cellStyle name="Normal 3 3 2" xfId="63" xr:uid="{A934EFB6-2097-4E55-9EE8-C8079EDC2EBF}"/>
    <cellStyle name="Normal 3 4" xfId="57" xr:uid="{25C47C19-3FC7-4809-816F-04115BA0FC00}"/>
    <cellStyle name="Normal 4" xfId="7" xr:uid="{00000000-0005-0000-0000-00002C000000}"/>
    <cellStyle name="Normal 4 2" xfId="55" xr:uid="{0C1A1E58-FC9D-4081-8132-11A15DDF6083}"/>
    <cellStyle name="Normal 4 2 2" xfId="67" xr:uid="{CFBABB6D-457B-40C7-92AB-B8033C63A842}"/>
    <cellStyle name="Normal 4 3" xfId="61" xr:uid="{171A1745-D3AE-407A-83D4-B930C27CA678}"/>
    <cellStyle name="Normal 5" xfId="8" xr:uid="{00000000-0005-0000-0000-00002D000000}"/>
    <cellStyle name="Note 2" xfId="46" xr:uid="{00000000-0005-0000-0000-00002E000000}"/>
    <cellStyle name="Output 2" xfId="47" xr:uid="{00000000-0005-0000-0000-00002F000000}"/>
    <cellStyle name="Title 2" xfId="48" xr:uid="{00000000-0005-0000-0000-000030000000}"/>
    <cellStyle name="Total 2" xfId="49" xr:uid="{00000000-0005-0000-0000-000031000000}"/>
    <cellStyle name="Warning Text 2" xfId="50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73"/>
  <sheetViews>
    <sheetView topLeftCell="F1" zoomScale="110" zoomScaleNormal="110" workbookViewId="0">
      <pane ySplit="2" topLeftCell="A3" activePane="bottomLeft" state="frozen"/>
      <selection pane="bottomLeft" activeCell="J20" sqref="J20"/>
    </sheetView>
  </sheetViews>
  <sheetFormatPr defaultColWidth="4" defaultRowHeight="13.9" customHeight="1" x14ac:dyDescent="0.2"/>
  <cols>
    <col min="1" max="1" width="3" hidden="1" customWidth="1"/>
    <col min="2" max="2" width="4" hidden="1" customWidth="1"/>
    <col min="3" max="3" width="5.140625" hidden="1" customWidth="1"/>
    <col min="4" max="4" width="4.85546875" hidden="1" customWidth="1"/>
    <col min="5" max="5" width="4.85546875" style="14" hidden="1" customWidth="1"/>
    <col min="6" max="6" width="13.7109375" style="104" customWidth="1"/>
    <col min="7" max="7" width="31.140625" style="119" bestFit="1" customWidth="1"/>
    <col min="8" max="9" width="10" style="120" customWidth="1"/>
    <col min="10" max="10" width="11.85546875" style="120" bestFit="1" customWidth="1"/>
    <col min="11" max="13" width="10" style="120" customWidth="1"/>
    <col min="14" max="15" width="4" style="119"/>
    <col min="16" max="16" width="22" style="119" bestFit="1" customWidth="1"/>
    <col min="17" max="22" width="12.140625" style="119" customWidth="1"/>
    <col min="23" max="16384" width="4" style="119"/>
  </cols>
  <sheetData>
    <row r="1" spans="1:18" ht="13.9" customHeight="1" x14ac:dyDescent="0.2">
      <c r="A1" s="172"/>
      <c r="G1" s="105" t="s">
        <v>225</v>
      </c>
      <c r="H1" s="106">
        <v>46006</v>
      </c>
      <c r="I1" s="107">
        <f>H1+1</f>
        <v>46007</v>
      </c>
      <c r="J1" s="107">
        <f>I1+1</f>
        <v>46008</v>
      </c>
      <c r="K1" s="107">
        <f>J1+1</f>
        <v>46009</v>
      </c>
      <c r="L1" s="107">
        <f>K1+1</f>
        <v>46010</v>
      </c>
      <c r="M1" s="107">
        <f>L1+1</f>
        <v>46011</v>
      </c>
      <c r="P1" s="161" t="s">
        <v>279</v>
      </c>
    </row>
    <row r="2" spans="1:18" ht="13.9" customHeight="1" thickBot="1" x14ac:dyDescent="0.25">
      <c r="A2" s="172"/>
      <c r="B2" s="1" t="s">
        <v>212</v>
      </c>
      <c r="C2" s="1" t="s">
        <v>209</v>
      </c>
      <c r="D2">
        <v>5.75</v>
      </c>
      <c r="E2" s="2" t="s">
        <v>213</v>
      </c>
      <c r="F2" s="108" t="s">
        <v>176</v>
      </c>
      <c r="G2" s="109" t="s">
        <v>177</v>
      </c>
      <c r="H2" s="110" t="s">
        <v>254</v>
      </c>
      <c r="I2" s="110" t="s">
        <v>255</v>
      </c>
      <c r="J2" s="110" t="s">
        <v>256</v>
      </c>
      <c r="K2" s="110" t="s">
        <v>257</v>
      </c>
      <c r="L2" s="110" t="s">
        <v>258</v>
      </c>
      <c r="M2" s="110" t="s">
        <v>259</v>
      </c>
    </row>
    <row r="3" spans="1:18" ht="13.9" customHeight="1" thickBot="1" x14ac:dyDescent="0.25">
      <c r="A3" s="103">
        <v>4</v>
      </c>
      <c r="F3" s="173" t="s">
        <v>215</v>
      </c>
      <c r="G3" s="174"/>
      <c r="H3" s="174"/>
      <c r="I3" s="174"/>
      <c r="J3" s="174"/>
      <c r="K3" s="174"/>
      <c r="L3" s="174"/>
      <c r="M3" s="175"/>
    </row>
    <row r="4" spans="1:18" ht="13.9" customHeight="1" x14ac:dyDescent="0.2">
      <c r="A4">
        <f t="shared" ref="A4" si="0">(E4*4)/$A$3</f>
        <v>2</v>
      </c>
      <c r="E4" s="14">
        <v>2</v>
      </c>
      <c r="F4" s="111" t="s">
        <v>281</v>
      </c>
      <c r="G4" s="112" t="s">
        <v>216</v>
      </c>
      <c r="H4" s="18"/>
      <c r="I4" s="18"/>
      <c r="J4" s="18"/>
      <c r="K4" s="18"/>
      <c r="L4" s="18"/>
      <c r="M4" s="18"/>
    </row>
    <row r="5" spans="1:18" ht="13.9" customHeight="1" x14ac:dyDescent="0.2">
      <c r="A5">
        <f t="shared" ref="A5:A39" si="1">(E5*4)/$A$3</f>
        <v>20</v>
      </c>
      <c r="E5" s="14">
        <v>20</v>
      </c>
      <c r="F5" s="113">
        <v>99633</v>
      </c>
      <c r="G5" s="114" t="s">
        <v>217</v>
      </c>
      <c r="H5" s="19"/>
      <c r="I5" s="19"/>
      <c r="J5" s="19"/>
      <c r="K5" s="19"/>
      <c r="L5" s="19"/>
      <c r="M5" s="19"/>
    </row>
    <row r="6" spans="1:18" ht="13.9" customHeight="1" x14ac:dyDescent="0.2">
      <c r="A6">
        <f t="shared" si="1"/>
        <v>20</v>
      </c>
      <c r="E6" s="14">
        <v>20</v>
      </c>
      <c r="F6" s="113">
        <v>99646</v>
      </c>
      <c r="G6" s="114" t="s">
        <v>218</v>
      </c>
      <c r="H6" s="19"/>
      <c r="I6" s="19"/>
      <c r="J6" s="19"/>
      <c r="K6" s="19"/>
      <c r="L6" s="19"/>
      <c r="M6" s="19"/>
    </row>
    <row r="7" spans="1:18" ht="13.9" customHeight="1" x14ac:dyDescent="0.2">
      <c r="A7">
        <f t="shared" si="1"/>
        <v>6</v>
      </c>
      <c r="E7" s="14">
        <v>6</v>
      </c>
      <c r="F7" s="113">
        <v>99635</v>
      </c>
      <c r="G7" s="114" t="s">
        <v>219</v>
      </c>
      <c r="H7" s="19"/>
      <c r="I7" s="19"/>
      <c r="J7" s="19"/>
      <c r="K7" s="19"/>
      <c r="L7" s="19"/>
      <c r="M7" s="19"/>
      <c r="P7" s="71"/>
    </row>
    <row r="8" spans="1:18" ht="13.9" customHeight="1" x14ac:dyDescent="0.2">
      <c r="A8">
        <f t="shared" si="1"/>
        <v>6</v>
      </c>
      <c r="E8" s="14">
        <v>6</v>
      </c>
      <c r="F8" s="113">
        <v>99944</v>
      </c>
      <c r="G8" s="114" t="s">
        <v>220</v>
      </c>
      <c r="H8" s="19"/>
      <c r="I8" s="19"/>
      <c r="J8" s="19"/>
      <c r="K8" s="19"/>
      <c r="L8" s="19"/>
      <c r="M8" s="19"/>
    </row>
    <row r="9" spans="1:18" ht="13.9" customHeight="1" thickBot="1" x14ac:dyDescent="0.25">
      <c r="A9">
        <f t="shared" si="1"/>
        <v>20</v>
      </c>
      <c r="E9" s="14">
        <v>20</v>
      </c>
      <c r="F9" s="113">
        <v>99636</v>
      </c>
      <c r="G9" s="114" t="s">
        <v>221</v>
      </c>
      <c r="H9" s="19"/>
      <c r="I9" s="19"/>
      <c r="J9" s="19"/>
      <c r="K9" s="19"/>
      <c r="L9" s="19"/>
      <c r="M9" s="19"/>
    </row>
    <row r="10" spans="1:18" ht="13.9" customHeight="1" thickBot="1" x14ac:dyDescent="0.25">
      <c r="A10">
        <f t="shared" si="1"/>
        <v>0</v>
      </c>
      <c r="E10" s="14">
        <v>0</v>
      </c>
      <c r="F10" s="166" t="s">
        <v>214</v>
      </c>
      <c r="G10" s="167"/>
      <c r="H10" s="167"/>
      <c r="I10" s="167"/>
      <c r="J10" s="167"/>
      <c r="K10" s="167"/>
      <c r="L10" s="167"/>
      <c r="M10" s="168"/>
    </row>
    <row r="11" spans="1:18" ht="13.9" customHeight="1" x14ac:dyDescent="0.2">
      <c r="A11">
        <f t="shared" si="1"/>
        <v>1</v>
      </c>
      <c r="E11" s="14">
        <v>1</v>
      </c>
      <c r="F11" s="113">
        <v>99629</v>
      </c>
      <c r="G11" s="115" t="s">
        <v>108</v>
      </c>
      <c r="H11" s="19">
        <v>30</v>
      </c>
      <c r="I11" s="19"/>
      <c r="J11" s="19"/>
      <c r="K11" s="19"/>
      <c r="L11" s="19"/>
      <c r="M11" s="19"/>
    </row>
    <row r="12" spans="1:18" ht="13.9" customHeight="1" x14ac:dyDescent="0.2">
      <c r="A12">
        <f t="shared" si="1"/>
        <v>1</v>
      </c>
      <c r="E12" s="14">
        <v>1</v>
      </c>
      <c r="F12" s="113">
        <v>99631</v>
      </c>
      <c r="G12" s="114" t="s">
        <v>222</v>
      </c>
      <c r="H12" s="19">
        <v>30</v>
      </c>
      <c r="I12" s="19"/>
      <c r="J12" s="19"/>
      <c r="K12" s="19"/>
      <c r="L12" s="19"/>
      <c r="M12" s="19"/>
      <c r="P12" s="71" t="s">
        <v>272</v>
      </c>
      <c r="Q12" s="122">
        <v>6</v>
      </c>
      <c r="R12" s="71" t="s">
        <v>273</v>
      </c>
    </row>
    <row r="13" spans="1:18" ht="13.9" customHeight="1" x14ac:dyDescent="0.2">
      <c r="A13">
        <f t="shared" si="1"/>
        <v>20</v>
      </c>
      <c r="E13" s="14">
        <v>20</v>
      </c>
      <c r="F13" s="113">
        <v>99638</v>
      </c>
      <c r="G13" s="115" t="s">
        <v>223</v>
      </c>
      <c r="H13" s="19"/>
      <c r="I13" s="19"/>
      <c r="J13" s="19"/>
      <c r="K13" s="19"/>
      <c r="L13" s="19"/>
      <c r="M13" s="19"/>
      <c r="P13" s="71" t="s">
        <v>270</v>
      </c>
      <c r="Q13" s="71" t="s">
        <v>271</v>
      </c>
    </row>
    <row r="14" spans="1:18" ht="13.9" customHeight="1" thickBot="1" x14ac:dyDescent="0.25">
      <c r="A14">
        <f t="shared" si="1"/>
        <v>1</v>
      </c>
      <c r="E14" s="14">
        <v>1</v>
      </c>
      <c r="F14" s="108">
        <v>99630</v>
      </c>
      <c r="G14" s="116" t="s">
        <v>224</v>
      </c>
      <c r="H14" s="20">
        <v>30</v>
      </c>
      <c r="I14" s="20"/>
      <c r="J14" s="20"/>
      <c r="K14" s="20"/>
      <c r="L14" s="20"/>
      <c r="M14" s="20"/>
    </row>
    <row r="15" spans="1:18" ht="13.9" customHeight="1" thickBot="1" x14ac:dyDescent="0.25">
      <c r="A15">
        <f t="shared" si="1"/>
        <v>0</v>
      </c>
      <c r="E15" s="14">
        <v>0</v>
      </c>
      <c r="F15" s="169" t="s">
        <v>150</v>
      </c>
      <c r="G15" s="170"/>
      <c r="H15" s="170"/>
      <c r="I15" s="170"/>
      <c r="J15" s="170"/>
      <c r="K15" s="170"/>
      <c r="L15" s="170"/>
      <c r="M15" s="171"/>
    </row>
    <row r="16" spans="1:18" ht="13.9" customHeight="1" x14ac:dyDescent="0.2">
      <c r="A16">
        <f t="shared" si="1"/>
        <v>1</v>
      </c>
      <c r="E16" s="14">
        <v>1</v>
      </c>
      <c r="F16" s="111" t="s">
        <v>228</v>
      </c>
      <c r="G16" s="112" t="s">
        <v>229</v>
      </c>
      <c r="H16" s="18"/>
      <c r="I16" s="18"/>
      <c r="J16" s="18"/>
      <c r="K16" s="18"/>
      <c r="L16" s="18"/>
      <c r="M16" s="18"/>
      <c r="P16" s="71" t="s">
        <v>269</v>
      </c>
      <c r="Q16" s="122">
        <v>1</v>
      </c>
    </row>
    <row r="17" spans="1:22" ht="13.9" customHeight="1" x14ac:dyDescent="0.2">
      <c r="A17">
        <f t="shared" si="1"/>
        <v>6</v>
      </c>
      <c r="E17" s="14">
        <v>6</v>
      </c>
      <c r="F17" s="113" t="s">
        <v>230</v>
      </c>
      <c r="G17" s="114" t="s">
        <v>231</v>
      </c>
      <c r="H17" s="19"/>
      <c r="I17" s="19"/>
      <c r="J17" s="19"/>
      <c r="K17" s="19"/>
      <c r="L17" s="19"/>
      <c r="M17" s="19"/>
      <c r="P17" s="71" t="s">
        <v>268</v>
      </c>
      <c r="Q17" s="122">
        <f>7.5*Q16</f>
        <v>7.5</v>
      </c>
    </row>
    <row r="18" spans="1:22" ht="13.9" customHeight="1" x14ac:dyDescent="0.2">
      <c r="A18">
        <f t="shared" si="1"/>
        <v>6</v>
      </c>
      <c r="E18" s="14">
        <v>6</v>
      </c>
      <c r="F18" s="113" t="s">
        <v>232</v>
      </c>
      <c r="G18" s="114" t="s">
        <v>233</v>
      </c>
      <c r="H18" s="19"/>
      <c r="I18" s="19"/>
      <c r="J18" s="19"/>
      <c r="K18" s="19"/>
      <c r="L18" s="19"/>
      <c r="M18" s="19"/>
    </row>
    <row r="19" spans="1:22" ht="13.9" customHeight="1" thickBot="1" x14ac:dyDescent="0.25">
      <c r="A19">
        <f t="shared" si="1"/>
        <v>6</v>
      </c>
      <c r="E19" s="14">
        <v>6</v>
      </c>
      <c r="F19" s="113" t="s">
        <v>234</v>
      </c>
      <c r="G19" s="114" t="s">
        <v>235</v>
      </c>
      <c r="H19" s="19"/>
      <c r="I19" s="19"/>
      <c r="J19" s="21"/>
      <c r="K19" s="19"/>
      <c r="L19" s="19"/>
      <c r="M19" s="19"/>
    </row>
    <row r="20" spans="1:22" ht="13.9" customHeight="1" thickBot="1" x14ac:dyDescent="0.3">
      <c r="E20" s="14">
        <v>4</v>
      </c>
      <c r="F20" s="113" t="s">
        <v>236</v>
      </c>
      <c r="G20" s="114" t="s">
        <v>237</v>
      </c>
      <c r="H20" s="19"/>
      <c r="I20" s="19"/>
      <c r="J20" s="19"/>
      <c r="K20" s="21"/>
      <c r="L20" s="19"/>
      <c r="M20" s="19"/>
      <c r="P20" s="176" t="s">
        <v>198</v>
      </c>
      <c r="Q20" s="177"/>
      <c r="R20" s="177"/>
      <c r="S20" s="177"/>
      <c r="T20" s="177"/>
      <c r="U20" s="177"/>
      <c r="V20" s="178"/>
    </row>
    <row r="21" spans="1:22" ht="13.9" customHeight="1" thickBot="1" x14ac:dyDescent="0.25">
      <c r="E21" s="14">
        <v>4</v>
      </c>
      <c r="F21" s="113" t="s">
        <v>238</v>
      </c>
      <c r="G21" s="114" t="s">
        <v>239</v>
      </c>
      <c r="H21" s="19"/>
      <c r="I21" s="19"/>
      <c r="J21" s="19"/>
      <c r="K21" s="19"/>
      <c r="L21" s="19"/>
      <c r="M21" s="19"/>
      <c r="P21" s="124"/>
      <c r="Q21" s="124" t="s">
        <v>200</v>
      </c>
      <c r="R21" s="125" t="s">
        <v>201</v>
      </c>
      <c r="S21" s="125" t="s">
        <v>202</v>
      </c>
      <c r="T21" s="125" t="s">
        <v>203</v>
      </c>
      <c r="U21" s="125" t="s">
        <v>182</v>
      </c>
      <c r="V21" s="126" t="s">
        <v>204</v>
      </c>
    </row>
    <row r="22" spans="1:22" ht="13.9" customHeight="1" thickBot="1" x14ac:dyDescent="0.25">
      <c r="A22">
        <f t="shared" si="1"/>
        <v>20</v>
      </c>
      <c r="E22" s="14">
        <v>20</v>
      </c>
      <c r="F22" s="113" t="s">
        <v>240</v>
      </c>
      <c r="G22" s="114" t="s">
        <v>241</v>
      </c>
      <c r="H22" s="19"/>
      <c r="I22" s="19"/>
      <c r="J22" s="19"/>
      <c r="K22" s="19"/>
      <c r="L22" s="19"/>
      <c r="M22" s="19"/>
      <c r="P22" s="127" t="str">
        <f>'Mon (101)'!G28</f>
        <v>Colour</v>
      </c>
      <c r="Q22" s="128" t="str">
        <f>'Mon (101)'!I28</f>
        <v>Time (mins)</v>
      </c>
      <c r="R22" s="128" t="str">
        <f>'Tue (101)'!I28</f>
        <v>Time (mins)</v>
      </c>
      <c r="S22" s="128" t="str">
        <f>'Wed (101)'!I28</f>
        <v>Time (mins)</v>
      </c>
      <c r="T22" s="128" t="str">
        <f>'Thu (101)'!I28</f>
        <v>Time (mins)</v>
      </c>
      <c r="U22" s="128" t="str">
        <f>'Fri (101)'!I28</f>
        <v>Time (mins)</v>
      </c>
      <c r="V22" s="128" t="str">
        <f>'Sat (101)'!I28</f>
        <v>Time (mins)</v>
      </c>
    </row>
    <row r="23" spans="1:22" ht="13.9" customHeight="1" thickBot="1" x14ac:dyDescent="0.25">
      <c r="A23">
        <f t="shared" si="1"/>
        <v>20</v>
      </c>
      <c r="E23" s="14">
        <v>20</v>
      </c>
      <c r="F23" s="108" t="s">
        <v>242</v>
      </c>
      <c r="G23" s="116" t="s">
        <v>243</v>
      </c>
      <c r="H23" s="20"/>
      <c r="I23" s="20"/>
      <c r="J23" s="20"/>
      <c r="K23" s="20"/>
      <c r="L23" s="20"/>
      <c r="M23" s="20"/>
      <c r="P23" s="129" t="str">
        <f>'Mon (101)'!G29</f>
        <v>Black - Laval</v>
      </c>
      <c r="Q23" s="130">
        <f>'Mon (101)'!I29</f>
        <v>0</v>
      </c>
      <c r="R23" s="130">
        <f>'Tue (101)'!I29</f>
        <v>0</v>
      </c>
      <c r="S23" s="130">
        <f>'Wed (101)'!I29</f>
        <v>0</v>
      </c>
      <c r="T23" s="130">
        <f>'Thu (101)'!I29</f>
        <v>0</v>
      </c>
      <c r="U23" s="130">
        <f>'Fri (101)'!I29</f>
        <v>0</v>
      </c>
      <c r="V23" s="131">
        <f>'Sat (101)'!I29</f>
        <v>0</v>
      </c>
    </row>
    <row r="24" spans="1:22" ht="13.9" customHeight="1" thickBot="1" x14ac:dyDescent="0.25">
      <c r="A24">
        <f t="shared" si="1"/>
        <v>0</v>
      </c>
      <c r="E24" s="14">
        <v>0</v>
      </c>
      <c r="F24" s="169" t="s">
        <v>205</v>
      </c>
      <c r="G24" s="170"/>
      <c r="H24" s="170"/>
      <c r="I24" s="170"/>
      <c r="J24" s="170"/>
      <c r="K24" s="170"/>
      <c r="L24" s="170"/>
      <c r="M24" s="171"/>
      <c r="P24" s="129" t="str">
        <f>'Mon (101)'!G30</f>
        <v>Summit White - Laval</v>
      </c>
      <c r="Q24" s="130">
        <f>'Mon (101)'!I30</f>
        <v>90</v>
      </c>
      <c r="R24" s="130">
        <f>'Tue (101)'!I30</f>
        <v>0</v>
      </c>
      <c r="S24" s="130">
        <f>'Wed (101)'!I30</f>
        <v>0</v>
      </c>
      <c r="T24" s="130">
        <f>'Thu (101)'!I30</f>
        <v>0</v>
      </c>
      <c r="U24" s="130">
        <f>'Fri (101)'!I30</f>
        <v>0</v>
      </c>
      <c r="V24" s="131">
        <f>'Sat (101)'!I30</f>
        <v>0</v>
      </c>
    </row>
    <row r="25" spans="1:22" ht="13.9" customHeight="1" x14ac:dyDescent="0.2">
      <c r="A25">
        <f t="shared" si="1"/>
        <v>6</v>
      </c>
      <c r="E25" s="14">
        <v>6</v>
      </c>
      <c r="F25" s="111" t="s">
        <v>260</v>
      </c>
      <c r="G25" s="117" t="s">
        <v>206</v>
      </c>
      <c r="H25" s="18">
        <v>260</v>
      </c>
      <c r="I25" s="18"/>
      <c r="J25" s="18"/>
      <c r="K25" s="18"/>
      <c r="L25" s="18"/>
      <c r="M25" s="18"/>
      <c r="P25" s="129" t="str">
        <f>'Mon (101)'!G31</f>
        <v>Metelix</v>
      </c>
      <c r="Q25" s="130">
        <f>'Mon (101)'!I31</f>
        <v>0</v>
      </c>
      <c r="R25" s="130">
        <f>'Tue (101)'!I31</f>
        <v>0</v>
      </c>
      <c r="S25" s="130">
        <f>'Wed (101)'!I31</f>
        <v>0</v>
      </c>
      <c r="T25" s="130">
        <f>'Thu (101)'!I31</f>
        <v>0</v>
      </c>
      <c r="U25" s="130">
        <f>'Fri (101)'!I31</f>
        <v>0</v>
      </c>
      <c r="V25" s="131">
        <f>'Sat (101)'!I31</f>
        <v>0</v>
      </c>
    </row>
    <row r="26" spans="1:22" ht="13.5" customHeight="1" x14ac:dyDescent="0.2">
      <c r="A26">
        <f t="shared" si="1"/>
        <v>6</v>
      </c>
      <c r="E26" s="14">
        <v>6</v>
      </c>
      <c r="F26" s="113" t="s">
        <v>261</v>
      </c>
      <c r="G26" s="115" t="s">
        <v>207</v>
      </c>
      <c r="H26" s="19"/>
      <c r="I26" s="19"/>
      <c r="J26" s="19"/>
      <c r="K26" s="18"/>
      <c r="L26" s="18"/>
      <c r="M26" s="18"/>
      <c r="P26" s="129" t="str">
        <f>'Mon (101)'!G32</f>
        <v>Tesla - High Gloss Black</v>
      </c>
      <c r="Q26" s="130">
        <f>'Mon (101)'!I32</f>
        <v>103.33333333333334</v>
      </c>
      <c r="R26" s="130">
        <f>'Tue (101)'!I32</f>
        <v>0</v>
      </c>
      <c r="S26" s="130">
        <f>'Wed (101)'!I32</f>
        <v>0</v>
      </c>
      <c r="T26" s="130">
        <f>'Thu (101)'!I32</f>
        <v>0</v>
      </c>
      <c r="U26" s="130">
        <f>'Fri (101)'!I32</f>
        <v>0</v>
      </c>
      <c r="V26" s="131">
        <f>'Sat (101)'!I32</f>
        <v>0</v>
      </c>
    </row>
    <row r="27" spans="1:22" ht="13.9" customHeight="1" x14ac:dyDescent="0.2">
      <c r="A27">
        <f t="shared" si="1"/>
        <v>6</v>
      </c>
      <c r="E27" s="14">
        <v>6</v>
      </c>
      <c r="F27" s="118" t="s">
        <v>262</v>
      </c>
      <c r="G27" s="115" t="s">
        <v>211</v>
      </c>
      <c r="H27" s="19">
        <v>360</v>
      </c>
      <c r="I27" s="19"/>
      <c r="J27" s="19"/>
      <c r="K27" s="18"/>
      <c r="L27" s="18"/>
      <c r="M27" s="18"/>
      <c r="P27" s="129" t="str">
        <f>'Mon (101)'!G33</f>
        <v>Stoney Blue</v>
      </c>
      <c r="Q27" s="130">
        <f>'Mon (101)'!I33</f>
        <v>0</v>
      </c>
      <c r="R27" s="130">
        <f>'Tue (101)'!I33</f>
        <v>0</v>
      </c>
      <c r="S27" s="130">
        <f>'Wed (101)'!I33</f>
        <v>0</v>
      </c>
      <c r="T27" s="130">
        <f>'Thu (101)'!I33</f>
        <v>0</v>
      </c>
      <c r="U27" s="130">
        <f>'Fri (101)'!I33</f>
        <v>0</v>
      </c>
      <c r="V27" s="131">
        <f>'Sat (101)'!I33</f>
        <v>0</v>
      </c>
    </row>
    <row r="28" spans="1:22" ht="13.9" customHeight="1" x14ac:dyDescent="0.2">
      <c r="A28">
        <f t="shared" si="1"/>
        <v>6</v>
      </c>
      <c r="E28" s="14">
        <v>6</v>
      </c>
      <c r="F28" s="118" t="s">
        <v>263</v>
      </c>
      <c r="G28" s="115" t="s">
        <v>210</v>
      </c>
      <c r="H28" s="19"/>
      <c r="I28" s="18"/>
      <c r="J28" s="18"/>
      <c r="K28" s="18"/>
      <c r="L28" s="31"/>
      <c r="M28" s="18"/>
      <c r="P28" s="129" t="str">
        <f>'Mon (101)'!G34</f>
        <v>Miscellaneous</v>
      </c>
      <c r="Q28" s="130">
        <f>'Mon (101)'!I34</f>
        <v>0</v>
      </c>
      <c r="R28" s="130">
        <f>'Tue (101)'!I34</f>
        <v>0</v>
      </c>
      <c r="S28" s="130">
        <f>'Wed (101)'!I34</f>
        <v>0</v>
      </c>
      <c r="T28" s="130">
        <f>'Thu (101)'!I34</f>
        <v>0</v>
      </c>
      <c r="U28" s="130">
        <f>'Fri (101)'!I34</f>
        <v>0</v>
      </c>
      <c r="V28" s="131">
        <f>'Sat (101)'!I34</f>
        <v>0</v>
      </c>
    </row>
    <row r="29" spans="1:22" ht="13.9" customHeight="1" thickBot="1" x14ac:dyDescent="0.25">
      <c r="A29">
        <f t="shared" si="1"/>
        <v>0</v>
      </c>
      <c r="E29" s="14">
        <v>0</v>
      </c>
      <c r="P29" s="129">
        <f>'Mon (101)'!G35</f>
        <v>0</v>
      </c>
      <c r="Q29" s="130">
        <f>'Mon (101)'!I35</f>
        <v>0</v>
      </c>
      <c r="R29" s="130">
        <f>'Tue (101)'!I35</f>
        <v>0</v>
      </c>
      <c r="S29" s="130">
        <f>'Wed (101)'!I35</f>
        <v>0</v>
      </c>
      <c r="T29" s="130">
        <f>'Thu (101)'!I35</f>
        <v>0</v>
      </c>
      <c r="U29" s="130">
        <f>'Fri (101)'!I35</f>
        <v>0</v>
      </c>
      <c r="V29" s="131">
        <f>'Sat (101)'!I35</f>
        <v>0</v>
      </c>
    </row>
    <row r="30" spans="1:22" ht="13.9" customHeight="1" thickBot="1" x14ac:dyDescent="0.25">
      <c r="A30">
        <f>(E30*4)/$A$3</f>
        <v>0</v>
      </c>
      <c r="E30" s="14">
        <v>0</v>
      </c>
      <c r="F30" s="169" t="s">
        <v>277</v>
      </c>
      <c r="G30" s="170"/>
      <c r="H30" s="170"/>
      <c r="I30" s="170"/>
      <c r="J30" s="170"/>
      <c r="K30" s="170"/>
      <c r="L30" s="170"/>
      <c r="M30" s="171"/>
      <c r="P30" s="129" t="str">
        <f>'Mon (101)'!G36</f>
        <v>Total:</v>
      </c>
      <c r="Q30" s="130">
        <f>'Mon (101)'!I36</f>
        <v>193.33333333333334</v>
      </c>
      <c r="R30" s="130">
        <f>'Tue (101)'!I36</f>
        <v>0</v>
      </c>
      <c r="S30" s="130">
        <f>'Wed (101)'!I36</f>
        <v>0</v>
      </c>
      <c r="T30" s="130">
        <f>'Thu (101)'!I36</f>
        <v>0</v>
      </c>
      <c r="U30" s="130">
        <f>'Fri (101)'!I36</f>
        <v>0</v>
      </c>
      <c r="V30" s="131">
        <f>'Sat (101)'!I36</f>
        <v>0</v>
      </c>
    </row>
    <row r="31" spans="1:22" ht="13.9" customHeight="1" x14ac:dyDescent="0.2">
      <c r="A31">
        <f>(E31*4)/$A$3</f>
        <v>1</v>
      </c>
      <c r="E31" s="14">
        <v>1</v>
      </c>
      <c r="F31" s="111" t="s">
        <v>245</v>
      </c>
      <c r="G31" s="112" t="s">
        <v>246</v>
      </c>
      <c r="H31" s="18"/>
      <c r="I31" s="18"/>
      <c r="J31" s="18"/>
      <c r="K31" s="18"/>
      <c r="L31" s="18"/>
      <c r="M31" s="18"/>
      <c r="P31" s="129">
        <f>'Mon (101)'!G37</f>
        <v>0</v>
      </c>
      <c r="Q31" s="130">
        <f>'Mon (101)'!I37</f>
        <v>0</v>
      </c>
      <c r="R31" s="130">
        <f>'Tue (101)'!I37</f>
        <v>0</v>
      </c>
      <c r="S31" s="130">
        <f>'Wed (101)'!I37</f>
        <v>0</v>
      </c>
      <c r="T31" s="130">
        <f>'Thu (101)'!I37</f>
        <v>0</v>
      </c>
      <c r="U31" s="130">
        <f>'Fri (101)'!I37</f>
        <v>0</v>
      </c>
      <c r="V31" s="131">
        <f>'Sat (101)'!I37</f>
        <v>0</v>
      </c>
    </row>
    <row r="32" spans="1:22" ht="13.9" customHeight="1" x14ac:dyDescent="0.2">
      <c r="A32">
        <f>(E32*4)/$A$3</f>
        <v>4</v>
      </c>
      <c r="E32" s="14">
        <v>4</v>
      </c>
      <c r="F32" s="113" t="s">
        <v>247</v>
      </c>
      <c r="G32" s="114" t="s">
        <v>248</v>
      </c>
      <c r="H32" s="19"/>
      <c r="I32" s="19"/>
      <c r="J32" s="19"/>
      <c r="K32" s="19"/>
      <c r="L32" s="19"/>
      <c r="M32" s="19"/>
      <c r="P32" s="129" t="str">
        <f>'Mon (101)'!G38</f>
        <v>Gaps</v>
      </c>
      <c r="Q32" s="130">
        <f>'Mon (101)'!I38</f>
        <v>12</v>
      </c>
      <c r="R32" s="130">
        <f>'Tue (101)'!I38</f>
        <v>0</v>
      </c>
      <c r="S32" s="130">
        <f>'Wed (101)'!I38</f>
        <v>0</v>
      </c>
      <c r="T32" s="130">
        <f>'Thu (101)'!I38</f>
        <v>0</v>
      </c>
      <c r="U32" s="130">
        <f>'Fri (101)'!I38</f>
        <v>0</v>
      </c>
      <c r="V32" s="131">
        <f>'Sat (101)'!I38</f>
        <v>0</v>
      </c>
    </row>
    <row r="33" spans="1:22" ht="13.9" customHeight="1" x14ac:dyDescent="0.2">
      <c r="A33">
        <f>(E33*4)/$A$3</f>
        <v>4</v>
      </c>
      <c r="E33" s="14">
        <v>4</v>
      </c>
      <c r="F33" s="113" t="s">
        <v>249</v>
      </c>
      <c r="G33" s="114" t="s">
        <v>250</v>
      </c>
      <c r="H33" s="19"/>
      <c r="I33" s="19"/>
      <c r="J33" s="19"/>
      <c r="K33" s="19"/>
      <c r="L33" s="19"/>
      <c r="M33" s="19"/>
      <c r="P33" s="129">
        <f>'Mon (101)'!G39</f>
        <v>0</v>
      </c>
      <c r="Q33" s="130">
        <f>'Mon (101)'!I39</f>
        <v>0</v>
      </c>
      <c r="R33" s="130">
        <f>'Tue (101)'!I39</f>
        <v>0</v>
      </c>
      <c r="S33" s="130">
        <f>'Wed (101)'!I39</f>
        <v>0</v>
      </c>
      <c r="T33" s="130">
        <f>'Thu (101)'!I39</f>
        <v>0</v>
      </c>
      <c r="U33" s="130">
        <f>'Fri (101)'!I39</f>
        <v>0</v>
      </c>
      <c r="V33" s="131">
        <f>'Sat (101)'!I39</f>
        <v>0</v>
      </c>
    </row>
    <row r="34" spans="1:22" ht="13.9" customHeight="1" thickBot="1" x14ac:dyDescent="0.25">
      <c r="A34">
        <f>(E34*4)/$A$3</f>
        <v>4</v>
      </c>
      <c r="E34" s="14">
        <v>4</v>
      </c>
      <c r="F34" s="113" t="s">
        <v>251</v>
      </c>
      <c r="G34" s="114" t="s">
        <v>252</v>
      </c>
      <c r="H34" s="19"/>
      <c r="I34" s="19"/>
      <c r="J34" s="19"/>
      <c r="K34" s="19"/>
      <c r="L34" s="19"/>
      <c r="M34" s="19"/>
      <c r="P34" s="132" t="str">
        <f>'Mon (101)'!G40</f>
        <v>Total Time (hrs)</v>
      </c>
      <c r="Q34" s="133">
        <f>'Mon (101)'!I40</f>
        <v>3.4222222222222225</v>
      </c>
      <c r="R34" s="133">
        <f>'Tue (101)'!I40</f>
        <v>0</v>
      </c>
      <c r="S34" s="133">
        <f>'Wed (101)'!I40</f>
        <v>0</v>
      </c>
      <c r="T34" s="133">
        <f>'Thu (101)'!I40</f>
        <v>0</v>
      </c>
      <c r="U34" s="133">
        <f>'Fri (101)'!I40</f>
        <v>0</v>
      </c>
      <c r="V34" s="134">
        <f>'Sat (101)'!I40</f>
        <v>0</v>
      </c>
    </row>
    <row r="35" spans="1:22" ht="13.9" customHeight="1" thickBot="1" x14ac:dyDescent="0.25">
      <c r="A35">
        <f t="shared" si="1"/>
        <v>0</v>
      </c>
      <c r="E35" s="14">
        <v>0</v>
      </c>
      <c r="F35" s="169" t="s">
        <v>227</v>
      </c>
      <c r="G35" s="170"/>
      <c r="H35" s="170"/>
      <c r="I35" s="170"/>
      <c r="J35" s="170"/>
      <c r="K35" s="170"/>
      <c r="L35" s="170"/>
      <c r="M35" s="171"/>
      <c r="P35" s="135"/>
      <c r="Q35" s="136"/>
      <c r="R35" s="137"/>
      <c r="S35" s="138"/>
      <c r="T35" s="138"/>
      <c r="U35" s="138"/>
      <c r="V35" s="139"/>
    </row>
    <row r="36" spans="1:22" ht="13.9" customHeight="1" thickBot="1" x14ac:dyDescent="0.25">
      <c r="A36">
        <f t="shared" si="1"/>
        <v>0</v>
      </c>
      <c r="E36" s="14">
        <v>0</v>
      </c>
      <c r="F36" s="121" t="s">
        <v>264</v>
      </c>
      <c r="G36" s="117"/>
      <c r="H36" s="18"/>
      <c r="I36" s="18"/>
      <c r="J36" s="18"/>
      <c r="K36" s="18"/>
      <c r="L36" s="18"/>
      <c r="M36" s="18"/>
      <c r="P36" s="164" t="s">
        <v>199</v>
      </c>
      <c r="Q36" s="165"/>
      <c r="R36" s="140">
        <f>SUM(Q34:V34)</f>
        <v>3.4222222222222225</v>
      </c>
      <c r="S36"/>
      <c r="T36"/>
      <c r="U36"/>
      <c r="V36"/>
    </row>
    <row r="37" spans="1:22" ht="13.9" customHeight="1" x14ac:dyDescent="0.2">
      <c r="A37">
        <f t="shared" si="1"/>
        <v>0</v>
      </c>
      <c r="E37" s="14">
        <v>0</v>
      </c>
      <c r="F37" s="121" t="s">
        <v>265</v>
      </c>
      <c r="G37" s="115"/>
      <c r="H37" s="19"/>
      <c r="I37" s="19"/>
      <c r="J37" s="19"/>
      <c r="K37" s="19"/>
      <c r="L37" s="19"/>
      <c r="M37" s="19"/>
    </row>
    <row r="38" spans="1:22" ht="13.9" customHeight="1" x14ac:dyDescent="0.2">
      <c r="A38">
        <f t="shared" si="1"/>
        <v>0</v>
      </c>
      <c r="E38" s="14">
        <v>0</v>
      </c>
      <c r="F38" s="121" t="s">
        <v>266</v>
      </c>
      <c r="G38" s="114"/>
      <c r="H38" s="19"/>
      <c r="I38" s="19"/>
      <c r="J38" s="19"/>
      <c r="K38" s="19"/>
      <c r="L38" s="19"/>
      <c r="M38" s="19"/>
    </row>
    <row r="39" spans="1:22" ht="13.9" customHeight="1" x14ac:dyDescent="0.2">
      <c r="A39">
        <f t="shared" si="1"/>
        <v>0</v>
      </c>
      <c r="E39" s="14">
        <v>0</v>
      </c>
      <c r="F39" s="121" t="s">
        <v>267</v>
      </c>
      <c r="G39" s="114"/>
      <c r="H39" s="19"/>
      <c r="I39" s="19"/>
      <c r="J39" s="19"/>
      <c r="K39" s="19"/>
      <c r="L39" s="19"/>
      <c r="M39" s="19"/>
    </row>
    <row r="56" ht="13.5" customHeight="1" x14ac:dyDescent="0.2"/>
    <row r="57" ht="12.75" x14ac:dyDescent="0.2"/>
    <row r="67" spans="16:16" ht="13.9" customHeight="1" x14ac:dyDescent="0.2">
      <c r="P67" s="119">
        <f>30+4+20+2</f>
        <v>56</v>
      </c>
    </row>
    <row r="68" spans="16:16" ht="13.9" customHeight="1" x14ac:dyDescent="0.2">
      <c r="P68" s="119">
        <f>180+2+30</f>
        <v>212</v>
      </c>
    </row>
    <row r="69" spans="16:16" ht="13.9" customHeight="1" x14ac:dyDescent="0.2">
      <c r="P69" s="119">
        <f>80*1.5</f>
        <v>120</v>
      </c>
    </row>
    <row r="71" spans="16:16" ht="13.9" customHeight="1" x14ac:dyDescent="0.2">
      <c r="P71" s="119">
        <f>388/60</f>
        <v>6.4666666666666668</v>
      </c>
    </row>
    <row r="73" spans="16:16" ht="13.9" customHeight="1" x14ac:dyDescent="0.2">
      <c r="P73" s="119">
        <f>493/60</f>
        <v>8.2166666666666668</v>
      </c>
    </row>
  </sheetData>
  <sheetProtection algorithmName="SHA-512" hashValue="K6Sh/fojPbbRz7wmFQf85biKPEqHf44n2JtNM1GtRqQ5iZOM7xKtnWDQBNUjNeuS15YKj7HN0tNhX1iGsYne7w==" saltValue="MFzMit6iyE3URZ5WLlpjbw==" spinCount="100000" sheet="1" objects="1" scenarios="1" formatCells="0" formatColumns="0" formatRows="0"/>
  <mergeCells count="9">
    <mergeCell ref="P36:Q36"/>
    <mergeCell ref="F10:M10"/>
    <mergeCell ref="F30:M30"/>
    <mergeCell ref="A1:A2"/>
    <mergeCell ref="F24:M24"/>
    <mergeCell ref="F3:M3"/>
    <mergeCell ref="P20:V20"/>
    <mergeCell ref="F35:M35"/>
    <mergeCell ref="F15:M15"/>
  </mergeCells>
  <phoneticPr fontId="14" type="noConversion"/>
  <printOptions horizontalCentered="1" verticalCentered="1"/>
  <pageMargins left="0.23622047244094499" right="0.23622047244094499" top="0.23622047244094499" bottom="0.23622047244094499" header="0" footer="0"/>
  <pageSetup scale="97" orientation="portrait" r:id="rId1"/>
  <headerFooter>
    <oddFooter>&amp;L8.2.2.1.6 101 Schedule Template.xlsx&amp;RCreated: 10/22/21TG
Revised: 11/4/25BT</oddFooter>
  </headerFooter>
  <ignoredErrors>
    <ignoredError sqref="R22 R23:R24 R25:R3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"/>
  <sheetViews>
    <sheetView topLeftCell="A4" workbookViewId="0">
      <selection activeCell="C55" sqref="C55"/>
    </sheetView>
  </sheetViews>
  <sheetFormatPr defaultRowHeight="12.75" x14ac:dyDescent="0.2"/>
  <cols>
    <col min="1" max="1" width="10" bestFit="1" customWidth="1"/>
    <col min="2" max="2" width="24.5703125" bestFit="1" customWidth="1"/>
    <col min="3" max="3" width="8.5703125" bestFit="1" customWidth="1"/>
    <col min="4" max="4" width="4" bestFit="1" customWidth="1"/>
    <col min="5" max="5" width="4.85546875" bestFit="1" customWidth="1"/>
    <col min="6" max="6" width="4.5703125" bestFit="1" customWidth="1"/>
    <col min="7" max="7" width="6" bestFit="1" customWidth="1"/>
    <col min="8" max="8" width="3.85546875" bestFit="1" customWidth="1"/>
  </cols>
  <sheetData>
    <row r="1" spans="1:8" x14ac:dyDescent="0.2">
      <c r="A1" s="14" t="s">
        <v>176</v>
      </c>
      <c r="B1" s="17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">
      <c r="A2" s="181" t="s">
        <v>106</v>
      </c>
      <c r="B2" s="182"/>
      <c r="C2" s="182"/>
      <c r="D2" s="182"/>
      <c r="E2" s="182"/>
      <c r="F2" s="182"/>
      <c r="G2" s="182"/>
      <c r="H2" s="182"/>
    </row>
    <row r="3" spans="1:8" x14ac:dyDescent="0.2">
      <c r="A3" s="14">
        <v>705012348</v>
      </c>
      <c r="B3" t="s">
        <v>151</v>
      </c>
      <c r="C3" t="e">
        <f>(('Time Matrix'!B3*#REF!)*'Mon (101)'!#REF!) + (('Time Matrix'!B3*#REF!)*'Mon (101)'!#REF!) + (('Time Matrix'!B3*#REF!)*'Mon (101)'!#REF!) + (('Time Matrix'!B3*#REF!)*'Mon (101)'!#REF!)</f>
        <v>#REF!</v>
      </c>
      <c r="D3" t="e">
        <f>(('Time Matrix'!B3*#REF!)*#REF!) + (('Time Matrix'!B3*#REF!)*#REF!) + (('Time Matrix'!B3*#REF!)*#REF!) + (('Time Matrix'!B3*#REF!)*#REF!)</f>
        <v>#REF!</v>
      </c>
      <c r="E3" t="e">
        <f>(('Time Matrix'!B3*#REF!)*#REF!) + (('Time Matrix'!B3*#REF!)*#REF!) + (('Time Matrix'!B3*#REF!)*#REF!) + (('Time Matrix'!B3*#REF!)*#REF!)</f>
        <v>#REF!</v>
      </c>
      <c r="F3" t="e">
        <f>(('Time Matrix'!B3*#REF!)*#REF!) + (('Time Matrix'!B3*#REF!)*#REF!) + (('Time Matrix'!B3*#REF!)*#REF!) + (('Time Matrix'!B3*#REF!)*#REF!)</f>
        <v>#REF!</v>
      </c>
      <c r="G3" t="e">
        <f>(('Time Matrix'!B3*#REF!)*#REF!) + (('Time Matrix'!B3*#REF!)*#REF!) + (('Time Matrix'!B3*#REF!)*#REF!) + (('Time Matrix'!B3*#REF!)*#REF!)</f>
        <v>#REF!</v>
      </c>
      <c r="H3" t="e">
        <f>(('Time Matrix'!B3*#REF!)*#REF!) + (('Time Matrix'!B3*#REF!)*#REF!) + (('Time Matrix'!B3*#REF!)*#REF!) + (('Time Matrix'!B3*#REF!)*#REF!)</f>
        <v>#REF!</v>
      </c>
    </row>
    <row r="4" spans="1:8" x14ac:dyDescent="0.2">
      <c r="A4" s="14">
        <v>705012350</v>
      </c>
      <c r="B4" t="s">
        <v>152</v>
      </c>
      <c r="C4" t="e">
        <f>(('Time Matrix'!B4*#REF!)*'Mon (101)'!#REF!) + (('Time Matrix'!B4*#REF!)*'Mon (101)'!#REF!) + (('Time Matrix'!B4*#REF!)*'Mon (101)'!#REF!) + (('Time Matrix'!B4*#REF!)*'Mon (101)'!#REF!)</f>
        <v>#REF!</v>
      </c>
      <c r="D4" t="e">
        <f>(('Time Matrix'!B4*#REF!)*#REF!) + (('Time Matrix'!B4*#REF!)*#REF!) + (('Time Matrix'!B4*#REF!)*#REF!) + (('Time Matrix'!B4*#REF!)*#REF!)</f>
        <v>#REF!</v>
      </c>
      <c r="E4" t="e">
        <f>(('Time Matrix'!B4*#REF!)*#REF!) + (('Time Matrix'!B4*#REF!)*#REF!) + (('Time Matrix'!B4*#REF!)*#REF!) + (('Time Matrix'!B4*#REF!)*#REF!)</f>
        <v>#REF!</v>
      </c>
      <c r="F4" t="e">
        <f>(('Time Matrix'!B4*#REF!)*#REF!) + (('Time Matrix'!B4*#REF!)*#REF!) + (('Time Matrix'!B4*#REF!)*#REF!) + (('Time Matrix'!B4*#REF!)*#REF!)</f>
        <v>#REF!</v>
      </c>
      <c r="G4" t="e">
        <f>(('Time Matrix'!B4*#REF!)*#REF!) + (('Time Matrix'!B4*#REF!)*#REF!) + (('Time Matrix'!B4*#REF!)*#REF!) + (('Time Matrix'!B4*#REF!)*#REF!)</f>
        <v>#REF!</v>
      </c>
      <c r="H4" t="e">
        <f>(('Time Matrix'!B4*#REF!)*#REF!) + (('Time Matrix'!B4*#REF!)*#REF!) + (('Time Matrix'!B4*#REF!)*#REF!) + (('Time Matrix'!B4*#REF!)*#REF!)</f>
        <v>#REF!</v>
      </c>
    </row>
    <row r="5" spans="1:8" x14ac:dyDescent="0.2">
      <c r="A5" s="14">
        <v>705012868</v>
      </c>
      <c r="B5" t="s">
        <v>58</v>
      </c>
      <c r="C5" t="e">
        <f>(('Time Matrix'!B5*#REF!)*'Mon (101)'!#REF!) + (('Time Matrix'!B5*#REF!)*'Mon (101)'!#REF!) + (('Time Matrix'!B5*#REF!)*'Mon (101)'!#REF!) + (('Time Matrix'!B5*#REF!)*'Mon (101)'!#REF!)</f>
        <v>#REF!</v>
      </c>
      <c r="D5" t="e">
        <f>(('Time Matrix'!B5*#REF!)*#REF!) + (('Time Matrix'!B5*#REF!)*#REF!) + (('Time Matrix'!B5*#REF!)*#REF!) + (('Time Matrix'!B5*#REF!)*#REF!)</f>
        <v>#REF!</v>
      </c>
      <c r="E5" t="e">
        <f>(('Time Matrix'!B5*#REF!)*#REF!) + (('Time Matrix'!B5*#REF!)*#REF!) + (('Time Matrix'!B5*#REF!)*#REF!) + (('Time Matrix'!B5*#REF!)*#REF!)</f>
        <v>#REF!</v>
      </c>
      <c r="F5" t="e">
        <f>(('Time Matrix'!B5*#REF!)*#REF!) + (('Time Matrix'!B5*#REF!)*#REF!) + (('Time Matrix'!B5*#REF!)*#REF!) + (('Time Matrix'!B5*#REF!)*#REF!)</f>
        <v>#REF!</v>
      </c>
      <c r="G5" t="e">
        <f>(('Time Matrix'!B5*#REF!)*#REF!) + (('Time Matrix'!B5*#REF!)*#REF!) + (('Time Matrix'!B5*#REF!)*#REF!) + (('Time Matrix'!B5*#REF!)*#REF!)</f>
        <v>#REF!</v>
      </c>
      <c r="H5" t="e">
        <f>(('Time Matrix'!B5*#REF!)*#REF!) + (('Time Matrix'!B5*#REF!)*#REF!) + (('Time Matrix'!B5*#REF!)*#REF!) + (('Time Matrix'!B5*#REF!)*#REF!)</f>
        <v>#REF!</v>
      </c>
    </row>
    <row r="6" spans="1:8" x14ac:dyDescent="0.2">
      <c r="A6" s="14">
        <v>705012976</v>
      </c>
      <c r="B6" t="s">
        <v>57</v>
      </c>
      <c r="C6" t="e">
        <f>(('Time Matrix'!B6*#REF!)*'Mon (101)'!#REF!) + (('Time Matrix'!B6*#REF!)*'Mon (101)'!#REF!) + (('Time Matrix'!B6*#REF!)*'Mon (101)'!#REF!) + (('Time Matrix'!B6*#REF!)*'Mon (101)'!#REF!)</f>
        <v>#REF!</v>
      </c>
      <c r="D6" t="e">
        <f>(('Time Matrix'!B6*#REF!)*#REF!) + (('Time Matrix'!B6*#REF!)*#REF!) + (('Time Matrix'!B6*#REF!)*#REF!) + (('Time Matrix'!B6*#REF!)*#REF!)</f>
        <v>#REF!</v>
      </c>
      <c r="E6" t="e">
        <f>(('Time Matrix'!B6*#REF!)*#REF!) + (('Time Matrix'!B6*#REF!)*#REF!) + (('Time Matrix'!B6*#REF!)*#REF!) + (('Time Matrix'!B6*#REF!)*#REF!)</f>
        <v>#REF!</v>
      </c>
      <c r="F6" t="e">
        <f>(('Time Matrix'!B6*#REF!)*#REF!) + (('Time Matrix'!B6*#REF!)*#REF!) + (('Time Matrix'!B6*#REF!)*#REF!) + (('Time Matrix'!B6*#REF!)*#REF!)</f>
        <v>#REF!</v>
      </c>
      <c r="G6" t="e">
        <f>(('Time Matrix'!B6*#REF!)*#REF!) + (('Time Matrix'!B6*#REF!)*#REF!) + (('Time Matrix'!B6*#REF!)*#REF!) + (('Time Matrix'!B6*#REF!)*#REF!)</f>
        <v>#REF!</v>
      </c>
      <c r="H6" t="e">
        <f>(('Time Matrix'!B6*#REF!)*#REF!) + (('Time Matrix'!B6*#REF!)*#REF!) + (('Time Matrix'!B6*#REF!)*#REF!) + (('Time Matrix'!B6*#REF!)*#REF!)</f>
        <v>#REF!</v>
      </c>
    </row>
    <row r="7" spans="1:8" x14ac:dyDescent="0.2">
      <c r="A7" s="14">
        <v>705014100</v>
      </c>
      <c r="B7" t="s">
        <v>76</v>
      </c>
      <c r="C7" t="e">
        <f>(('Time Matrix'!B7*#REF!)*'Mon (101)'!#REF!) + (('Time Matrix'!B7*#REF!)*'Mon (101)'!#REF!) + (('Time Matrix'!B7*#REF!)*'Mon (101)'!#REF!) + (('Time Matrix'!B7*#REF!)*'Mon (101)'!#REF!)</f>
        <v>#REF!</v>
      </c>
      <c r="D7" t="e">
        <f>(('Time Matrix'!B7*#REF!)*#REF!) + (('Time Matrix'!B7*#REF!)*#REF!) + (('Time Matrix'!B7*#REF!)*#REF!) + (('Time Matrix'!B7*#REF!)*#REF!)</f>
        <v>#REF!</v>
      </c>
      <c r="E7" t="e">
        <f>(('Time Matrix'!B7*#REF!)*#REF!) + (('Time Matrix'!B7*#REF!)*#REF!) + (('Time Matrix'!B7*#REF!)*#REF!) + (('Time Matrix'!B7*#REF!)*#REF!)</f>
        <v>#REF!</v>
      </c>
      <c r="F7" t="e">
        <f>(('Time Matrix'!B7*#REF!)*#REF!) + (('Time Matrix'!B7*#REF!)*#REF!) + (('Time Matrix'!B7*#REF!)*#REF!) + (('Time Matrix'!B7*#REF!)*#REF!)</f>
        <v>#REF!</v>
      </c>
      <c r="G7" t="e">
        <f>(('Time Matrix'!B7*#REF!)*#REF!) + (('Time Matrix'!B7*#REF!)*#REF!) + (('Time Matrix'!B7*#REF!)*#REF!) + (('Time Matrix'!B7*#REF!)*#REF!)</f>
        <v>#REF!</v>
      </c>
      <c r="H7" t="e">
        <f>(('Time Matrix'!B7*#REF!)*#REF!) + (('Time Matrix'!B7*#REF!)*#REF!) + (('Time Matrix'!B7*#REF!)*#REF!) + (('Time Matrix'!B7*#REF!)*#REF!)</f>
        <v>#REF!</v>
      </c>
    </row>
    <row r="8" spans="1:8" x14ac:dyDescent="0.2">
      <c r="A8" s="14">
        <v>705014101</v>
      </c>
      <c r="B8" t="s">
        <v>77</v>
      </c>
      <c r="C8" t="e">
        <f>(('Time Matrix'!B8*#REF!)*'Mon (101)'!#REF!) + (('Time Matrix'!B8*#REF!)*'Mon (101)'!#REF!) + (('Time Matrix'!B8*#REF!)*'Mon (101)'!#REF!) + (('Time Matrix'!B8*#REF!)*'Mon (101)'!#REF!)</f>
        <v>#REF!</v>
      </c>
      <c r="D8" t="e">
        <f>(('Time Matrix'!B8*#REF!)*#REF!) + (('Time Matrix'!B8*#REF!)*#REF!) + (('Time Matrix'!B8*#REF!)*#REF!) + (('Time Matrix'!B8*#REF!)*#REF!)</f>
        <v>#REF!</v>
      </c>
      <c r="E8" t="e">
        <f>(('Time Matrix'!B8*#REF!)*#REF!) + (('Time Matrix'!B8*#REF!)*#REF!) + (('Time Matrix'!B8*#REF!)*#REF!) + (('Time Matrix'!B8*#REF!)*#REF!)</f>
        <v>#REF!</v>
      </c>
      <c r="F8" t="e">
        <f>(('Time Matrix'!B8*#REF!)*#REF!) + (('Time Matrix'!B8*#REF!)*#REF!) + (('Time Matrix'!B8*#REF!)*#REF!) + (('Time Matrix'!B8*#REF!)*#REF!)</f>
        <v>#REF!</v>
      </c>
      <c r="G8" t="e">
        <f>(('Time Matrix'!B8*#REF!)*#REF!) + (('Time Matrix'!B8*#REF!)*#REF!) + (('Time Matrix'!B8*#REF!)*#REF!) + (('Time Matrix'!B8*#REF!)*#REF!)</f>
        <v>#REF!</v>
      </c>
      <c r="H8" t="e">
        <f>(('Time Matrix'!B8*#REF!)*#REF!) + (('Time Matrix'!B8*#REF!)*#REF!) + (('Time Matrix'!B8*#REF!)*#REF!) + (('Time Matrix'!B8*#REF!)*#REF!)</f>
        <v>#REF!</v>
      </c>
    </row>
    <row r="9" spans="1:8" x14ac:dyDescent="0.2">
      <c r="A9" s="14">
        <v>708003041</v>
      </c>
      <c r="B9" t="s">
        <v>68</v>
      </c>
      <c r="C9" t="e">
        <f>(('Time Matrix'!B9*#REF!)*'Mon (101)'!#REF!) + (('Time Matrix'!B9*#REF!)*'Mon (101)'!#REF!) + (('Time Matrix'!B9*#REF!)*'Mon (101)'!#REF!) + (('Time Matrix'!B9*#REF!)*'Mon (101)'!#REF!)</f>
        <v>#REF!</v>
      </c>
      <c r="D9" t="e">
        <f>(('Time Matrix'!B9*#REF!)*#REF!) + (('Time Matrix'!B9*#REF!)*#REF!) + (('Time Matrix'!B9*#REF!)*#REF!) + (('Time Matrix'!B9*#REF!)*#REF!)</f>
        <v>#REF!</v>
      </c>
      <c r="E9" t="e">
        <f>(('Time Matrix'!B9*#REF!)*#REF!) + (('Time Matrix'!B9*#REF!)*#REF!) + (('Time Matrix'!B9*#REF!)*#REF!) + (('Time Matrix'!B9*#REF!)*#REF!)</f>
        <v>#REF!</v>
      </c>
      <c r="F9" t="e">
        <f>(('Time Matrix'!B9*#REF!)*#REF!) + (('Time Matrix'!B9*#REF!)*#REF!) + (('Time Matrix'!B9*#REF!)*#REF!) + (('Time Matrix'!B9*#REF!)*#REF!)</f>
        <v>#REF!</v>
      </c>
      <c r="G9" t="e">
        <f>(('Time Matrix'!B9*#REF!)*#REF!) + (('Time Matrix'!B9*#REF!)*#REF!) + (('Time Matrix'!B9*#REF!)*#REF!) + (('Time Matrix'!B9*#REF!)*#REF!)</f>
        <v>#REF!</v>
      </c>
      <c r="H9" t="e">
        <f>(('Time Matrix'!B9*#REF!)*#REF!) + (('Time Matrix'!B9*#REF!)*#REF!) + (('Time Matrix'!B9*#REF!)*#REF!) + (('Time Matrix'!B9*#REF!)*#REF!)</f>
        <v>#REF!</v>
      </c>
    </row>
    <row r="10" spans="1:8" x14ac:dyDescent="0.2">
      <c r="A10" s="14">
        <v>708200869</v>
      </c>
      <c r="B10" t="s">
        <v>69</v>
      </c>
      <c r="C10" t="e">
        <f>(('Time Matrix'!B10*#REF!)*'Mon (101)'!#REF!) + (('Time Matrix'!B10*#REF!)*'Mon (101)'!#REF!) + (('Time Matrix'!B10*#REF!)*'Mon (101)'!#REF!) + (('Time Matrix'!B10*#REF!)*'Mon (101)'!#REF!)</f>
        <v>#REF!</v>
      </c>
      <c r="D10" t="e">
        <f>(('Time Matrix'!B10*#REF!)*#REF!) + (('Time Matrix'!B10*#REF!)*#REF!) + (('Time Matrix'!B10*#REF!)*#REF!) + (('Time Matrix'!B10*#REF!)*#REF!)</f>
        <v>#REF!</v>
      </c>
      <c r="E10" t="e">
        <f>(('Time Matrix'!B10*#REF!)*#REF!) + (('Time Matrix'!B10*#REF!)*#REF!) + (('Time Matrix'!B10*#REF!)*#REF!) + (('Time Matrix'!B10*#REF!)*#REF!)</f>
        <v>#REF!</v>
      </c>
      <c r="F10" t="e">
        <f>(('Time Matrix'!B10*#REF!)*#REF!) + (('Time Matrix'!B10*#REF!)*#REF!) + (('Time Matrix'!B10*#REF!)*#REF!) + (('Time Matrix'!B10*#REF!)*#REF!)</f>
        <v>#REF!</v>
      </c>
      <c r="G10" t="e">
        <f>(('Time Matrix'!B10*#REF!)*#REF!) + (('Time Matrix'!B10*#REF!)*#REF!) + (('Time Matrix'!B10*#REF!)*#REF!) + (('Time Matrix'!B10*#REF!)*#REF!)</f>
        <v>#REF!</v>
      </c>
      <c r="H10" t="e">
        <f>(('Time Matrix'!B10*#REF!)*#REF!) + (('Time Matrix'!B10*#REF!)*#REF!) + (('Time Matrix'!B10*#REF!)*#REF!) + (('Time Matrix'!B10*#REF!)*#REF!)</f>
        <v>#REF!</v>
      </c>
    </row>
    <row r="11" spans="1:8" x14ac:dyDescent="0.2">
      <c r="A11" s="14">
        <v>708200870</v>
      </c>
      <c r="B11" t="s">
        <v>112</v>
      </c>
      <c r="C11" t="e">
        <f>(('Time Matrix'!B11*#REF!)*'Mon (101)'!#REF!) + (('Time Matrix'!B11*#REF!)*'Mon (101)'!#REF!) + (('Time Matrix'!B11*#REF!)*'Mon (101)'!#REF!) + (('Time Matrix'!B11*#REF!)*'Mon (101)'!#REF!)</f>
        <v>#REF!</v>
      </c>
      <c r="D11" t="e">
        <f>(('Time Matrix'!B11*#REF!)*#REF!) + (('Time Matrix'!B11*#REF!)*#REF!) + (('Time Matrix'!B11*#REF!)*#REF!) + (('Time Matrix'!B11*#REF!)*#REF!)</f>
        <v>#REF!</v>
      </c>
      <c r="E11" t="e">
        <f>(('Time Matrix'!B11*#REF!)*#REF!) + (('Time Matrix'!B11*#REF!)*#REF!) + (('Time Matrix'!B11*#REF!)*#REF!) + (('Time Matrix'!B11*#REF!)*#REF!)</f>
        <v>#REF!</v>
      </c>
      <c r="F11" t="e">
        <f>(('Time Matrix'!B11*#REF!)*#REF!) + (('Time Matrix'!B11*#REF!)*#REF!) + (('Time Matrix'!B11*#REF!)*#REF!) + (('Time Matrix'!B11*#REF!)*#REF!)</f>
        <v>#REF!</v>
      </c>
      <c r="G11" t="e">
        <f>(('Time Matrix'!B11*#REF!)*#REF!) + (('Time Matrix'!B11*#REF!)*#REF!) + (('Time Matrix'!B11*#REF!)*#REF!) + (('Time Matrix'!B11*#REF!)*#REF!)</f>
        <v>#REF!</v>
      </c>
      <c r="H11" t="e">
        <f>(('Time Matrix'!B11*#REF!)*#REF!) + (('Time Matrix'!B11*#REF!)*#REF!) + (('Time Matrix'!B11*#REF!)*#REF!) + (('Time Matrix'!B11*#REF!)*#REF!)</f>
        <v>#REF!</v>
      </c>
    </row>
    <row r="12" spans="1:8" x14ac:dyDescent="0.2">
      <c r="A12" s="14">
        <v>708200871</v>
      </c>
      <c r="B12" t="s">
        <v>113</v>
      </c>
      <c r="C12" t="e">
        <f>(('Time Matrix'!B12*#REF!)*'Mon (101)'!#REF!) + (('Time Matrix'!B12*#REF!)*'Mon (101)'!#REF!) + (('Time Matrix'!B12*#REF!)*'Mon (101)'!#REF!) + (('Time Matrix'!B12*#REF!)*'Mon (101)'!#REF!)</f>
        <v>#REF!</v>
      </c>
      <c r="D12" t="e">
        <f>(('Time Matrix'!B12*#REF!)*#REF!) + (('Time Matrix'!B12*#REF!)*#REF!) + (('Time Matrix'!B12*#REF!)*#REF!) + (('Time Matrix'!B12*#REF!)*#REF!)</f>
        <v>#REF!</v>
      </c>
      <c r="E12" t="e">
        <f>(('Time Matrix'!B12*#REF!)*#REF!) + (('Time Matrix'!B12*#REF!)*#REF!) + (('Time Matrix'!B12*#REF!)*#REF!) + (('Time Matrix'!B12*#REF!)*#REF!)</f>
        <v>#REF!</v>
      </c>
      <c r="F12" t="e">
        <f>(('Time Matrix'!B12*#REF!)*#REF!) + (('Time Matrix'!B12*#REF!)*#REF!) + (('Time Matrix'!B12*#REF!)*#REF!) + (('Time Matrix'!B12*#REF!)*#REF!)</f>
        <v>#REF!</v>
      </c>
      <c r="G12" t="e">
        <f>(('Time Matrix'!B12*#REF!)*#REF!) + (('Time Matrix'!B12*#REF!)*#REF!) + (('Time Matrix'!B12*#REF!)*#REF!) + (('Time Matrix'!B12*#REF!)*#REF!)</f>
        <v>#REF!</v>
      </c>
      <c r="H12" t="e">
        <f>(('Time Matrix'!B12*#REF!)*#REF!) + (('Time Matrix'!B12*#REF!)*#REF!) + (('Time Matrix'!B12*#REF!)*#REF!) + (('Time Matrix'!B12*#REF!)*#REF!)</f>
        <v>#REF!</v>
      </c>
    </row>
    <row r="13" spans="1:8" x14ac:dyDescent="0.2">
      <c r="A13" s="14">
        <v>708302947</v>
      </c>
      <c r="B13" t="s">
        <v>110</v>
      </c>
      <c r="C13" t="e">
        <f>(('Time Matrix'!B13*#REF!)*'Mon (101)'!#REF!) + (('Time Matrix'!B13*#REF!)*'Mon (101)'!#REF!) + (('Time Matrix'!B13*#REF!)*'Mon (101)'!#REF!) + (('Time Matrix'!B13*#REF!)*'Mon (101)'!#REF!)</f>
        <v>#REF!</v>
      </c>
      <c r="D13" t="e">
        <f>(('Time Matrix'!B13*#REF!)*#REF!) + (('Time Matrix'!B13*#REF!)*#REF!) + (('Time Matrix'!B13*#REF!)*#REF!) + (('Time Matrix'!B13*#REF!)*#REF!)</f>
        <v>#REF!</v>
      </c>
      <c r="E13" t="e">
        <f>(('Time Matrix'!B13*#REF!)*#REF!) + (('Time Matrix'!B13*#REF!)*#REF!) + (('Time Matrix'!B13*#REF!)*#REF!) + (('Time Matrix'!B13*#REF!)*#REF!)</f>
        <v>#REF!</v>
      </c>
      <c r="F13" t="e">
        <f>(('Time Matrix'!B13*#REF!)*#REF!) + (('Time Matrix'!B13*#REF!)*#REF!) + (('Time Matrix'!B13*#REF!)*#REF!) + (('Time Matrix'!B13*#REF!)*#REF!)</f>
        <v>#REF!</v>
      </c>
      <c r="G13" t="e">
        <f>(('Time Matrix'!B13*#REF!)*#REF!) + (('Time Matrix'!B13*#REF!)*#REF!) + (('Time Matrix'!B13*#REF!)*#REF!) + (('Time Matrix'!B13*#REF!)*#REF!)</f>
        <v>#REF!</v>
      </c>
      <c r="H13" t="e">
        <f>(('Time Matrix'!B13*#REF!)*#REF!) + (('Time Matrix'!B13*#REF!)*#REF!) + (('Time Matrix'!B13*#REF!)*#REF!) + (('Time Matrix'!B13*#REF!)*#REF!)</f>
        <v>#REF!</v>
      </c>
    </row>
    <row r="14" spans="1:8" x14ac:dyDescent="0.2">
      <c r="A14" s="14">
        <v>708302948</v>
      </c>
      <c r="B14" t="s">
        <v>111</v>
      </c>
      <c r="C14" t="e">
        <f>(('Time Matrix'!B14*#REF!)*'Mon (101)'!#REF!) + (('Time Matrix'!B14*#REF!)*'Mon (101)'!#REF!) + (('Time Matrix'!B14*#REF!)*'Mon (101)'!#REF!) + (('Time Matrix'!B14*#REF!)*'Mon (101)'!#REF!)</f>
        <v>#REF!</v>
      </c>
      <c r="D14" t="e">
        <f>(('Time Matrix'!B14*#REF!)*#REF!) + (('Time Matrix'!B14*#REF!)*#REF!) + (('Time Matrix'!B14*#REF!)*#REF!) + (('Time Matrix'!B14*#REF!)*#REF!)</f>
        <v>#REF!</v>
      </c>
      <c r="E14" t="e">
        <f>(('Time Matrix'!B14*#REF!)*#REF!) + (('Time Matrix'!B14*#REF!)*#REF!) + (('Time Matrix'!B14*#REF!)*#REF!) + (('Time Matrix'!B14*#REF!)*#REF!)</f>
        <v>#REF!</v>
      </c>
      <c r="F14" t="e">
        <f>(('Time Matrix'!B14*#REF!)*#REF!) + (('Time Matrix'!B14*#REF!)*#REF!) + (('Time Matrix'!B14*#REF!)*#REF!) + (('Time Matrix'!B14*#REF!)*#REF!)</f>
        <v>#REF!</v>
      </c>
      <c r="G14" t="e">
        <f>(('Time Matrix'!B14*#REF!)*#REF!) + (('Time Matrix'!B14*#REF!)*#REF!) + (('Time Matrix'!B14*#REF!)*#REF!) + (('Time Matrix'!B14*#REF!)*#REF!)</f>
        <v>#REF!</v>
      </c>
      <c r="H14" t="e">
        <f>(('Time Matrix'!B14*#REF!)*#REF!) + (('Time Matrix'!B14*#REF!)*#REF!) + (('Time Matrix'!B14*#REF!)*#REF!) + (('Time Matrix'!B14*#REF!)*#REF!)</f>
        <v>#REF!</v>
      </c>
    </row>
    <row r="15" spans="1:8" x14ac:dyDescent="0.2">
      <c r="A15" s="14">
        <v>708303799</v>
      </c>
      <c r="B15" t="s">
        <v>72</v>
      </c>
      <c r="C15" t="e">
        <f>(('Time Matrix'!B15*#REF!)*'Mon (101)'!#REF!) + (('Time Matrix'!B15*#REF!)*'Mon (101)'!#REF!) + (('Time Matrix'!B15*#REF!)*'Mon (101)'!#REF!) + (('Time Matrix'!B15*#REF!)*'Mon (101)'!#REF!)</f>
        <v>#REF!</v>
      </c>
      <c r="D15" t="e">
        <f>(('Time Matrix'!B15*#REF!)*#REF!) + (('Time Matrix'!B15*#REF!)*#REF!) + (('Time Matrix'!B15*#REF!)*#REF!) + (('Time Matrix'!B15*#REF!)*#REF!)</f>
        <v>#REF!</v>
      </c>
      <c r="E15" t="e">
        <f>(('Time Matrix'!B15*#REF!)*#REF!) + (('Time Matrix'!B15*#REF!)*#REF!) + (('Time Matrix'!B15*#REF!)*#REF!) + (('Time Matrix'!B15*#REF!)*#REF!)</f>
        <v>#REF!</v>
      </c>
      <c r="F15" t="e">
        <f>(('Time Matrix'!B15*#REF!)*#REF!) + (('Time Matrix'!B15*#REF!)*#REF!) + (('Time Matrix'!B15*#REF!)*#REF!) + (('Time Matrix'!B15*#REF!)*#REF!)</f>
        <v>#REF!</v>
      </c>
      <c r="G15" t="e">
        <f>(('Time Matrix'!B15*#REF!)*#REF!) + (('Time Matrix'!B15*#REF!)*#REF!) + (('Time Matrix'!B15*#REF!)*#REF!) + (('Time Matrix'!B15*#REF!)*#REF!)</f>
        <v>#REF!</v>
      </c>
      <c r="H15" t="e">
        <f>(('Time Matrix'!B15*#REF!)*#REF!) + (('Time Matrix'!B15*#REF!)*#REF!) + (('Time Matrix'!B15*#REF!)*#REF!) + (('Time Matrix'!B15*#REF!)*#REF!)</f>
        <v>#REF!</v>
      </c>
    </row>
    <row r="16" spans="1:8" x14ac:dyDescent="0.2">
      <c r="A16" s="14">
        <v>708303801</v>
      </c>
      <c r="B16" t="s">
        <v>73</v>
      </c>
      <c r="C16" t="e">
        <f>(('Time Matrix'!B16*#REF!)*'Mon (101)'!#REF!) + (('Time Matrix'!B16*#REF!)*'Mon (101)'!#REF!) + (('Time Matrix'!B16*#REF!)*'Mon (101)'!#REF!) + (('Time Matrix'!B16*#REF!)*'Mon (101)'!#REF!)</f>
        <v>#REF!</v>
      </c>
      <c r="D16" t="e">
        <f>(('Time Matrix'!B16*#REF!)*#REF!) + (('Time Matrix'!B16*#REF!)*#REF!) + (('Time Matrix'!B16*#REF!)*#REF!) + (('Time Matrix'!B16*#REF!)*#REF!)</f>
        <v>#REF!</v>
      </c>
      <c r="E16" t="e">
        <f>(('Time Matrix'!B16*#REF!)*#REF!) + (('Time Matrix'!B16*#REF!)*#REF!) + (('Time Matrix'!B16*#REF!)*#REF!) + (('Time Matrix'!B16*#REF!)*#REF!)</f>
        <v>#REF!</v>
      </c>
      <c r="F16" t="e">
        <f>(('Time Matrix'!B16*#REF!)*#REF!) + (('Time Matrix'!B16*#REF!)*#REF!) + (('Time Matrix'!B16*#REF!)*#REF!) + (('Time Matrix'!B16*#REF!)*#REF!)</f>
        <v>#REF!</v>
      </c>
      <c r="G16" t="e">
        <f>(('Time Matrix'!B16*#REF!)*#REF!) + (('Time Matrix'!B16*#REF!)*#REF!) + (('Time Matrix'!B16*#REF!)*#REF!) + (('Time Matrix'!B16*#REF!)*#REF!)</f>
        <v>#REF!</v>
      </c>
      <c r="H16" t="e">
        <f>(('Time Matrix'!B16*#REF!)*#REF!) + (('Time Matrix'!B16*#REF!)*#REF!) + (('Time Matrix'!B16*#REF!)*#REF!) + (('Time Matrix'!B16*#REF!)*#REF!)</f>
        <v>#REF!</v>
      </c>
    </row>
    <row r="17" spans="1:8" x14ac:dyDescent="0.2">
      <c r="A17">
        <v>708400461</v>
      </c>
      <c r="B17" t="s">
        <v>59</v>
      </c>
      <c r="C17" t="e">
        <f>(('Time Matrix'!B17*#REF!)*'Mon (101)'!#REF!) + (('Time Matrix'!B17*#REF!)*'Mon (101)'!#REF!) + (('Time Matrix'!B17*#REF!)*'Mon (101)'!#REF!) + (('Time Matrix'!B17*#REF!)*'Mon (101)'!#REF!)</f>
        <v>#REF!</v>
      </c>
      <c r="D17" t="e">
        <f>(('Time Matrix'!B17*#REF!)*#REF!) + (('Time Matrix'!B17*#REF!)*#REF!) + (('Time Matrix'!B17*#REF!)*#REF!) + (('Time Matrix'!B17*#REF!)*#REF!)</f>
        <v>#REF!</v>
      </c>
      <c r="E17" t="e">
        <f>(('Time Matrix'!B17*#REF!)*#REF!) + (('Time Matrix'!B17*#REF!)*#REF!) + (('Time Matrix'!B17*#REF!)*#REF!) + (('Time Matrix'!B17*#REF!)*#REF!)</f>
        <v>#REF!</v>
      </c>
      <c r="F17" t="e">
        <f>(('Time Matrix'!B17*#REF!)*#REF!) + (('Time Matrix'!B17*#REF!)*#REF!) + (('Time Matrix'!B17*#REF!)*#REF!) + (('Time Matrix'!B17*#REF!)*#REF!)</f>
        <v>#REF!</v>
      </c>
      <c r="G17" t="e">
        <f>(('Time Matrix'!B17*#REF!)*#REF!) + (('Time Matrix'!B17*#REF!)*#REF!) + (('Time Matrix'!B17*#REF!)*#REF!) + (('Time Matrix'!B17*#REF!)*#REF!)</f>
        <v>#REF!</v>
      </c>
      <c r="H17" t="e">
        <f>(('Time Matrix'!B17*#REF!)*#REF!) + (('Time Matrix'!B17*#REF!)*#REF!) + (('Time Matrix'!B17*#REF!)*#REF!) + (('Time Matrix'!B17*#REF!)*#REF!)</f>
        <v>#REF!</v>
      </c>
    </row>
    <row r="18" spans="1:8" x14ac:dyDescent="0.2">
      <c r="A18">
        <v>708400463</v>
      </c>
      <c r="B18" t="s">
        <v>60</v>
      </c>
      <c r="C18" t="e">
        <f>(('Time Matrix'!B18*#REF!)*'Mon (101)'!#REF!) + (('Time Matrix'!B18*#REF!)*'Mon (101)'!#REF!) + (('Time Matrix'!B18*#REF!)*'Mon (101)'!#REF!) + (('Time Matrix'!B18*#REF!)*'Mon (101)'!#REF!)</f>
        <v>#REF!</v>
      </c>
      <c r="D18" t="e">
        <f>(('Time Matrix'!B18*#REF!)*#REF!) + (('Time Matrix'!B18*#REF!)*#REF!) + (('Time Matrix'!B18*#REF!)*#REF!) + (('Time Matrix'!B18*#REF!)*#REF!)</f>
        <v>#REF!</v>
      </c>
      <c r="E18" t="e">
        <f>(('Time Matrix'!B18*#REF!)*#REF!) + (('Time Matrix'!B18*#REF!)*#REF!) + (('Time Matrix'!B18*#REF!)*#REF!) + (('Time Matrix'!B18*#REF!)*#REF!)</f>
        <v>#REF!</v>
      </c>
      <c r="F18" t="e">
        <f>(('Time Matrix'!B18*#REF!)*#REF!) + (('Time Matrix'!B18*#REF!)*#REF!) + (('Time Matrix'!B18*#REF!)*#REF!) + (('Time Matrix'!B18*#REF!)*#REF!)</f>
        <v>#REF!</v>
      </c>
      <c r="G18" t="e">
        <f>(('Time Matrix'!B18*#REF!)*#REF!) + (('Time Matrix'!B18*#REF!)*#REF!) + (('Time Matrix'!B18*#REF!)*#REF!) + (('Time Matrix'!B18*#REF!)*#REF!)</f>
        <v>#REF!</v>
      </c>
      <c r="H18" t="e">
        <f>(('Time Matrix'!B18*#REF!)*#REF!) + (('Time Matrix'!B18*#REF!)*#REF!) + (('Time Matrix'!B18*#REF!)*#REF!) + (('Time Matrix'!B18*#REF!)*#REF!)</f>
        <v>#REF!</v>
      </c>
    </row>
    <row r="19" spans="1:8" x14ac:dyDescent="0.2">
      <c r="A19" s="179" t="s">
        <v>164</v>
      </c>
      <c r="B19" s="180"/>
      <c r="C19" t="e">
        <f t="shared" ref="C19:H19" si="0">SUM(C3:C18)</f>
        <v>#REF!</v>
      </c>
      <c r="D19" t="e">
        <f t="shared" si="0"/>
        <v>#REF!</v>
      </c>
      <c r="E19" t="e">
        <f t="shared" si="0"/>
        <v>#REF!</v>
      </c>
      <c r="F19" t="e">
        <f t="shared" si="0"/>
        <v>#REF!</v>
      </c>
      <c r="G19" t="e">
        <f t="shared" si="0"/>
        <v>#REF!</v>
      </c>
      <c r="H19" t="e">
        <f t="shared" si="0"/>
        <v>#REF!</v>
      </c>
    </row>
    <row r="20" spans="1:8" x14ac:dyDescent="0.2">
      <c r="A20" s="181" t="s">
        <v>70</v>
      </c>
      <c r="B20" s="182"/>
      <c r="C20" s="182"/>
      <c r="D20" s="182"/>
      <c r="E20" s="182"/>
      <c r="F20" s="182"/>
      <c r="G20" s="182"/>
      <c r="H20" s="182"/>
    </row>
    <row r="21" spans="1:8" x14ac:dyDescent="0.2">
      <c r="A21" s="14">
        <v>708001528</v>
      </c>
      <c r="B21" t="s">
        <v>71</v>
      </c>
      <c r="C21" t="e">
        <f>(('Time Matrix'!C19*#REF!)*'Mon (101)'!#REF!) + (('Time Matrix'!C19*#REF!)*'Mon (101)'!#REF!) + (('Time Matrix'!C19*#REF!)*'Mon (101)'!#REF!) + (('Time Matrix'!C19*#REF!)*'Mon (101)'!#REF!)</f>
        <v>#REF!</v>
      </c>
      <c r="D21" t="e">
        <f>(('Time Matrix'!C19*#REF!)*#REF!) + (('Time Matrix'!C19*#REF!)*#REF!) + (('Time Matrix'!C19*#REF!)*#REF!) + (('Time Matrix'!C19*#REF!)*#REF!)</f>
        <v>#REF!</v>
      </c>
      <c r="E21" t="e">
        <f>(('Time Matrix'!C19*#REF!)*#REF!) + (('Time Matrix'!C19*#REF!)*#REF!) + (('Time Matrix'!C19*#REF!)*#REF!) + (('Time Matrix'!C19*#REF!)*#REF!)</f>
        <v>#REF!</v>
      </c>
      <c r="F21" t="e">
        <f>(('Time Matrix'!C19*#REF!)*#REF!) + (('Time Matrix'!C19*#REF!)*#REF!) + (('Time Matrix'!C19*#REF!)*#REF!) + (('Time Matrix'!C19*#REF!)*#REF!)</f>
        <v>#REF!</v>
      </c>
      <c r="G21" t="e">
        <f>(('Time Matrix'!C19*#REF!)*#REF!) + (('Time Matrix'!C19*#REF!)*#REF!) + (('Time Matrix'!C19*#REF!)*#REF!) + (('Time Matrix'!C19*#REF!)*#REF!)</f>
        <v>#REF!</v>
      </c>
      <c r="H21" t="e">
        <f>(('Time Matrix'!C19*#REF!)*#REF!) + (('Time Matrix'!C19*#REF!)*#REF!) + (('Time Matrix'!C19*#REF!)*#REF!) + (('Time Matrix'!C19*#REF!)*#REF!)</f>
        <v>#REF!</v>
      </c>
    </row>
    <row r="22" spans="1:8" x14ac:dyDescent="0.2">
      <c r="A22" s="14">
        <v>708400001</v>
      </c>
      <c r="B22" t="s">
        <v>153</v>
      </c>
      <c r="C22" t="e">
        <f>(('Time Matrix'!C20*#REF!)*'Mon (101)'!#REF!) + (('Time Matrix'!C20*#REF!)*'Mon (101)'!#REF!) + (('Time Matrix'!C20*#REF!)*'Mon (101)'!#REF!) + (('Time Matrix'!C20*#REF!)*'Mon (101)'!#REF!)</f>
        <v>#REF!</v>
      </c>
      <c r="D22" t="e">
        <f>(('Time Matrix'!C20*#REF!)*#REF!) + (('Time Matrix'!C20*#REF!)*#REF!) + (('Time Matrix'!C20*#REF!)*#REF!) + (('Time Matrix'!C20*#REF!)*#REF!)</f>
        <v>#REF!</v>
      </c>
      <c r="E22" t="e">
        <f>(('Time Matrix'!C20*#REF!)*#REF!) + (('Time Matrix'!C20*#REF!)*#REF!) + (('Time Matrix'!C20*#REF!)*#REF!) + (('Time Matrix'!C20*#REF!)*#REF!)</f>
        <v>#REF!</v>
      </c>
      <c r="F22" t="e">
        <f>(('Time Matrix'!C20*#REF!)*#REF!) + (('Time Matrix'!C20*#REF!)*#REF!) + (('Time Matrix'!C20*#REF!)*#REF!) + (('Time Matrix'!C20*#REF!)*#REF!)</f>
        <v>#REF!</v>
      </c>
      <c r="G22" t="e">
        <f>(('Time Matrix'!C20*#REF!)*#REF!) + (('Time Matrix'!C20*#REF!)*#REF!) + (('Time Matrix'!C20*#REF!)*#REF!) + (('Time Matrix'!C20*#REF!)*#REF!)</f>
        <v>#REF!</v>
      </c>
      <c r="H22" t="e">
        <f>(('Time Matrix'!C20*#REF!)*#REF!) + (('Time Matrix'!C20*#REF!)*#REF!) + (('Time Matrix'!C20*#REF!)*#REF!) + (('Time Matrix'!C20*#REF!)*#REF!)</f>
        <v>#REF!</v>
      </c>
    </row>
    <row r="23" spans="1:8" x14ac:dyDescent="0.2">
      <c r="A23" s="14">
        <v>708400002</v>
      </c>
      <c r="B23" t="s">
        <v>154</v>
      </c>
      <c r="C23" t="e">
        <f>(('Time Matrix'!C21*#REF!)*'Mon (101)'!#REF!) + (('Time Matrix'!C21*#REF!)*'Mon (101)'!#REF!) + (('Time Matrix'!C21*#REF!)*'Mon (101)'!#REF!) + (('Time Matrix'!C21*#REF!)*'Mon (101)'!#REF!)</f>
        <v>#REF!</v>
      </c>
      <c r="D23" t="e">
        <f>(('Time Matrix'!C21*#REF!)*#REF!) + (('Time Matrix'!C21*#REF!)*#REF!) + (('Time Matrix'!C21*#REF!)*#REF!) + (('Time Matrix'!C21*#REF!)*#REF!)</f>
        <v>#REF!</v>
      </c>
      <c r="E23" t="e">
        <f>(('Time Matrix'!C21*#REF!)*#REF!) + (('Time Matrix'!C21*#REF!)*#REF!) + (('Time Matrix'!C21*#REF!)*#REF!) + (('Time Matrix'!C21*#REF!)*#REF!)</f>
        <v>#REF!</v>
      </c>
      <c r="F23" t="e">
        <f>(('Time Matrix'!C21*#REF!)*#REF!) + (('Time Matrix'!C21*#REF!)*#REF!) + (('Time Matrix'!C21*#REF!)*#REF!) + (('Time Matrix'!C21*#REF!)*#REF!)</f>
        <v>#REF!</v>
      </c>
      <c r="G23" t="e">
        <f>(('Time Matrix'!C21*#REF!)*#REF!) + (('Time Matrix'!C21*#REF!)*#REF!) + (('Time Matrix'!C21*#REF!)*#REF!) + (('Time Matrix'!C21*#REF!)*#REF!)</f>
        <v>#REF!</v>
      </c>
      <c r="H23" t="e">
        <f>(('Time Matrix'!C21*#REF!)*#REF!) + (('Time Matrix'!C21*#REF!)*#REF!) + (('Time Matrix'!C21*#REF!)*#REF!) + (('Time Matrix'!C21*#REF!)*#REF!)</f>
        <v>#REF!</v>
      </c>
    </row>
    <row r="24" spans="1:8" x14ac:dyDescent="0.2">
      <c r="A24" s="14">
        <v>708400067</v>
      </c>
      <c r="B24" t="s">
        <v>155</v>
      </c>
      <c r="C24" t="e">
        <f>(('Time Matrix'!C22*#REF!)*'Mon (101)'!#REF!) + (('Time Matrix'!C22*#REF!)*'Mon (101)'!#REF!) + (('Time Matrix'!C22*#REF!)*'Mon (101)'!#REF!) + (('Time Matrix'!C22*#REF!)*'Mon (101)'!#REF!)</f>
        <v>#REF!</v>
      </c>
      <c r="D24" t="e">
        <f>(('Time Matrix'!C22*#REF!)*#REF!) + (('Time Matrix'!C22*#REF!)*#REF!) + (('Time Matrix'!C22*#REF!)*#REF!) + (('Time Matrix'!C22*#REF!)*#REF!)</f>
        <v>#REF!</v>
      </c>
      <c r="E24" t="e">
        <f>(('Time Matrix'!C22*#REF!)*#REF!) + (('Time Matrix'!C22*#REF!)*#REF!) + (('Time Matrix'!C22*#REF!)*#REF!) + (('Time Matrix'!C22*#REF!)*#REF!)</f>
        <v>#REF!</v>
      </c>
      <c r="F24" t="e">
        <f>(('Time Matrix'!C22*#REF!)*#REF!) + (('Time Matrix'!C22*#REF!)*#REF!) + (('Time Matrix'!C22*#REF!)*#REF!) + (('Time Matrix'!C22*#REF!)*#REF!)</f>
        <v>#REF!</v>
      </c>
      <c r="G24" t="e">
        <f>(('Time Matrix'!C22*#REF!)*#REF!) + (('Time Matrix'!C22*#REF!)*#REF!) + (('Time Matrix'!C22*#REF!)*#REF!) + (('Time Matrix'!C22*#REF!)*#REF!)</f>
        <v>#REF!</v>
      </c>
      <c r="H24" t="e">
        <f>(('Time Matrix'!C22*#REF!)*#REF!) + (('Time Matrix'!C22*#REF!)*#REF!) + (('Time Matrix'!C22*#REF!)*#REF!) + (('Time Matrix'!C22*#REF!)*#REF!)</f>
        <v>#REF!</v>
      </c>
    </row>
    <row r="25" spans="1:8" x14ac:dyDescent="0.2">
      <c r="A25" s="14">
        <v>708400069</v>
      </c>
      <c r="B25" t="s">
        <v>156</v>
      </c>
      <c r="C25" t="e">
        <f>(('Time Matrix'!C23*#REF!)*'Mon (101)'!#REF!) + (('Time Matrix'!C23*#REF!)*'Mon (101)'!#REF!) + (('Time Matrix'!C23*#REF!)*'Mon (101)'!#REF!) + (('Time Matrix'!C23*#REF!)*'Mon (101)'!#REF!)</f>
        <v>#REF!</v>
      </c>
      <c r="D25" t="e">
        <f>(('Time Matrix'!C23*#REF!)*#REF!) + (('Time Matrix'!C23*#REF!)*#REF!) + (('Time Matrix'!C23*#REF!)*#REF!) + (('Time Matrix'!C23*#REF!)*#REF!)</f>
        <v>#REF!</v>
      </c>
      <c r="E25" t="e">
        <f>(('Time Matrix'!C23*#REF!)*#REF!) + (('Time Matrix'!C23*#REF!)*#REF!) + (('Time Matrix'!C23*#REF!)*#REF!) + (('Time Matrix'!C23*#REF!)*#REF!)</f>
        <v>#REF!</v>
      </c>
      <c r="F25" t="e">
        <f>(('Time Matrix'!C23*#REF!)*#REF!) + (('Time Matrix'!C23*#REF!)*#REF!) + (('Time Matrix'!C23*#REF!)*#REF!) + (('Time Matrix'!C23*#REF!)*#REF!)</f>
        <v>#REF!</v>
      </c>
      <c r="G25" t="e">
        <f>(('Time Matrix'!C23*#REF!)*#REF!) + (('Time Matrix'!C23*#REF!)*#REF!) + (('Time Matrix'!C23*#REF!)*#REF!) + (('Time Matrix'!C23*#REF!)*#REF!)</f>
        <v>#REF!</v>
      </c>
      <c r="H25" t="e">
        <f>(('Time Matrix'!C23*#REF!)*#REF!) + (('Time Matrix'!C23*#REF!)*#REF!) + (('Time Matrix'!C23*#REF!)*#REF!) + (('Time Matrix'!C23*#REF!)*#REF!)</f>
        <v>#REF!</v>
      </c>
    </row>
    <row r="26" spans="1:8" x14ac:dyDescent="0.2">
      <c r="A26" s="14">
        <v>708400287</v>
      </c>
      <c r="B26" t="s">
        <v>13</v>
      </c>
      <c r="C26" t="e">
        <f>(('Time Matrix'!C24*#REF!)*'Mon (101)'!#REF!) + (('Time Matrix'!C24*#REF!)*'Mon (101)'!#REF!) + (('Time Matrix'!C24*#REF!)*'Mon (101)'!#REF!) + (('Time Matrix'!C24*#REF!)*'Mon (101)'!#REF!)</f>
        <v>#REF!</v>
      </c>
      <c r="D26" t="e">
        <f>(('Time Matrix'!C24*#REF!)*#REF!) + (('Time Matrix'!C24*#REF!)*#REF!) + (('Time Matrix'!C24*#REF!)*#REF!) + (('Time Matrix'!C24*#REF!)*#REF!)</f>
        <v>#REF!</v>
      </c>
      <c r="E26" t="e">
        <f>(('Time Matrix'!C24*#REF!)*#REF!) + (('Time Matrix'!C24*#REF!)*#REF!) + (('Time Matrix'!C24*#REF!)*#REF!) + (('Time Matrix'!C24*#REF!)*#REF!)</f>
        <v>#REF!</v>
      </c>
      <c r="F26" t="e">
        <f>(('Time Matrix'!C24*#REF!)*#REF!) + (('Time Matrix'!C24*#REF!)*#REF!) + (('Time Matrix'!C24*#REF!)*#REF!) + (('Time Matrix'!C24*#REF!)*#REF!)</f>
        <v>#REF!</v>
      </c>
      <c r="G26" t="e">
        <f>(('Time Matrix'!C24*#REF!)*#REF!) + (('Time Matrix'!C24*#REF!)*#REF!) + (('Time Matrix'!C24*#REF!)*#REF!) + (('Time Matrix'!C24*#REF!)*#REF!)</f>
        <v>#REF!</v>
      </c>
      <c r="H26" t="e">
        <f>(('Time Matrix'!C24*#REF!)*#REF!) + (('Time Matrix'!C24*#REF!)*#REF!) + (('Time Matrix'!C24*#REF!)*#REF!) + (('Time Matrix'!C24*#REF!)*#REF!)</f>
        <v>#REF!</v>
      </c>
    </row>
    <row r="27" spans="1:8" x14ac:dyDescent="0.2">
      <c r="A27" s="14">
        <v>708400398</v>
      </c>
      <c r="B27" t="s">
        <v>78</v>
      </c>
      <c r="C27" t="e">
        <f>(('Time Matrix'!C25*#REF!)*'Mon (101)'!#REF!) + (('Time Matrix'!C25*#REF!)*'Mon (101)'!#REF!) + (('Time Matrix'!C25*#REF!)*'Mon (101)'!#REF!) + (('Time Matrix'!C25*#REF!)*'Mon (101)'!#REF!)</f>
        <v>#REF!</v>
      </c>
      <c r="D27" t="e">
        <f>(('Time Matrix'!C25*#REF!)*#REF!) + (('Time Matrix'!C25*#REF!)*#REF!) + (('Time Matrix'!C25*#REF!)*#REF!) + (('Time Matrix'!C25*#REF!)*#REF!)</f>
        <v>#REF!</v>
      </c>
      <c r="E27" t="e">
        <f>(('Time Matrix'!C25*#REF!)*#REF!) + (('Time Matrix'!C25*#REF!)*#REF!) + (('Time Matrix'!C25*#REF!)*#REF!) + (('Time Matrix'!C25*#REF!)*#REF!)</f>
        <v>#REF!</v>
      </c>
      <c r="F27" t="e">
        <f>(('Time Matrix'!C25*#REF!)*#REF!) + (('Time Matrix'!C25*#REF!)*#REF!) + (('Time Matrix'!C25*#REF!)*#REF!) + (('Time Matrix'!C25*#REF!)*#REF!)</f>
        <v>#REF!</v>
      </c>
      <c r="G27" t="e">
        <f>(('Time Matrix'!C25*#REF!)*#REF!) + (('Time Matrix'!C25*#REF!)*#REF!) + (('Time Matrix'!C25*#REF!)*#REF!) + (('Time Matrix'!C25*#REF!)*#REF!)</f>
        <v>#REF!</v>
      </c>
      <c r="H27" t="e">
        <f>(('Time Matrix'!C25*#REF!)*#REF!) + (('Time Matrix'!C25*#REF!)*#REF!) + (('Time Matrix'!C25*#REF!)*#REF!) + (('Time Matrix'!C25*#REF!)*#REF!)</f>
        <v>#REF!</v>
      </c>
    </row>
    <row r="28" spans="1:8" x14ac:dyDescent="0.2">
      <c r="A28" s="179" t="s">
        <v>164</v>
      </c>
      <c r="B28" s="180"/>
      <c r="C28" t="e">
        <f t="shared" ref="C28:H28" si="1">SUM(C21:C27)</f>
        <v>#REF!</v>
      </c>
      <c r="D28" t="e">
        <f t="shared" si="1"/>
        <v>#REF!</v>
      </c>
      <c r="E28" t="e">
        <f t="shared" si="1"/>
        <v>#REF!</v>
      </c>
      <c r="F28" t="e">
        <f t="shared" si="1"/>
        <v>#REF!</v>
      </c>
      <c r="G28" t="e">
        <f t="shared" si="1"/>
        <v>#REF!</v>
      </c>
      <c r="H28" t="e">
        <f t="shared" si="1"/>
        <v>#REF!</v>
      </c>
    </row>
    <row r="29" spans="1:8" x14ac:dyDescent="0.2">
      <c r="A29" s="181" t="s">
        <v>109</v>
      </c>
      <c r="B29" s="182"/>
      <c r="C29" s="182"/>
      <c r="D29" s="182"/>
      <c r="E29" s="182"/>
      <c r="F29" s="182"/>
      <c r="G29" s="182"/>
      <c r="H29" s="182"/>
    </row>
    <row r="30" spans="1:8" x14ac:dyDescent="0.2">
      <c r="A30" s="14">
        <v>705007790</v>
      </c>
      <c r="B30" t="s">
        <v>81</v>
      </c>
      <c r="C30" t="e">
        <f>(('Time Matrix'!D26*#REF!)*'Mon (101)'!#REF!) + (('Time Matrix'!D26*#REF!)*'Mon (101)'!#REF!) + (('Time Matrix'!D26*#REF!)*'Mon (101)'!#REF!) + (('Time Matrix'!D26*#REF!)*'Mon (101)'!#REF!)</f>
        <v>#REF!</v>
      </c>
      <c r="D30" t="e">
        <f>(('Time Matrix'!D26*#REF!)*#REF!) + (('Time Matrix'!D26*#REF!)*#REF!) + (('Time Matrix'!D26*#REF!)*#REF!) + (('Time Matrix'!D26*#REF!)*#REF!)</f>
        <v>#REF!</v>
      </c>
      <c r="E30" t="e">
        <f>(('Time Matrix'!D26*#REF!)*#REF!) + (('Time Matrix'!D26*#REF!)*#REF!) + (('Time Matrix'!D26*#REF!)*#REF!) + (('Time Matrix'!D26*#REF!)*#REF!)</f>
        <v>#REF!</v>
      </c>
      <c r="F30" t="e">
        <f>(('Time Matrix'!D26*#REF!)*#REF!) + (('Time Matrix'!D26*#REF!)*#REF!) + (('Time Matrix'!D26*#REF!)*#REF!) + (('Time Matrix'!D26*#REF!)*#REF!)</f>
        <v>#REF!</v>
      </c>
      <c r="G30" t="e">
        <f>(('Time Matrix'!D26*#REF!)*#REF!) + (('Time Matrix'!D26*#REF!)*#REF!) + (('Time Matrix'!D26*#REF!)*#REF!) + (('Time Matrix'!D26*#REF!)*#REF!)</f>
        <v>#REF!</v>
      </c>
      <c r="H30" t="e">
        <f>(('Time Matrix'!D26*#REF!)*#REF!) + (('Time Matrix'!D26*#REF!)*#REF!) + (('Time Matrix'!D26*#REF!)*#REF!) + (('Time Matrix'!D26*#REF!)*#REF!)</f>
        <v>#REF!</v>
      </c>
    </row>
    <row r="31" spans="1:8" x14ac:dyDescent="0.2">
      <c r="A31" s="14">
        <v>705007791</v>
      </c>
      <c r="B31" t="s">
        <v>82</v>
      </c>
      <c r="C31" t="e">
        <f>(('Time Matrix'!D27*#REF!)*'Mon (101)'!#REF!) + (('Time Matrix'!D27*#REF!)*'Mon (101)'!#REF!) + (('Time Matrix'!D27*#REF!)*'Mon (101)'!#REF!) + (('Time Matrix'!D27*#REF!)*'Mon (101)'!#REF!)</f>
        <v>#REF!</v>
      </c>
      <c r="D31" t="e">
        <f>(('Time Matrix'!D27*#REF!)*#REF!) + (('Time Matrix'!D27*#REF!)*#REF!) + (('Time Matrix'!D27*#REF!)*#REF!) + (('Time Matrix'!D27*#REF!)*#REF!)</f>
        <v>#REF!</v>
      </c>
      <c r="E31" t="e">
        <f>(('Time Matrix'!D27*#REF!)*#REF!) + (('Time Matrix'!D27*#REF!)*#REF!) + (('Time Matrix'!D27*#REF!)*#REF!) + (('Time Matrix'!D27*#REF!)*#REF!)</f>
        <v>#REF!</v>
      </c>
      <c r="F31" t="e">
        <f>(('Time Matrix'!D27*#REF!)*#REF!) + (('Time Matrix'!D27*#REF!)*#REF!) + (('Time Matrix'!D27*#REF!)*#REF!) + (('Time Matrix'!D27*#REF!)*#REF!)</f>
        <v>#REF!</v>
      </c>
      <c r="G31" t="e">
        <f>(('Time Matrix'!D27*#REF!)*#REF!) + (('Time Matrix'!D27*#REF!)*#REF!) + (('Time Matrix'!D27*#REF!)*#REF!) + (('Time Matrix'!D27*#REF!)*#REF!)</f>
        <v>#REF!</v>
      </c>
      <c r="H31" t="e">
        <f>(('Time Matrix'!D27*#REF!)*#REF!) + (('Time Matrix'!D27*#REF!)*#REF!) + (('Time Matrix'!D27*#REF!)*#REF!) + (('Time Matrix'!D27*#REF!)*#REF!)</f>
        <v>#REF!</v>
      </c>
    </row>
    <row r="32" spans="1:8" x14ac:dyDescent="0.2">
      <c r="A32" s="14">
        <v>705010835</v>
      </c>
      <c r="B32" t="s">
        <v>84</v>
      </c>
      <c r="C32" t="e">
        <f>(('Time Matrix'!D28*#REF!)*'Mon (101)'!#REF!) + (('Time Matrix'!D28*#REF!)*'Mon (101)'!#REF!) + (('Time Matrix'!D28*#REF!)*'Mon (101)'!#REF!) + (('Time Matrix'!D28*#REF!)*'Mon (101)'!#REF!)</f>
        <v>#REF!</v>
      </c>
      <c r="D32" t="e">
        <f>(('Time Matrix'!D28*#REF!)*#REF!) + (('Time Matrix'!D28*#REF!)*#REF!) + (('Time Matrix'!D28*#REF!)*#REF!) + (('Time Matrix'!D28*#REF!)*#REF!)</f>
        <v>#REF!</v>
      </c>
      <c r="E32" t="e">
        <f>(('Time Matrix'!D28*#REF!)*#REF!) + (('Time Matrix'!D28*#REF!)*#REF!) + (('Time Matrix'!D28*#REF!)*#REF!) + (('Time Matrix'!D28*#REF!)*#REF!)</f>
        <v>#REF!</v>
      </c>
      <c r="F32" t="e">
        <f>(('Time Matrix'!D28*#REF!)*#REF!) + (('Time Matrix'!D28*#REF!)*#REF!) + (('Time Matrix'!D28*#REF!)*#REF!) + (('Time Matrix'!D28*#REF!)*#REF!)</f>
        <v>#REF!</v>
      </c>
      <c r="G32" t="e">
        <f>(('Time Matrix'!D28*#REF!)*#REF!) + (('Time Matrix'!D28*#REF!)*#REF!) + (('Time Matrix'!D28*#REF!)*#REF!) + (('Time Matrix'!D28*#REF!)*#REF!)</f>
        <v>#REF!</v>
      </c>
      <c r="H32" t="e">
        <f>(('Time Matrix'!D28*#REF!)*#REF!) + (('Time Matrix'!D28*#REF!)*#REF!) + (('Time Matrix'!D28*#REF!)*#REF!) + (('Time Matrix'!D28*#REF!)*#REF!)</f>
        <v>#REF!</v>
      </c>
    </row>
    <row r="33" spans="1:8" x14ac:dyDescent="0.2">
      <c r="A33">
        <v>705010851</v>
      </c>
      <c r="B33" t="s">
        <v>83</v>
      </c>
      <c r="C33" t="e">
        <f>(('Time Matrix'!D29*#REF!)*'Mon (101)'!#REF!) + (('Time Matrix'!D29*#REF!)*'Mon (101)'!#REF!) + (('Time Matrix'!D29*#REF!)*'Mon (101)'!#REF!) + (('Time Matrix'!D29*#REF!)*'Mon (101)'!#REF!)</f>
        <v>#REF!</v>
      </c>
      <c r="D33" t="e">
        <f>(('Time Matrix'!D29*#REF!)*#REF!) + (('Time Matrix'!D29*#REF!)*#REF!) + (('Time Matrix'!D29*#REF!)*#REF!) + (('Time Matrix'!D29*#REF!)*#REF!)</f>
        <v>#REF!</v>
      </c>
      <c r="E33" t="e">
        <f>(('Time Matrix'!D29*#REF!)*#REF!) + (('Time Matrix'!D29*#REF!)*#REF!) + (('Time Matrix'!D29*#REF!)*#REF!) + (('Time Matrix'!D29*#REF!)*#REF!)</f>
        <v>#REF!</v>
      </c>
      <c r="F33" t="e">
        <f>(('Time Matrix'!D29*#REF!)*#REF!) + (('Time Matrix'!D29*#REF!)*#REF!) + (('Time Matrix'!D29*#REF!)*#REF!) + (('Time Matrix'!D29*#REF!)*#REF!)</f>
        <v>#REF!</v>
      </c>
      <c r="G33" t="e">
        <f>(('Time Matrix'!D29*#REF!)*#REF!) + (('Time Matrix'!D29*#REF!)*#REF!) + (('Time Matrix'!D29*#REF!)*#REF!) + (('Time Matrix'!D29*#REF!)*#REF!)</f>
        <v>#REF!</v>
      </c>
      <c r="H33" t="e">
        <f>(('Time Matrix'!D29*#REF!)*#REF!) + (('Time Matrix'!D29*#REF!)*#REF!) + (('Time Matrix'!D29*#REF!)*#REF!) + (('Time Matrix'!D29*#REF!)*#REF!)</f>
        <v>#REF!</v>
      </c>
    </row>
    <row r="34" spans="1:8" x14ac:dyDescent="0.2">
      <c r="A34">
        <v>708200366</v>
      </c>
      <c r="B34" t="s">
        <v>85</v>
      </c>
      <c r="C34" t="e">
        <f>(('Time Matrix'!D30*#REF!)*'Mon (101)'!#REF!) + (('Time Matrix'!D30*#REF!)*'Mon (101)'!#REF!) + (('Time Matrix'!D30*#REF!)*'Mon (101)'!#REF!) + (('Time Matrix'!D30*#REF!)*'Mon (101)'!#REF!)</f>
        <v>#REF!</v>
      </c>
      <c r="D34" t="e">
        <f>(('Time Matrix'!D30*#REF!)*#REF!) + (('Time Matrix'!D30*#REF!)*#REF!) + (('Time Matrix'!D30*#REF!)*#REF!) + (('Time Matrix'!D30*#REF!)*#REF!)</f>
        <v>#REF!</v>
      </c>
      <c r="E34" t="e">
        <f>(('Time Matrix'!D30*#REF!)*#REF!) + (('Time Matrix'!D30*#REF!)*#REF!) + (('Time Matrix'!D30*#REF!)*#REF!) + (('Time Matrix'!D30*#REF!)*#REF!)</f>
        <v>#REF!</v>
      </c>
      <c r="F34" t="e">
        <f>(('Time Matrix'!D30*#REF!)*#REF!) + (('Time Matrix'!D30*#REF!)*#REF!) + (('Time Matrix'!D30*#REF!)*#REF!) + (('Time Matrix'!D30*#REF!)*#REF!)</f>
        <v>#REF!</v>
      </c>
      <c r="G34" t="e">
        <f>(('Time Matrix'!D30*#REF!)*#REF!) + (('Time Matrix'!D30*#REF!)*#REF!) + (('Time Matrix'!D30*#REF!)*#REF!) + (('Time Matrix'!D30*#REF!)*#REF!)</f>
        <v>#REF!</v>
      </c>
      <c r="H34" t="e">
        <f>(('Time Matrix'!D30*#REF!)*#REF!) + (('Time Matrix'!D30*#REF!)*#REF!) + (('Time Matrix'!D30*#REF!)*#REF!) + (('Time Matrix'!D30*#REF!)*#REF!)</f>
        <v>#REF!</v>
      </c>
    </row>
    <row r="35" spans="1:8" x14ac:dyDescent="0.2">
      <c r="A35">
        <v>708200401</v>
      </c>
      <c r="B35" t="s">
        <v>86</v>
      </c>
      <c r="C35" t="e">
        <f>(('Time Matrix'!D31*#REF!)*'Mon (101)'!#REF!) + (('Time Matrix'!D31*#REF!)*'Mon (101)'!#REF!) + (('Time Matrix'!D31*#REF!)*'Mon (101)'!#REF!) + (('Time Matrix'!D31*#REF!)*'Mon (101)'!#REF!)</f>
        <v>#REF!</v>
      </c>
      <c r="D35" t="e">
        <f>(('Time Matrix'!D31*#REF!)*#REF!) + (('Time Matrix'!D31*#REF!)*#REF!) + (('Time Matrix'!D31*#REF!)*#REF!) + (('Time Matrix'!D31*#REF!)*#REF!)</f>
        <v>#REF!</v>
      </c>
      <c r="E35" t="e">
        <f>(('Time Matrix'!D31*#REF!)*#REF!) + (('Time Matrix'!D31*#REF!)*#REF!) + (('Time Matrix'!D31*#REF!)*#REF!) + (('Time Matrix'!D31*#REF!)*#REF!)</f>
        <v>#REF!</v>
      </c>
      <c r="F35" t="e">
        <f>(('Time Matrix'!D31*#REF!)*#REF!) + (('Time Matrix'!D31*#REF!)*#REF!) + (('Time Matrix'!D31*#REF!)*#REF!) + (('Time Matrix'!D31*#REF!)*#REF!)</f>
        <v>#REF!</v>
      </c>
      <c r="G35" t="e">
        <f>(('Time Matrix'!D31*#REF!)*#REF!) + (('Time Matrix'!D31*#REF!)*#REF!) + (('Time Matrix'!D31*#REF!)*#REF!) + (('Time Matrix'!D31*#REF!)*#REF!)</f>
        <v>#REF!</v>
      </c>
      <c r="H35" t="e">
        <f>(('Time Matrix'!D31*#REF!)*#REF!) + (('Time Matrix'!D31*#REF!)*#REF!) + (('Time Matrix'!D31*#REF!)*#REF!) + (('Time Matrix'!D31*#REF!)*#REF!)</f>
        <v>#REF!</v>
      </c>
    </row>
    <row r="36" spans="1:8" x14ac:dyDescent="0.2">
      <c r="A36">
        <v>708200402</v>
      </c>
      <c r="B36" t="s">
        <v>87</v>
      </c>
      <c r="C36" t="e">
        <f>(('Time Matrix'!D32*#REF!)*'Mon (101)'!#REF!) + (('Time Matrix'!D32*#REF!)*'Mon (101)'!#REF!) + (('Time Matrix'!D32*#REF!)*'Mon (101)'!#REF!) + (('Time Matrix'!D32*#REF!)*'Mon (101)'!#REF!)</f>
        <v>#REF!</v>
      </c>
      <c r="D36" t="e">
        <f>(('Time Matrix'!D32*#REF!)*#REF!) + (('Time Matrix'!D32*#REF!)*#REF!) + (('Time Matrix'!D32*#REF!)*#REF!) + (('Time Matrix'!D32*#REF!)*#REF!)</f>
        <v>#REF!</v>
      </c>
      <c r="E36" t="e">
        <f>(('Time Matrix'!D32*#REF!)*#REF!) + (('Time Matrix'!D32*#REF!)*#REF!) + (('Time Matrix'!D32*#REF!)*#REF!) + (('Time Matrix'!D32*#REF!)*#REF!)</f>
        <v>#REF!</v>
      </c>
      <c r="F36" t="e">
        <f>(('Time Matrix'!D32*#REF!)*#REF!) + (('Time Matrix'!D32*#REF!)*#REF!) + (('Time Matrix'!D32*#REF!)*#REF!) + (('Time Matrix'!D32*#REF!)*#REF!)</f>
        <v>#REF!</v>
      </c>
      <c r="G36" t="e">
        <f>(('Time Matrix'!D32*#REF!)*#REF!) + (('Time Matrix'!D32*#REF!)*#REF!) + (('Time Matrix'!D32*#REF!)*#REF!) + (('Time Matrix'!D32*#REF!)*#REF!)</f>
        <v>#REF!</v>
      </c>
      <c r="H36" t="e">
        <f>(('Time Matrix'!D32*#REF!)*#REF!) + (('Time Matrix'!D32*#REF!)*#REF!) + (('Time Matrix'!D32*#REF!)*#REF!) + (('Time Matrix'!D32*#REF!)*#REF!)</f>
        <v>#REF!</v>
      </c>
    </row>
    <row r="37" spans="1:8" x14ac:dyDescent="0.2">
      <c r="A37">
        <v>708200698</v>
      </c>
      <c r="B37" t="s">
        <v>88</v>
      </c>
      <c r="C37" t="e">
        <f>(('Time Matrix'!D33*#REF!)*'Mon (101)'!#REF!) + (('Time Matrix'!D33*#REF!)*'Mon (101)'!#REF!) + (('Time Matrix'!D33*#REF!)*'Mon (101)'!#REF!) + (('Time Matrix'!D33*#REF!)*'Mon (101)'!#REF!)</f>
        <v>#REF!</v>
      </c>
      <c r="D37" t="e">
        <f>(('Time Matrix'!D33*#REF!)*#REF!) + (('Time Matrix'!D33*#REF!)*#REF!) + (('Time Matrix'!D33*#REF!)*#REF!) + (('Time Matrix'!D33*#REF!)*#REF!)</f>
        <v>#REF!</v>
      </c>
      <c r="E37" t="e">
        <f>(('Time Matrix'!D33*#REF!)*#REF!) + (('Time Matrix'!D33*#REF!)*#REF!) + (('Time Matrix'!D33*#REF!)*#REF!) + (('Time Matrix'!D33*#REF!)*#REF!)</f>
        <v>#REF!</v>
      </c>
      <c r="F37" t="e">
        <f>(('Time Matrix'!D33*#REF!)*#REF!) + (('Time Matrix'!D33*#REF!)*#REF!) + (('Time Matrix'!D33*#REF!)*#REF!) + (('Time Matrix'!D33*#REF!)*#REF!)</f>
        <v>#REF!</v>
      </c>
      <c r="G37" t="e">
        <f>(('Time Matrix'!D33*#REF!)*#REF!) + (('Time Matrix'!D33*#REF!)*#REF!) + (('Time Matrix'!D33*#REF!)*#REF!) + (('Time Matrix'!D33*#REF!)*#REF!)</f>
        <v>#REF!</v>
      </c>
      <c r="H37" t="e">
        <f>(('Time Matrix'!D33*#REF!)*#REF!) + (('Time Matrix'!D33*#REF!)*#REF!) + (('Time Matrix'!D33*#REF!)*#REF!) + (('Time Matrix'!D33*#REF!)*#REF!)</f>
        <v>#REF!</v>
      </c>
    </row>
    <row r="38" spans="1:8" x14ac:dyDescent="0.2">
      <c r="A38">
        <v>708301201</v>
      </c>
      <c r="B38" t="s">
        <v>89</v>
      </c>
      <c r="C38" t="e">
        <f>(('Time Matrix'!D34*#REF!)*'Mon (101)'!#REF!) + (('Time Matrix'!D34*#REF!)*'Mon (101)'!#REF!) + (('Time Matrix'!D34*#REF!)*'Mon (101)'!#REF!) + (('Time Matrix'!D34*#REF!)*'Mon (101)'!#REF!)</f>
        <v>#REF!</v>
      </c>
      <c r="D38" t="e">
        <f>(('Time Matrix'!D34*#REF!)*#REF!) + (('Time Matrix'!D34*#REF!)*#REF!) + (('Time Matrix'!D34*#REF!)*#REF!) + (('Time Matrix'!D34*#REF!)*#REF!)</f>
        <v>#REF!</v>
      </c>
      <c r="E38" t="e">
        <f>(('Time Matrix'!D34*#REF!)*#REF!) + (('Time Matrix'!D34*#REF!)*#REF!) + (('Time Matrix'!D34*#REF!)*#REF!) + (('Time Matrix'!D34*#REF!)*#REF!)</f>
        <v>#REF!</v>
      </c>
      <c r="F38" t="e">
        <f>(('Time Matrix'!D34*#REF!)*#REF!) + (('Time Matrix'!D34*#REF!)*#REF!) + (('Time Matrix'!D34*#REF!)*#REF!) + (('Time Matrix'!D34*#REF!)*#REF!)</f>
        <v>#REF!</v>
      </c>
      <c r="G38" t="e">
        <f>(('Time Matrix'!D34*#REF!)*#REF!) + (('Time Matrix'!D34*#REF!)*#REF!) + (('Time Matrix'!D34*#REF!)*#REF!) + (('Time Matrix'!D34*#REF!)*#REF!)</f>
        <v>#REF!</v>
      </c>
      <c r="H38" t="e">
        <f>(('Time Matrix'!D34*#REF!)*#REF!) + (('Time Matrix'!D34*#REF!)*#REF!) + (('Time Matrix'!D34*#REF!)*#REF!) + (('Time Matrix'!D34*#REF!)*#REF!)</f>
        <v>#REF!</v>
      </c>
    </row>
    <row r="39" spans="1:8" x14ac:dyDescent="0.2">
      <c r="A39" s="179" t="s">
        <v>164</v>
      </c>
      <c r="B39" s="180"/>
      <c r="C39" t="e">
        <f t="shared" ref="C39:H39" si="2">SUM(C30:C38)</f>
        <v>#REF!</v>
      </c>
      <c r="D39" t="e">
        <f t="shared" si="2"/>
        <v>#REF!</v>
      </c>
      <c r="E39" t="e">
        <f t="shared" si="2"/>
        <v>#REF!</v>
      </c>
      <c r="F39" t="e">
        <f t="shared" si="2"/>
        <v>#REF!</v>
      </c>
      <c r="G39" t="e">
        <f t="shared" si="2"/>
        <v>#REF!</v>
      </c>
      <c r="H39" t="e">
        <f t="shared" si="2"/>
        <v>#REF!</v>
      </c>
    </row>
    <row r="40" spans="1:8" x14ac:dyDescent="0.2">
      <c r="A40" s="181" t="s">
        <v>47</v>
      </c>
      <c r="B40" s="182"/>
      <c r="C40" s="182"/>
      <c r="D40" s="182"/>
      <c r="E40" s="182"/>
      <c r="F40" s="182"/>
      <c r="G40" s="182"/>
      <c r="H40" s="182"/>
    </row>
    <row r="41" spans="1:8" x14ac:dyDescent="0.2">
      <c r="A41">
        <v>705009213</v>
      </c>
      <c r="B41" t="s">
        <v>157</v>
      </c>
      <c r="C41" t="e">
        <f>(('Time Matrix'!E35*#REF!)*'Mon (101)'!#REF!) + (('Time Matrix'!E35*#REF!)*'Mon (101)'!#REF!) + (('Time Matrix'!E35*#REF!)*'Mon (101)'!#REF!) + (('Time Matrix'!E35*#REF!)*'Mon (101)'!#REF!)</f>
        <v>#REF!</v>
      </c>
      <c r="D41" t="e">
        <f>(('Time Matrix'!E35*#REF!)*#REF!) + (('Time Matrix'!E35*#REF!)*#REF!) + (('Time Matrix'!E35*#REF!)*#REF!) + (('Time Matrix'!E35*#REF!)*#REF!)</f>
        <v>#REF!</v>
      </c>
      <c r="E41" t="e">
        <f>(('Time Matrix'!E35*#REF!)*#REF!) + (('Time Matrix'!E35*#REF!)*#REF!) + (('Time Matrix'!E35*#REF!)*#REF!) + (('Time Matrix'!E35*#REF!)*#REF!)</f>
        <v>#REF!</v>
      </c>
      <c r="F41" t="e">
        <f>(('Time Matrix'!E35*#REF!)*#REF!) + (('Time Matrix'!E35*#REF!)*#REF!) + (('Time Matrix'!E35*#REF!)*#REF!) + (('Time Matrix'!E35*#REF!)*#REF!)</f>
        <v>#REF!</v>
      </c>
      <c r="G41" t="e">
        <f>(('Time Matrix'!E35*#REF!)*#REF!) + (('Time Matrix'!E35*#REF!)*#REF!) + (('Time Matrix'!E35*#REF!)*#REF!) + (('Time Matrix'!E35*#REF!)*#REF!)</f>
        <v>#REF!</v>
      </c>
      <c r="H41" t="e">
        <f>(('Time Matrix'!E35*#REF!)*#REF!) + (('Time Matrix'!E35*#REF!)*#REF!) + (('Time Matrix'!E35*#REF!)*#REF!) + (('Time Matrix'!E35*#REF!)*#REF!)</f>
        <v>#REF!</v>
      </c>
    </row>
    <row r="42" spans="1:8" x14ac:dyDescent="0.2">
      <c r="A42">
        <v>705009214</v>
      </c>
      <c r="B42" t="s">
        <v>158</v>
      </c>
      <c r="C42" t="e">
        <f>(('Time Matrix'!E36*#REF!)*'Mon (101)'!#REF!) + (('Time Matrix'!E36*#REF!)*'Mon (101)'!#REF!) + (('Time Matrix'!E36*#REF!)*'Mon (101)'!#REF!) + (('Time Matrix'!E36*#REF!)*'Mon (101)'!#REF!)</f>
        <v>#REF!</v>
      </c>
      <c r="D42" t="e">
        <f>(('Time Matrix'!E36*#REF!)*#REF!) + (('Time Matrix'!E36*#REF!)*#REF!) + (('Time Matrix'!E36*#REF!)*#REF!) + (('Time Matrix'!E36*#REF!)*#REF!)</f>
        <v>#REF!</v>
      </c>
      <c r="E42" t="e">
        <f>(('Time Matrix'!E36*#REF!)*#REF!) + (('Time Matrix'!E36*#REF!)*#REF!) + (('Time Matrix'!E36*#REF!)*#REF!) + (('Time Matrix'!E36*#REF!)*#REF!)</f>
        <v>#REF!</v>
      </c>
      <c r="F42" t="e">
        <f>(('Time Matrix'!E36*#REF!)*#REF!) + (('Time Matrix'!E36*#REF!)*#REF!) + (('Time Matrix'!E36*#REF!)*#REF!) + (('Time Matrix'!E36*#REF!)*#REF!)</f>
        <v>#REF!</v>
      </c>
      <c r="G42" t="e">
        <f>(('Time Matrix'!E36*#REF!)*#REF!) + (('Time Matrix'!E36*#REF!)*#REF!) + (('Time Matrix'!E36*#REF!)*#REF!) + (('Time Matrix'!E36*#REF!)*#REF!)</f>
        <v>#REF!</v>
      </c>
      <c r="H42" t="e">
        <f>(('Time Matrix'!E36*#REF!)*#REF!) + (('Time Matrix'!E36*#REF!)*#REF!) + (('Time Matrix'!E36*#REF!)*#REF!) + (('Time Matrix'!E36*#REF!)*#REF!)</f>
        <v>#REF!</v>
      </c>
    </row>
    <row r="43" spans="1:8" x14ac:dyDescent="0.2">
      <c r="A43">
        <v>705010835</v>
      </c>
      <c r="B43" t="s">
        <v>84</v>
      </c>
      <c r="C43" t="e">
        <f>(('Time Matrix'!E37*#REF!)*'Mon (101)'!#REF!) + (('Time Matrix'!E37*#REF!)*'Mon (101)'!#REF!) + (('Time Matrix'!E37*#REF!)*'Mon (101)'!#REF!) + (('Time Matrix'!E37*#REF!)*'Mon (101)'!#REF!)</f>
        <v>#REF!</v>
      </c>
      <c r="D43" t="e">
        <f>(('Time Matrix'!E37*#REF!)*#REF!) + (('Time Matrix'!E37*#REF!)*#REF!) + (('Time Matrix'!E37*#REF!)*#REF!) + (('Time Matrix'!E37*#REF!)*#REF!)</f>
        <v>#REF!</v>
      </c>
      <c r="E43" t="e">
        <f>(('Time Matrix'!E37*#REF!)*#REF!) + (('Time Matrix'!E37*#REF!)*#REF!) + (('Time Matrix'!E37*#REF!)*#REF!) + (('Time Matrix'!E37*#REF!)*#REF!)</f>
        <v>#REF!</v>
      </c>
      <c r="F43" t="e">
        <f>(('Time Matrix'!E37*#REF!)*#REF!) + (('Time Matrix'!E37*#REF!)*#REF!) + (('Time Matrix'!E37*#REF!)*#REF!) + (('Time Matrix'!E37*#REF!)*#REF!)</f>
        <v>#REF!</v>
      </c>
      <c r="G43" t="e">
        <f>(('Time Matrix'!E37*#REF!)*#REF!) + (('Time Matrix'!E37*#REF!)*#REF!) + (('Time Matrix'!E37*#REF!)*#REF!) + (('Time Matrix'!E37*#REF!)*#REF!)</f>
        <v>#REF!</v>
      </c>
      <c r="H43" t="e">
        <f>(('Time Matrix'!E37*#REF!)*#REF!) + (('Time Matrix'!E37*#REF!)*#REF!) + (('Time Matrix'!E37*#REF!)*#REF!) + (('Time Matrix'!E37*#REF!)*#REF!)</f>
        <v>#REF!</v>
      </c>
    </row>
    <row r="44" spans="1:8" x14ac:dyDescent="0.2">
      <c r="A44">
        <v>705010851</v>
      </c>
      <c r="B44" t="s">
        <v>83</v>
      </c>
      <c r="C44" t="e">
        <f>(('Time Matrix'!E38*#REF!)*'Mon (101)'!#REF!) + (('Time Matrix'!E38*#REF!)*'Mon (101)'!#REF!) + (('Time Matrix'!E38*#REF!)*'Mon (101)'!#REF!) + (('Time Matrix'!E38*#REF!)*'Mon (101)'!#REF!)</f>
        <v>#REF!</v>
      </c>
      <c r="D44" t="e">
        <f>(('Time Matrix'!E38*#REF!)*#REF!) + (('Time Matrix'!E38*#REF!)*#REF!) + (('Time Matrix'!E38*#REF!)*#REF!) + (('Time Matrix'!E38*#REF!)*#REF!)</f>
        <v>#REF!</v>
      </c>
      <c r="E44" t="e">
        <f>(('Time Matrix'!E38*#REF!)*#REF!) + (('Time Matrix'!E38*#REF!)*#REF!) + (('Time Matrix'!E38*#REF!)*#REF!) + (('Time Matrix'!E38*#REF!)*#REF!)</f>
        <v>#REF!</v>
      </c>
      <c r="F44" t="e">
        <f>(('Time Matrix'!E38*#REF!)*#REF!) + (('Time Matrix'!E38*#REF!)*#REF!) + (('Time Matrix'!E38*#REF!)*#REF!) + (('Time Matrix'!E38*#REF!)*#REF!)</f>
        <v>#REF!</v>
      </c>
      <c r="G44" t="e">
        <f>(('Time Matrix'!E38*#REF!)*#REF!) + (('Time Matrix'!E38*#REF!)*#REF!) + (('Time Matrix'!E38*#REF!)*#REF!) + (('Time Matrix'!E38*#REF!)*#REF!)</f>
        <v>#REF!</v>
      </c>
      <c r="H44" t="e">
        <f>(('Time Matrix'!E38*#REF!)*#REF!) + (('Time Matrix'!E38*#REF!)*#REF!) + (('Time Matrix'!E38*#REF!)*#REF!) + (('Time Matrix'!E38*#REF!)*#REF!)</f>
        <v>#REF!</v>
      </c>
    </row>
    <row r="45" spans="1:8" x14ac:dyDescent="0.2">
      <c r="A45">
        <v>705012868</v>
      </c>
      <c r="B45" t="s">
        <v>159</v>
      </c>
      <c r="C45" t="e">
        <f>(('Time Matrix'!E39*#REF!)*'Mon (101)'!#REF!) + (('Time Matrix'!E39*#REF!)*'Mon (101)'!#REF!) + (('Time Matrix'!E39*#REF!)*'Mon (101)'!#REF!) + (('Time Matrix'!E39*#REF!)*'Mon (101)'!#REF!)</f>
        <v>#REF!</v>
      </c>
      <c r="D45" t="e">
        <f>(('Time Matrix'!E39*#REF!)*#REF!) + (('Time Matrix'!E39*#REF!)*#REF!) + (('Time Matrix'!E39*#REF!)*#REF!) + (('Time Matrix'!E39*#REF!)*#REF!)</f>
        <v>#REF!</v>
      </c>
      <c r="E45" t="e">
        <f>(('Time Matrix'!E39*#REF!)*#REF!) + (('Time Matrix'!E39*#REF!)*#REF!) + (('Time Matrix'!E39*#REF!)*#REF!) + (('Time Matrix'!E39*#REF!)*#REF!)</f>
        <v>#REF!</v>
      </c>
      <c r="F45" t="e">
        <f>(('Time Matrix'!E39*#REF!)*#REF!) + (('Time Matrix'!E39*#REF!)*#REF!) + (('Time Matrix'!E39*#REF!)*#REF!) + (('Time Matrix'!E39*#REF!)*#REF!)</f>
        <v>#REF!</v>
      </c>
      <c r="G45" t="e">
        <f>(('Time Matrix'!E39*#REF!)*#REF!) + (('Time Matrix'!E39*#REF!)*#REF!) + (('Time Matrix'!E39*#REF!)*#REF!) + (('Time Matrix'!E39*#REF!)*#REF!)</f>
        <v>#REF!</v>
      </c>
      <c r="H45" t="e">
        <f>(('Time Matrix'!E39*#REF!)*#REF!) + (('Time Matrix'!E39*#REF!)*#REF!) + (('Time Matrix'!E39*#REF!)*#REF!) + (('Time Matrix'!E39*#REF!)*#REF!)</f>
        <v>#REF!</v>
      </c>
    </row>
    <row r="46" spans="1:8" x14ac:dyDescent="0.2">
      <c r="A46">
        <v>705012976</v>
      </c>
      <c r="B46" t="s">
        <v>160</v>
      </c>
      <c r="C46" t="e">
        <f>(('Time Matrix'!E40*#REF!)*'Mon (101)'!#REF!) + (('Time Matrix'!E40*#REF!)*'Mon (101)'!#REF!) + (('Time Matrix'!E40*#REF!)*'Mon (101)'!#REF!) + (('Time Matrix'!E40*#REF!)*'Mon (101)'!#REF!)</f>
        <v>#REF!</v>
      </c>
      <c r="D46" t="e">
        <f>(('Time Matrix'!E40*#REF!)*#REF!) + (('Time Matrix'!E40*#REF!)*#REF!) + (('Time Matrix'!E40*#REF!)*#REF!) + (('Time Matrix'!E40*#REF!)*#REF!)</f>
        <v>#REF!</v>
      </c>
      <c r="E46" t="e">
        <f>(('Time Matrix'!E40*#REF!)*#REF!) + (('Time Matrix'!E40*#REF!)*#REF!) + (('Time Matrix'!E40*#REF!)*#REF!) + (('Time Matrix'!E40*#REF!)*#REF!)</f>
        <v>#REF!</v>
      </c>
      <c r="F46" t="e">
        <f>(('Time Matrix'!E40*#REF!)*#REF!) + (('Time Matrix'!E40*#REF!)*#REF!) + (('Time Matrix'!E40*#REF!)*#REF!) + (('Time Matrix'!E40*#REF!)*#REF!)</f>
        <v>#REF!</v>
      </c>
      <c r="G46" t="e">
        <f>(('Time Matrix'!E40*#REF!)*#REF!) + (('Time Matrix'!E40*#REF!)*#REF!) + (('Time Matrix'!E40*#REF!)*#REF!) + (('Time Matrix'!E40*#REF!)*#REF!)</f>
        <v>#REF!</v>
      </c>
      <c r="H46" t="e">
        <f>(('Time Matrix'!E40*#REF!)*#REF!) + (('Time Matrix'!E40*#REF!)*#REF!) + (('Time Matrix'!E40*#REF!)*#REF!) + (('Time Matrix'!E40*#REF!)*#REF!)</f>
        <v>#REF!</v>
      </c>
    </row>
    <row r="47" spans="1:8" x14ac:dyDescent="0.2">
      <c r="A47">
        <v>708200366</v>
      </c>
      <c r="B47" t="s">
        <v>85</v>
      </c>
      <c r="C47" t="e">
        <f>(('Time Matrix'!E41*#REF!)*'Mon (101)'!#REF!) + (('Time Matrix'!E41*#REF!)*'Mon (101)'!#REF!) + (('Time Matrix'!E41*#REF!)*'Mon (101)'!#REF!) + (('Time Matrix'!E41*#REF!)*'Mon (101)'!#REF!)</f>
        <v>#REF!</v>
      </c>
      <c r="D47" t="e">
        <f>(('Time Matrix'!E41*#REF!)*#REF!) + (('Time Matrix'!E41*#REF!)*#REF!) + (('Time Matrix'!E41*#REF!)*#REF!) + (('Time Matrix'!E41*#REF!)*#REF!)</f>
        <v>#REF!</v>
      </c>
      <c r="E47" t="e">
        <f>(('Time Matrix'!E41*#REF!)*#REF!) + (('Time Matrix'!E41*#REF!)*#REF!) + (('Time Matrix'!E41*#REF!)*#REF!) + (('Time Matrix'!E41*#REF!)*#REF!)</f>
        <v>#REF!</v>
      </c>
      <c r="F47" t="e">
        <f>(('Time Matrix'!E41*#REF!)*#REF!) + (('Time Matrix'!E41*#REF!)*#REF!) + (('Time Matrix'!E41*#REF!)*#REF!) + (('Time Matrix'!E41*#REF!)*#REF!)</f>
        <v>#REF!</v>
      </c>
      <c r="G47" t="e">
        <f>(('Time Matrix'!E41*#REF!)*#REF!) + (('Time Matrix'!E41*#REF!)*#REF!) + (('Time Matrix'!E41*#REF!)*#REF!) + (('Time Matrix'!E41*#REF!)*#REF!)</f>
        <v>#REF!</v>
      </c>
      <c r="H47" t="e">
        <f>(('Time Matrix'!E41*#REF!)*#REF!) + (('Time Matrix'!E41*#REF!)*#REF!) + (('Time Matrix'!E41*#REF!)*#REF!) + (('Time Matrix'!E41*#REF!)*#REF!)</f>
        <v>#REF!</v>
      </c>
    </row>
    <row r="48" spans="1:8" x14ac:dyDescent="0.2">
      <c r="A48">
        <v>708200401</v>
      </c>
      <c r="B48" t="s">
        <v>86</v>
      </c>
      <c r="C48" t="e">
        <f>(('Time Matrix'!E42*#REF!)*'Mon (101)'!#REF!) + (('Time Matrix'!E42*#REF!)*'Mon (101)'!#REF!) + (('Time Matrix'!E42*#REF!)*'Mon (101)'!#REF!) + (('Time Matrix'!E42*#REF!)*'Mon (101)'!#REF!)</f>
        <v>#REF!</v>
      </c>
      <c r="D48" t="e">
        <f>(('Time Matrix'!E42*#REF!)*#REF!) + (('Time Matrix'!E42*#REF!)*#REF!) + (('Time Matrix'!E42*#REF!)*#REF!) + (('Time Matrix'!E42*#REF!)*#REF!)</f>
        <v>#REF!</v>
      </c>
      <c r="E48" t="e">
        <f>(('Time Matrix'!E42*#REF!)*#REF!) + (('Time Matrix'!E42*#REF!)*#REF!) + (('Time Matrix'!E42*#REF!)*#REF!) + (('Time Matrix'!E42*#REF!)*#REF!)</f>
        <v>#REF!</v>
      </c>
      <c r="F48" t="e">
        <f>(('Time Matrix'!E42*#REF!)*#REF!) + (('Time Matrix'!E42*#REF!)*#REF!) + (('Time Matrix'!E42*#REF!)*#REF!) + (('Time Matrix'!E42*#REF!)*#REF!)</f>
        <v>#REF!</v>
      </c>
      <c r="G48" t="e">
        <f>(('Time Matrix'!E42*#REF!)*#REF!) + (('Time Matrix'!E42*#REF!)*#REF!) + (('Time Matrix'!E42*#REF!)*#REF!) + (('Time Matrix'!E42*#REF!)*#REF!)</f>
        <v>#REF!</v>
      </c>
      <c r="H48" t="e">
        <f>(('Time Matrix'!E42*#REF!)*#REF!) + (('Time Matrix'!E42*#REF!)*#REF!) + (('Time Matrix'!E42*#REF!)*#REF!) + (('Time Matrix'!E42*#REF!)*#REF!)</f>
        <v>#REF!</v>
      </c>
    </row>
    <row r="49" spans="1:8" x14ac:dyDescent="0.2">
      <c r="A49">
        <v>708200402</v>
      </c>
      <c r="B49" t="s">
        <v>161</v>
      </c>
      <c r="C49" t="e">
        <f>(('Time Matrix'!E43*#REF!)*'Mon (101)'!#REF!) + (('Time Matrix'!E43*#REF!)*'Mon (101)'!#REF!) + (('Time Matrix'!E43*#REF!)*'Mon (101)'!#REF!) + (('Time Matrix'!E43*#REF!)*'Mon (101)'!#REF!)</f>
        <v>#REF!</v>
      </c>
      <c r="D49" t="e">
        <f>(('Time Matrix'!E43*#REF!)*#REF!) + (('Time Matrix'!E43*#REF!)*#REF!) + (('Time Matrix'!E43*#REF!)*#REF!) + (('Time Matrix'!E43*#REF!)*#REF!)</f>
        <v>#REF!</v>
      </c>
      <c r="E49" t="e">
        <f>(('Time Matrix'!E43*#REF!)*#REF!) + (('Time Matrix'!E43*#REF!)*#REF!) + (('Time Matrix'!E43*#REF!)*#REF!) + (('Time Matrix'!E43*#REF!)*#REF!)</f>
        <v>#REF!</v>
      </c>
      <c r="F49" t="e">
        <f>(('Time Matrix'!E43*#REF!)*#REF!) + (('Time Matrix'!E43*#REF!)*#REF!) + (('Time Matrix'!E43*#REF!)*#REF!) + (('Time Matrix'!E43*#REF!)*#REF!)</f>
        <v>#REF!</v>
      </c>
      <c r="G49" t="e">
        <f>(('Time Matrix'!E43*#REF!)*#REF!) + (('Time Matrix'!E43*#REF!)*#REF!) + (('Time Matrix'!E43*#REF!)*#REF!) + (('Time Matrix'!E43*#REF!)*#REF!)</f>
        <v>#REF!</v>
      </c>
      <c r="H49" t="e">
        <f>(('Time Matrix'!E43*#REF!)*#REF!) + (('Time Matrix'!E43*#REF!)*#REF!) + (('Time Matrix'!E43*#REF!)*#REF!) + (('Time Matrix'!E43*#REF!)*#REF!)</f>
        <v>#REF!</v>
      </c>
    </row>
    <row r="50" spans="1:8" x14ac:dyDescent="0.2">
      <c r="A50">
        <v>708200698</v>
      </c>
      <c r="B50" t="s">
        <v>88</v>
      </c>
      <c r="C50" t="e">
        <f>(('Time Matrix'!E44*#REF!)*'Mon (101)'!#REF!) + (('Time Matrix'!E44*#REF!)*'Mon (101)'!#REF!) + (('Time Matrix'!E44*#REF!)*'Mon (101)'!#REF!) + (('Time Matrix'!E44*#REF!)*'Mon (101)'!#REF!)</f>
        <v>#REF!</v>
      </c>
      <c r="D50" t="e">
        <f>(('Time Matrix'!E44*#REF!)*#REF!) + (('Time Matrix'!E44*#REF!)*#REF!) + (('Time Matrix'!E44*#REF!)*#REF!) + (('Time Matrix'!E44*#REF!)*#REF!)</f>
        <v>#REF!</v>
      </c>
      <c r="E50" t="e">
        <f>(('Time Matrix'!E44*#REF!)*#REF!) + (('Time Matrix'!E44*#REF!)*#REF!) + (('Time Matrix'!E44*#REF!)*#REF!) + (('Time Matrix'!E44*#REF!)*#REF!)</f>
        <v>#REF!</v>
      </c>
      <c r="F50" t="e">
        <f>(('Time Matrix'!E44*#REF!)*#REF!) + (('Time Matrix'!E44*#REF!)*#REF!) + (('Time Matrix'!E44*#REF!)*#REF!) + (('Time Matrix'!E44*#REF!)*#REF!)</f>
        <v>#REF!</v>
      </c>
      <c r="G50" t="e">
        <f>(('Time Matrix'!E44*#REF!)*#REF!) + (('Time Matrix'!E44*#REF!)*#REF!) + (('Time Matrix'!E44*#REF!)*#REF!) + (('Time Matrix'!E44*#REF!)*#REF!)</f>
        <v>#REF!</v>
      </c>
      <c r="H50" t="e">
        <f>(('Time Matrix'!E44*#REF!)*#REF!) + (('Time Matrix'!E44*#REF!)*#REF!) + (('Time Matrix'!E44*#REF!)*#REF!) + (('Time Matrix'!E44*#REF!)*#REF!)</f>
        <v>#REF!</v>
      </c>
    </row>
    <row r="51" spans="1:8" x14ac:dyDescent="0.2">
      <c r="A51">
        <v>708301988</v>
      </c>
      <c r="B51" t="s">
        <v>162</v>
      </c>
      <c r="C51" t="e">
        <f>(('Time Matrix'!E45*#REF!)*'Mon (101)'!#REF!) + (('Time Matrix'!E45*#REF!)*'Mon (101)'!#REF!) + (('Time Matrix'!E45*#REF!)*'Mon (101)'!#REF!) + (('Time Matrix'!E45*#REF!)*'Mon (101)'!#REF!)</f>
        <v>#REF!</v>
      </c>
      <c r="D51" t="e">
        <f>(('Time Matrix'!E45*#REF!)*#REF!) + (('Time Matrix'!E45*#REF!)*#REF!) + (('Time Matrix'!E45*#REF!)*#REF!) + (('Time Matrix'!E45*#REF!)*#REF!)</f>
        <v>#REF!</v>
      </c>
      <c r="E51" t="e">
        <f>(('Time Matrix'!E45*#REF!)*#REF!) + (('Time Matrix'!E45*#REF!)*#REF!) + (('Time Matrix'!E45*#REF!)*#REF!) + (('Time Matrix'!E45*#REF!)*#REF!)</f>
        <v>#REF!</v>
      </c>
      <c r="F51" t="e">
        <f>(('Time Matrix'!E45*#REF!)*#REF!) + (('Time Matrix'!E45*#REF!)*#REF!) + (('Time Matrix'!E45*#REF!)*#REF!) + (('Time Matrix'!E45*#REF!)*#REF!)</f>
        <v>#REF!</v>
      </c>
      <c r="G51" t="e">
        <f>(('Time Matrix'!E45*#REF!)*#REF!) + (('Time Matrix'!E45*#REF!)*#REF!) + (('Time Matrix'!E45*#REF!)*#REF!) + (('Time Matrix'!E45*#REF!)*#REF!)</f>
        <v>#REF!</v>
      </c>
      <c r="H51" t="e">
        <f>(('Time Matrix'!E45*#REF!)*#REF!) + (('Time Matrix'!E45*#REF!)*#REF!) + (('Time Matrix'!E45*#REF!)*#REF!) + (('Time Matrix'!E45*#REF!)*#REF!)</f>
        <v>#REF!</v>
      </c>
    </row>
    <row r="52" spans="1:8" x14ac:dyDescent="0.2">
      <c r="A52">
        <v>708301990</v>
      </c>
      <c r="B52" t="s">
        <v>163</v>
      </c>
      <c r="C52" t="e">
        <f>(('Time Matrix'!E46*#REF!)*'Mon (101)'!#REF!) + (('Time Matrix'!E46*#REF!)*'Mon (101)'!#REF!) + (('Time Matrix'!E46*#REF!)*'Mon (101)'!#REF!) + (('Time Matrix'!E46*#REF!)*'Mon (101)'!#REF!)</f>
        <v>#REF!</v>
      </c>
      <c r="D52" t="e">
        <f>(('Time Matrix'!E46*#REF!)*#REF!) + (('Time Matrix'!E46*#REF!)*#REF!) + (('Time Matrix'!E46*#REF!)*#REF!) + (('Time Matrix'!E46*#REF!)*#REF!)</f>
        <v>#REF!</v>
      </c>
      <c r="E52" t="e">
        <f>(('Time Matrix'!E46*#REF!)*#REF!) + (('Time Matrix'!E46*#REF!)*#REF!) + (('Time Matrix'!E46*#REF!)*#REF!) + (('Time Matrix'!E46*#REF!)*#REF!)</f>
        <v>#REF!</v>
      </c>
      <c r="F52" t="e">
        <f>(('Time Matrix'!E46*#REF!)*#REF!) + (('Time Matrix'!E46*#REF!)*#REF!) + (('Time Matrix'!E46*#REF!)*#REF!) + (('Time Matrix'!E46*#REF!)*#REF!)</f>
        <v>#REF!</v>
      </c>
      <c r="G52" t="e">
        <f>(('Time Matrix'!E46*#REF!)*#REF!) + (('Time Matrix'!E46*#REF!)*#REF!) + (('Time Matrix'!E46*#REF!)*#REF!) + (('Time Matrix'!E46*#REF!)*#REF!)</f>
        <v>#REF!</v>
      </c>
      <c r="H52" t="e">
        <f>(('Time Matrix'!E46*#REF!)*#REF!) + (('Time Matrix'!E46*#REF!)*#REF!) + (('Time Matrix'!E46*#REF!)*#REF!) + (('Time Matrix'!E46*#REF!)*#REF!)</f>
        <v>#REF!</v>
      </c>
    </row>
    <row r="53" spans="1:8" x14ac:dyDescent="0.2">
      <c r="A53" s="179" t="s">
        <v>164</v>
      </c>
      <c r="B53" s="180"/>
      <c r="C53" t="e">
        <f t="shared" ref="C53:H53" si="3">SUM(C41:C52)</f>
        <v>#REF!</v>
      </c>
      <c r="D53" t="e">
        <f t="shared" si="3"/>
        <v>#REF!</v>
      </c>
      <c r="E53" t="e">
        <f t="shared" si="3"/>
        <v>#REF!</v>
      </c>
      <c r="F53" t="e">
        <f t="shared" si="3"/>
        <v>#REF!</v>
      </c>
      <c r="G53" t="e">
        <f t="shared" si="3"/>
        <v>#REF!</v>
      </c>
      <c r="H53" t="e">
        <f t="shared" si="3"/>
        <v>#REF!</v>
      </c>
    </row>
    <row r="54" spans="1:8" x14ac:dyDescent="0.2">
      <c r="A54" s="183" t="s">
        <v>148</v>
      </c>
      <c r="B54" s="184"/>
      <c r="C54" s="184"/>
      <c r="D54" s="184"/>
      <c r="E54" s="184"/>
      <c r="F54" s="184"/>
      <c r="G54" s="184"/>
      <c r="H54" s="184"/>
    </row>
    <row r="55" spans="1:8" x14ac:dyDescent="0.2">
      <c r="B55" t="s">
        <v>165</v>
      </c>
      <c r="C55" t="e">
        <f>(('Time Matrix'!F47*#REF!)*'Mon (101)'!#REF!) + (('Time Matrix'!F47*#REF!)*'Mon (101)'!#REF!) + (('Time Matrix'!F47*#REF!)*'Mon (101)'!#REF!) + (('Time Matrix'!F47*#REF!)*'Mon (101)'!#REF!)</f>
        <v>#REF!</v>
      </c>
      <c r="D55" t="e">
        <f>(('Time Matrix'!F47*#REF!)*#REF!) + (('Time Matrix'!F47*#REF!)*#REF!) + (('Time Matrix'!F47*#REF!)*#REF!) + (('Time Matrix'!F47*#REF!)*#REF!)</f>
        <v>#REF!</v>
      </c>
      <c r="E55" t="e">
        <f>(('Time Matrix'!F47*#REF!)*#REF!) + (('Time Matrix'!F47*#REF!)*#REF!) + (('Time Matrix'!F47*#REF!)*#REF!) + (('Time Matrix'!F47*#REF!)*#REF!)</f>
        <v>#REF!</v>
      </c>
      <c r="F55" t="e">
        <f>(('Time Matrix'!F47*#REF!)*#REF!) + (('Time Matrix'!F47*#REF!)*#REF!) + (('Time Matrix'!F47*#REF!)*#REF!) + (('Time Matrix'!F47*#REF!)*#REF!)</f>
        <v>#REF!</v>
      </c>
      <c r="G55" t="e">
        <f>(('Time Matrix'!F47*#REF!)*#REF!) + (('Time Matrix'!F47*#REF!)*#REF!) + (('Time Matrix'!F47*#REF!)*#REF!) + (('Time Matrix'!F47*#REF!)*#REF!)</f>
        <v>#REF!</v>
      </c>
      <c r="H55" t="e">
        <f>(('Time Matrix'!F47*#REF!)*#REF!) + (('Time Matrix'!F47*#REF!)*#REF!) + (('Time Matrix'!F47*#REF!)*#REF!) + (('Time Matrix'!F47*#REF!)*#REF!)</f>
        <v>#REF!</v>
      </c>
    </row>
    <row r="56" spans="1:8" x14ac:dyDescent="0.2">
      <c r="B56" t="s">
        <v>166</v>
      </c>
      <c r="C56" t="e">
        <f>(('Time Matrix'!F48*#REF!)*'Mon (101)'!#REF!) + (('Time Matrix'!F48*#REF!)*'Mon (101)'!#REF!) + (('Time Matrix'!F48*#REF!)*'Mon (101)'!#REF!) + (('Time Matrix'!F48*#REF!)*'Mon (101)'!#REF!)</f>
        <v>#REF!</v>
      </c>
      <c r="D56" t="e">
        <f>(('Time Matrix'!F48*#REF!)*#REF!) + (('Time Matrix'!F48*#REF!)*#REF!) + (('Time Matrix'!F48*#REF!)*#REF!) + (('Time Matrix'!F48*#REF!)*#REF!)</f>
        <v>#REF!</v>
      </c>
      <c r="E56" t="e">
        <f>(('Time Matrix'!F48*#REF!)*#REF!) + (('Time Matrix'!F48*#REF!)*#REF!) + (('Time Matrix'!F48*#REF!)*#REF!) + (('Time Matrix'!F48*#REF!)*#REF!)</f>
        <v>#REF!</v>
      </c>
      <c r="F56" t="e">
        <f>(('Time Matrix'!F48*#REF!)*#REF!) + (('Time Matrix'!F48*#REF!)*#REF!) + (('Time Matrix'!F48*#REF!)*#REF!) + (('Time Matrix'!F48*#REF!)*#REF!)</f>
        <v>#REF!</v>
      </c>
      <c r="G56" t="e">
        <f>(('Time Matrix'!F48*#REF!)*#REF!) + (('Time Matrix'!F48*#REF!)*#REF!) + (('Time Matrix'!F48*#REF!)*#REF!) + (('Time Matrix'!F48*#REF!)*#REF!)</f>
        <v>#REF!</v>
      </c>
      <c r="H56" t="e">
        <f>(('Time Matrix'!F48*#REF!)*#REF!) + (('Time Matrix'!F48*#REF!)*#REF!) + (('Time Matrix'!F48*#REF!)*#REF!) + (('Time Matrix'!F48*#REF!)*#REF!)</f>
        <v>#REF!</v>
      </c>
    </row>
    <row r="57" spans="1:8" x14ac:dyDescent="0.2">
      <c r="B57" t="s">
        <v>167</v>
      </c>
      <c r="C57" t="e">
        <f>(('Time Matrix'!F49*#REF!)*'Mon (101)'!#REF!) + (('Time Matrix'!F49*#REF!)*'Mon (101)'!#REF!) + (('Time Matrix'!F49*#REF!)*'Mon (101)'!#REF!) + (('Time Matrix'!F49*#REF!)*'Mon (101)'!#REF!)</f>
        <v>#REF!</v>
      </c>
      <c r="D57" t="e">
        <f>(('Time Matrix'!F49*#REF!)*#REF!) + (('Time Matrix'!F49*#REF!)*#REF!) + (('Time Matrix'!F49*#REF!)*#REF!) + (('Time Matrix'!F49*#REF!)*#REF!)</f>
        <v>#REF!</v>
      </c>
      <c r="E57" t="e">
        <f>(('Time Matrix'!F49*#REF!)*#REF!) + (('Time Matrix'!F49*#REF!)*#REF!) + (('Time Matrix'!F49*#REF!)*#REF!) + (('Time Matrix'!F49*#REF!)*#REF!)</f>
        <v>#REF!</v>
      </c>
      <c r="F57" t="e">
        <f>(('Time Matrix'!F49*#REF!)*#REF!) + (('Time Matrix'!F49*#REF!)*#REF!) + (('Time Matrix'!F49*#REF!)*#REF!) + (('Time Matrix'!F49*#REF!)*#REF!)</f>
        <v>#REF!</v>
      </c>
      <c r="G57" t="e">
        <f>(('Time Matrix'!F49*#REF!)*#REF!) + (('Time Matrix'!F49*#REF!)*#REF!) + (('Time Matrix'!F49*#REF!)*#REF!) + (('Time Matrix'!F49*#REF!)*#REF!)</f>
        <v>#REF!</v>
      </c>
      <c r="H57" t="e">
        <f>(('Time Matrix'!F49*#REF!)*#REF!) + (('Time Matrix'!F49*#REF!)*#REF!) + (('Time Matrix'!F49*#REF!)*#REF!) + (('Time Matrix'!F49*#REF!)*#REF!)</f>
        <v>#REF!</v>
      </c>
    </row>
    <row r="58" spans="1:8" x14ac:dyDescent="0.2">
      <c r="B58" t="s">
        <v>168</v>
      </c>
      <c r="C58" t="e">
        <f>(('Time Matrix'!F50*#REF!)*'Mon (101)'!#REF!) + (('Time Matrix'!F50*#REF!)*'Mon (101)'!#REF!) + (('Time Matrix'!F50*#REF!)*'Mon (101)'!#REF!) + (('Time Matrix'!F50*#REF!)*'Mon (101)'!#REF!)</f>
        <v>#REF!</v>
      </c>
      <c r="D58" t="e">
        <f>(('Time Matrix'!F50*#REF!)*#REF!) + (('Time Matrix'!F50*#REF!)*#REF!) + (('Time Matrix'!F50*#REF!)*#REF!) + (('Time Matrix'!F50*#REF!)*#REF!)</f>
        <v>#REF!</v>
      </c>
      <c r="E58" t="e">
        <f>(('Time Matrix'!F50*#REF!)*#REF!) + (('Time Matrix'!F50*#REF!)*#REF!) + (('Time Matrix'!F50*#REF!)*#REF!) + (('Time Matrix'!F50*#REF!)*#REF!)</f>
        <v>#REF!</v>
      </c>
      <c r="F58" t="e">
        <f>(('Time Matrix'!F50*#REF!)*#REF!) + (('Time Matrix'!F50*#REF!)*#REF!) + (('Time Matrix'!F50*#REF!)*#REF!) + (('Time Matrix'!F50*#REF!)*#REF!)</f>
        <v>#REF!</v>
      </c>
      <c r="G58" t="e">
        <f>(('Time Matrix'!F50*#REF!)*#REF!) + (('Time Matrix'!F50*#REF!)*#REF!) + (('Time Matrix'!F50*#REF!)*#REF!) + (('Time Matrix'!F50*#REF!)*#REF!)</f>
        <v>#REF!</v>
      </c>
      <c r="H58" t="e">
        <f>(('Time Matrix'!F50*#REF!)*#REF!) + (('Time Matrix'!F50*#REF!)*#REF!) + (('Time Matrix'!F50*#REF!)*#REF!) + (('Time Matrix'!F50*#REF!)*#REF!)</f>
        <v>#REF!</v>
      </c>
    </row>
    <row r="59" spans="1:8" x14ac:dyDescent="0.2">
      <c r="B59" t="s">
        <v>169</v>
      </c>
      <c r="C59" t="e">
        <f>(('Time Matrix'!F51*#REF!)*'Mon (101)'!#REF!) + (('Time Matrix'!F51*#REF!)*'Mon (101)'!#REF!) + (('Time Matrix'!F51*#REF!)*'Mon (101)'!#REF!) + (('Time Matrix'!F51*#REF!)*'Mon (101)'!#REF!)</f>
        <v>#REF!</v>
      </c>
      <c r="D59" t="e">
        <f>(('Time Matrix'!F51*#REF!)*#REF!) + (('Time Matrix'!F51*#REF!)*#REF!) + (('Time Matrix'!F51*#REF!)*#REF!) + (('Time Matrix'!F51*#REF!)*#REF!)</f>
        <v>#REF!</v>
      </c>
      <c r="E59" t="e">
        <f>(('Time Matrix'!F51*#REF!)*#REF!) + (('Time Matrix'!F51*#REF!)*#REF!) + (('Time Matrix'!F51*#REF!)*#REF!) + (('Time Matrix'!F51*#REF!)*#REF!)</f>
        <v>#REF!</v>
      </c>
      <c r="F59" t="e">
        <f>(('Time Matrix'!F51*#REF!)*#REF!) + (('Time Matrix'!F51*#REF!)*#REF!) + (('Time Matrix'!F51*#REF!)*#REF!) + (('Time Matrix'!F51*#REF!)*#REF!)</f>
        <v>#REF!</v>
      </c>
      <c r="G59" t="e">
        <f>(('Time Matrix'!F51*#REF!)*#REF!) + (('Time Matrix'!F51*#REF!)*#REF!) + (('Time Matrix'!F51*#REF!)*#REF!) + (('Time Matrix'!F51*#REF!)*#REF!)</f>
        <v>#REF!</v>
      </c>
      <c r="H59" t="e">
        <f>(('Time Matrix'!F51*#REF!)*#REF!) + (('Time Matrix'!F51*#REF!)*#REF!) + (('Time Matrix'!F51*#REF!)*#REF!) + (('Time Matrix'!F51*#REF!)*#REF!)</f>
        <v>#REF!</v>
      </c>
    </row>
    <row r="60" spans="1:8" x14ac:dyDescent="0.2">
      <c r="B60" t="s">
        <v>170</v>
      </c>
      <c r="C60" t="e">
        <f>(('Time Matrix'!F52*#REF!)*'Mon (101)'!#REF!) + (('Time Matrix'!F52*#REF!)*'Mon (101)'!#REF!) + (('Time Matrix'!F52*#REF!)*'Mon (101)'!#REF!) + (('Time Matrix'!F52*#REF!)*'Mon (101)'!#REF!)</f>
        <v>#REF!</v>
      </c>
      <c r="D60" t="e">
        <f>(('Time Matrix'!F52*#REF!)*#REF!) + (('Time Matrix'!F52*#REF!)*#REF!) + (('Time Matrix'!F52*#REF!)*#REF!) + (('Time Matrix'!F52*#REF!)*#REF!)</f>
        <v>#REF!</v>
      </c>
      <c r="E60" t="e">
        <f>(('Time Matrix'!F52*#REF!)*#REF!) + (('Time Matrix'!F52*#REF!)*#REF!) + (('Time Matrix'!F52*#REF!)*#REF!) + (('Time Matrix'!F52*#REF!)*#REF!)</f>
        <v>#REF!</v>
      </c>
      <c r="F60" t="e">
        <f>(('Time Matrix'!F52*#REF!)*#REF!) + (('Time Matrix'!F52*#REF!)*#REF!) + (('Time Matrix'!F52*#REF!)*#REF!) + (('Time Matrix'!F52*#REF!)*#REF!)</f>
        <v>#REF!</v>
      </c>
      <c r="G60" t="e">
        <f>(('Time Matrix'!F52*#REF!)*#REF!) + (('Time Matrix'!F52*#REF!)*#REF!) + (('Time Matrix'!F52*#REF!)*#REF!) + (('Time Matrix'!F52*#REF!)*#REF!)</f>
        <v>#REF!</v>
      </c>
      <c r="H60" t="e">
        <f>(('Time Matrix'!F52*#REF!)*#REF!) + (('Time Matrix'!F52*#REF!)*#REF!) + (('Time Matrix'!F52*#REF!)*#REF!) + (('Time Matrix'!F52*#REF!)*#REF!)</f>
        <v>#REF!</v>
      </c>
    </row>
    <row r="61" spans="1:8" x14ac:dyDescent="0.2">
      <c r="B61" t="s">
        <v>171</v>
      </c>
      <c r="C61" t="e">
        <f>(('Time Matrix'!F53*#REF!)*'Mon (101)'!#REF!) + (('Time Matrix'!F53*#REF!)*'Mon (101)'!#REF!) + (('Time Matrix'!F53*#REF!)*'Mon (101)'!#REF!) + (('Time Matrix'!F53*#REF!)*'Mon (101)'!#REF!)</f>
        <v>#REF!</v>
      </c>
      <c r="D61" t="e">
        <f>(('Time Matrix'!F53*#REF!)*#REF!) + (('Time Matrix'!F53*#REF!)*#REF!) + (('Time Matrix'!F53*#REF!)*#REF!) + (('Time Matrix'!F53*#REF!)*#REF!)</f>
        <v>#REF!</v>
      </c>
      <c r="E61" t="e">
        <f>(('Time Matrix'!F53*#REF!)*#REF!) + (('Time Matrix'!F53*#REF!)*#REF!) + (('Time Matrix'!F53*#REF!)*#REF!) + (('Time Matrix'!F53*#REF!)*#REF!)</f>
        <v>#REF!</v>
      </c>
      <c r="F61" t="e">
        <f>(('Time Matrix'!F53*#REF!)*#REF!) + (('Time Matrix'!F53*#REF!)*#REF!) + (('Time Matrix'!F53*#REF!)*#REF!) + (('Time Matrix'!F53*#REF!)*#REF!)</f>
        <v>#REF!</v>
      </c>
      <c r="G61" t="e">
        <f>(('Time Matrix'!F53*#REF!)*#REF!) + (('Time Matrix'!F53*#REF!)*#REF!) + (('Time Matrix'!F53*#REF!)*#REF!) + (('Time Matrix'!F53*#REF!)*#REF!)</f>
        <v>#REF!</v>
      </c>
      <c r="H61" t="e">
        <f>(('Time Matrix'!F53*#REF!)*#REF!) + (('Time Matrix'!F53*#REF!)*#REF!) + (('Time Matrix'!F53*#REF!)*#REF!) + (('Time Matrix'!F53*#REF!)*#REF!)</f>
        <v>#REF!</v>
      </c>
    </row>
    <row r="62" spans="1:8" x14ac:dyDescent="0.2">
      <c r="B62" t="s">
        <v>172</v>
      </c>
      <c r="C62" t="e">
        <f>(('Time Matrix'!F54*#REF!)*'Mon (101)'!#REF!) + (('Time Matrix'!F54*#REF!)*'Mon (101)'!#REF!) + (('Time Matrix'!F54*#REF!)*'Mon (101)'!#REF!) + (('Time Matrix'!F54*#REF!)*'Mon (101)'!#REF!)</f>
        <v>#REF!</v>
      </c>
      <c r="D62" t="e">
        <f>(('Time Matrix'!F54*#REF!)*#REF!) + (('Time Matrix'!F54*#REF!)*#REF!) + (('Time Matrix'!F54*#REF!)*#REF!) + (('Time Matrix'!F54*#REF!)*#REF!)</f>
        <v>#REF!</v>
      </c>
      <c r="E62" t="e">
        <f>(('Time Matrix'!F54*#REF!)*#REF!) + (('Time Matrix'!F54*#REF!)*#REF!) + (('Time Matrix'!F54*#REF!)*#REF!) + (('Time Matrix'!F54*#REF!)*#REF!)</f>
        <v>#REF!</v>
      </c>
      <c r="F62" t="e">
        <f>(('Time Matrix'!F54*#REF!)*#REF!) + (('Time Matrix'!F54*#REF!)*#REF!) + (('Time Matrix'!F54*#REF!)*#REF!) + (('Time Matrix'!F54*#REF!)*#REF!)</f>
        <v>#REF!</v>
      </c>
      <c r="G62" t="e">
        <f>(('Time Matrix'!F54*#REF!)*#REF!) + (('Time Matrix'!F54*#REF!)*#REF!) + (('Time Matrix'!F54*#REF!)*#REF!) + (('Time Matrix'!F54*#REF!)*#REF!)</f>
        <v>#REF!</v>
      </c>
      <c r="H62" t="e">
        <f>(('Time Matrix'!F54*#REF!)*#REF!) + (('Time Matrix'!F54*#REF!)*#REF!) + (('Time Matrix'!F54*#REF!)*#REF!) + (('Time Matrix'!F54*#REF!)*#REF!)</f>
        <v>#REF!</v>
      </c>
    </row>
    <row r="63" spans="1:8" x14ac:dyDescent="0.2">
      <c r="B63" t="s">
        <v>173</v>
      </c>
      <c r="C63" t="e">
        <f>(('Time Matrix'!F55*#REF!)*'Mon (101)'!#REF!) + (('Time Matrix'!F55*#REF!)*'Mon (101)'!#REF!) + (('Time Matrix'!F55*#REF!)*'Mon (101)'!#REF!) + (('Time Matrix'!F55*#REF!)*'Mon (101)'!#REF!)</f>
        <v>#REF!</v>
      </c>
      <c r="D63" t="e">
        <f>(('Time Matrix'!F55*#REF!)*#REF!) + (('Time Matrix'!F55*#REF!)*#REF!) + (('Time Matrix'!F55*#REF!)*#REF!) + (('Time Matrix'!F55*#REF!)*#REF!)</f>
        <v>#REF!</v>
      </c>
      <c r="E63" t="e">
        <f>(('Time Matrix'!F55*#REF!)*#REF!) + (('Time Matrix'!F55*#REF!)*#REF!) + (('Time Matrix'!F55*#REF!)*#REF!) + (('Time Matrix'!F55*#REF!)*#REF!)</f>
        <v>#REF!</v>
      </c>
      <c r="F63" t="e">
        <f>(('Time Matrix'!F55*#REF!)*#REF!) + (('Time Matrix'!F55*#REF!)*#REF!) + (('Time Matrix'!F55*#REF!)*#REF!) + (('Time Matrix'!F55*#REF!)*#REF!)</f>
        <v>#REF!</v>
      </c>
      <c r="G63" t="e">
        <f>(('Time Matrix'!F55*#REF!)*#REF!) + (('Time Matrix'!F55*#REF!)*#REF!) + (('Time Matrix'!F55*#REF!)*#REF!) + (('Time Matrix'!F55*#REF!)*#REF!)</f>
        <v>#REF!</v>
      </c>
      <c r="H63" t="e">
        <f>(('Time Matrix'!F55*#REF!)*#REF!) + (('Time Matrix'!F55*#REF!)*#REF!) + (('Time Matrix'!F55*#REF!)*#REF!) + (('Time Matrix'!F55*#REF!)*#REF!)</f>
        <v>#REF!</v>
      </c>
    </row>
    <row r="64" spans="1:8" x14ac:dyDescent="0.2">
      <c r="B64" t="s">
        <v>174</v>
      </c>
      <c r="C64" t="e">
        <f>(('Time Matrix'!F56*#REF!)*'Mon (101)'!#REF!) + (('Time Matrix'!F56*#REF!)*'Mon (101)'!#REF!) + (('Time Matrix'!F56*#REF!)*'Mon (101)'!#REF!) + (('Time Matrix'!F56*#REF!)*'Mon (101)'!#REF!)</f>
        <v>#REF!</v>
      </c>
      <c r="D64" t="e">
        <f>(('Time Matrix'!F56*#REF!)*#REF!) + (('Time Matrix'!F56*#REF!)*#REF!) + (('Time Matrix'!F56*#REF!)*#REF!) + (('Time Matrix'!F56*#REF!)*#REF!)</f>
        <v>#REF!</v>
      </c>
      <c r="E64" t="e">
        <f>(('Time Matrix'!F56*#REF!)*#REF!) + (('Time Matrix'!F56*#REF!)*#REF!) + (('Time Matrix'!F56*#REF!)*#REF!) + (('Time Matrix'!F56*#REF!)*#REF!)</f>
        <v>#REF!</v>
      </c>
      <c r="F64" t="e">
        <f>(('Time Matrix'!F56*#REF!)*#REF!) + (('Time Matrix'!F56*#REF!)*#REF!) + (('Time Matrix'!F56*#REF!)*#REF!) + (('Time Matrix'!F56*#REF!)*#REF!)</f>
        <v>#REF!</v>
      </c>
      <c r="G64" t="e">
        <f>(('Time Matrix'!F56*#REF!)*#REF!) + (('Time Matrix'!F56*#REF!)*#REF!) + (('Time Matrix'!F56*#REF!)*#REF!) + (('Time Matrix'!F56*#REF!)*#REF!)</f>
        <v>#REF!</v>
      </c>
      <c r="H64" t="e">
        <f>(('Time Matrix'!F56*#REF!)*#REF!) + (('Time Matrix'!F56*#REF!)*#REF!) + (('Time Matrix'!F56*#REF!)*#REF!) + (('Time Matrix'!F56*#REF!)*#REF!)</f>
        <v>#REF!</v>
      </c>
    </row>
    <row r="65" spans="1:8" x14ac:dyDescent="0.2">
      <c r="B65" t="s">
        <v>175</v>
      </c>
      <c r="C65" t="e">
        <f>(('Time Matrix'!F57*#REF!)*'Mon (101)'!#REF!) + (('Time Matrix'!F57*#REF!)*'Mon (101)'!#REF!) + (('Time Matrix'!F57*#REF!)*'Mon (101)'!#REF!) + (('Time Matrix'!F57*#REF!)*'Mon (101)'!#REF!)</f>
        <v>#REF!</v>
      </c>
      <c r="D65" t="e">
        <f>(('Time Matrix'!F57*#REF!)*#REF!) + (('Time Matrix'!F57*#REF!)*#REF!) + (('Time Matrix'!F57*#REF!)*#REF!) + (('Time Matrix'!F57*#REF!)*#REF!)</f>
        <v>#REF!</v>
      </c>
      <c r="E65" t="e">
        <f>(('Time Matrix'!F57*#REF!)*#REF!) + (('Time Matrix'!F57*#REF!)*#REF!) + (('Time Matrix'!F57*#REF!)*#REF!) + (('Time Matrix'!F57*#REF!)*#REF!)</f>
        <v>#REF!</v>
      </c>
      <c r="F65" t="e">
        <f>(('Time Matrix'!F57*#REF!)*#REF!) + (('Time Matrix'!F57*#REF!)*#REF!) + (('Time Matrix'!F57*#REF!)*#REF!) + (('Time Matrix'!F57*#REF!)*#REF!)</f>
        <v>#REF!</v>
      </c>
      <c r="G65" t="e">
        <f>(('Time Matrix'!F57*#REF!)*#REF!) + (('Time Matrix'!F57*#REF!)*#REF!) + (('Time Matrix'!F57*#REF!)*#REF!) + (('Time Matrix'!F57*#REF!)*#REF!)</f>
        <v>#REF!</v>
      </c>
      <c r="H65" t="e">
        <f>(('Time Matrix'!F57*#REF!)*#REF!) + (('Time Matrix'!F57*#REF!)*#REF!) + (('Time Matrix'!F57*#REF!)*#REF!) + (('Time Matrix'!F57*#REF!)*#REF!)</f>
        <v>#REF!</v>
      </c>
    </row>
    <row r="66" spans="1:8" x14ac:dyDescent="0.2">
      <c r="B66" t="s">
        <v>122</v>
      </c>
      <c r="C66" t="e">
        <f>(('Time Matrix'!F58*#REF!)*'Mon (101)'!#REF!) + (('Time Matrix'!F58*#REF!)*'Mon (101)'!#REF!) + (('Time Matrix'!F58*#REF!)*'Mon (101)'!#REF!) + (('Time Matrix'!F58*#REF!)*'Mon (101)'!#REF!)</f>
        <v>#REF!</v>
      </c>
      <c r="D66" t="e">
        <f>(('Time Matrix'!F58*#REF!)*#REF!) + (('Time Matrix'!F58*#REF!)*#REF!) + (('Time Matrix'!F58*#REF!)*#REF!) + (('Time Matrix'!F58*#REF!)*#REF!)</f>
        <v>#REF!</v>
      </c>
      <c r="E66" t="e">
        <f>(('Time Matrix'!F58*#REF!)*#REF!) + (('Time Matrix'!F58*#REF!)*#REF!) + (('Time Matrix'!F58*#REF!)*#REF!) + (('Time Matrix'!F58*#REF!)*#REF!)</f>
        <v>#REF!</v>
      </c>
      <c r="F66" t="e">
        <f>(('Time Matrix'!F58*#REF!)*#REF!) + (('Time Matrix'!F58*#REF!)*#REF!) + (('Time Matrix'!F58*#REF!)*#REF!) + (('Time Matrix'!F58*#REF!)*#REF!)</f>
        <v>#REF!</v>
      </c>
      <c r="G66" t="e">
        <f>(('Time Matrix'!F58*#REF!)*#REF!) + (('Time Matrix'!F58*#REF!)*#REF!) + (('Time Matrix'!F58*#REF!)*#REF!) + (('Time Matrix'!F58*#REF!)*#REF!)</f>
        <v>#REF!</v>
      </c>
      <c r="H66" t="e">
        <f>(('Time Matrix'!F58*#REF!)*#REF!) + (('Time Matrix'!F58*#REF!)*#REF!) + (('Time Matrix'!F58*#REF!)*#REF!) + (('Time Matrix'!F58*#REF!)*#REF!)</f>
        <v>#REF!</v>
      </c>
    </row>
    <row r="67" spans="1:8" x14ac:dyDescent="0.2">
      <c r="A67" s="179" t="s">
        <v>164</v>
      </c>
      <c r="B67" s="180"/>
      <c r="C67" t="e">
        <f t="shared" ref="C67:H67" si="4">SUM(C55:C66)</f>
        <v>#REF!</v>
      </c>
      <c r="D67" t="e">
        <f t="shared" si="4"/>
        <v>#REF!</v>
      </c>
      <c r="E67" t="e">
        <f t="shared" si="4"/>
        <v>#REF!</v>
      </c>
      <c r="F67" t="e">
        <f t="shared" si="4"/>
        <v>#REF!</v>
      </c>
      <c r="G67" t="e">
        <f t="shared" si="4"/>
        <v>#REF!</v>
      </c>
      <c r="H67" t="e">
        <f t="shared" si="4"/>
        <v>#REF!</v>
      </c>
    </row>
    <row r="68" spans="1:8" x14ac:dyDescent="0.2">
      <c r="A68" s="185" t="s">
        <v>66</v>
      </c>
      <c r="B68" s="186"/>
      <c r="C68" s="186"/>
      <c r="D68" s="186"/>
      <c r="E68" s="186"/>
      <c r="F68" s="186"/>
      <c r="G68" s="186"/>
      <c r="H68" s="186"/>
    </row>
    <row r="69" spans="1:8" x14ac:dyDescent="0.2">
      <c r="A69">
        <v>5011</v>
      </c>
      <c r="B69" t="s">
        <v>63</v>
      </c>
      <c r="C69" t="e">
        <f>(('Time Matrix'!G59*#REF!)*'Mon (101)'!#REF!) + (('Time Matrix'!G59*#REF!)*'Mon (101)'!#REF!) + (('Time Matrix'!G59*#REF!)*'Mon (101)'!#REF!) + (('Time Matrix'!G59*#REF!)*'Mon (101)'!#REF!)</f>
        <v>#REF!</v>
      </c>
      <c r="D69" t="e">
        <f>(('Time Matrix'!G59*#REF!)*#REF!) + (('Time Matrix'!G59*#REF!)*#REF!) + (('Time Matrix'!G59*#REF!)*#REF!) + (('Time Matrix'!G59*#REF!)*#REF!)</f>
        <v>#REF!</v>
      </c>
      <c r="E69" t="e">
        <f>(('Time Matrix'!G59*#REF!)*#REF!) + (('Time Matrix'!G59*#REF!)*#REF!) + (('Time Matrix'!G59*#REF!)*#REF!) + (('Time Matrix'!G59*#REF!)*#REF!)</f>
        <v>#REF!</v>
      </c>
      <c r="F69" t="e">
        <f>(('Time Matrix'!G59*#REF!)*#REF!) + (('Time Matrix'!G59*#REF!)*#REF!) + (('Time Matrix'!G59*#REF!)*#REF!) + (('Time Matrix'!G59*#REF!)*#REF!)</f>
        <v>#REF!</v>
      </c>
      <c r="G69" t="e">
        <f>(('Time Matrix'!G59*#REF!)*#REF!) + (('Time Matrix'!G59*#REF!)*#REF!) + (('Time Matrix'!G59*#REF!)*#REF!) + (('Time Matrix'!G59*#REF!)*#REF!)</f>
        <v>#REF!</v>
      </c>
      <c r="H69" t="e">
        <f>(('Time Matrix'!G59*#REF!)*#REF!) + (('Time Matrix'!G59*#REF!)*#REF!) + (('Time Matrix'!G59*#REF!)*#REF!) + (('Time Matrix'!G59*#REF!)*#REF!)</f>
        <v>#REF!</v>
      </c>
    </row>
    <row r="70" spans="1:8" x14ac:dyDescent="0.2">
      <c r="A70">
        <v>1408</v>
      </c>
      <c r="B70" t="s">
        <v>64</v>
      </c>
      <c r="C70" t="e">
        <f>(('Time Matrix'!G60*#REF!)*'Mon (101)'!#REF!) + (('Time Matrix'!G60*#REF!)*'Mon (101)'!#REF!) + (('Time Matrix'!G60*#REF!)*'Mon (101)'!#REF!) + (('Time Matrix'!G60*#REF!)*'Mon (101)'!#REF!)</f>
        <v>#REF!</v>
      </c>
      <c r="D70" t="e">
        <f>(('Time Matrix'!G60*#REF!)*#REF!) + (('Time Matrix'!G60*#REF!)*#REF!) + (('Time Matrix'!G60*#REF!)*#REF!) + (('Time Matrix'!G60*#REF!)*#REF!)</f>
        <v>#REF!</v>
      </c>
      <c r="E70" t="e">
        <f>(('Time Matrix'!G60*#REF!)*#REF!) + (('Time Matrix'!G60*#REF!)*#REF!) + (('Time Matrix'!G60*#REF!)*#REF!) + (('Time Matrix'!G60*#REF!)*#REF!)</f>
        <v>#REF!</v>
      </c>
      <c r="F70" t="e">
        <f>(('Time Matrix'!G60*#REF!)*#REF!) + (('Time Matrix'!G60*#REF!)*#REF!) + (('Time Matrix'!G60*#REF!)*#REF!) + (('Time Matrix'!G60*#REF!)*#REF!)</f>
        <v>#REF!</v>
      </c>
      <c r="G70" t="e">
        <f>(('Time Matrix'!G60*#REF!)*#REF!) + (('Time Matrix'!G60*#REF!)*#REF!) + (('Time Matrix'!G60*#REF!)*#REF!) + (('Time Matrix'!G60*#REF!)*#REF!)</f>
        <v>#REF!</v>
      </c>
      <c r="H70" t="e">
        <f>(('Time Matrix'!G60*#REF!)*#REF!) + (('Time Matrix'!G60*#REF!)*#REF!) + (('Time Matrix'!G60*#REF!)*#REF!) + (('Time Matrix'!G60*#REF!)*#REF!)</f>
        <v>#REF!</v>
      </c>
    </row>
    <row r="71" spans="1:8" x14ac:dyDescent="0.2">
      <c r="A71">
        <v>5007</v>
      </c>
      <c r="B71" t="s">
        <v>65</v>
      </c>
      <c r="C71" t="e">
        <f>(('Time Matrix'!G61*#REF!)*'Mon (101)'!#REF!) + (('Time Matrix'!G61*#REF!)*'Mon (101)'!#REF!) + (('Time Matrix'!G61*#REF!)*'Mon (101)'!#REF!) + (('Time Matrix'!G61*#REF!)*'Mon (101)'!#REF!)</f>
        <v>#REF!</v>
      </c>
      <c r="D71" t="e">
        <f>(('Time Matrix'!G61*#REF!)*#REF!) + (('Time Matrix'!G61*#REF!)*#REF!) + (('Time Matrix'!G61*#REF!)*#REF!) + (('Time Matrix'!G61*#REF!)*#REF!)</f>
        <v>#REF!</v>
      </c>
      <c r="E71" t="e">
        <f>(('Time Matrix'!G61*#REF!)*#REF!) + (('Time Matrix'!G61*#REF!)*#REF!) + (('Time Matrix'!G61*#REF!)*#REF!) + (('Time Matrix'!G61*#REF!)*#REF!)</f>
        <v>#REF!</v>
      </c>
      <c r="F71" t="e">
        <f>(('Time Matrix'!G61*#REF!)*#REF!) + (('Time Matrix'!G61*#REF!)*#REF!) + (('Time Matrix'!G61*#REF!)*#REF!) + (('Time Matrix'!G61*#REF!)*#REF!)</f>
        <v>#REF!</v>
      </c>
      <c r="G71" t="e">
        <f>(('Time Matrix'!G61*#REF!)*#REF!) + (('Time Matrix'!G61*#REF!)*#REF!) + (('Time Matrix'!G61*#REF!)*#REF!) + (('Time Matrix'!G61*#REF!)*#REF!)</f>
        <v>#REF!</v>
      </c>
      <c r="H71" t="e">
        <f>(('Time Matrix'!G61*#REF!)*#REF!) + (('Time Matrix'!G61*#REF!)*#REF!) + (('Time Matrix'!G61*#REF!)*#REF!) + (('Time Matrix'!G61*#REF!)*#REF!)</f>
        <v>#REF!</v>
      </c>
    </row>
    <row r="72" spans="1:8" x14ac:dyDescent="0.2">
      <c r="A72" s="179" t="s">
        <v>164</v>
      </c>
      <c r="B72" s="180"/>
      <c r="C72" t="e">
        <f t="shared" ref="C72:H72" si="5">SUM(C69:C71)</f>
        <v>#REF!</v>
      </c>
      <c r="D72" t="e">
        <f t="shared" si="5"/>
        <v>#REF!</v>
      </c>
      <c r="E72" t="e">
        <f t="shared" si="5"/>
        <v>#REF!</v>
      </c>
      <c r="F72" t="e">
        <f t="shared" si="5"/>
        <v>#REF!</v>
      </c>
      <c r="G72" t="e">
        <f t="shared" si="5"/>
        <v>#REF!</v>
      </c>
      <c r="H72" t="e">
        <f t="shared" si="5"/>
        <v>#REF!</v>
      </c>
    </row>
    <row r="73" spans="1:8" x14ac:dyDescent="0.2">
      <c r="A73" s="187" t="s">
        <v>93</v>
      </c>
      <c r="B73" s="188"/>
      <c r="C73" s="188"/>
      <c r="D73" s="188"/>
      <c r="E73" s="188"/>
      <c r="F73" s="188"/>
      <c r="G73" s="188"/>
      <c r="H73" s="188"/>
    </row>
    <row r="74" spans="1:8" x14ac:dyDescent="0.2">
      <c r="B74" t="s">
        <v>108</v>
      </c>
      <c r="C74" t="e">
        <f>(('Time Matrix'!H62*#REF!)*'Mon (101)'!#REF!) + (('Time Matrix'!H62*#REF!)*'Mon (101)'!#REF!) + (('Time Matrix'!H62*#REF!)*'Mon (101)'!#REF!) + (('Time Matrix'!H62*#REF!)*'Mon (101)'!#REF!)</f>
        <v>#REF!</v>
      </c>
      <c r="D74" t="e">
        <f>(('Time Matrix'!H62*#REF!)*#REF!) + (('Time Matrix'!H62*#REF!)*#REF!) + (('Time Matrix'!H62*#REF!)*#REF!) + (('Time Matrix'!H62*#REF!)*#REF!)</f>
        <v>#REF!</v>
      </c>
      <c r="E74" t="e">
        <f>(('Time Matrix'!H62*#REF!)*#REF!) + (('Time Matrix'!H62*#REF!)*#REF!) + (('Time Matrix'!H62*#REF!)*#REF!) + (('Time Matrix'!H62*#REF!)*#REF!)</f>
        <v>#REF!</v>
      </c>
      <c r="F74" t="e">
        <f>(('Time Matrix'!H62*#REF!)*#REF!) + (('Time Matrix'!H62*#REF!)*#REF!) + (('Time Matrix'!H62*#REF!)*#REF!) + (('Time Matrix'!H62*#REF!)*#REF!)</f>
        <v>#REF!</v>
      </c>
      <c r="G74" t="e">
        <f>(('Time Matrix'!H62*#REF!)*#REF!) + (('Time Matrix'!H62*#REF!)*#REF!) + (('Time Matrix'!H62*#REF!)*#REF!) + (('Time Matrix'!H62*#REF!)*#REF!)</f>
        <v>#REF!</v>
      </c>
      <c r="H74" t="e">
        <f>(('Time Matrix'!H62*#REF!)*#REF!) + (('Time Matrix'!H62*#REF!)*#REF!) + (('Time Matrix'!H62*#REF!)*#REF!) + (('Time Matrix'!H62*#REF!)*#REF!)</f>
        <v>#REF!</v>
      </c>
    </row>
    <row r="75" spans="1:8" x14ac:dyDescent="0.2">
      <c r="B75" t="s">
        <v>90</v>
      </c>
      <c r="C75" t="e">
        <f>(('Time Matrix'!H63*#REF!)*'Mon (101)'!#REF!) + (('Time Matrix'!H63*#REF!)*'Mon (101)'!#REF!) + (('Time Matrix'!H63*#REF!)*'Mon (101)'!#REF!) + (('Time Matrix'!H63*#REF!)*'Mon (101)'!#REF!)</f>
        <v>#REF!</v>
      </c>
      <c r="D75" t="e">
        <f>(('Time Matrix'!H63*#REF!)*#REF!) + (('Time Matrix'!H63*#REF!)*#REF!) + (('Time Matrix'!H63*#REF!)*#REF!) + (('Time Matrix'!H63*#REF!)*#REF!)</f>
        <v>#REF!</v>
      </c>
      <c r="E75" t="e">
        <f>(('Time Matrix'!H63*#REF!)*#REF!) + (('Time Matrix'!H63*#REF!)*#REF!) + (('Time Matrix'!H63*#REF!)*#REF!) + (('Time Matrix'!H63*#REF!)*#REF!)</f>
        <v>#REF!</v>
      </c>
      <c r="F75" t="e">
        <f>(('Time Matrix'!H63*#REF!)*#REF!) + (('Time Matrix'!H63*#REF!)*#REF!) + (('Time Matrix'!H63*#REF!)*#REF!) + (('Time Matrix'!H63*#REF!)*#REF!)</f>
        <v>#REF!</v>
      </c>
      <c r="G75" t="e">
        <f>(('Time Matrix'!H63*#REF!)*#REF!) + (('Time Matrix'!H63*#REF!)*#REF!) + (('Time Matrix'!H63*#REF!)*#REF!) + (('Time Matrix'!H63*#REF!)*#REF!)</f>
        <v>#REF!</v>
      </c>
      <c r="H75" t="e">
        <f>(('Time Matrix'!H63*#REF!)*#REF!) + (('Time Matrix'!H63*#REF!)*#REF!) + (('Time Matrix'!H63*#REF!)*#REF!) + (('Time Matrix'!H63*#REF!)*#REF!)</f>
        <v>#REF!</v>
      </c>
    </row>
    <row r="76" spans="1:8" x14ac:dyDescent="0.2">
      <c r="B76" t="s">
        <v>91</v>
      </c>
      <c r="C76" t="e">
        <f>(('Time Matrix'!H64*#REF!)*'Mon (101)'!#REF!) + (('Time Matrix'!H64*#REF!)*'Mon (101)'!#REF!) + (('Time Matrix'!H64*#REF!)*'Mon (101)'!#REF!) + (('Time Matrix'!H64*#REF!)*'Mon (101)'!#REF!)</f>
        <v>#REF!</v>
      </c>
      <c r="D76" t="e">
        <f>(('Time Matrix'!H64*#REF!)*#REF!) + (('Time Matrix'!H64*#REF!)*#REF!) + (('Time Matrix'!H64*#REF!)*#REF!) + (('Time Matrix'!H64*#REF!)*#REF!)</f>
        <v>#REF!</v>
      </c>
      <c r="E76" t="e">
        <f>(('Time Matrix'!H64*#REF!)*#REF!) + (('Time Matrix'!H64*#REF!)*#REF!) + (('Time Matrix'!H64*#REF!)*#REF!) + (('Time Matrix'!H64*#REF!)*#REF!)</f>
        <v>#REF!</v>
      </c>
      <c r="F76" t="e">
        <f>(('Time Matrix'!H64*#REF!)*#REF!) + (('Time Matrix'!H64*#REF!)*#REF!) + (('Time Matrix'!H64*#REF!)*#REF!) + (('Time Matrix'!H64*#REF!)*#REF!)</f>
        <v>#REF!</v>
      </c>
      <c r="G76" t="e">
        <f>(('Time Matrix'!H64*#REF!)*#REF!) + (('Time Matrix'!H64*#REF!)*#REF!) + (('Time Matrix'!H64*#REF!)*#REF!) + (('Time Matrix'!H64*#REF!)*#REF!)</f>
        <v>#REF!</v>
      </c>
      <c r="H76" t="e">
        <f>(('Time Matrix'!H64*#REF!)*#REF!) + (('Time Matrix'!H64*#REF!)*#REF!) + (('Time Matrix'!H64*#REF!)*#REF!) + (('Time Matrix'!H64*#REF!)*#REF!)</f>
        <v>#REF!</v>
      </c>
    </row>
    <row r="77" spans="1:8" x14ac:dyDescent="0.2">
      <c r="A77">
        <v>7092</v>
      </c>
      <c r="B77" t="s">
        <v>92</v>
      </c>
      <c r="C77" t="e">
        <f>(('Time Matrix'!H65*#REF!)*'Mon (101)'!#REF!) + (('Time Matrix'!H65*#REF!)*'Mon (101)'!#REF!) + (('Time Matrix'!H65*#REF!)*'Mon (101)'!#REF!) + (('Time Matrix'!H65*#REF!)*'Mon (101)'!#REF!)</f>
        <v>#REF!</v>
      </c>
      <c r="D77" t="e">
        <f>(('Time Matrix'!H65*#REF!)*#REF!) + (('Time Matrix'!H65*#REF!)*#REF!) + (('Time Matrix'!H65*#REF!)*#REF!) + (('Time Matrix'!H65*#REF!)*#REF!)</f>
        <v>#REF!</v>
      </c>
      <c r="E77" t="e">
        <f>(('Time Matrix'!H65*#REF!)*#REF!) + (('Time Matrix'!H65*#REF!)*#REF!) + (('Time Matrix'!H65*#REF!)*#REF!) + (('Time Matrix'!H65*#REF!)*#REF!)</f>
        <v>#REF!</v>
      </c>
      <c r="F77" t="e">
        <f>(('Time Matrix'!H65*#REF!)*#REF!) + (('Time Matrix'!H65*#REF!)*#REF!) + (('Time Matrix'!H65*#REF!)*#REF!) + (('Time Matrix'!H65*#REF!)*#REF!)</f>
        <v>#REF!</v>
      </c>
      <c r="G77" t="e">
        <f>(('Time Matrix'!H65*#REF!)*#REF!) + (('Time Matrix'!H65*#REF!)*#REF!) + (('Time Matrix'!H65*#REF!)*#REF!) + (('Time Matrix'!H65*#REF!)*#REF!)</f>
        <v>#REF!</v>
      </c>
      <c r="H77" t="e">
        <f>(('Time Matrix'!H65*#REF!)*#REF!) + (('Time Matrix'!H65*#REF!)*#REF!) + (('Time Matrix'!H65*#REF!)*#REF!) + (('Time Matrix'!H65*#REF!)*#REF!)</f>
        <v>#REF!</v>
      </c>
    </row>
    <row r="78" spans="1:8" x14ac:dyDescent="0.2">
      <c r="A78" s="179" t="s">
        <v>164</v>
      </c>
      <c r="B78" s="180"/>
      <c r="C78" t="e">
        <f t="shared" ref="C78:H78" si="6">SUM(C74:C77)</f>
        <v>#REF!</v>
      </c>
      <c r="D78" t="e">
        <f t="shared" si="6"/>
        <v>#REF!</v>
      </c>
      <c r="E78" t="e">
        <f t="shared" si="6"/>
        <v>#REF!</v>
      </c>
      <c r="F78" t="e">
        <f t="shared" si="6"/>
        <v>#REF!</v>
      </c>
      <c r="G78" t="e">
        <f t="shared" si="6"/>
        <v>#REF!</v>
      </c>
      <c r="H78" t="e">
        <f t="shared" si="6"/>
        <v>#REF!</v>
      </c>
    </row>
    <row r="79" spans="1:8" x14ac:dyDescent="0.2">
      <c r="A79" s="187" t="s">
        <v>127</v>
      </c>
      <c r="B79" s="188"/>
      <c r="C79" s="188"/>
      <c r="D79" s="188"/>
      <c r="E79" s="188"/>
      <c r="F79" s="188"/>
      <c r="G79" s="188"/>
      <c r="H79" s="188"/>
    </row>
    <row r="80" spans="1:8" x14ac:dyDescent="0.2">
      <c r="B80" t="s">
        <v>94</v>
      </c>
      <c r="C80" t="e">
        <f>(('Time Matrix'!I66*#REF!)*'Mon (101)'!#REF!) + (('Time Matrix'!I66*#REF!)*'Mon (101)'!#REF!) + (('Time Matrix'!I66*#REF!)*'Mon (101)'!#REF!) + (('Time Matrix'!I66*#REF!)*'Mon (101)'!#REF!)</f>
        <v>#REF!</v>
      </c>
      <c r="D80" t="e">
        <f>(('Time Matrix'!I66*#REF!)*#REF!) + (('Time Matrix'!I66*#REF!)*#REF!) + (('Time Matrix'!I66*#REF!)*#REF!) + (('Time Matrix'!I66*#REF!)*#REF!)</f>
        <v>#REF!</v>
      </c>
      <c r="E80" t="e">
        <f>(('Time Matrix'!I66*#REF!)*#REF!) + (('Time Matrix'!I66*#REF!)*#REF!) + (('Time Matrix'!I66*#REF!)*#REF!) + (('Time Matrix'!I66*#REF!)*#REF!)</f>
        <v>#REF!</v>
      </c>
      <c r="F80" t="e">
        <f>(('Time Matrix'!I66*#REF!)*#REF!) + (('Time Matrix'!I66*#REF!)*#REF!) + (('Time Matrix'!I66*#REF!)*#REF!) + (('Time Matrix'!I66*#REF!)*#REF!)</f>
        <v>#REF!</v>
      </c>
      <c r="G80" t="e">
        <f>(('Time Matrix'!I66*#REF!)*#REF!) + (('Time Matrix'!I66*#REF!)*#REF!) + (('Time Matrix'!I66*#REF!)*#REF!) + (('Time Matrix'!I66*#REF!)*#REF!)</f>
        <v>#REF!</v>
      </c>
      <c r="H80" t="e">
        <f>(('Time Matrix'!I66*#REF!)*#REF!) + (('Time Matrix'!I66*#REF!)*#REF!) + (('Time Matrix'!I66*#REF!)*#REF!) + (('Time Matrix'!I66*#REF!)*#REF!)</f>
        <v>#REF!</v>
      </c>
    </row>
    <row r="81" spans="1:8" x14ac:dyDescent="0.2">
      <c r="B81" t="s">
        <v>95</v>
      </c>
      <c r="C81" t="e">
        <f>(('Time Matrix'!I67*#REF!)*'Mon (101)'!#REF!) + (('Time Matrix'!I67*#REF!)*'Mon (101)'!#REF!) + (('Time Matrix'!I67*#REF!)*'Mon (101)'!#REF!) + (('Time Matrix'!I67*#REF!)*'Mon (101)'!#REF!)</f>
        <v>#REF!</v>
      </c>
      <c r="D81" t="e">
        <f>(('Time Matrix'!I67*#REF!)*#REF!) + (('Time Matrix'!I67*#REF!)*#REF!) + (('Time Matrix'!I67*#REF!)*#REF!) + (('Time Matrix'!I67*#REF!)*#REF!)</f>
        <v>#REF!</v>
      </c>
      <c r="E81" t="e">
        <f>(('Time Matrix'!I67*#REF!)*#REF!) + (('Time Matrix'!I67*#REF!)*#REF!) + (('Time Matrix'!I67*#REF!)*#REF!) + (('Time Matrix'!I67*#REF!)*#REF!)</f>
        <v>#REF!</v>
      </c>
      <c r="F81" t="e">
        <f>(('Time Matrix'!I67*#REF!)*#REF!) + (('Time Matrix'!I67*#REF!)*#REF!) + (('Time Matrix'!I67*#REF!)*#REF!) + (('Time Matrix'!I67*#REF!)*#REF!)</f>
        <v>#REF!</v>
      </c>
      <c r="G81" t="e">
        <f>(('Time Matrix'!I67*#REF!)*#REF!) + (('Time Matrix'!I67*#REF!)*#REF!) + (('Time Matrix'!I67*#REF!)*#REF!) + (('Time Matrix'!I67*#REF!)*#REF!)</f>
        <v>#REF!</v>
      </c>
      <c r="H81" t="e">
        <f>(('Time Matrix'!I67*#REF!)*#REF!) + (('Time Matrix'!I67*#REF!)*#REF!) + (('Time Matrix'!I67*#REF!)*#REF!) + (('Time Matrix'!I67*#REF!)*#REF!)</f>
        <v>#REF!</v>
      </c>
    </row>
    <row r="82" spans="1:8" x14ac:dyDescent="0.2">
      <c r="B82" t="s">
        <v>97</v>
      </c>
      <c r="C82" t="e">
        <f>(('Time Matrix'!I68*#REF!)*'Mon (101)'!#REF!) + (('Time Matrix'!I68*#REF!)*'Mon (101)'!#REF!) + (('Time Matrix'!I68*#REF!)*'Mon (101)'!#REF!) + (('Time Matrix'!I68*#REF!)*'Mon (101)'!#REF!)</f>
        <v>#REF!</v>
      </c>
      <c r="D82" t="e">
        <f>(('Time Matrix'!I68*#REF!)*#REF!) + (('Time Matrix'!I68*#REF!)*#REF!) + (('Time Matrix'!I68*#REF!)*#REF!) + (('Time Matrix'!I68*#REF!)*#REF!)</f>
        <v>#REF!</v>
      </c>
      <c r="E82" t="e">
        <f>(('Time Matrix'!I68*#REF!)*#REF!) + (('Time Matrix'!I68*#REF!)*#REF!) + (('Time Matrix'!I68*#REF!)*#REF!) + (('Time Matrix'!I68*#REF!)*#REF!)</f>
        <v>#REF!</v>
      </c>
      <c r="F82" t="e">
        <f>(('Time Matrix'!I68*#REF!)*#REF!) + (('Time Matrix'!I68*#REF!)*#REF!) + (('Time Matrix'!I68*#REF!)*#REF!) + (('Time Matrix'!I68*#REF!)*#REF!)</f>
        <v>#REF!</v>
      </c>
      <c r="G82" t="e">
        <f>(('Time Matrix'!I68*#REF!)*#REF!) + (('Time Matrix'!I68*#REF!)*#REF!) + (('Time Matrix'!I68*#REF!)*#REF!) + (('Time Matrix'!I68*#REF!)*#REF!)</f>
        <v>#REF!</v>
      </c>
      <c r="H82" t="e">
        <f>(('Time Matrix'!I68*#REF!)*#REF!) + (('Time Matrix'!I68*#REF!)*#REF!) + (('Time Matrix'!I68*#REF!)*#REF!) + (('Time Matrix'!I68*#REF!)*#REF!)</f>
        <v>#REF!</v>
      </c>
    </row>
    <row r="83" spans="1:8" x14ac:dyDescent="0.2">
      <c r="B83" t="s">
        <v>96</v>
      </c>
      <c r="C83" t="e">
        <f>(('Time Matrix'!I69*#REF!)*'Mon (101)'!#REF!) + (('Time Matrix'!I69*#REF!)*'Mon (101)'!#REF!) + (('Time Matrix'!I69*#REF!)*'Mon (101)'!#REF!) + (('Time Matrix'!I69*#REF!)*'Mon (101)'!#REF!)</f>
        <v>#REF!</v>
      </c>
      <c r="D83" t="e">
        <f>(('Time Matrix'!I69*#REF!)*#REF!) + (('Time Matrix'!I69*#REF!)*#REF!) + (('Time Matrix'!I69*#REF!)*#REF!) + (('Time Matrix'!I69*#REF!)*#REF!)</f>
        <v>#REF!</v>
      </c>
      <c r="E83" t="e">
        <f>(('Time Matrix'!I69*#REF!)*#REF!) + (('Time Matrix'!I69*#REF!)*#REF!) + (('Time Matrix'!I69*#REF!)*#REF!) + (('Time Matrix'!I69*#REF!)*#REF!)</f>
        <v>#REF!</v>
      </c>
      <c r="F83" t="e">
        <f>(('Time Matrix'!I69*#REF!)*#REF!) + (('Time Matrix'!I69*#REF!)*#REF!) + (('Time Matrix'!I69*#REF!)*#REF!) + (('Time Matrix'!I69*#REF!)*#REF!)</f>
        <v>#REF!</v>
      </c>
      <c r="G83" t="e">
        <f>(('Time Matrix'!I69*#REF!)*#REF!) + (('Time Matrix'!I69*#REF!)*#REF!) + (('Time Matrix'!I69*#REF!)*#REF!) + (('Time Matrix'!I69*#REF!)*#REF!)</f>
        <v>#REF!</v>
      </c>
      <c r="H83" t="e">
        <f>(('Time Matrix'!I69*#REF!)*#REF!) + (('Time Matrix'!I69*#REF!)*#REF!) + (('Time Matrix'!I69*#REF!)*#REF!) + (('Time Matrix'!I69*#REF!)*#REF!)</f>
        <v>#REF!</v>
      </c>
    </row>
    <row r="84" spans="1:8" x14ac:dyDescent="0.2">
      <c r="B84" t="s">
        <v>98</v>
      </c>
      <c r="C84" t="e">
        <f>(('Time Matrix'!I70*#REF!)*'Mon (101)'!#REF!) + (('Time Matrix'!I70*#REF!)*'Mon (101)'!#REF!) + (('Time Matrix'!I70*#REF!)*'Mon (101)'!#REF!) + (('Time Matrix'!I70*#REF!)*'Mon (101)'!#REF!)</f>
        <v>#REF!</v>
      </c>
      <c r="D84" t="e">
        <f>(('Time Matrix'!I70*#REF!)*#REF!) + (('Time Matrix'!I70*#REF!)*#REF!) + (('Time Matrix'!I70*#REF!)*#REF!) + (('Time Matrix'!I70*#REF!)*#REF!)</f>
        <v>#REF!</v>
      </c>
      <c r="E84" t="e">
        <f>(('Time Matrix'!I70*#REF!)*#REF!) + (('Time Matrix'!I70*#REF!)*#REF!) + (('Time Matrix'!I70*#REF!)*#REF!) + (('Time Matrix'!I70*#REF!)*#REF!)</f>
        <v>#REF!</v>
      </c>
      <c r="F84" t="e">
        <f>(('Time Matrix'!I70*#REF!)*#REF!) + (('Time Matrix'!I70*#REF!)*#REF!) + (('Time Matrix'!I70*#REF!)*#REF!) + (('Time Matrix'!I70*#REF!)*#REF!)</f>
        <v>#REF!</v>
      </c>
      <c r="G84" t="e">
        <f>(('Time Matrix'!I70*#REF!)*#REF!) + (('Time Matrix'!I70*#REF!)*#REF!) + (('Time Matrix'!I70*#REF!)*#REF!) + (('Time Matrix'!I70*#REF!)*#REF!)</f>
        <v>#REF!</v>
      </c>
      <c r="H84" t="e">
        <f>(('Time Matrix'!I70*#REF!)*#REF!) + (('Time Matrix'!I70*#REF!)*#REF!) + (('Time Matrix'!I70*#REF!)*#REF!) + (('Time Matrix'!I70*#REF!)*#REF!)</f>
        <v>#REF!</v>
      </c>
    </row>
    <row r="85" spans="1:8" x14ac:dyDescent="0.2">
      <c r="B85" t="s">
        <v>99</v>
      </c>
      <c r="C85" t="e">
        <f>(('Time Matrix'!I71*#REF!)*'Mon (101)'!#REF!) + (('Time Matrix'!I71*#REF!)*'Mon (101)'!#REF!) + (('Time Matrix'!I71*#REF!)*'Mon (101)'!#REF!) + (('Time Matrix'!I71*#REF!)*'Mon (101)'!#REF!)</f>
        <v>#REF!</v>
      </c>
      <c r="D85" t="e">
        <f>(('Time Matrix'!I71*#REF!)*#REF!) + (('Time Matrix'!I71*#REF!)*#REF!) + (('Time Matrix'!I71*#REF!)*#REF!) + (('Time Matrix'!I71*#REF!)*#REF!)</f>
        <v>#REF!</v>
      </c>
      <c r="E85" t="e">
        <f>(('Time Matrix'!I71*#REF!)*#REF!) + (('Time Matrix'!I71*#REF!)*#REF!) + (('Time Matrix'!I71*#REF!)*#REF!) + (('Time Matrix'!I71*#REF!)*#REF!)</f>
        <v>#REF!</v>
      </c>
      <c r="F85" t="e">
        <f>(('Time Matrix'!I71*#REF!)*#REF!) + (('Time Matrix'!I71*#REF!)*#REF!) + (('Time Matrix'!I71*#REF!)*#REF!) + (('Time Matrix'!I71*#REF!)*#REF!)</f>
        <v>#REF!</v>
      </c>
      <c r="G85" t="e">
        <f>(('Time Matrix'!I71*#REF!)*#REF!) + (('Time Matrix'!I71*#REF!)*#REF!) + (('Time Matrix'!I71*#REF!)*#REF!) + (('Time Matrix'!I71*#REF!)*#REF!)</f>
        <v>#REF!</v>
      </c>
      <c r="H85" t="e">
        <f>(('Time Matrix'!I71*#REF!)*#REF!) + (('Time Matrix'!I71*#REF!)*#REF!) + (('Time Matrix'!I71*#REF!)*#REF!) + (('Time Matrix'!I71*#REF!)*#REF!)</f>
        <v>#REF!</v>
      </c>
    </row>
    <row r="86" spans="1:8" x14ac:dyDescent="0.2">
      <c r="A86" s="179" t="s">
        <v>164</v>
      </c>
      <c r="B86" s="180"/>
      <c r="C86" t="e">
        <f t="shared" ref="C86:H86" si="7">SUM(C80:C85)</f>
        <v>#REF!</v>
      </c>
      <c r="D86" t="e">
        <f t="shared" si="7"/>
        <v>#REF!</v>
      </c>
      <c r="E86" t="e">
        <f t="shared" si="7"/>
        <v>#REF!</v>
      </c>
      <c r="F86" t="e">
        <f t="shared" si="7"/>
        <v>#REF!</v>
      </c>
      <c r="G86" t="e">
        <f t="shared" si="7"/>
        <v>#REF!</v>
      </c>
      <c r="H86" t="e">
        <f t="shared" si="7"/>
        <v>#REF!</v>
      </c>
    </row>
    <row r="87" spans="1:8" x14ac:dyDescent="0.2">
      <c r="A87" s="187" t="s">
        <v>102</v>
      </c>
      <c r="B87" s="188"/>
      <c r="C87" s="188"/>
      <c r="D87" s="188"/>
      <c r="E87" s="188"/>
      <c r="F87" s="188"/>
      <c r="G87" s="188"/>
      <c r="H87" s="188"/>
    </row>
    <row r="88" spans="1:8" x14ac:dyDescent="0.2">
      <c r="A88">
        <v>500458</v>
      </c>
      <c r="B88" t="s">
        <v>103</v>
      </c>
      <c r="C88" t="e">
        <f>(('Time Matrix'!J72*#REF!)*'Mon (101)'!#REF!) + (('Time Matrix'!J72*#REF!)*'Mon (101)'!#REF!) + (('Time Matrix'!J72*#REF!)*'Mon (101)'!#REF!) + (('Time Matrix'!J72*#REF!)*'Mon (101)'!#REF!)</f>
        <v>#REF!</v>
      </c>
      <c r="D88" t="e">
        <f>(('Time Matrix'!J72*#REF!)*#REF!) + (('Time Matrix'!J72*#REF!)*#REF!) + (('Time Matrix'!J72*#REF!)*#REF!) + (('Time Matrix'!J72*#REF!)*#REF!)</f>
        <v>#REF!</v>
      </c>
      <c r="E88" t="e">
        <f>(('Time Matrix'!J72*#REF!)*#REF!) + (('Time Matrix'!J72*#REF!)*#REF!) + (('Time Matrix'!J72*#REF!)*#REF!) + (('Time Matrix'!J72*#REF!)*#REF!)</f>
        <v>#REF!</v>
      </c>
      <c r="F88" t="e">
        <f>(('Time Matrix'!J72*#REF!)*#REF!) + (('Time Matrix'!J72*#REF!)*#REF!) + (('Time Matrix'!J72*#REF!)*#REF!) + (('Time Matrix'!J72*#REF!)*#REF!)</f>
        <v>#REF!</v>
      </c>
      <c r="G88" t="e">
        <f>(('Time Matrix'!J72*#REF!)*#REF!) + (('Time Matrix'!J72*#REF!)*#REF!) + (('Time Matrix'!J72*#REF!)*#REF!) + (('Time Matrix'!J72*#REF!)*#REF!)</f>
        <v>#REF!</v>
      </c>
      <c r="H88" t="e">
        <f>(('Time Matrix'!J72*#REF!)*#REF!) + (('Time Matrix'!J72*#REF!)*#REF!) + (('Time Matrix'!J72*#REF!)*#REF!) + (('Time Matrix'!J72*#REF!)*#REF!)</f>
        <v>#REF!</v>
      </c>
    </row>
    <row r="89" spans="1:8" x14ac:dyDescent="0.2">
      <c r="A89">
        <v>500458</v>
      </c>
      <c r="B89" t="s">
        <v>104</v>
      </c>
      <c r="C89" t="e">
        <f>(('Time Matrix'!J73*#REF!)*'Mon (101)'!#REF!) + (('Time Matrix'!J73*#REF!)*'Mon (101)'!#REF!) + (('Time Matrix'!J73*#REF!)*'Mon (101)'!#REF!) + (('Time Matrix'!J73*#REF!)*'Mon (101)'!#REF!)</f>
        <v>#REF!</v>
      </c>
      <c r="D89" t="e">
        <f>(('Time Matrix'!J73*#REF!)*#REF!) + (('Time Matrix'!J73*#REF!)*#REF!) + (('Time Matrix'!J73*#REF!)*#REF!) + (('Time Matrix'!J73*#REF!)*#REF!)</f>
        <v>#REF!</v>
      </c>
      <c r="E89" t="e">
        <f>(('Time Matrix'!J73*#REF!)*#REF!) + (('Time Matrix'!J73*#REF!)*#REF!) + (('Time Matrix'!J73*#REF!)*#REF!) + (('Time Matrix'!J73*#REF!)*#REF!)</f>
        <v>#REF!</v>
      </c>
      <c r="F89" t="e">
        <f>(('Time Matrix'!J73*#REF!)*#REF!) + (('Time Matrix'!J73*#REF!)*#REF!) + (('Time Matrix'!J73*#REF!)*#REF!) + (('Time Matrix'!J73*#REF!)*#REF!)</f>
        <v>#REF!</v>
      </c>
      <c r="G89" t="e">
        <f>(('Time Matrix'!J73*#REF!)*#REF!) + (('Time Matrix'!J73*#REF!)*#REF!) + (('Time Matrix'!J73*#REF!)*#REF!) + (('Time Matrix'!J73*#REF!)*#REF!)</f>
        <v>#REF!</v>
      </c>
      <c r="H89" t="e">
        <f>(('Time Matrix'!J73*#REF!)*#REF!) + (('Time Matrix'!J73*#REF!)*#REF!) + (('Time Matrix'!J73*#REF!)*#REF!) + (('Time Matrix'!J73*#REF!)*#REF!)</f>
        <v>#REF!</v>
      </c>
    </row>
    <row r="90" spans="1:8" x14ac:dyDescent="0.2">
      <c r="A90">
        <v>500458</v>
      </c>
      <c r="B90" t="s">
        <v>105</v>
      </c>
      <c r="C90" t="e">
        <f>(('Time Matrix'!J74*#REF!)*'Mon (101)'!#REF!) + (('Time Matrix'!J74*#REF!)*'Mon (101)'!#REF!) + (('Time Matrix'!J74*#REF!)*'Mon (101)'!#REF!) + (('Time Matrix'!J74*#REF!)*'Mon (101)'!#REF!)</f>
        <v>#REF!</v>
      </c>
      <c r="D90" t="e">
        <f>(('Time Matrix'!J74*#REF!)*#REF!) + (('Time Matrix'!J74*#REF!)*#REF!) + (('Time Matrix'!J74*#REF!)*#REF!) + (('Time Matrix'!J74*#REF!)*#REF!)</f>
        <v>#REF!</v>
      </c>
      <c r="E90" t="e">
        <f>(('Time Matrix'!J74*#REF!)*#REF!) + (('Time Matrix'!J74*#REF!)*#REF!) + (('Time Matrix'!J74*#REF!)*#REF!) + (('Time Matrix'!J74*#REF!)*#REF!)</f>
        <v>#REF!</v>
      </c>
      <c r="F90" t="e">
        <f>(('Time Matrix'!J74*#REF!)*#REF!) + (('Time Matrix'!J74*#REF!)*#REF!) + (('Time Matrix'!J74*#REF!)*#REF!) + (('Time Matrix'!J74*#REF!)*#REF!)</f>
        <v>#REF!</v>
      </c>
      <c r="G90" t="e">
        <f>(('Time Matrix'!J74*#REF!)*#REF!) + (('Time Matrix'!J74*#REF!)*#REF!) + (('Time Matrix'!J74*#REF!)*#REF!) + (('Time Matrix'!J74*#REF!)*#REF!)</f>
        <v>#REF!</v>
      </c>
      <c r="H90" t="e">
        <f>(('Time Matrix'!J74*#REF!)*#REF!) + (('Time Matrix'!J74*#REF!)*#REF!) + (('Time Matrix'!J74*#REF!)*#REF!) + (('Time Matrix'!J74*#REF!)*#REF!)</f>
        <v>#REF!</v>
      </c>
    </row>
    <row r="91" spans="1:8" x14ac:dyDescent="0.2">
      <c r="A91" s="179" t="s">
        <v>164</v>
      </c>
      <c r="B91" s="180"/>
      <c r="C91" t="e">
        <f t="shared" ref="C91:H91" si="8">SUM(C88:C90)</f>
        <v>#REF!</v>
      </c>
      <c r="D91" t="e">
        <f t="shared" si="8"/>
        <v>#REF!</v>
      </c>
      <c r="E91" t="e">
        <f t="shared" si="8"/>
        <v>#REF!</v>
      </c>
      <c r="F91" t="e">
        <f t="shared" si="8"/>
        <v>#REF!</v>
      </c>
      <c r="G91" t="e">
        <f t="shared" si="8"/>
        <v>#REF!</v>
      </c>
      <c r="H91" t="e">
        <f t="shared" si="8"/>
        <v>#REF!</v>
      </c>
    </row>
    <row r="92" spans="1:8" x14ac:dyDescent="0.2">
      <c r="A92" s="187" t="s">
        <v>46</v>
      </c>
      <c r="B92" s="188"/>
      <c r="C92" s="188"/>
      <c r="D92" s="188"/>
      <c r="E92" s="188"/>
      <c r="F92" s="188"/>
      <c r="G92" s="188"/>
      <c r="H92" s="188"/>
    </row>
    <row r="93" spans="1:8" x14ac:dyDescent="0.2">
      <c r="A93">
        <v>42521681</v>
      </c>
      <c r="B93" t="s">
        <v>25</v>
      </c>
      <c r="C93" t="e">
        <f>(('Time Matrix'!K75*#REF!)*'Mon (101)'!#REF!) + (('Time Matrix'!K75*#REF!)*'Mon (101)'!#REF!) + (('Time Matrix'!K75*#REF!)*'Mon (101)'!#REF!) + (('Time Matrix'!K75*#REF!)*'Mon (101)'!#REF!)</f>
        <v>#REF!</v>
      </c>
      <c r="D93" t="e">
        <f>(('Time Matrix'!K75*#REF!)*#REF!) + (('Time Matrix'!K75*#REF!)*#REF!) + (('Time Matrix'!K75*#REF!)*#REF!) + (('Time Matrix'!K75*#REF!)*#REF!)</f>
        <v>#REF!</v>
      </c>
      <c r="E93" t="e">
        <f>(('Time Matrix'!K75*#REF!)*#REF!) + (('Time Matrix'!K75*#REF!)*#REF!) + (('Time Matrix'!K75*#REF!)*#REF!) + (('Time Matrix'!K75*#REF!)*#REF!)</f>
        <v>#REF!</v>
      </c>
      <c r="F93" t="e">
        <f>(('Time Matrix'!K75*#REF!)*#REF!) + (('Time Matrix'!K75*#REF!)*#REF!) + (('Time Matrix'!K75*#REF!)*#REF!) + (('Time Matrix'!K75*#REF!)*#REF!)</f>
        <v>#REF!</v>
      </c>
      <c r="G93" t="e">
        <f>(('Time Matrix'!K75*#REF!)*#REF!) + (('Time Matrix'!K75*#REF!)*#REF!) + (('Time Matrix'!K75*#REF!)*#REF!) + (('Time Matrix'!K75*#REF!)*#REF!)</f>
        <v>#REF!</v>
      </c>
      <c r="H93" t="e">
        <f>(('Time Matrix'!K75*#REF!)*#REF!) + (('Time Matrix'!K75*#REF!)*#REF!) + (('Time Matrix'!K75*#REF!)*#REF!) + (('Time Matrix'!K75*#REF!)*#REF!)</f>
        <v>#REF!</v>
      </c>
    </row>
    <row r="94" spans="1:8" x14ac:dyDescent="0.2">
      <c r="A94">
        <v>42521680</v>
      </c>
      <c r="B94" t="s">
        <v>26</v>
      </c>
      <c r="C94" t="e">
        <f>(('Time Matrix'!K76*#REF!)*'Mon (101)'!#REF!) + (('Time Matrix'!K76*#REF!)*'Mon (101)'!#REF!) + (('Time Matrix'!K76*#REF!)*'Mon (101)'!#REF!) + (('Time Matrix'!K76*#REF!)*'Mon (101)'!#REF!)</f>
        <v>#REF!</v>
      </c>
      <c r="D94" t="e">
        <f>(('Time Matrix'!K76*#REF!)*#REF!) + (('Time Matrix'!K76*#REF!)*#REF!) + (('Time Matrix'!K76*#REF!)*#REF!) + (('Time Matrix'!K76*#REF!)*#REF!)</f>
        <v>#REF!</v>
      </c>
      <c r="E94" t="e">
        <f>(('Time Matrix'!K76*#REF!)*#REF!) + (('Time Matrix'!K76*#REF!)*#REF!) + (('Time Matrix'!K76*#REF!)*#REF!) + (('Time Matrix'!K76*#REF!)*#REF!)</f>
        <v>#REF!</v>
      </c>
      <c r="F94" t="e">
        <f>(('Time Matrix'!K76*#REF!)*#REF!) + (('Time Matrix'!K76*#REF!)*#REF!) + (('Time Matrix'!K76*#REF!)*#REF!) + (('Time Matrix'!K76*#REF!)*#REF!)</f>
        <v>#REF!</v>
      </c>
      <c r="G94" t="e">
        <f>(('Time Matrix'!K76*#REF!)*#REF!) + (('Time Matrix'!K76*#REF!)*#REF!) + (('Time Matrix'!K76*#REF!)*#REF!) + (('Time Matrix'!K76*#REF!)*#REF!)</f>
        <v>#REF!</v>
      </c>
      <c r="H94" t="e">
        <f>(('Time Matrix'!K76*#REF!)*#REF!) + (('Time Matrix'!K76*#REF!)*#REF!) + (('Time Matrix'!K76*#REF!)*#REF!) + (('Time Matrix'!K76*#REF!)*#REF!)</f>
        <v>#REF!</v>
      </c>
    </row>
    <row r="95" spans="1:8" x14ac:dyDescent="0.2">
      <c r="A95">
        <v>42521683</v>
      </c>
      <c r="B95" t="s">
        <v>27</v>
      </c>
      <c r="C95" t="e">
        <f>(('Time Matrix'!K77*#REF!)*'Mon (101)'!#REF!) + (('Time Matrix'!K77*#REF!)*'Mon (101)'!#REF!) + (('Time Matrix'!K77*#REF!)*'Mon (101)'!#REF!) + (('Time Matrix'!K77*#REF!)*'Mon (101)'!#REF!)</f>
        <v>#REF!</v>
      </c>
      <c r="D95" t="e">
        <f>(('Time Matrix'!K77*#REF!)*#REF!) + (('Time Matrix'!K77*#REF!)*#REF!) + (('Time Matrix'!K77*#REF!)*#REF!) + (('Time Matrix'!K77*#REF!)*#REF!)</f>
        <v>#REF!</v>
      </c>
      <c r="E95" t="e">
        <f>(('Time Matrix'!K77*#REF!)*#REF!) + (('Time Matrix'!K77*#REF!)*#REF!) + (('Time Matrix'!K77*#REF!)*#REF!) + (('Time Matrix'!K77*#REF!)*#REF!)</f>
        <v>#REF!</v>
      </c>
      <c r="F95" t="e">
        <f>(('Time Matrix'!K77*#REF!)*#REF!) + (('Time Matrix'!K77*#REF!)*#REF!) + (('Time Matrix'!K77*#REF!)*#REF!) + (('Time Matrix'!K77*#REF!)*#REF!)</f>
        <v>#REF!</v>
      </c>
      <c r="G95" t="e">
        <f>(('Time Matrix'!K77*#REF!)*#REF!) + (('Time Matrix'!K77*#REF!)*#REF!) + (('Time Matrix'!K77*#REF!)*#REF!) + (('Time Matrix'!K77*#REF!)*#REF!)</f>
        <v>#REF!</v>
      </c>
      <c r="H95" t="e">
        <f>(('Time Matrix'!K77*#REF!)*#REF!) + (('Time Matrix'!K77*#REF!)*#REF!) + (('Time Matrix'!K77*#REF!)*#REF!) + (('Time Matrix'!K77*#REF!)*#REF!)</f>
        <v>#REF!</v>
      </c>
    </row>
    <row r="96" spans="1:8" x14ac:dyDescent="0.2">
      <c r="A96">
        <v>42521682</v>
      </c>
      <c r="B96" t="s">
        <v>28</v>
      </c>
      <c r="C96" t="e">
        <f>(('Time Matrix'!K78*#REF!)*'Mon (101)'!#REF!) + (('Time Matrix'!K78*#REF!)*'Mon (101)'!#REF!) + (('Time Matrix'!K78*#REF!)*'Mon (101)'!#REF!) + (('Time Matrix'!K78*#REF!)*'Mon (101)'!#REF!)</f>
        <v>#REF!</v>
      </c>
      <c r="D96" t="e">
        <f>(('Time Matrix'!K78*#REF!)*#REF!) + (('Time Matrix'!K78*#REF!)*#REF!) + (('Time Matrix'!K78*#REF!)*#REF!) + (('Time Matrix'!K78*#REF!)*#REF!)</f>
        <v>#REF!</v>
      </c>
      <c r="E96" t="e">
        <f>(('Time Matrix'!K78*#REF!)*#REF!) + (('Time Matrix'!K78*#REF!)*#REF!) + (('Time Matrix'!K78*#REF!)*#REF!) + (('Time Matrix'!K78*#REF!)*#REF!)</f>
        <v>#REF!</v>
      </c>
      <c r="F96" t="e">
        <f>(('Time Matrix'!K78*#REF!)*#REF!) + (('Time Matrix'!K78*#REF!)*#REF!) + (('Time Matrix'!K78*#REF!)*#REF!) + (('Time Matrix'!K78*#REF!)*#REF!)</f>
        <v>#REF!</v>
      </c>
      <c r="G96" t="e">
        <f>(('Time Matrix'!K78*#REF!)*#REF!) + (('Time Matrix'!K78*#REF!)*#REF!) + (('Time Matrix'!K78*#REF!)*#REF!) + (('Time Matrix'!K78*#REF!)*#REF!)</f>
        <v>#REF!</v>
      </c>
      <c r="H96" t="e">
        <f>(('Time Matrix'!K78*#REF!)*#REF!) + (('Time Matrix'!K78*#REF!)*#REF!) + (('Time Matrix'!K78*#REF!)*#REF!) + (('Time Matrix'!K78*#REF!)*#REF!)</f>
        <v>#REF!</v>
      </c>
    </row>
    <row r="97" spans="1:8" x14ac:dyDescent="0.2">
      <c r="A97" s="179" t="s">
        <v>164</v>
      </c>
      <c r="B97" s="180"/>
      <c r="C97" t="e">
        <f t="shared" ref="C97:H97" si="9">SUM(C93:C96)</f>
        <v>#REF!</v>
      </c>
      <c r="D97" t="e">
        <f t="shared" si="9"/>
        <v>#REF!</v>
      </c>
      <c r="E97" t="e">
        <f t="shared" si="9"/>
        <v>#REF!</v>
      </c>
      <c r="F97" t="e">
        <f t="shared" si="9"/>
        <v>#REF!</v>
      </c>
      <c r="G97" t="e">
        <f t="shared" si="9"/>
        <v>#REF!</v>
      </c>
      <c r="H97" t="e">
        <f t="shared" si="9"/>
        <v>#REF!</v>
      </c>
    </row>
    <row r="98" spans="1:8" x14ac:dyDescent="0.2">
      <c r="A98" s="187" t="s">
        <v>142</v>
      </c>
      <c r="B98" s="188"/>
      <c r="C98" s="188"/>
      <c r="D98" s="188"/>
      <c r="E98" s="188"/>
      <c r="F98" s="188"/>
      <c r="G98" s="188"/>
      <c r="H98" s="188"/>
    </row>
    <row r="99" spans="1:8" x14ac:dyDescent="0.2">
      <c r="A99">
        <v>80931</v>
      </c>
      <c r="B99" t="s">
        <v>144</v>
      </c>
      <c r="C99" t="e">
        <f>(('Time Matrix'!L79*#REF!)*'Mon (101)'!#REF!) + (('Time Matrix'!L79*#REF!)*'Mon (101)'!#REF!) + (('Time Matrix'!L79*#REF!)*'Mon (101)'!#REF!) + (('Time Matrix'!L79*#REF!)*'Mon (101)'!#REF!)</f>
        <v>#REF!</v>
      </c>
      <c r="D99" t="e">
        <f>(('Time Matrix'!L79*#REF!)*#REF!) + (('Time Matrix'!L79*#REF!)*#REF!) + (('Time Matrix'!L79*#REF!)*#REF!) + (('Time Matrix'!L79*#REF!)*#REF!)</f>
        <v>#REF!</v>
      </c>
      <c r="E99" t="e">
        <f>(('Time Matrix'!L79*#REF!)*#REF!) + (('Time Matrix'!L79*#REF!)*#REF!) + (('Time Matrix'!L79*#REF!)*#REF!) + (('Time Matrix'!L79*#REF!)*#REF!)</f>
        <v>#REF!</v>
      </c>
      <c r="F99" t="e">
        <f>(('Time Matrix'!L79*#REF!)*#REF!) + (('Time Matrix'!L79*#REF!)*#REF!) + (('Time Matrix'!L79*#REF!)*#REF!) + (('Time Matrix'!L79*#REF!)*#REF!)</f>
        <v>#REF!</v>
      </c>
      <c r="G99" t="e">
        <f>(('Time Matrix'!L79*#REF!)*#REF!) + (('Time Matrix'!L79*#REF!)*#REF!) + (('Time Matrix'!L79*#REF!)*#REF!) + (('Time Matrix'!L79*#REF!)*#REF!)</f>
        <v>#REF!</v>
      </c>
      <c r="H99" t="e">
        <f>(('Time Matrix'!L79*#REF!)*#REF!) + (('Time Matrix'!L79*#REF!)*#REF!) + (('Time Matrix'!L79*#REF!)*#REF!) + (('Time Matrix'!L79*#REF!)*#REF!)</f>
        <v>#REF!</v>
      </c>
    </row>
    <row r="100" spans="1:8" x14ac:dyDescent="0.2">
      <c r="A100">
        <v>80930</v>
      </c>
      <c r="B100" t="s">
        <v>143</v>
      </c>
      <c r="C100" t="e">
        <f>(('Time Matrix'!L80*#REF!)*'Mon (101)'!#REF!) + (('Time Matrix'!L80*#REF!)*'Mon (101)'!#REF!) + (('Time Matrix'!L80*#REF!)*'Mon (101)'!#REF!) + (('Time Matrix'!L80*#REF!)*'Mon (101)'!#REF!)</f>
        <v>#REF!</v>
      </c>
      <c r="D100" t="e">
        <f>(('Time Matrix'!L80*#REF!)*#REF!) + (('Time Matrix'!L80*#REF!)*#REF!) + (('Time Matrix'!L80*#REF!)*#REF!) + (('Time Matrix'!L80*#REF!)*#REF!)</f>
        <v>#REF!</v>
      </c>
      <c r="E100" t="e">
        <f>(('Time Matrix'!L80*#REF!)*#REF!) + (('Time Matrix'!L80*#REF!)*#REF!) + (('Time Matrix'!L80*#REF!)*#REF!) + (('Time Matrix'!L80*#REF!)*#REF!)</f>
        <v>#REF!</v>
      </c>
      <c r="F100" t="e">
        <f>(('Time Matrix'!L80*#REF!)*#REF!) + (('Time Matrix'!L80*#REF!)*#REF!) + (('Time Matrix'!L80*#REF!)*#REF!) + (('Time Matrix'!L80*#REF!)*#REF!)</f>
        <v>#REF!</v>
      </c>
      <c r="G100" t="e">
        <f>(('Time Matrix'!L80*#REF!)*#REF!) + (('Time Matrix'!L80*#REF!)*#REF!) + (('Time Matrix'!L80*#REF!)*#REF!) + (('Time Matrix'!L80*#REF!)*#REF!)</f>
        <v>#REF!</v>
      </c>
      <c r="H100" t="e">
        <f>(('Time Matrix'!L80*#REF!)*#REF!) + (('Time Matrix'!L80*#REF!)*#REF!) + (('Time Matrix'!L80*#REF!)*#REF!) + (('Time Matrix'!L80*#REF!)*#REF!)</f>
        <v>#REF!</v>
      </c>
    </row>
    <row r="101" spans="1:8" x14ac:dyDescent="0.2">
      <c r="A101">
        <v>80933</v>
      </c>
      <c r="B101" t="s">
        <v>146</v>
      </c>
      <c r="C101" t="e">
        <f>(('Time Matrix'!L81*#REF!)*'Mon (101)'!#REF!) + (('Time Matrix'!L81*#REF!)*'Mon (101)'!#REF!) + (('Time Matrix'!L81*#REF!)*'Mon (101)'!#REF!) + (('Time Matrix'!L81*#REF!)*'Mon (101)'!#REF!)</f>
        <v>#REF!</v>
      </c>
      <c r="D101" t="e">
        <f>(('Time Matrix'!L81*#REF!)*#REF!) + (('Time Matrix'!L81*#REF!)*#REF!) + (('Time Matrix'!L81*#REF!)*#REF!) + (('Time Matrix'!L81*#REF!)*#REF!)</f>
        <v>#REF!</v>
      </c>
      <c r="E101" t="e">
        <f>(('Time Matrix'!L81*#REF!)*#REF!) + (('Time Matrix'!L81*#REF!)*#REF!) + (('Time Matrix'!L81*#REF!)*#REF!) + (('Time Matrix'!L81*#REF!)*#REF!)</f>
        <v>#REF!</v>
      </c>
      <c r="F101" t="e">
        <f>(('Time Matrix'!L81*#REF!)*#REF!) + (('Time Matrix'!L81*#REF!)*#REF!) + (('Time Matrix'!L81*#REF!)*#REF!) + (('Time Matrix'!L81*#REF!)*#REF!)</f>
        <v>#REF!</v>
      </c>
      <c r="G101" t="e">
        <f>(('Time Matrix'!L81*#REF!)*#REF!) + (('Time Matrix'!L81*#REF!)*#REF!) + (('Time Matrix'!L81*#REF!)*#REF!) + (('Time Matrix'!L81*#REF!)*#REF!)</f>
        <v>#REF!</v>
      </c>
      <c r="H101" t="e">
        <f>(('Time Matrix'!L81*#REF!)*#REF!) + (('Time Matrix'!L81*#REF!)*#REF!) + (('Time Matrix'!L81*#REF!)*#REF!) + (('Time Matrix'!L81*#REF!)*#REF!)</f>
        <v>#REF!</v>
      </c>
    </row>
    <row r="102" spans="1:8" x14ac:dyDescent="0.2">
      <c r="A102">
        <v>80932</v>
      </c>
      <c r="B102" t="s">
        <v>145</v>
      </c>
      <c r="C102" t="e">
        <f>(('Time Matrix'!L82*#REF!)*'Mon (101)'!#REF!) + (('Time Matrix'!L82*#REF!)*'Mon (101)'!#REF!) + (('Time Matrix'!L82*#REF!)*'Mon (101)'!#REF!) + (('Time Matrix'!L82*#REF!)*'Mon (101)'!#REF!)</f>
        <v>#REF!</v>
      </c>
      <c r="D102" t="e">
        <f>(('Time Matrix'!L82*#REF!)*#REF!) + (('Time Matrix'!L82*#REF!)*#REF!) + (('Time Matrix'!L82*#REF!)*#REF!) + (('Time Matrix'!L82*#REF!)*#REF!)</f>
        <v>#REF!</v>
      </c>
      <c r="E102" t="e">
        <f>(('Time Matrix'!L82*#REF!)*#REF!) + (('Time Matrix'!L82*#REF!)*#REF!) + (('Time Matrix'!L82*#REF!)*#REF!) + (('Time Matrix'!L82*#REF!)*#REF!)</f>
        <v>#REF!</v>
      </c>
      <c r="F102" t="e">
        <f>(('Time Matrix'!L82*#REF!)*#REF!) + (('Time Matrix'!L82*#REF!)*#REF!) + (('Time Matrix'!L82*#REF!)*#REF!) + (('Time Matrix'!L82*#REF!)*#REF!)</f>
        <v>#REF!</v>
      </c>
      <c r="G102" t="e">
        <f>(('Time Matrix'!L82*#REF!)*#REF!) + (('Time Matrix'!L82*#REF!)*#REF!) + (('Time Matrix'!L82*#REF!)*#REF!) + (('Time Matrix'!L82*#REF!)*#REF!)</f>
        <v>#REF!</v>
      </c>
      <c r="H102" t="e">
        <f>(('Time Matrix'!L82*#REF!)*#REF!) + (('Time Matrix'!L82*#REF!)*#REF!) + (('Time Matrix'!L82*#REF!)*#REF!) + (('Time Matrix'!L82*#REF!)*#REF!)</f>
        <v>#REF!</v>
      </c>
    </row>
    <row r="103" spans="1:8" x14ac:dyDescent="0.2">
      <c r="A103" t="s">
        <v>147</v>
      </c>
      <c r="C103" t="e">
        <f>(('Time Matrix'!L83*#REF!)*'Mon (101)'!#REF!) + (('Time Matrix'!L83*#REF!)*'Mon (101)'!#REF!) + (('Time Matrix'!L83*#REF!)*'Mon (101)'!#REF!) + (('Time Matrix'!L83*#REF!)*'Mon (101)'!#REF!)</f>
        <v>#REF!</v>
      </c>
      <c r="D103" t="e">
        <f>(('Time Matrix'!L83*#REF!)*#REF!) + (('Time Matrix'!L83*#REF!)*#REF!) + (('Time Matrix'!L83*#REF!)*#REF!) + (('Time Matrix'!L83*#REF!)*#REF!)</f>
        <v>#REF!</v>
      </c>
      <c r="E103" t="e">
        <f>(('Time Matrix'!L83*#REF!)*#REF!) + (('Time Matrix'!L83*#REF!)*#REF!) + (('Time Matrix'!L83*#REF!)*#REF!) + (('Time Matrix'!L83*#REF!)*#REF!)</f>
        <v>#REF!</v>
      </c>
      <c r="F103" t="e">
        <f>(('Time Matrix'!L83*#REF!)*#REF!) + (('Time Matrix'!L83*#REF!)*#REF!) + (('Time Matrix'!L83*#REF!)*#REF!) + (('Time Matrix'!L83*#REF!)*#REF!)</f>
        <v>#REF!</v>
      </c>
      <c r="G103" t="e">
        <f>(('Time Matrix'!L83*#REF!)*#REF!) + (('Time Matrix'!L83*#REF!)*#REF!) + (('Time Matrix'!L83*#REF!)*#REF!) + (('Time Matrix'!L83*#REF!)*#REF!)</f>
        <v>#REF!</v>
      </c>
      <c r="H103" t="e">
        <f>(('Time Matrix'!L83*#REF!)*#REF!) + (('Time Matrix'!L83*#REF!)*#REF!) + (('Time Matrix'!L83*#REF!)*#REF!) + (('Time Matrix'!L83*#REF!)*#REF!)</f>
        <v>#REF!</v>
      </c>
    </row>
    <row r="104" spans="1:8" x14ac:dyDescent="0.2">
      <c r="A104" t="s">
        <v>147</v>
      </c>
      <c r="C104" t="e">
        <f>(('Time Matrix'!L84*#REF!)*'Mon (101)'!#REF!) + (('Time Matrix'!L84*#REF!)*'Mon (101)'!#REF!) + (('Time Matrix'!L84*#REF!)*'Mon (101)'!#REF!) + (('Time Matrix'!L84*#REF!)*'Mon (101)'!#REF!)</f>
        <v>#REF!</v>
      </c>
      <c r="D104" t="e">
        <f>(('Time Matrix'!L84*#REF!)*#REF!) + (('Time Matrix'!L84*#REF!)*#REF!) + (('Time Matrix'!L84*#REF!)*#REF!) + (('Time Matrix'!L84*#REF!)*#REF!)</f>
        <v>#REF!</v>
      </c>
      <c r="E104" t="e">
        <f>(('Time Matrix'!L84*#REF!)*#REF!) + (('Time Matrix'!L84*#REF!)*#REF!) + (('Time Matrix'!L84*#REF!)*#REF!) + (('Time Matrix'!L84*#REF!)*#REF!)</f>
        <v>#REF!</v>
      </c>
      <c r="F104" t="e">
        <f>(('Time Matrix'!L84*#REF!)*#REF!) + (('Time Matrix'!L84*#REF!)*#REF!) + (('Time Matrix'!L84*#REF!)*#REF!) + (('Time Matrix'!L84*#REF!)*#REF!)</f>
        <v>#REF!</v>
      </c>
      <c r="G104" t="e">
        <f>(('Time Matrix'!L84*#REF!)*#REF!) + (('Time Matrix'!L84*#REF!)*#REF!) + (('Time Matrix'!L84*#REF!)*#REF!) + (('Time Matrix'!L84*#REF!)*#REF!)</f>
        <v>#REF!</v>
      </c>
      <c r="H104" t="e">
        <f>(('Time Matrix'!L84*#REF!)*#REF!) + (('Time Matrix'!L84*#REF!)*#REF!) + (('Time Matrix'!L84*#REF!)*#REF!) + (('Time Matrix'!L84*#REF!)*#REF!)</f>
        <v>#REF!</v>
      </c>
    </row>
    <row r="105" spans="1:8" x14ac:dyDescent="0.2">
      <c r="A105" s="179" t="s">
        <v>164</v>
      </c>
      <c r="B105" s="180"/>
      <c r="C105" t="e">
        <f t="shared" ref="C105:H105" si="10">SUM(C99:C104)</f>
        <v>#REF!</v>
      </c>
      <c r="D105" t="e">
        <f t="shared" si="10"/>
        <v>#REF!</v>
      </c>
      <c r="E105" t="e">
        <f t="shared" si="10"/>
        <v>#REF!</v>
      </c>
      <c r="F105" t="e">
        <f t="shared" si="10"/>
        <v>#REF!</v>
      </c>
      <c r="G105" t="e">
        <f t="shared" si="10"/>
        <v>#REF!</v>
      </c>
      <c r="H105" t="e">
        <f t="shared" si="10"/>
        <v>#REF!</v>
      </c>
    </row>
    <row r="106" spans="1:8" x14ac:dyDescent="0.2">
      <c r="A106" s="181" t="s">
        <v>30</v>
      </c>
      <c r="B106" s="182"/>
      <c r="C106" s="182"/>
      <c r="D106" s="182"/>
      <c r="E106" s="182"/>
      <c r="F106" s="182"/>
      <c r="G106" s="182"/>
      <c r="H106" s="182"/>
    </row>
    <row r="107" spans="1:8" x14ac:dyDescent="0.2">
      <c r="A107" t="s">
        <v>31</v>
      </c>
      <c r="B107" t="s">
        <v>2</v>
      </c>
      <c r="C107" t="e">
        <f>(('Time Matrix'!M85*#REF!)*'Mon (101)'!#REF!) + (('Time Matrix'!M85*#REF!)*'Mon (101)'!#REF!) + (('Time Matrix'!M85*#REF!)*'Mon (101)'!#REF!) + (('Time Matrix'!M85*#REF!)*'Mon (101)'!#REF!)</f>
        <v>#REF!</v>
      </c>
      <c r="D107" t="e">
        <f>(('Time Matrix'!M85*#REF!)*#REF!) + (('Time Matrix'!M85*#REF!)*#REF!) + (('Time Matrix'!M85*#REF!)*#REF!) + (('Time Matrix'!M85*#REF!)*#REF!)</f>
        <v>#REF!</v>
      </c>
      <c r="E107" t="e">
        <f>(('Time Matrix'!M85*#REF!)*#REF!) + (('Time Matrix'!M85*#REF!)*#REF!) + (('Time Matrix'!M85*#REF!)*#REF!) + (('Time Matrix'!M85*#REF!)*#REF!)</f>
        <v>#REF!</v>
      </c>
      <c r="F107" t="e">
        <f>(('Time Matrix'!M85*#REF!)*#REF!) + (('Time Matrix'!M85*#REF!)*#REF!) + (('Time Matrix'!M85*#REF!)*#REF!) + (('Time Matrix'!M85*#REF!)*#REF!)</f>
        <v>#REF!</v>
      </c>
      <c r="G107" t="e">
        <f>(('Time Matrix'!M85*#REF!)*#REF!) + (('Time Matrix'!M85*#REF!)*#REF!) + (('Time Matrix'!M85*#REF!)*#REF!) + (('Time Matrix'!M85*#REF!)*#REF!)</f>
        <v>#REF!</v>
      </c>
      <c r="H107" t="e">
        <f>(('Time Matrix'!M85*#REF!)*#REF!) + (('Time Matrix'!M85*#REF!)*#REF!) + (('Time Matrix'!M85*#REF!)*#REF!) + (('Time Matrix'!M85*#REF!)*#REF!)</f>
        <v>#REF!</v>
      </c>
    </row>
    <row r="108" spans="1:8" x14ac:dyDescent="0.2">
      <c r="A108" t="s">
        <v>32</v>
      </c>
      <c r="B108" t="s">
        <v>0</v>
      </c>
      <c r="C108" t="e">
        <f>(('Time Matrix'!M86*#REF!)*'Mon (101)'!#REF!) + (('Time Matrix'!M86*#REF!)*'Mon (101)'!#REF!) + (('Time Matrix'!M86*#REF!)*'Mon (101)'!#REF!) + (('Time Matrix'!M86*#REF!)*'Mon (101)'!#REF!)</f>
        <v>#REF!</v>
      </c>
      <c r="D108" t="e">
        <f>(('Time Matrix'!M86*#REF!)*#REF!) + (('Time Matrix'!M86*#REF!)*#REF!) + (('Time Matrix'!M86*#REF!)*#REF!) + (('Time Matrix'!M86*#REF!)*#REF!)</f>
        <v>#REF!</v>
      </c>
      <c r="E108" t="e">
        <f>(('Time Matrix'!M86*#REF!)*#REF!) + (('Time Matrix'!M86*#REF!)*#REF!) + (('Time Matrix'!M86*#REF!)*#REF!) + (('Time Matrix'!M86*#REF!)*#REF!)</f>
        <v>#REF!</v>
      </c>
      <c r="F108" t="e">
        <f>(('Time Matrix'!M86*#REF!)*#REF!) + (('Time Matrix'!M86*#REF!)*#REF!) + (('Time Matrix'!M86*#REF!)*#REF!) + (('Time Matrix'!M86*#REF!)*#REF!)</f>
        <v>#REF!</v>
      </c>
      <c r="G108" t="e">
        <f>(('Time Matrix'!M86*#REF!)*#REF!) + (('Time Matrix'!M86*#REF!)*#REF!) + (('Time Matrix'!M86*#REF!)*#REF!) + (('Time Matrix'!M86*#REF!)*#REF!)</f>
        <v>#REF!</v>
      </c>
      <c r="H108" t="e">
        <f>(('Time Matrix'!M86*#REF!)*#REF!) + (('Time Matrix'!M86*#REF!)*#REF!) + (('Time Matrix'!M86*#REF!)*#REF!) + (('Time Matrix'!M86*#REF!)*#REF!)</f>
        <v>#REF!</v>
      </c>
    </row>
    <row r="109" spans="1:8" x14ac:dyDescent="0.2">
      <c r="A109" t="s">
        <v>33</v>
      </c>
      <c r="B109" t="s">
        <v>3</v>
      </c>
      <c r="C109" t="e">
        <f>(('Time Matrix'!M87*#REF!)*'Mon (101)'!#REF!) + (('Time Matrix'!M87*#REF!)*'Mon (101)'!#REF!) + (('Time Matrix'!M87*#REF!)*'Mon (101)'!#REF!) + (('Time Matrix'!M87*#REF!)*'Mon (101)'!#REF!)</f>
        <v>#REF!</v>
      </c>
      <c r="D109" t="e">
        <f>(('Time Matrix'!M87*#REF!)*#REF!) + (('Time Matrix'!M87*#REF!)*#REF!) + (('Time Matrix'!M87*#REF!)*#REF!) + (('Time Matrix'!M87*#REF!)*#REF!)</f>
        <v>#REF!</v>
      </c>
      <c r="E109" t="e">
        <f>(('Time Matrix'!M87*#REF!)*#REF!) + (('Time Matrix'!M87*#REF!)*#REF!) + (('Time Matrix'!M87*#REF!)*#REF!) + (('Time Matrix'!M87*#REF!)*#REF!)</f>
        <v>#REF!</v>
      </c>
      <c r="F109" t="e">
        <f>(('Time Matrix'!M87*#REF!)*#REF!) + (('Time Matrix'!M87*#REF!)*#REF!) + (('Time Matrix'!M87*#REF!)*#REF!) + (('Time Matrix'!M87*#REF!)*#REF!)</f>
        <v>#REF!</v>
      </c>
      <c r="G109" t="e">
        <f>(('Time Matrix'!M87*#REF!)*#REF!) + (('Time Matrix'!M87*#REF!)*#REF!) + (('Time Matrix'!M87*#REF!)*#REF!) + (('Time Matrix'!M87*#REF!)*#REF!)</f>
        <v>#REF!</v>
      </c>
      <c r="H109" t="e">
        <f>(('Time Matrix'!M87*#REF!)*#REF!) + (('Time Matrix'!M87*#REF!)*#REF!) + (('Time Matrix'!M87*#REF!)*#REF!) + (('Time Matrix'!M87*#REF!)*#REF!)</f>
        <v>#REF!</v>
      </c>
    </row>
    <row r="110" spans="1:8" x14ac:dyDescent="0.2">
      <c r="A110" t="s">
        <v>34</v>
      </c>
      <c r="B110" t="s">
        <v>4</v>
      </c>
      <c r="C110" t="e">
        <f>(('Time Matrix'!M88*#REF!)*'Mon (101)'!#REF!) + (('Time Matrix'!M88*#REF!)*'Mon (101)'!#REF!) + (('Time Matrix'!M88*#REF!)*'Mon (101)'!#REF!) + (('Time Matrix'!M88*#REF!)*'Mon (101)'!#REF!)</f>
        <v>#REF!</v>
      </c>
      <c r="D110" t="e">
        <f>(('Time Matrix'!M88*#REF!)*#REF!) + (('Time Matrix'!M88*#REF!)*#REF!) + (('Time Matrix'!M88*#REF!)*#REF!) + (('Time Matrix'!M88*#REF!)*#REF!)</f>
        <v>#REF!</v>
      </c>
      <c r="E110" t="e">
        <f>(('Time Matrix'!M88*#REF!)*#REF!) + (('Time Matrix'!M88*#REF!)*#REF!) + (('Time Matrix'!M88*#REF!)*#REF!) + (('Time Matrix'!M88*#REF!)*#REF!)</f>
        <v>#REF!</v>
      </c>
      <c r="F110" t="e">
        <f>(('Time Matrix'!M88*#REF!)*#REF!) + (('Time Matrix'!M88*#REF!)*#REF!) + (('Time Matrix'!M88*#REF!)*#REF!) + (('Time Matrix'!M88*#REF!)*#REF!)</f>
        <v>#REF!</v>
      </c>
      <c r="G110" t="e">
        <f>(('Time Matrix'!M88*#REF!)*#REF!) + (('Time Matrix'!M88*#REF!)*#REF!) + (('Time Matrix'!M88*#REF!)*#REF!) + (('Time Matrix'!M88*#REF!)*#REF!)</f>
        <v>#REF!</v>
      </c>
      <c r="H110" t="e">
        <f>(('Time Matrix'!M88*#REF!)*#REF!) + (('Time Matrix'!M88*#REF!)*#REF!) + (('Time Matrix'!M88*#REF!)*#REF!) + (('Time Matrix'!M88*#REF!)*#REF!)</f>
        <v>#REF!</v>
      </c>
    </row>
    <row r="111" spans="1:8" x14ac:dyDescent="0.2">
      <c r="A111" t="s">
        <v>35</v>
      </c>
      <c r="B111" t="s">
        <v>5</v>
      </c>
      <c r="C111" t="e">
        <f>(('Time Matrix'!M89*#REF!)*'Mon (101)'!#REF!) + (('Time Matrix'!M89*#REF!)*'Mon (101)'!#REF!) + (('Time Matrix'!M89*#REF!)*'Mon (101)'!#REF!) + (('Time Matrix'!M89*#REF!)*'Mon (101)'!#REF!)</f>
        <v>#REF!</v>
      </c>
      <c r="D111" t="e">
        <f>(('Time Matrix'!M89*#REF!)*#REF!) + (('Time Matrix'!M89*#REF!)*#REF!) + (('Time Matrix'!M89*#REF!)*#REF!) + (('Time Matrix'!M89*#REF!)*#REF!)</f>
        <v>#REF!</v>
      </c>
      <c r="E111" t="e">
        <f>(('Time Matrix'!M89*#REF!)*#REF!) + (('Time Matrix'!M89*#REF!)*#REF!) + (('Time Matrix'!M89*#REF!)*#REF!) + (('Time Matrix'!M89*#REF!)*#REF!)</f>
        <v>#REF!</v>
      </c>
      <c r="F111" t="e">
        <f>(('Time Matrix'!M89*#REF!)*#REF!) + (('Time Matrix'!M89*#REF!)*#REF!) + (('Time Matrix'!M89*#REF!)*#REF!) + (('Time Matrix'!M89*#REF!)*#REF!)</f>
        <v>#REF!</v>
      </c>
      <c r="G111" t="e">
        <f>(('Time Matrix'!M89*#REF!)*#REF!) + (('Time Matrix'!M89*#REF!)*#REF!) + (('Time Matrix'!M89*#REF!)*#REF!) + (('Time Matrix'!M89*#REF!)*#REF!)</f>
        <v>#REF!</v>
      </c>
      <c r="H111" t="e">
        <f>(('Time Matrix'!M89*#REF!)*#REF!) + (('Time Matrix'!M89*#REF!)*#REF!) + (('Time Matrix'!M89*#REF!)*#REF!) + (('Time Matrix'!M89*#REF!)*#REF!)</f>
        <v>#REF!</v>
      </c>
    </row>
    <row r="112" spans="1:8" x14ac:dyDescent="0.2">
      <c r="A112" t="s">
        <v>36</v>
      </c>
      <c r="B112" t="s">
        <v>1</v>
      </c>
      <c r="C112" t="e">
        <f>(('Time Matrix'!M90*#REF!)*'Mon (101)'!#REF!) + (('Time Matrix'!M90*#REF!)*'Mon (101)'!#REF!) + (('Time Matrix'!M90*#REF!)*'Mon (101)'!#REF!) + (('Time Matrix'!M90*#REF!)*'Mon (101)'!#REF!)</f>
        <v>#REF!</v>
      </c>
      <c r="D112" t="e">
        <f>(('Time Matrix'!M90*#REF!)*#REF!) + (('Time Matrix'!M90*#REF!)*#REF!) + (('Time Matrix'!M90*#REF!)*#REF!) + (('Time Matrix'!M90*#REF!)*#REF!)</f>
        <v>#REF!</v>
      </c>
      <c r="E112" t="e">
        <f>(('Time Matrix'!M90*#REF!)*#REF!) + (('Time Matrix'!M90*#REF!)*#REF!) + (('Time Matrix'!M90*#REF!)*#REF!) + (('Time Matrix'!M90*#REF!)*#REF!)</f>
        <v>#REF!</v>
      </c>
      <c r="F112" t="e">
        <f>(('Time Matrix'!M90*#REF!)*#REF!) + (('Time Matrix'!M90*#REF!)*#REF!) + (('Time Matrix'!M90*#REF!)*#REF!) + (('Time Matrix'!M90*#REF!)*#REF!)</f>
        <v>#REF!</v>
      </c>
      <c r="G112" t="e">
        <f>(('Time Matrix'!M90*#REF!)*#REF!) + (('Time Matrix'!M90*#REF!)*#REF!) + (('Time Matrix'!M90*#REF!)*#REF!) + (('Time Matrix'!M90*#REF!)*#REF!)</f>
        <v>#REF!</v>
      </c>
      <c r="H112" t="e">
        <f>(('Time Matrix'!M90*#REF!)*#REF!) + (('Time Matrix'!M90*#REF!)*#REF!) + (('Time Matrix'!M90*#REF!)*#REF!) + (('Time Matrix'!M90*#REF!)*#REF!)</f>
        <v>#REF!</v>
      </c>
    </row>
    <row r="113" spans="1:8" x14ac:dyDescent="0.2">
      <c r="A113" s="179" t="s">
        <v>164</v>
      </c>
      <c r="B113" s="180"/>
      <c r="C113" t="e">
        <f t="shared" ref="C113:H113" si="11">SUM(C107:C112)</f>
        <v>#REF!</v>
      </c>
      <c r="D113" t="e">
        <f t="shared" si="11"/>
        <v>#REF!</v>
      </c>
      <c r="E113" t="e">
        <f t="shared" si="11"/>
        <v>#REF!</v>
      </c>
      <c r="F113" t="e">
        <f t="shared" si="11"/>
        <v>#REF!</v>
      </c>
      <c r="G113" t="e">
        <f t="shared" si="11"/>
        <v>#REF!</v>
      </c>
      <c r="H113" t="e">
        <f t="shared" si="11"/>
        <v>#REF!</v>
      </c>
    </row>
    <row r="114" spans="1:8" x14ac:dyDescent="0.2">
      <c r="A114" s="181" t="s">
        <v>24</v>
      </c>
      <c r="B114" s="182"/>
      <c r="C114" s="182"/>
      <c r="D114" s="182"/>
      <c r="E114" s="182"/>
      <c r="F114" s="182"/>
      <c r="G114" s="182"/>
      <c r="H114" s="182"/>
    </row>
    <row r="115" spans="1:8" x14ac:dyDescent="0.2">
      <c r="A115" t="s">
        <v>31</v>
      </c>
      <c r="B115" t="s">
        <v>2</v>
      </c>
      <c r="C115" t="e">
        <f>(('Time Matrix'!N91*#REF!)*'Mon (101)'!#REF!) + (('Time Matrix'!N91*#REF!)*'Mon (101)'!#REF!) + (('Time Matrix'!N91*#REF!)*'Mon (101)'!#REF!) + (('Time Matrix'!N91*#REF!)*'Mon (101)'!#REF!)</f>
        <v>#REF!</v>
      </c>
      <c r="D115" t="e">
        <f>(('Time Matrix'!N91*#REF!)*#REF!) + (('Time Matrix'!N91*#REF!)*#REF!) + (('Time Matrix'!N91*#REF!)*#REF!) + (('Time Matrix'!N91*#REF!)*#REF!)</f>
        <v>#REF!</v>
      </c>
      <c r="E115" t="e">
        <f>(('Time Matrix'!N91*#REF!)*#REF!) + (('Time Matrix'!N91*#REF!)*#REF!) + (('Time Matrix'!N91*#REF!)*#REF!) + (('Time Matrix'!N91*#REF!)*#REF!)</f>
        <v>#REF!</v>
      </c>
      <c r="F115" t="e">
        <f>(('Time Matrix'!N91*#REF!)*#REF!) + (('Time Matrix'!N91*#REF!)*#REF!) + (('Time Matrix'!N91*#REF!)*#REF!) + (('Time Matrix'!N91*#REF!)*#REF!)</f>
        <v>#REF!</v>
      </c>
      <c r="G115" t="e">
        <f>(('Time Matrix'!N91*#REF!)*#REF!) + (('Time Matrix'!N91*#REF!)*#REF!) + (('Time Matrix'!N91*#REF!)*#REF!) + (('Time Matrix'!N91*#REF!)*#REF!)</f>
        <v>#REF!</v>
      </c>
      <c r="H115" t="e">
        <f>(('Time Matrix'!N91*#REF!)*#REF!) + (('Time Matrix'!N91*#REF!)*#REF!) + (('Time Matrix'!N91*#REF!)*#REF!) + (('Time Matrix'!N91*#REF!)*#REF!)</f>
        <v>#REF!</v>
      </c>
    </row>
    <row r="116" spans="1:8" x14ac:dyDescent="0.2">
      <c r="A116" t="s">
        <v>32</v>
      </c>
      <c r="B116" t="s">
        <v>0</v>
      </c>
      <c r="C116" t="e">
        <f>(('Time Matrix'!N92*#REF!)*'Mon (101)'!#REF!) + (('Time Matrix'!N92*#REF!)*'Mon (101)'!#REF!) + (('Time Matrix'!N92*#REF!)*'Mon (101)'!#REF!) + (('Time Matrix'!N92*#REF!)*'Mon (101)'!#REF!)</f>
        <v>#REF!</v>
      </c>
      <c r="D116" t="e">
        <f>(('Time Matrix'!N92*#REF!)*#REF!) + (('Time Matrix'!N92*#REF!)*#REF!) + (('Time Matrix'!N92*#REF!)*#REF!) + (('Time Matrix'!N92*#REF!)*#REF!)</f>
        <v>#REF!</v>
      </c>
      <c r="E116" t="e">
        <f>(('Time Matrix'!N92*#REF!)*#REF!) + (('Time Matrix'!N92*#REF!)*#REF!) + (('Time Matrix'!N92*#REF!)*#REF!) + (('Time Matrix'!N92*#REF!)*#REF!)</f>
        <v>#REF!</v>
      </c>
      <c r="F116" t="e">
        <f>(('Time Matrix'!N92*#REF!)*#REF!) + (('Time Matrix'!N92*#REF!)*#REF!) + (('Time Matrix'!N92*#REF!)*#REF!) + (('Time Matrix'!N92*#REF!)*#REF!)</f>
        <v>#REF!</v>
      </c>
      <c r="G116" t="e">
        <f>(('Time Matrix'!N92*#REF!)*#REF!) + (('Time Matrix'!N92*#REF!)*#REF!) + (('Time Matrix'!N92*#REF!)*#REF!) + (('Time Matrix'!N92*#REF!)*#REF!)</f>
        <v>#REF!</v>
      </c>
      <c r="H116" t="e">
        <f>(('Time Matrix'!N92*#REF!)*#REF!) + (('Time Matrix'!N92*#REF!)*#REF!) + (('Time Matrix'!N92*#REF!)*#REF!) + (('Time Matrix'!N92*#REF!)*#REF!)</f>
        <v>#REF!</v>
      </c>
    </row>
    <row r="117" spans="1:8" x14ac:dyDescent="0.2">
      <c r="A117" t="s">
        <v>33</v>
      </c>
      <c r="B117" t="s">
        <v>3</v>
      </c>
      <c r="C117" t="e">
        <f>(('Time Matrix'!N93*#REF!)*'Mon (101)'!#REF!) + (('Time Matrix'!N93*#REF!)*'Mon (101)'!#REF!) + (('Time Matrix'!N93*#REF!)*'Mon (101)'!#REF!) + (('Time Matrix'!N93*#REF!)*'Mon (101)'!#REF!)</f>
        <v>#REF!</v>
      </c>
      <c r="D117" t="e">
        <f>(('Time Matrix'!N93*#REF!)*#REF!) + (('Time Matrix'!N93*#REF!)*#REF!) + (('Time Matrix'!N93*#REF!)*#REF!) + (('Time Matrix'!N93*#REF!)*#REF!)</f>
        <v>#REF!</v>
      </c>
      <c r="E117" t="e">
        <f>(('Time Matrix'!N93*#REF!)*#REF!) + (('Time Matrix'!N93*#REF!)*#REF!) + (('Time Matrix'!N93*#REF!)*#REF!) + (('Time Matrix'!N93*#REF!)*#REF!)</f>
        <v>#REF!</v>
      </c>
      <c r="F117" t="e">
        <f>(('Time Matrix'!N93*#REF!)*#REF!) + (('Time Matrix'!N93*#REF!)*#REF!) + (('Time Matrix'!N93*#REF!)*#REF!) + (('Time Matrix'!N93*#REF!)*#REF!)</f>
        <v>#REF!</v>
      </c>
      <c r="G117" t="e">
        <f>(('Time Matrix'!N93*#REF!)*#REF!) + (('Time Matrix'!N93*#REF!)*#REF!) + (('Time Matrix'!N93*#REF!)*#REF!) + (('Time Matrix'!N93*#REF!)*#REF!)</f>
        <v>#REF!</v>
      </c>
      <c r="H117" t="e">
        <f>(('Time Matrix'!N93*#REF!)*#REF!) + (('Time Matrix'!N93*#REF!)*#REF!) + (('Time Matrix'!N93*#REF!)*#REF!) + (('Time Matrix'!N93*#REF!)*#REF!)</f>
        <v>#REF!</v>
      </c>
    </row>
    <row r="118" spans="1:8" x14ac:dyDescent="0.2">
      <c r="A118" t="s">
        <v>34</v>
      </c>
      <c r="B118" t="s">
        <v>4</v>
      </c>
      <c r="C118" t="e">
        <f>(('Time Matrix'!N94*#REF!)*'Mon (101)'!#REF!) + (('Time Matrix'!N94*#REF!)*'Mon (101)'!#REF!) + (('Time Matrix'!N94*#REF!)*'Mon (101)'!#REF!) + (('Time Matrix'!N94*#REF!)*'Mon (101)'!#REF!)</f>
        <v>#REF!</v>
      </c>
      <c r="D118" t="e">
        <f>(('Time Matrix'!N94*#REF!)*#REF!) + (('Time Matrix'!N94*#REF!)*#REF!) + (('Time Matrix'!N94*#REF!)*#REF!) + (('Time Matrix'!N94*#REF!)*#REF!)</f>
        <v>#REF!</v>
      </c>
      <c r="E118" t="e">
        <f>(('Time Matrix'!N94*#REF!)*#REF!) + (('Time Matrix'!N94*#REF!)*#REF!) + (('Time Matrix'!N94*#REF!)*#REF!) + (('Time Matrix'!N94*#REF!)*#REF!)</f>
        <v>#REF!</v>
      </c>
      <c r="F118" t="e">
        <f>(('Time Matrix'!N94*#REF!)*#REF!) + (('Time Matrix'!N94*#REF!)*#REF!) + (('Time Matrix'!N94*#REF!)*#REF!) + (('Time Matrix'!N94*#REF!)*#REF!)</f>
        <v>#REF!</v>
      </c>
      <c r="G118" t="e">
        <f>(('Time Matrix'!N94*#REF!)*#REF!) + (('Time Matrix'!N94*#REF!)*#REF!) + (('Time Matrix'!N94*#REF!)*#REF!) + (('Time Matrix'!N94*#REF!)*#REF!)</f>
        <v>#REF!</v>
      </c>
      <c r="H118" t="e">
        <f>(('Time Matrix'!N94*#REF!)*#REF!) + (('Time Matrix'!N94*#REF!)*#REF!) + (('Time Matrix'!N94*#REF!)*#REF!) + (('Time Matrix'!N94*#REF!)*#REF!)</f>
        <v>#REF!</v>
      </c>
    </row>
    <row r="119" spans="1:8" x14ac:dyDescent="0.2">
      <c r="A119" t="s">
        <v>35</v>
      </c>
      <c r="B119" t="s">
        <v>5</v>
      </c>
      <c r="C119" t="e">
        <f>(('Time Matrix'!N95*#REF!)*'Mon (101)'!#REF!) + (('Time Matrix'!N95*#REF!)*'Mon (101)'!#REF!) + (('Time Matrix'!N95*#REF!)*'Mon (101)'!#REF!) + (('Time Matrix'!N95*#REF!)*'Mon (101)'!#REF!)</f>
        <v>#REF!</v>
      </c>
      <c r="D119" t="e">
        <f>(('Time Matrix'!N95*#REF!)*#REF!) + (('Time Matrix'!N95*#REF!)*#REF!) + (('Time Matrix'!N95*#REF!)*#REF!) + (('Time Matrix'!N95*#REF!)*#REF!)</f>
        <v>#REF!</v>
      </c>
      <c r="E119" t="e">
        <f>(('Time Matrix'!N95*#REF!)*#REF!) + (('Time Matrix'!N95*#REF!)*#REF!) + (('Time Matrix'!N95*#REF!)*#REF!) + (('Time Matrix'!N95*#REF!)*#REF!)</f>
        <v>#REF!</v>
      </c>
      <c r="F119" t="e">
        <f>(('Time Matrix'!N95*#REF!)*#REF!) + (('Time Matrix'!N95*#REF!)*#REF!) + (('Time Matrix'!N95*#REF!)*#REF!) + (('Time Matrix'!N95*#REF!)*#REF!)</f>
        <v>#REF!</v>
      </c>
      <c r="G119" t="e">
        <f>(('Time Matrix'!N95*#REF!)*#REF!) + (('Time Matrix'!N95*#REF!)*#REF!) + (('Time Matrix'!N95*#REF!)*#REF!) + (('Time Matrix'!N95*#REF!)*#REF!)</f>
        <v>#REF!</v>
      </c>
      <c r="H119" t="e">
        <f>(('Time Matrix'!N95*#REF!)*#REF!) + (('Time Matrix'!N95*#REF!)*#REF!) + (('Time Matrix'!N95*#REF!)*#REF!) + (('Time Matrix'!N95*#REF!)*#REF!)</f>
        <v>#REF!</v>
      </c>
    </row>
    <row r="120" spans="1:8" x14ac:dyDescent="0.2">
      <c r="A120" t="s">
        <v>36</v>
      </c>
      <c r="B120" t="s">
        <v>1</v>
      </c>
      <c r="C120" t="e">
        <f>(('Time Matrix'!N96*#REF!)*'Mon (101)'!#REF!) + (('Time Matrix'!N96*#REF!)*'Mon (101)'!#REF!) + (('Time Matrix'!N96*#REF!)*'Mon (101)'!#REF!) + (('Time Matrix'!N96*#REF!)*'Mon (101)'!#REF!)</f>
        <v>#REF!</v>
      </c>
      <c r="D120" t="e">
        <f>(('Time Matrix'!N96*#REF!)*#REF!) + (('Time Matrix'!N96*#REF!)*#REF!) + (('Time Matrix'!N96*#REF!)*#REF!) + (('Time Matrix'!N96*#REF!)*#REF!)</f>
        <v>#REF!</v>
      </c>
      <c r="E120" t="e">
        <f>(('Time Matrix'!N96*#REF!)*#REF!) + (('Time Matrix'!N96*#REF!)*#REF!) + (('Time Matrix'!N96*#REF!)*#REF!) + (('Time Matrix'!N96*#REF!)*#REF!)</f>
        <v>#REF!</v>
      </c>
      <c r="F120" t="e">
        <f>(('Time Matrix'!N96*#REF!)*#REF!) + (('Time Matrix'!N96*#REF!)*#REF!) + (('Time Matrix'!N96*#REF!)*#REF!) + (('Time Matrix'!N96*#REF!)*#REF!)</f>
        <v>#REF!</v>
      </c>
      <c r="G120" t="e">
        <f>(('Time Matrix'!N96*#REF!)*#REF!) + (('Time Matrix'!N96*#REF!)*#REF!) + (('Time Matrix'!N96*#REF!)*#REF!) + (('Time Matrix'!N96*#REF!)*#REF!)</f>
        <v>#REF!</v>
      </c>
      <c r="H120" t="e">
        <f>(('Time Matrix'!N96*#REF!)*#REF!) + (('Time Matrix'!N96*#REF!)*#REF!) + (('Time Matrix'!N96*#REF!)*#REF!) + (('Time Matrix'!N96*#REF!)*#REF!)</f>
        <v>#REF!</v>
      </c>
    </row>
    <row r="121" spans="1:8" x14ac:dyDescent="0.2">
      <c r="A121" t="s">
        <v>40</v>
      </c>
      <c r="B121" t="s">
        <v>6</v>
      </c>
      <c r="C121" t="e">
        <f>(('Time Matrix'!N97*#REF!)*'Mon (101)'!#REF!) + (('Time Matrix'!N97*#REF!)*'Mon (101)'!#REF!) + (('Time Matrix'!N97*#REF!)*'Mon (101)'!#REF!) + (('Time Matrix'!N97*#REF!)*'Mon (101)'!#REF!)</f>
        <v>#REF!</v>
      </c>
      <c r="D121" t="e">
        <f>(('Time Matrix'!N97*#REF!)*#REF!) + (('Time Matrix'!N97*#REF!)*#REF!) + (('Time Matrix'!N97*#REF!)*#REF!) + (('Time Matrix'!N97*#REF!)*#REF!)</f>
        <v>#REF!</v>
      </c>
      <c r="E121" t="e">
        <f>(('Time Matrix'!N97*#REF!)*#REF!) + (('Time Matrix'!N97*#REF!)*#REF!) + (('Time Matrix'!N97*#REF!)*#REF!) + (('Time Matrix'!N97*#REF!)*#REF!)</f>
        <v>#REF!</v>
      </c>
      <c r="F121" t="e">
        <f>(('Time Matrix'!N97*#REF!)*#REF!) + (('Time Matrix'!N97*#REF!)*#REF!) + (('Time Matrix'!N97*#REF!)*#REF!) + (('Time Matrix'!N97*#REF!)*#REF!)</f>
        <v>#REF!</v>
      </c>
      <c r="G121" t="e">
        <f>(('Time Matrix'!N97*#REF!)*#REF!) + (('Time Matrix'!N97*#REF!)*#REF!) + (('Time Matrix'!N97*#REF!)*#REF!) + (('Time Matrix'!N97*#REF!)*#REF!)</f>
        <v>#REF!</v>
      </c>
      <c r="H121" t="e">
        <f>(('Time Matrix'!N97*#REF!)*#REF!) + (('Time Matrix'!N97*#REF!)*#REF!) + (('Time Matrix'!N97*#REF!)*#REF!) + (('Time Matrix'!N97*#REF!)*#REF!)</f>
        <v>#REF!</v>
      </c>
    </row>
    <row r="122" spans="1:8" x14ac:dyDescent="0.2">
      <c r="A122" t="s">
        <v>41</v>
      </c>
      <c r="B122" t="s">
        <v>7</v>
      </c>
      <c r="C122" t="e">
        <f>(('Time Matrix'!N98*#REF!)*'Mon (101)'!#REF!) + (('Time Matrix'!N98*#REF!)*'Mon (101)'!#REF!) + (('Time Matrix'!N98*#REF!)*'Mon (101)'!#REF!) + (('Time Matrix'!N98*#REF!)*'Mon (101)'!#REF!)</f>
        <v>#REF!</v>
      </c>
      <c r="D122" t="e">
        <f>(('Time Matrix'!N98*#REF!)*#REF!) + (('Time Matrix'!N98*#REF!)*#REF!) + (('Time Matrix'!N98*#REF!)*#REF!) + (('Time Matrix'!N98*#REF!)*#REF!)</f>
        <v>#REF!</v>
      </c>
      <c r="E122" t="e">
        <f>(('Time Matrix'!N98*#REF!)*#REF!) + (('Time Matrix'!N98*#REF!)*#REF!) + (('Time Matrix'!N98*#REF!)*#REF!) + (('Time Matrix'!N98*#REF!)*#REF!)</f>
        <v>#REF!</v>
      </c>
      <c r="F122" t="e">
        <f>(('Time Matrix'!N98*#REF!)*#REF!) + (('Time Matrix'!N98*#REF!)*#REF!) + (('Time Matrix'!N98*#REF!)*#REF!) + (('Time Matrix'!N98*#REF!)*#REF!)</f>
        <v>#REF!</v>
      </c>
      <c r="G122" t="e">
        <f>(('Time Matrix'!N98*#REF!)*#REF!) + (('Time Matrix'!N98*#REF!)*#REF!) + (('Time Matrix'!N98*#REF!)*#REF!) + (('Time Matrix'!N98*#REF!)*#REF!)</f>
        <v>#REF!</v>
      </c>
      <c r="H122" t="e">
        <f>(('Time Matrix'!N98*#REF!)*#REF!) + (('Time Matrix'!N98*#REF!)*#REF!) + (('Time Matrix'!N98*#REF!)*#REF!) + (('Time Matrix'!N98*#REF!)*#REF!)</f>
        <v>#REF!</v>
      </c>
    </row>
    <row r="123" spans="1:8" x14ac:dyDescent="0.2">
      <c r="A123" t="s">
        <v>37</v>
      </c>
      <c r="B123" t="s">
        <v>8</v>
      </c>
      <c r="C123" t="e">
        <f>(('Time Matrix'!N99*#REF!)*'Mon (101)'!#REF!) + (('Time Matrix'!N99*#REF!)*'Mon (101)'!#REF!) + (('Time Matrix'!N99*#REF!)*'Mon (101)'!#REF!) + (('Time Matrix'!N99*#REF!)*'Mon (101)'!#REF!)</f>
        <v>#REF!</v>
      </c>
      <c r="D123" t="e">
        <f>(('Time Matrix'!N99*#REF!)*#REF!) + (('Time Matrix'!N99*#REF!)*#REF!) + (('Time Matrix'!N99*#REF!)*#REF!) + (('Time Matrix'!N99*#REF!)*#REF!)</f>
        <v>#REF!</v>
      </c>
      <c r="E123" t="e">
        <f>(('Time Matrix'!N99*#REF!)*#REF!) + (('Time Matrix'!N99*#REF!)*#REF!) + (('Time Matrix'!N99*#REF!)*#REF!) + (('Time Matrix'!N99*#REF!)*#REF!)</f>
        <v>#REF!</v>
      </c>
      <c r="F123" t="e">
        <f>(('Time Matrix'!N99*#REF!)*#REF!) + (('Time Matrix'!N99*#REF!)*#REF!) + (('Time Matrix'!N99*#REF!)*#REF!) + (('Time Matrix'!N99*#REF!)*#REF!)</f>
        <v>#REF!</v>
      </c>
      <c r="G123" t="e">
        <f>(('Time Matrix'!N99*#REF!)*#REF!) + (('Time Matrix'!N99*#REF!)*#REF!) + (('Time Matrix'!N99*#REF!)*#REF!) + (('Time Matrix'!N99*#REF!)*#REF!)</f>
        <v>#REF!</v>
      </c>
      <c r="H123" t="e">
        <f>(('Time Matrix'!N99*#REF!)*#REF!) + (('Time Matrix'!N99*#REF!)*#REF!) + (('Time Matrix'!N99*#REF!)*#REF!) + (('Time Matrix'!N99*#REF!)*#REF!)</f>
        <v>#REF!</v>
      </c>
    </row>
    <row r="124" spans="1:8" x14ac:dyDescent="0.2">
      <c r="A124" t="s">
        <v>38</v>
      </c>
      <c r="B124" t="s">
        <v>9</v>
      </c>
      <c r="C124" t="e">
        <f>(('Time Matrix'!N100*#REF!)*'Mon (101)'!#REF!) + (('Time Matrix'!N100*#REF!)*'Mon (101)'!#REF!) + (('Time Matrix'!N100*#REF!)*'Mon (101)'!#REF!) + (('Time Matrix'!N100*#REF!)*'Mon (101)'!#REF!)</f>
        <v>#REF!</v>
      </c>
      <c r="D124" t="e">
        <f>(('Time Matrix'!N100*#REF!)*#REF!) + (('Time Matrix'!N100*#REF!)*#REF!) + (('Time Matrix'!N100*#REF!)*#REF!) + (('Time Matrix'!N100*#REF!)*#REF!)</f>
        <v>#REF!</v>
      </c>
      <c r="E124" t="e">
        <f>(('Time Matrix'!N100*#REF!)*#REF!) + (('Time Matrix'!N100*#REF!)*#REF!) + (('Time Matrix'!N100*#REF!)*#REF!) + (('Time Matrix'!N100*#REF!)*#REF!)</f>
        <v>#REF!</v>
      </c>
      <c r="F124" t="e">
        <f>(('Time Matrix'!N100*#REF!)*#REF!) + (('Time Matrix'!N100*#REF!)*#REF!) + (('Time Matrix'!N100*#REF!)*#REF!) + (('Time Matrix'!N100*#REF!)*#REF!)</f>
        <v>#REF!</v>
      </c>
      <c r="G124" t="e">
        <f>(('Time Matrix'!N100*#REF!)*#REF!) + (('Time Matrix'!N100*#REF!)*#REF!) + (('Time Matrix'!N100*#REF!)*#REF!) + (('Time Matrix'!N100*#REF!)*#REF!)</f>
        <v>#REF!</v>
      </c>
      <c r="H124" t="e">
        <f>(('Time Matrix'!N100*#REF!)*#REF!) + (('Time Matrix'!N100*#REF!)*#REF!) + (('Time Matrix'!N100*#REF!)*#REF!) + (('Time Matrix'!N100*#REF!)*#REF!)</f>
        <v>#REF!</v>
      </c>
    </row>
    <row r="125" spans="1:8" x14ac:dyDescent="0.2">
      <c r="A125" t="s">
        <v>39</v>
      </c>
      <c r="B125" t="s">
        <v>10</v>
      </c>
      <c r="C125" t="e">
        <f>(('Time Matrix'!N101*#REF!)*'Mon (101)'!#REF!) + (('Time Matrix'!N101*#REF!)*'Mon (101)'!#REF!) + (('Time Matrix'!N101*#REF!)*'Mon (101)'!#REF!) + (('Time Matrix'!N101*#REF!)*'Mon (101)'!#REF!)</f>
        <v>#REF!</v>
      </c>
      <c r="D125" t="e">
        <f>(('Time Matrix'!N101*#REF!)*#REF!) + (('Time Matrix'!N101*#REF!)*#REF!) + (('Time Matrix'!N101*#REF!)*#REF!) + (('Time Matrix'!N101*#REF!)*#REF!)</f>
        <v>#REF!</v>
      </c>
      <c r="E125" t="e">
        <f>(('Time Matrix'!N101*#REF!)*#REF!) + (('Time Matrix'!N101*#REF!)*#REF!) + (('Time Matrix'!N101*#REF!)*#REF!) + (('Time Matrix'!N101*#REF!)*#REF!)</f>
        <v>#REF!</v>
      </c>
      <c r="F125" t="e">
        <f>(('Time Matrix'!N101*#REF!)*#REF!) + (('Time Matrix'!N101*#REF!)*#REF!) + (('Time Matrix'!N101*#REF!)*#REF!) + (('Time Matrix'!N101*#REF!)*#REF!)</f>
        <v>#REF!</v>
      </c>
      <c r="G125" t="e">
        <f>(('Time Matrix'!N101*#REF!)*#REF!) + (('Time Matrix'!N101*#REF!)*#REF!) + (('Time Matrix'!N101*#REF!)*#REF!) + (('Time Matrix'!N101*#REF!)*#REF!)</f>
        <v>#REF!</v>
      </c>
      <c r="H125" t="e">
        <f>(('Time Matrix'!N101*#REF!)*#REF!) + (('Time Matrix'!N101*#REF!)*#REF!) + (('Time Matrix'!N101*#REF!)*#REF!) + (('Time Matrix'!N101*#REF!)*#REF!)</f>
        <v>#REF!</v>
      </c>
    </row>
    <row r="126" spans="1:8" x14ac:dyDescent="0.2">
      <c r="A126" t="s">
        <v>42</v>
      </c>
      <c r="B126" t="s">
        <v>11</v>
      </c>
      <c r="C126" t="e">
        <f>(('Time Matrix'!N102*#REF!)*'Mon (101)'!#REF!) + (('Time Matrix'!N102*#REF!)*'Mon (101)'!#REF!) + (('Time Matrix'!N102*#REF!)*'Mon (101)'!#REF!) + (('Time Matrix'!N102*#REF!)*'Mon (101)'!#REF!)</f>
        <v>#REF!</v>
      </c>
      <c r="D126" t="e">
        <f>(('Time Matrix'!N102*#REF!)*#REF!) + (('Time Matrix'!N102*#REF!)*#REF!) + (('Time Matrix'!N102*#REF!)*#REF!) + (('Time Matrix'!N102*#REF!)*#REF!)</f>
        <v>#REF!</v>
      </c>
      <c r="E126" t="e">
        <f>(('Time Matrix'!N102*#REF!)*#REF!) + (('Time Matrix'!N102*#REF!)*#REF!) + (('Time Matrix'!N102*#REF!)*#REF!) + (('Time Matrix'!N102*#REF!)*#REF!)</f>
        <v>#REF!</v>
      </c>
      <c r="F126" t="e">
        <f>(('Time Matrix'!N102*#REF!)*#REF!) + (('Time Matrix'!N102*#REF!)*#REF!) + (('Time Matrix'!N102*#REF!)*#REF!) + (('Time Matrix'!N102*#REF!)*#REF!)</f>
        <v>#REF!</v>
      </c>
      <c r="G126" t="e">
        <f>(('Time Matrix'!N102*#REF!)*#REF!) + (('Time Matrix'!N102*#REF!)*#REF!) + (('Time Matrix'!N102*#REF!)*#REF!) + (('Time Matrix'!N102*#REF!)*#REF!)</f>
        <v>#REF!</v>
      </c>
      <c r="H126" t="e">
        <f>(('Time Matrix'!N102*#REF!)*#REF!) + (('Time Matrix'!N102*#REF!)*#REF!) + (('Time Matrix'!N102*#REF!)*#REF!) + (('Time Matrix'!N102*#REF!)*#REF!)</f>
        <v>#REF!</v>
      </c>
    </row>
    <row r="127" spans="1:8" x14ac:dyDescent="0.2">
      <c r="A127" s="179" t="s">
        <v>164</v>
      </c>
      <c r="B127" s="180"/>
      <c r="C127" t="e">
        <f t="shared" ref="C127:H127" si="12">SUM(C115:C126)</f>
        <v>#REF!</v>
      </c>
      <c r="D127" t="e">
        <f t="shared" si="12"/>
        <v>#REF!</v>
      </c>
      <c r="E127" t="e">
        <f t="shared" si="12"/>
        <v>#REF!</v>
      </c>
      <c r="F127" t="e">
        <f t="shared" si="12"/>
        <v>#REF!</v>
      </c>
      <c r="G127" t="e">
        <f t="shared" si="12"/>
        <v>#REF!</v>
      </c>
      <c r="H127" t="e">
        <f t="shared" si="12"/>
        <v>#REF!</v>
      </c>
    </row>
    <row r="128" spans="1:8" x14ac:dyDescent="0.2">
      <c r="A128" s="181" t="s">
        <v>52</v>
      </c>
      <c r="B128" s="182"/>
      <c r="C128" s="182"/>
      <c r="D128" s="182"/>
      <c r="E128" s="182"/>
      <c r="F128" s="182"/>
      <c r="G128" s="182"/>
      <c r="H128" s="182"/>
    </row>
    <row r="129" spans="1:8" x14ac:dyDescent="0.2">
      <c r="A129" s="181" t="s">
        <v>48</v>
      </c>
      <c r="B129" s="182"/>
      <c r="C129" s="182"/>
      <c r="D129" s="182"/>
      <c r="E129" s="182"/>
      <c r="F129" s="182"/>
      <c r="G129" s="182"/>
      <c r="H129" s="182"/>
    </row>
    <row r="130" spans="1:8" x14ac:dyDescent="0.2">
      <c r="A130" t="s">
        <v>43</v>
      </c>
      <c r="B130" t="s">
        <v>22</v>
      </c>
      <c r="C130" t="e">
        <f>(('Time Matrix'!O103*#REF!)*'Mon (101)'!#REF!) + (('Time Matrix'!O103*#REF!)*'Mon (101)'!#REF!) + (('Time Matrix'!O103*#REF!)*'Mon (101)'!#REF!) + (('Time Matrix'!O103*#REF!)*'Mon (101)'!#REF!)</f>
        <v>#REF!</v>
      </c>
      <c r="D130" t="e">
        <f>(('Time Matrix'!O103*#REF!)*#REF!) + (('Time Matrix'!O103*#REF!)*#REF!) + (('Time Matrix'!O103*#REF!)*#REF!) + (('Time Matrix'!O103*#REF!)*#REF!)</f>
        <v>#REF!</v>
      </c>
      <c r="E130" t="e">
        <f>(('Time Matrix'!O103*#REF!)*#REF!) + (('Time Matrix'!O103*#REF!)*#REF!) + (('Time Matrix'!O103*#REF!)*#REF!) + (('Time Matrix'!O103*#REF!)*#REF!)</f>
        <v>#REF!</v>
      </c>
      <c r="F130" t="e">
        <f>(('Time Matrix'!O103*#REF!)*#REF!) + (('Time Matrix'!O103*#REF!)*#REF!) + (('Time Matrix'!O103*#REF!)*#REF!) + (('Time Matrix'!O103*#REF!)*#REF!)</f>
        <v>#REF!</v>
      </c>
      <c r="G130" t="e">
        <f>(('Time Matrix'!O103*#REF!)*#REF!) + (('Time Matrix'!O103*#REF!)*#REF!) + (('Time Matrix'!O103*#REF!)*#REF!) + (('Time Matrix'!O103*#REF!)*#REF!)</f>
        <v>#REF!</v>
      </c>
      <c r="H130" t="e">
        <f>(('Time Matrix'!O103*#REF!)*#REF!) + (('Time Matrix'!O103*#REF!)*#REF!) + (('Time Matrix'!O103*#REF!)*#REF!) + (('Time Matrix'!O103*#REF!)*#REF!)</f>
        <v>#REF!</v>
      </c>
    </row>
    <row r="131" spans="1:8" x14ac:dyDescent="0.2">
      <c r="A131" t="s">
        <v>44</v>
      </c>
      <c r="B131" t="s">
        <v>19</v>
      </c>
      <c r="C131" t="e">
        <f>(('Time Matrix'!O104*#REF!)*'Mon (101)'!#REF!) + (('Time Matrix'!O104*#REF!)*'Mon (101)'!#REF!) + (('Time Matrix'!O104*#REF!)*'Mon (101)'!#REF!) + (('Time Matrix'!O104*#REF!)*'Mon (101)'!#REF!)</f>
        <v>#REF!</v>
      </c>
      <c r="D131" t="e">
        <f>(('Time Matrix'!O104*#REF!)*#REF!) + (('Time Matrix'!O104*#REF!)*#REF!) + (('Time Matrix'!O104*#REF!)*#REF!) + (('Time Matrix'!O104*#REF!)*#REF!)</f>
        <v>#REF!</v>
      </c>
      <c r="E131" t="e">
        <f>(('Time Matrix'!O104*#REF!)*#REF!) + (('Time Matrix'!O104*#REF!)*#REF!) + (('Time Matrix'!O104*#REF!)*#REF!) + (('Time Matrix'!O104*#REF!)*#REF!)</f>
        <v>#REF!</v>
      </c>
      <c r="F131" t="e">
        <f>(('Time Matrix'!O104*#REF!)*#REF!) + (('Time Matrix'!O104*#REF!)*#REF!) + (('Time Matrix'!O104*#REF!)*#REF!) + (('Time Matrix'!O104*#REF!)*#REF!)</f>
        <v>#REF!</v>
      </c>
      <c r="G131" t="e">
        <f>(('Time Matrix'!O104*#REF!)*#REF!) + (('Time Matrix'!O104*#REF!)*#REF!) + (('Time Matrix'!O104*#REF!)*#REF!) + (('Time Matrix'!O104*#REF!)*#REF!)</f>
        <v>#REF!</v>
      </c>
      <c r="H131" t="e">
        <f>(('Time Matrix'!O104*#REF!)*#REF!) + (('Time Matrix'!O104*#REF!)*#REF!) + (('Time Matrix'!O104*#REF!)*#REF!) + (('Time Matrix'!O104*#REF!)*#REF!)</f>
        <v>#REF!</v>
      </c>
    </row>
    <row r="132" spans="1:8" x14ac:dyDescent="0.2">
      <c r="A132" t="s">
        <v>62</v>
      </c>
      <c r="B132" t="s">
        <v>20</v>
      </c>
      <c r="C132" t="e">
        <f>(('Time Matrix'!O105*#REF!)*'Mon (101)'!#REF!) + (('Time Matrix'!O105*#REF!)*'Mon (101)'!#REF!) + (('Time Matrix'!O105*#REF!)*'Mon (101)'!#REF!) + (('Time Matrix'!O105*#REF!)*'Mon (101)'!#REF!)</f>
        <v>#REF!</v>
      </c>
      <c r="D132" t="e">
        <f>(('Time Matrix'!O105*#REF!)*#REF!) + (('Time Matrix'!O105*#REF!)*#REF!) + (('Time Matrix'!O105*#REF!)*#REF!) + (('Time Matrix'!O105*#REF!)*#REF!)</f>
        <v>#REF!</v>
      </c>
      <c r="E132" t="e">
        <f>(('Time Matrix'!O105*#REF!)*#REF!) + (('Time Matrix'!O105*#REF!)*#REF!) + (('Time Matrix'!O105*#REF!)*#REF!) + (('Time Matrix'!O105*#REF!)*#REF!)</f>
        <v>#REF!</v>
      </c>
      <c r="F132" t="e">
        <f>(('Time Matrix'!O105*#REF!)*#REF!) + (('Time Matrix'!O105*#REF!)*#REF!) + (('Time Matrix'!O105*#REF!)*#REF!) + (('Time Matrix'!O105*#REF!)*#REF!)</f>
        <v>#REF!</v>
      </c>
      <c r="G132" t="e">
        <f>(('Time Matrix'!O105*#REF!)*#REF!) + (('Time Matrix'!O105*#REF!)*#REF!) + (('Time Matrix'!O105*#REF!)*#REF!) + (('Time Matrix'!O105*#REF!)*#REF!)</f>
        <v>#REF!</v>
      </c>
      <c r="H132" t="e">
        <f>(('Time Matrix'!O105*#REF!)*#REF!) + (('Time Matrix'!O105*#REF!)*#REF!) + (('Time Matrix'!O105*#REF!)*#REF!) + (('Time Matrix'!O105*#REF!)*#REF!)</f>
        <v>#REF!</v>
      </c>
    </row>
    <row r="133" spans="1:8" x14ac:dyDescent="0.2">
      <c r="A133" t="s">
        <v>45</v>
      </c>
      <c r="B133" t="s">
        <v>23</v>
      </c>
      <c r="C133" t="e">
        <f>(('Time Matrix'!O106*#REF!)*'Mon (101)'!#REF!) + (('Time Matrix'!O106*#REF!)*'Mon (101)'!#REF!) + (('Time Matrix'!O106*#REF!)*'Mon (101)'!#REF!) + (('Time Matrix'!O106*#REF!)*'Mon (101)'!#REF!)</f>
        <v>#REF!</v>
      </c>
      <c r="D133" t="e">
        <f>(('Time Matrix'!O106*#REF!)*#REF!) + (('Time Matrix'!O106*#REF!)*#REF!) + (('Time Matrix'!O106*#REF!)*#REF!) + (('Time Matrix'!O106*#REF!)*#REF!)</f>
        <v>#REF!</v>
      </c>
      <c r="E133" t="e">
        <f>(('Time Matrix'!O106*#REF!)*#REF!) + (('Time Matrix'!O106*#REF!)*#REF!) + (('Time Matrix'!O106*#REF!)*#REF!) + (('Time Matrix'!O106*#REF!)*#REF!)</f>
        <v>#REF!</v>
      </c>
      <c r="F133" t="e">
        <f>(('Time Matrix'!O106*#REF!)*#REF!) + (('Time Matrix'!O106*#REF!)*#REF!) + (('Time Matrix'!O106*#REF!)*#REF!) + (('Time Matrix'!O106*#REF!)*#REF!)</f>
        <v>#REF!</v>
      </c>
      <c r="G133" t="e">
        <f>(('Time Matrix'!O106*#REF!)*#REF!) + (('Time Matrix'!O106*#REF!)*#REF!) + (('Time Matrix'!O106*#REF!)*#REF!) + (('Time Matrix'!O106*#REF!)*#REF!)</f>
        <v>#REF!</v>
      </c>
      <c r="H133" t="e">
        <f>(('Time Matrix'!O106*#REF!)*#REF!) + (('Time Matrix'!O106*#REF!)*#REF!) + (('Time Matrix'!O106*#REF!)*#REF!) + (('Time Matrix'!O106*#REF!)*#REF!)</f>
        <v>#REF!</v>
      </c>
    </row>
    <row r="134" spans="1:8" x14ac:dyDescent="0.2">
      <c r="A134" s="179" t="s">
        <v>164</v>
      </c>
      <c r="B134" s="180"/>
      <c r="C134" t="e">
        <f t="shared" ref="C134:H134" si="13">SUM(C130:C133)</f>
        <v>#REF!</v>
      </c>
      <c r="D134" t="e">
        <f t="shared" si="13"/>
        <v>#REF!</v>
      </c>
      <c r="E134" t="e">
        <f t="shared" si="13"/>
        <v>#REF!</v>
      </c>
      <c r="F134" t="e">
        <f t="shared" si="13"/>
        <v>#REF!</v>
      </c>
      <c r="G134" t="e">
        <f t="shared" si="13"/>
        <v>#REF!</v>
      </c>
      <c r="H134" t="e">
        <f t="shared" si="13"/>
        <v>#REF!</v>
      </c>
    </row>
    <row r="135" spans="1:8" x14ac:dyDescent="0.2">
      <c r="A135" s="181" t="s">
        <v>49</v>
      </c>
      <c r="B135" s="182"/>
      <c r="C135" s="182"/>
      <c r="D135" s="182"/>
      <c r="E135" s="182"/>
      <c r="F135" s="182"/>
      <c r="G135" s="182"/>
      <c r="H135" s="182"/>
    </row>
    <row r="136" spans="1:8" x14ac:dyDescent="0.2">
      <c r="A136">
        <v>6285</v>
      </c>
      <c r="B136" t="s">
        <v>22</v>
      </c>
      <c r="C136" t="e">
        <f>(('Time Matrix'!P103*#REF!)*'Mon (101)'!#REF!) + (('Time Matrix'!P103*#REF!)*'Mon (101)'!#REF!) + (('Time Matrix'!P103*#REF!)*'Mon (101)'!#REF!) + (('Time Matrix'!P103*#REF!)*'Mon (101)'!#REF!)</f>
        <v>#REF!</v>
      </c>
      <c r="D136" t="e">
        <f>(('Time Matrix'!P103*#REF!)*#REF!) + (('Time Matrix'!P103*#REF!)*#REF!) + (('Time Matrix'!P103*#REF!)*#REF!) + (('Time Matrix'!P103*#REF!)*#REF!)</f>
        <v>#REF!</v>
      </c>
      <c r="E136" t="e">
        <f>(('Time Matrix'!P103*#REF!)*#REF!) + (('Time Matrix'!P103*#REF!)*#REF!) + (('Time Matrix'!P103*#REF!)*#REF!) + (('Time Matrix'!P103*#REF!)*#REF!)</f>
        <v>#REF!</v>
      </c>
      <c r="F136" t="e">
        <f>(('Time Matrix'!P103*#REF!)*#REF!) + (('Time Matrix'!P103*#REF!)*#REF!) + (('Time Matrix'!P103*#REF!)*#REF!) + (('Time Matrix'!P103*#REF!)*#REF!)</f>
        <v>#REF!</v>
      </c>
      <c r="G136" t="e">
        <f>(('Time Matrix'!P103*#REF!)*#REF!) + (('Time Matrix'!P103*#REF!)*#REF!) + (('Time Matrix'!P103*#REF!)*#REF!) + (('Time Matrix'!P103*#REF!)*#REF!)</f>
        <v>#REF!</v>
      </c>
      <c r="H136" t="e">
        <f>(('Time Matrix'!P103*#REF!)*#REF!) + (('Time Matrix'!P103*#REF!)*#REF!) + (('Time Matrix'!P103*#REF!)*#REF!) + (('Time Matrix'!P103*#REF!)*#REF!)</f>
        <v>#REF!</v>
      </c>
    </row>
    <row r="137" spans="1:8" x14ac:dyDescent="0.2">
      <c r="A137">
        <v>6284</v>
      </c>
      <c r="B137" t="s">
        <v>19</v>
      </c>
      <c r="C137" t="e">
        <f>(('Time Matrix'!P104*#REF!)*'Mon (101)'!#REF!) + (('Time Matrix'!P104*#REF!)*'Mon (101)'!#REF!) + (('Time Matrix'!P104*#REF!)*'Mon (101)'!#REF!) + (('Time Matrix'!P104*#REF!)*'Mon (101)'!#REF!)</f>
        <v>#REF!</v>
      </c>
      <c r="D137" t="e">
        <f>(('Time Matrix'!P104*#REF!)*#REF!) + (('Time Matrix'!P104*#REF!)*#REF!) + (('Time Matrix'!P104*#REF!)*#REF!) + (('Time Matrix'!P104*#REF!)*#REF!)</f>
        <v>#REF!</v>
      </c>
      <c r="E137" t="e">
        <f>(('Time Matrix'!P104*#REF!)*#REF!) + (('Time Matrix'!P104*#REF!)*#REF!) + (('Time Matrix'!P104*#REF!)*#REF!) + (('Time Matrix'!P104*#REF!)*#REF!)</f>
        <v>#REF!</v>
      </c>
      <c r="F137" t="e">
        <f>(('Time Matrix'!P104*#REF!)*#REF!) + (('Time Matrix'!P104*#REF!)*#REF!) + (('Time Matrix'!P104*#REF!)*#REF!) + (('Time Matrix'!P104*#REF!)*#REF!)</f>
        <v>#REF!</v>
      </c>
      <c r="G137" t="e">
        <f>(('Time Matrix'!P104*#REF!)*#REF!) + (('Time Matrix'!P104*#REF!)*#REF!) + (('Time Matrix'!P104*#REF!)*#REF!) + (('Time Matrix'!P104*#REF!)*#REF!)</f>
        <v>#REF!</v>
      </c>
      <c r="H137" t="e">
        <f>(('Time Matrix'!P104*#REF!)*#REF!) + (('Time Matrix'!P104*#REF!)*#REF!) + (('Time Matrix'!P104*#REF!)*#REF!) + (('Time Matrix'!P104*#REF!)*#REF!)</f>
        <v>#REF!</v>
      </c>
    </row>
    <row r="138" spans="1:8" x14ac:dyDescent="0.2">
      <c r="A138">
        <v>6282</v>
      </c>
      <c r="B138" t="s">
        <v>20</v>
      </c>
      <c r="C138" t="e">
        <f>(('Time Matrix'!P105*#REF!)*'Mon (101)'!#REF!) + (('Time Matrix'!P105*#REF!)*'Mon (101)'!#REF!) + (('Time Matrix'!P105*#REF!)*'Mon (101)'!#REF!) + (('Time Matrix'!P105*#REF!)*'Mon (101)'!#REF!)</f>
        <v>#REF!</v>
      </c>
      <c r="D138" t="e">
        <f>(('Time Matrix'!P105*#REF!)*#REF!) + (('Time Matrix'!P105*#REF!)*#REF!) + (('Time Matrix'!P105*#REF!)*#REF!) + (('Time Matrix'!P105*#REF!)*#REF!)</f>
        <v>#REF!</v>
      </c>
      <c r="E138" t="e">
        <f>(('Time Matrix'!P105*#REF!)*#REF!) + (('Time Matrix'!P105*#REF!)*#REF!) + (('Time Matrix'!P105*#REF!)*#REF!) + (('Time Matrix'!P105*#REF!)*#REF!)</f>
        <v>#REF!</v>
      </c>
      <c r="F138" t="e">
        <f>(('Time Matrix'!P105*#REF!)*#REF!) + (('Time Matrix'!P105*#REF!)*#REF!) + (('Time Matrix'!P105*#REF!)*#REF!) + (('Time Matrix'!P105*#REF!)*#REF!)</f>
        <v>#REF!</v>
      </c>
      <c r="G138" t="e">
        <f>(('Time Matrix'!P105*#REF!)*#REF!) + (('Time Matrix'!P105*#REF!)*#REF!) + (('Time Matrix'!P105*#REF!)*#REF!) + (('Time Matrix'!P105*#REF!)*#REF!)</f>
        <v>#REF!</v>
      </c>
      <c r="H138" t="e">
        <f>(('Time Matrix'!P105*#REF!)*#REF!) + (('Time Matrix'!P105*#REF!)*#REF!) + (('Time Matrix'!P105*#REF!)*#REF!) + (('Time Matrix'!P105*#REF!)*#REF!)</f>
        <v>#REF!</v>
      </c>
    </row>
    <row r="139" spans="1:8" x14ac:dyDescent="0.2">
      <c r="A139">
        <v>6283</v>
      </c>
      <c r="B139" t="s">
        <v>23</v>
      </c>
      <c r="C139" t="e">
        <f>(('Time Matrix'!P106*#REF!)*'Mon (101)'!#REF!) + (('Time Matrix'!P106*#REF!)*'Mon (101)'!#REF!) + (('Time Matrix'!P106*#REF!)*'Mon (101)'!#REF!) + (('Time Matrix'!P106*#REF!)*'Mon (101)'!#REF!)</f>
        <v>#REF!</v>
      </c>
      <c r="D139" t="e">
        <f>(('Time Matrix'!P106*#REF!)*#REF!) + (('Time Matrix'!P106*#REF!)*#REF!) + (('Time Matrix'!P106*#REF!)*#REF!) + (('Time Matrix'!P106*#REF!)*#REF!)</f>
        <v>#REF!</v>
      </c>
      <c r="E139" t="e">
        <f>(('Time Matrix'!P106*#REF!)*#REF!) + (('Time Matrix'!P106*#REF!)*#REF!) + (('Time Matrix'!P106*#REF!)*#REF!) + (('Time Matrix'!P106*#REF!)*#REF!)</f>
        <v>#REF!</v>
      </c>
      <c r="F139" t="e">
        <f>(('Time Matrix'!P106*#REF!)*#REF!) + (('Time Matrix'!P106*#REF!)*#REF!) + (('Time Matrix'!P106*#REF!)*#REF!) + (('Time Matrix'!P106*#REF!)*#REF!)</f>
        <v>#REF!</v>
      </c>
      <c r="G139" t="e">
        <f>(('Time Matrix'!P106*#REF!)*#REF!) + (('Time Matrix'!P106*#REF!)*#REF!) + (('Time Matrix'!P106*#REF!)*#REF!) + (('Time Matrix'!P106*#REF!)*#REF!)</f>
        <v>#REF!</v>
      </c>
      <c r="H139" t="e">
        <f>(('Time Matrix'!P106*#REF!)*#REF!) + (('Time Matrix'!P106*#REF!)*#REF!) + (('Time Matrix'!P106*#REF!)*#REF!) + (('Time Matrix'!P106*#REF!)*#REF!)</f>
        <v>#REF!</v>
      </c>
    </row>
    <row r="140" spans="1:8" x14ac:dyDescent="0.2">
      <c r="A140" s="179" t="s">
        <v>164</v>
      </c>
      <c r="B140" s="180"/>
      <c r="C140" t="e">
        <f t="shared" ref="C140:H140" si="14">SUM(C136:C139)</f>
        <v>#REF!</v>
      </c>
      <c r="D140" t="e">
        <f t="shared" si="14"/>
        <v>#REF!</v>
      </c>
      <c r="E140" t="e">
        <f t="shared" si="14"/>
        <v>#REF!</v>
      </c>
      <c r="F140" t="e">
        <f t="shared" si="14"/>
        <v>#REF!</v>
      </c>
      <c r="G140" t="e">
        <f t="shared" si="14"/>
        <v>#REF!</v>
      </c>
      <c r="H140" t="e">
        <f t="shared" si="14"/>
        <v>#REF!</v>
      </c>
    </row>
    <row r="141" spans="1:8" x14ac:dyDescent="0.2">
      <c r="A141" s="181" t="s">
        <v>53</v>
      </c>
      <c r="B141" s="182"/>
      <c r="C141" s="182"/>
      <c r="D141" s="182"/>
      <c r="E141" s="182"/>
      <c r="F141" s="182"/>
      <c r="G141" s="182"/>
      <c r="H141" s="182"/>
    </row>
    <row r="142" spans="1:8" x14ac:dyDescent="0.2">
      <c r="A142" s="181" t="s">
        <v>48</v>
      </c>
      <c r="B142" s="182"/>
      <c r="C142" s="182"/>
      <c r="D142" s="182"/>
      <c r="E142" s="182"/>
      <c r="F142" s="182"/>
      <c r="G142" s="182"/>
      <c r="H142" s="182"/>
    </row>
    <row r="143" spans="1:8" x14ac:dyDescent="0.2">
      <c r="A143" t="s">
        <v>43</v>
      </c>
      <c r="B143" t="s">
        <v>22</v>
      </c>
      <c r="C143" t="e">
        <f>(('Time Matrix'!Q103*#REF!)*'Mon (101)'!#REF!) + (('Time Matrix'!Q103*#REF!)*'Mon (101)'!#REF!) + (('Time Matrix'!Q103*#REF!)*'Mon (101)'!#REF!) + (('Time Matrix'!Q103*#REF!)*'Mon (101)'!#REF!)</f>
        <v>#REF!</v>
      </c>
      <c r="D143" t="e">
        <f>(('Time Matrix'!Q103*#REF!)*#REF!) + (('Time Matrix'!Q103*#REF!)*#REF!) + (('Time Matrix'!Q103*#REF!)*#REF!) + (('Time Matrix'!Q103*#REF!)*#REF!)</f>
        <v>#REF!</v>
      </c>
      <c r="E143" t="e">
        <f>(('Time Matrix'!Q103*#REF!)*#REF!) + (('Time Matrix'!Q103*#REF!)*#REF!) + (('Time Matrix'!Q103*#REF!)*#REF!) + (('Time Matrix'!Q103*#REF!)*#REF!)</f>
        <v>#REF!</v>
      </c>
      <c r="F143" t="e">
        <f>(('Time Matrix'!Q103*#REF!)*#REF!) + (('Time Matrix'!Q103*#REF!)*#REF!) + (('Time Matrix'!Q103*#REF!)*#REF!) + (('Time Matrix'!Q103*#REF!)*#REF!)</f>
        <v>#REF!</v>
      </c>
      <c r="G143" t="e">
        <f>(('Time Matrix'!Q103*#REF!)*#REF!) + (('Time Matrix'!Q103*#REF!)*#REF!) + (('Time Matrix'!Q103*#REF!)*#REF!) + (('Time Matrix'!Q103*#REF!)*#REF!)</f>
        <v>#REF!</v>
      </c>
      <c r="H143" t="e">
        <f>(('Time Matrix'!Q103*#REF!)*#REF!) + (('Time Matrix'!Q103*#REF!)*#REF!) + (('Time Matrix'!Q103*#REF!)*#REF!) + (('Time Matrix'!Q103*#REF!)*#REF!)</f>
        <v>#REF!</v>
      </c>
    </row>
    <row r="144" spans="1:8" x14ac:dyDescent="0.2">
      <c r="A144" t="s">
        <v>44</v>
      </c>
      <c r="B144" t="s">
        <v>19</v>
      </c>
      <c r="C144" t="e">
        <f>(('Time Matrix'!Q104*#REF!)*'Mon (101)'!#REF!) + (('Time Matrix'!Q104*#REF!)*'Mon (101)'!#REF!) + (('Time Matrix'!Q104*#REF!)*'Mon (101)'!#REF!) + (('Time Matrix'!Q104*#REF!)*'Mon (101)'!#REF!)</f>
        <v>#REF!</v>
      </c>
      <c r="D144" t="e">
        <f>(('Time Matrix'!Q104*#REF!)*#REF!) + (('Time Matrix'!Q104*#REF!)*#REF!) + (('Time Matrix'!Q104*#REF!)*#REF!) + (('Time Matrix'!Q104*#REF!)*#REF!)</f>
        <v>#REF!</v>
      </c>
      <c r="E144" t="e">
        <f>(('Time Matrix'!Q104*#REF!)*#REF!) + (('Time Matrix'!Q104*#REF!)*#REF!) + (('Time Matrix'!Q104*#REF!)*#REF!) + (('Time Matrix'!Q104*#REF!)*#REF!)</f>
        <v>#REF!</v>
      </c>
      <c r="F144" t="e">
        <f>(('Time Matrix'!Q104*#REF!)*#REF!) + (('Time Matrix'!Q104*#REF!)*#REF!) + (('Time Matrix'!Q104*#REF!)*#REF!) + (('Time Matrix'!Q104*#REF!)*#REF!)</f>
        <v>#REF!</v>
      </c>
      <c r="G144" t="e">
        <f>(('Time Matrix'!Q104*#REF!)*#REF!) + (('Time Matrix'!Q104*#REF!)*#REF!) + (('Time Matrix'!Q104*#REF!)*#REF!) + (('Time Matrix'!Q104*#REF!)*#REF!)</f>
        <v>#REF!</v>
      </c>
      <c r="H144" t="e">
        <f>(('Time Matrix'!Q104*#REF!)*#REF!) + (('Time Matrix'!Q104*#REF!)*#REF!) + (('Time Matrix'!Q104*#REF!)*#REF!) + (('Time Matrix'!Q104*#REF!)*#REF!)</f>
        <v>#REF!</v>
      </c>
    </row>
    <row r="145" spans="1:8" x14ac:dyDescent="0.2">
      <c r="A145" t="s">
        <v>62</v>
      </c>
      <c r="B145" t="s">
        <v>20</v>
      </c>
      <c r="C145" t="e">
        <f>(('Time Matrix'!Q105*#REF!)*'Mon (101)'!#REF!) + (('Time Matrix'!Q105*#REF!)*'Mon (101)'!#REF!) + (('Time Matrix'!Q105*#REF!)*'Mon (101)'!#REF!) + (('Time Matrix'!Q105*#REF!)*'Mon (101)'!#REF!)</f>
        <v>#REF!</v>
      </c>
      <c r="D145" t="e">
        <f>(('Time Matrix'!Q105*#REF!)*#REF!) + (('Time Matrix'!Q105*#REF!)*#REF!) + (('Time Matrix'!Q105*#REF!)*#REF!) + (('Time Matrix'!Q105*#REF!)*#REF!)</f>
        <v>#REF!</v>
      </c>
      <c r="E145" t="e">
        <f>(('Time Matrix'!Q105*#REF!)*#REF!) + (('Time Matrix'!Q105*#REF!)*#REF!) + (('Time Matrix'!Q105*#REF!)*#REF!) + (('Time Matrix'!Q105*#REF!)*#REF!)</f>
        <v>#REF!</v>
      </c>
      <c r="F145" t="e">
        <f>(('Time Matrix'!Q105*#REF!)*#REF!) + (('Time Matrix'!Q105*#REF!)*#REF!) + (('Time Matrix'!Q105*#REF!)*#REF!) + (('Time Matrix'!Q105*#REF!)*#REF!)</f>
        <v>#REF!</v>
      </c>
      <c r="G145" t="e">
        <f>(('Time Matrix'!Q105*#REF!)*#REF!) + (('Time Matrix'!Q105*#REF!)*#REF!) + (('Time Matrix'!Q105*#REF!)*#REF!) + (('Time Matrix'!Q105*#REF!)*#REF!)</f>
        <v>#REF!</v>
      </c>
      <c r="H145" t="e">
        <f>(('Time Matrix'!Q105*#REF!)*#REF!) + (('Time Matrix'!Q105*#REF!)*#REF!) + (('Time Matrix'!Q105*#REF!)*#REF!) + (('Time Matrix'!Q105*#REF!)*#REF!)</f>
        <v>#REF!</v>
      </c>
    </row>
    <row r="146" spans="1:8" x14ac:dyDescent="0.2">
      <c r="A146" t="s">
        <v>45</v>
      </c>
      <c r="B146" t="s">
        <v>23</v>
      </c>
      <c r="C146" t="e">
        <f>(('Time Matrix'!Q106*#REF!)*'Mon (101)'!#REF!) + (('Time Matrix'!Q106*#REF!)*'Mon (101)'!#REF!) + (('Time Matrix'!Q106*#REF!)*'Mon (101)'!#REF!) + (('Time Matrix'!Q106*#REF!)*'Mon (101)'!#REF!)</f>
        <v>#REF!</v>
      </c>
      <c r="D146" t="e">
        <f>(('Time Matrix'!Q106*#REF!)*#REF!) + (('Time Matrix'!Q106*#REF!)*#REF!) + (('Time Matrix'!Q106*#REF!)*#REF!) + (('Time Matrix'!Q106*#REF!)*#REF!)</f>
        <v>#REF!</v>
      </c>
      <c r="E146" t="e">
        <f>(('Time Matrix'!Q106*#REF!)*#REF!) + (('Time Matrix'!Q106*#REF!)*#REF!) + (('Time Matrix'!Q106*#REF!)*#REF!) + (('Time Matrix'!Q106*#REF!)*#REF!)</f>
        <v>#REF!</v>
      </c>
      <c r="F146" t="e">
        <f>(('Time Matrix'!Q106*#REF!)*#REF!) + (('Time Matrix'!Q106*#REF!)*#REF!) + (('Time Matrix'!Q106*#REF!)*#REF!) + (('Time Matrix'!Q106*#REF!)*#REF!)</f>
        <v>#REF!</v>
      </c>
      <c r="G146" t="e">
        <f>(('Time Matrix'!Q106*#REF!)*#REF!) + (('Time Matrix'!Q106*#REF!)*#REF!) + (('Time Matrix'!Q106*#REF!)*#REF!) + (('Time Matrix'!Q106*#REF!)*#REF!)</f>
        <v>#REF!</v>
      </c>
      <c r="H146" t="e">
        <f>(('Time Matrix'!Q106*#REF!)*#REF!) + (('Time Matrix'!Q106*#REF!)*#REF!) + (('Time Matrix'!Q106*#REF!)*#REF!) + (('Time Matrix'!Q106*#REF!)*#REF!)</f>
        <v>#REF!</v>
      </c>
    </row>
    <row r="147" spans="1:8" x14ac:dyDescent="0.2">
      <c r="A147" s="179" t="s">
        <v>164</v>
      </c>
      <c r="B147" s="180"/>
      <c r="C147" t="e">
        <f t="shared" ref="C147:H147" si="15">SUM(C143:C146)</f>
        <v>#REF!</v>
      </c>
      <c r="D147" t="e">
        <f t="shared" si="15"/>
        <v>#REF!</v>
      </c>
      <c r="E147" t="e">
        <f t="shared" si="15"/>
        <v>#REF!</v>
      </c>
      <c r="F147" t="e">
        <f t="shared" si="15"/>
        <v>#REF!</v>
      </c>
      <c r="G147" t="e">
        <f t="shared" si="15"/>
        <v>#REF!</v>
      </c>
      <c r="H147" t="e">
        <f t="shared" si="15"/>
        <v>#REF!</v>
      </c>
    </row>
    <row r="148" spans="1:8" x14ac:dyDescent="0.2">
      <c r="A148" s="181" t="s">
        <v>49</v>
      </c>
      <c r="B148" s="182"/>
      <c r="C148" s="182"/>
      <c r="D148" s="182"/>
      <c r="E148" s="182"/>
      <c r="F148" s="182"/>
      <c r="G148" s="182"/>
      <c r="H148" s="182"/>
    </row>
    <row r="149" spans="1:8" x14ac:dyDescent="0.2">
      <c r="A149">
        <v>6285</v>
      </c>
      <c r="B149" t="s">
        <v>22</v>
      </c>
      <c r="C149" t="e">
        <f>(('Time Matrix'!R103*#REF!)*'Mon (101)'!#REF!) + (('Time Matrix'!R103*#REF!)*'Mon (101)'!#REF!) + (('Time Matrix'!R103*#REF!)*'Mon (101)'!#REF!) + (('Time Matrix'!R103*#REF!)*'Mon (101)'!#REF!)</f>
        <v>#REF!</v>
      </c>
      <c r="D149" t="e">
        <f>(('Time Matrix'!R103*#REF!)*#REF!) + (('Time Matrix'!R103*#REF!)*#REF!) + (('Time Matrix'!R103*#REF!)*#REF!) + (('Time Matrix'!R103*#REF!)*#REF!)</f>
        <v>#REF!</v>
      </c>
      <c r="E149" t="e">
        <f>(('Time Matrix'!R103*#REF!)*#REF!) + (('Time Matrix'!R103*#REF!)*#REF!) + (('Time Matrix'!R103*#REF!)*#REF!) + (('Time Matrix'!R103*#REF!)*#REF!)</f>
        <v>#REF!</v>
      </c>
      <c r="F149" t="e">
        <f>(('Time Matrix'!R103*#REF!)*#REF!) + (('Time Matrix'!R103*#REF!)*#REF!) + (('Time Matrix'!R103*#REF!)*#REF!) + (('Time Matrix'!R103*#REF!)*#REF!)</f>
        <v>#REF!</v>
      </c>
      <c r="G149" t="e">
        <f>(('Time Matrix'!R103*#REF!)*#REF!) + (('Time Matrix'!R103*#REF!)*#REF!) + (('Time Matrix'!R103*#REF!)*#REF!) + (('Time Matrix'!R103*#REF!)*#REF!)</f>
        <v>#REF!</v>
      </c>
      <c r="H149" t="e">
        <f>(('Time Matrix'!R103*#REF!)*#REF!) + (('Time Matrix'!R103*#REF!)*#REF!) + (('Time Matrix'!R103*#REF!)*#REF!) + (('Time Matrix'!R103*#REF!)*#REF!)</f>
        <v>#REF!</v>
      </c>
    </row>
    <row r="150" spans="1:8" x14ac:dyDescent="0.2">
      <c r="A150">
        <v>6284</v>
      </c>
      <c r="B150" t="s">
        <v>19</v>
      </c>
      <c r="C150" t="e">
        <f>(('Time Matrix'!R104*#REF!)*#REF!) + (('Time Matrix'!R104*#REF!)*#REF!) + (('Time Matrix'!R104*#REF!)*#REF!) + (('Time Matrix'!R104*#REF!)*#REF!)</f>
        <v>#REF!</v>
      </c>
      <c r="D150" t="e">
        <f>(('Time Matrix'!R104*#REF!)*#REF!) + (('Time Matrix'!R104*#REF!)*#REF!) + (('Time Matrix'!R104*#REF!)*#REF!) + (('Time Matrix'!R104*#REF!)*#REF!)</f>
        <v>#REF!</v>
      </c>
      <c r="E150" t="e">
        <f>(('Time Matrix'!R104*#REF!)*#REF!) + (('Time Matrix'!R104*#REF!)*#REF!) + (('Time Matrix'!R104*#REF!)*#REF!) + (('Time Matrix'!R104*#REF!)*#REF!)</f>
        <v>#REF!</v>
      </c>
      <c r="F150" t="e">
        <f>(('Time Matrix'!R104*#REF!)*#REF!) + (('Time Matrix'!R104*#REF!)*#REF!) + (('Time Matrix'!R104*#REF!)*#REF!) + (('Time Matrix'!R104*#REF!)*#REF!)</f>
        <v>#REF!</v>
      </c>
      <c r="G150" t="e">
        <f>(('Time Matrix'!R104*#REF!)*#REF!) + (('Time Matrix'!R104*#REF!)*#REF!) + (('Time Matrix'!R104*#REF!)*#REF!) + (('Time Matrix'!R104*#REF!)*#REF!)</f>
        <v>#REF!</v>
      </c>
      <c r="H150" t="e">
        <f>(('Time Matrix'!R104*#REF!)*#REF!) + (('Time Matrix'!R104*#REF!)*#REF!) + (('Time Matrix'!R104*#REF!)*#REF!) + (('Time Matrix'!R104*#REF!)*#REF!)</f>
        <v>#REF!</v>
      </c>
    </row>
    <row r="151" spans="1:8" x14ac:dyDescent="0.2">
      <c r="A151">
        <v>6282</v>
      </c>
      <c r="B151" t="s">
        <v>20</v>
      </c>
      <c r="C151" t="e">
        <f>(('Time Matrix'!R105*#REF!)*'Mon (101)'!#REF!) + (('Time Matrix'!R105*#REF!)*'Mon (101)'!#REF!) + (('Time Matrix'!R105*#REF!)*'Mon (101)'!#REF!) + (('Time Matrix'!R105*#REF!)*'Mon (101)'!#REF!)</f>
        <v>#REF!</v>
      </c>
      <c r="D151" t="e">
        <f>(('Time Matrix'!R105*#REF!)*#REF!) + (('Time Matrix'!R105*#REF!)*#REF!) + (('Time Matrix'!R105*#REF!)*#REF!) + (('Time Matrix'!R105*#REF!)*#REF!)</f>
        <v>#REF!</v>
      </c>
      <c r="E151" t="e">
        <f>(('Time Matrix'!R105*#REF!)*#REF!) + (('Time Matrix'!R105*#REF!)*#REF!) + (('Time Matrix'!R105*#REF!)*#REF!) + (('Time Matrix'!R105*#REF!)*#REF!)</f>
        <v>#REF!</v>
      </c>
      <c r="F151" t="e">
        <f>(('Time Matrix'!R105*#REF!)*#REF!) + (('Time Matrix'!R105*#REF!)*#REF!) + (('Time Matrix'!R105*#REF!)*#REF!) + (('Time Matrix'!R105*#REF!)*#REF!)</f>
        <v>#REF!</v>
      </c>
      <c r="G151" t="e">
        <f>(('Time Matrix'!R105*#REF!)*#REF!) + (('Time Matrix'!R105*#REF!)*#REF!) + (('Time Matrix'!R105*#REF!)*#REF!) + (('Time Matrix'!R105*#REF!)*#REF!)</f>
        <v>#REF!</v>
      </c>
      <c r="H151" t="e">
        <f>(('Time Matrix'!R105*#REF!)*#REF!) + (('Time Matrix'!R105*#REF!)*#REF!) + (('Time Matrix'!R105*#REF!)*#REF!) + (('Time Matrix'!R105*#REF!)*#REF!)</f>
        <v>#REF!</v>
      </c>
    </row>
    <row r="152" spans="1:8" x14ac:dyDescent="0.2">
      <c r="A152">
        <v>6283</v>
      </c>
      <c r="B152" t="s">
        <v>23</v>
      </c>
      <c r="C152" t="e">
        <f>(('Time Matrix'!R106*#REF!)*'Mon (101)'!#REF!) + (('Time Matrix'!R106*#REF!)*'Mon (101)'!#REF!) + (('Time Matrix'!R106*#REF!)*'Mon (101)'!#REF!) + (('Time Matrix'!R106*#REF!)*'Mon (101)'!#REF!)</f>
        <v>#REF!</v>
      </c>
      <c r="D152" t="e">
        <f>(('Time Matrix'!R106*#REF!)*#REF!) + (('Time Matrix'!R106*#REF!)*#REF!) + (('Time Matrix'!R106*#REF!)*#REF!) + (('Time Matrix'!R106*#REF!)*#REF!)</f>
        <v>#REF!</v>
      </c>
      <c r="E152" t="e">
        <f>(('Time Matrix'!R106*#REF!)*#REF!) + (('Time Matrix'!R106*#REF!)*#REF!) + (('Time Matrix'!R106*#REF!)*#REF!) + (('Time Matrix'!R106*#REF!)*#REF!)</f>
        <v>#REF!</v>
      </c>
      <c r="F152" t="e">
        <f>(('Time Matrix'!R106*#REF!)*#REF!) + (('Time Matrix'!R106*#REF!)*#REF!) + (('Time Matrix'!R106*#REF!)*#REF!) + (('Time Matrix'!R106*#REF!)*#REF!)</f>
        <v>#REF!</v>
      </c>
      <c r="G152" t="e">
        <f>(('Time Matrix'!R106*#REF!)*#REF!) + (('Time Matrix'!R106*#REF!)*#REF!) + (('Time Matrix'!R106*#REF!)*#REF!) + (('Time Matrix'!R106*#REF!)*#REF!)</f>
        <v>#REF!</v>
      </c>
      <c r="H152" t="e">
        <f>(('Time Matrix'!R106*#REF!)*#REF!) + (('Time Matrix'!R106*#REF!)*#REF!) + (('Time Matrix'!R106*#REF!)*#REF!) + (('Time Matrix'!R106*#REF!)*#REF!)</f>
        <v>#REF!</v>
      </c>
    </row>
    <row r="153" spans="1:8" x14ac:dyDescent="0.2">
      <c r="A153" s="179" t="s">
        <v>164</v>
      </c>
      <c r="B153" s="180"/>
      <c r="C153" t="e">
        <f t="shared" ref="C153:H153" si="16">SUM(C149:C152)</f>
        <v>#REF!</v>
      </c>
      <c r="D153" t="e">
        <f t="shared" si="16"/>
        <v>#REF!</v>
      </c>
      <c r="E153" t="e">
        <f t="shared" si="16"/>
        <v>#REF!</v>
      </c>
      <c r="F153" t="e">
        <f t="shared" si="16"/>
        <v>#REF!</v>
      </c>
      <c r="G153" t="e">
        <f t="shared" si="16"/>
        <v>#REF!</v>
      </c>
      <c r="H153" t="e">
        <f t="shared" si="16"/>
        <v>#REF!</v>
      </c>
    </row>
  </sheetData>
  <sheetProtection algorithmName="SHA-512" hashValue="eFcvWtGK1H2q7t+IDoiTkG/sfvrDmbECJ6mA3t9PG1rklYbZVpOL3gqrtK8LU6tIyaaHSDp+kiJq3X+KYKwMxw==" saltValue="MMf2JHCcXLFGcCpr+gOLYg==" spinCount="100000" sheet="1" objects="1" scenarios="1"/>
  <mergeCells count="36">
    <mergeCell ref="A106:H106"/>
    <mergeCell ref="A97:B97"/>
    <mergeCell ref="A105:B105"/>
    <mergeCell ref="A2:H2"/>
    <mergeCell ref="A20:H20"/>
    <mergeCell ref="A29:H29"/>
    <mergeCell ref="A40:H40"/>
    <mergeCell ref="A54:H54"/>
    <mergeCell ref="A68:H68"/>
    <mergeCell ref="A73:H73"/>
    <mergeCell ref="A79:H79"/>
    <mergeCell ref="A87:H87"/>
    <mergeCell ref="A92:H92"/>
    <mergeCell ref="A98:H98"/>
    <mergeCell ref="A153:B153"/>
    <mergeCell ref="A148:H148"/>
    <mergeCell ref="A19:B19"/>
    <mergeCell ref="A28:B28"/>
    <mergeCell ref="A39:B39"/>
    <mergeCell ref="A53:B53"/>
    <mergeCell ref="A67:B67"/>
    <mergeCell ref="A72:B72"/>
    <mergeCell ref="A78:B78"/>
    <mergeCell ref="A86:B86"/>
    <mergeCell ref="A91:B91"/>
    <mergeCell ref="A114:H114"/>
    <mergeCell ref="A128:H128"/>
    <mergeCell ref="A129:H129"/>
    <mergeCell ref="A135:H135"/>
    <mergeCell ref="A141:H141"/>
    <mergeCell ref="A113:B113"/>
    <mergeCell ref="A127:B127"/>
    <mergeCell ref="A134:B134"/>
    <mergeCell ref="A140:B140"/>
    <mergeCell ref="A147:B147"/>
    <mergeCell ref="A142:H1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/>
  <dimension ref="A1:R106"/>
  <sheetViews>
    <sheetView topLeftCell="A26" workbookViewId="0">
      <selection activeCell="H49" sqref="H49"/>
    </sheetView>
  </sheetViews>
  <sheetFormatPr defaultRowHeight="12.75" x14ac:dyDescent="0.2"/>
  <cols>
    <col min="1" max="1" width="18.5703125" bestFit="1" customWidth="1"/>
    <col min="2" max="2" width="18.85546875" bestFit="1" customWidth="1"/>
    <col min="3" max="3" width="18.28515625" bestFit="1" customWidth="1"/>
    <col min="4" max="4" width="27.28515625" bestFit="1" customWidth="1"/>
    <col min="5" max="5" width="19.5703125" bestFit="1" customWidth="1"/>
    <col min="6" max="6" width="15.5703125" bestFit="1" customWidth="1"/>
    <col min="7" max="7" width="17" bestFit="1" customWidth="1"/>
    <col min="8" max="8" width="18.28515625" bestFit="1" customWidth="1"/>
    <col min="9" max="9" width="17.85546875" bestFit="1" customWidth="1"/>
    <col min="10" max="10" width="20" bestFit="1" customWidth="1"/>
    <col min="11" max="11" width="26.85546875" bestFit="1" customWidth="1"/>
    <col min="12" max="12" width="14.85546875" bestFit="1" customWidth="1"/>
    <col min="13" max="13" width="13.5703125" bestFit="1" customWidth="1"/>
    <col min="14" max="14" width="20.28515625" bestFit="1" customWidth="1"/>
    <col min="15" max="15" width="14" bestFit="1" customWidth="1"/>
    <col min="16" max="16" width="15.5703125" bestFit="1" customWidth="1"/>
    <col min="17" max="17" width="16" bestFit="1" customWidth="1"/>
    <col min="18" max="18" width="17.5703125" bestFit="1" customWidth="1"/>
  </cols>
  <sheetData>
    <row r="1" spans="1:18" x14ac:dyDescent="0.2">
      <c r="A1" t="s">
        <v>184</v>
      </c>
    </row>
    <row r="2" spans="1:18" x14ac:dyDescent="0.2">
      <c r="A2" s="4" t="s">
        <v>177</v>
      </c>
      <c r="B2" s="16" t="s">
        <v>106</v>
      </c>
      <c r="C2" s="16" t="s">
        <v>70</v>
      </c>
      <c r="D2" s="16" t="s">
        <v>109</v>
      </c>
      <c r="E2" s="16" t="s">
        <v>47</v>
      </c>
      <c r="F2" s="16" t="s">
        <v>148</v>
      </c>
      <c r="G2" s="16" t="s">
        <v>66</v>
      </c>
      <c r="H2" s="16" t="s">
        <v>93</v>
      </c>
      <c r="I2" s="16" t="s">
        <v>127</v>
      </c>
      <c r="J2" s="16" t="s">
        <v>102</v>
      </c>
      <c r="K2" s="16" t="s">
        <v>46</v>
      </c>
      <c r="L2" s="16" t="s">
        <v>142</v>
      </c>
      <c r="M2" s="16" t="s">
        <v>30</v>
      </c>
      <c r="N2" s="16" t="s">
        <v>24</v>
      </c>
      <c r="O2" s="4" t="s">
        <v>185</v>
      </c>
      <c r="P2" s="4" t="s">
        <v>186</v>
      </c>
      <c r="Q2" s="4" t="s">
        <v>187</v>
      </c>
      <c r="R2" s="4" t="s">
        <v>188</v>
      </c>
    </row>
    <row r="3" spans="1:18" x14ac:dyDescent="0.2">
      <c r="A3" s="16" t="s">
        <v>151</v>
      </c>
      <c r="B3" s="4">
        <v>6.6666666666666666E-2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x14ac:dyDescent="0.2">
      <c r="A4" s="16" t="s">
        <v>152</v>
      </c>
      <c r="B4" s="4">
        <v>6.6666666666666666E-2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18" x14ac:dyDescent="0.2">
      <c r="A5" s="16" t="s">
        <v>58</v>
      </c>
      <c r="B5" s="4">
        <v>6.6666666666666666E-2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x14ac:dyDescent="0.2">
      <c r="A6" s="16" t="s">
        <v>57</v>
      </c>
      <c r="B6" s="4">
        <v>6.6666666666666666E-2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spans="1:18" x14ac:dyDescent="0.2">
      <c r="A7" s="16" t="s">
        <v>76</v>
      </c>
      <c r="B7" s="4">
        <v>6.6666666666666666E-2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18" x14ac:dyDescent="0.2">
      <c r="A8" s="16" t="s">
        <v>77</v>
      </c>
      <c r="B8" s="4">
        <v>6.6666666666666666E-2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spans="1:18" x14ac:dyDescent="0.2">
      <c r="A9" s="16" t="s">
        <v>68</v>
      </c>
      <c r="B9" s="4">
        <v>6.6666666666666666E-2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spans="1:18" x14ac:dyDescent="0.2">
      <c r="A10" s="16" t="s">
        <v>69</v>
      </c>
      <c r="B10" s="4">
        <v>6.6666666666666666E-2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</row>
    <row r="11" spans="1:18" x14ac:dyDescent="0.2">
      <c r="A11" s="16" t="s">
        <v>112</v>
      </c>
      <c r="B11" s="4">
        <v>6.6666666666666666E-2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spans="1:18" x14ac:dyDescent="0.2">
      <c r="A12" s="16" t="s">
        <v>113</v>
      </c>
      <c r="B12" s="4">
        <v>6.6666666666666666E-2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spans="1:18" x14ac:dyDescent="0.2">
      <c r="A13" s="16" t="s">
        <v>110</v>
      </c>
      <c r="B13" s="4">
        <v>6.6666666666666666E-2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spans="1:18" x14ac:dyDescent="0.2">
      <c r="A14" s="16" t="s">
        <v>111</v>
      </c>
      <c r="B14" s="4">
        <v>6.6666666666666666E-2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18" x14ac:dyDescent="0.2">
      <c r="A15" s="16" t="s">
        <v>72</v>
      </c>
      <c r="B15" s="4">
        <v>6.6666666666666666E-2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x14ac:dyDescent="0.2">
      <c r="A16" s="16" t="s">
        <v>73</v>
      </c>
      <c r="B16" s="4">
        <v>6.6666666666666666E-2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18" x14ac:dyDescent="0.2">
      <c r="A17" s="16" t="s">
        <v>59</v>
      </c>
      <c r="B17" s="4">
        <v>6.6666666666666666E-2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spans="1:18" x14ac:dyDescent="0.2">
      <c r="A18" s="16" t="s">
        <v>60</v>
      </c>
      <c r="B18" s="4">
        <v>6.6666666666666666E-2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</row>
    <row r="19" spans="1:18" x14ac:dyDescent="0.2">
      <c r="A19" s="16" t="s">
        <v>71</v>
      </c>
      <c r="B19" s="16"/>
      <c r="C19" s="4">
        <v>6.6666666666666666E-2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spans="1:18" x14ac:dyDescent="0.2">
      <c r="A20" s="16" t="s">
        <v>153</v>
      </c>
      <c r="B20" s="16"/>
      <c r="C20" s="4">
        <v>6.6666666666666666E-2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1:18" x14ac:dyDescent="0.2">
      <c r="A21" s="16" t="s">
        <v>154</v>
      </c>
      <c r="B21" s="16"/>
      <c r="C21" s="4">
        <v>6.6666666666666666E-2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18" x14ac:dyDescent="0.2">
      <c r="A22" s="16" t="s">
        <v>155</v>
      </c>
      <c r="B22" s="16"/>
      <c r="C22" s="4">
        <v>6.6666666666666666E-2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18" x14ac:dyDescent="0.2">
      <c r="A23" s="16" t="s">
        <v>156</v>
      </c>
      <c r="B23" s="16"/>
      <c r="C23" s="4">
        <v>6.6666666666666666E-2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spans="1:18" x14ac:dyDescent="0.2">
      <c r="A24" s="16" t="s">
        <v>13</v>
      </c>
      <c r="B24" s="16"/>
      <c r="C24" s="4">
        <v>6.6666666666666666E-2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 spans="1:18" x14ac:dyDescent="0.2">
      <c r="A25" s="16" t="s">
        <v>78</v>
      </c>
      <c r="B25" s="16"/>
      <c r="C25" s="4">
        <v>6.6666666666666666E-2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spans="1:18" x14ac:dyDescent="0.2">
      <c r="A26" s="16" t="s">
        <v>81</v>
      </c>
      <c r="B26" s="16"/>
      <c r="C26" s="16"/>
      <c r="D26" s="4">
        <v>6.6666666666666666E-2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 spans="1:18" x14ac:dyDescent="0.2">
      <c r="A27" s="16" t="s">
        <v>82</v>
      </c>
      <c r="B27" s="16"/>
      <c r="C27" s="16"/>
      <c r="D27" s="4">
        <v>6.6666666666666666E-2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spans="1:18" x14ac:dyDescent="0.2">
      <c r="A28" s="16" t="s">
        <v>84</v>
      </c>
      <c r="B28" s="16"/>
      <c r="C28" s="16"/>
      <c r="D28" s="4">
        <v>6.6666666666666666E-2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</row>
    <row r="29" spans="1:18" x14ac:dyDescent="0.2">
      <c r="A29" s="16" t="s">
        <v>83</v>
      </c>
      <c r="B29" s="16"/>
      <c r="C29" s="16"/>
      <c r="D29" s="4">
        <v>6.6666666666666666E-2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spans="1:18" x14ac:dyDescent="0.2">
      <c r="A30" s="16" t="s">
        <v>85</v>
      </c>
      <c r="B30" s="16"/>
      <c r="C30" s="16"/>
      <c r="D30" s="4">
        <v>6.6666666666666666E-2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 spans="1:18" x14ac:dyDescent="0.2">
      <c r="A31" s="16" t="s">
        <v>86</v>
      </c>
      <c r="B31" s="16"/>
      <c r="C31" s="16"/>
      <c r="D31" s="4">
        <v>6.6666666666666666E-2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spans="1:18" x14ac:dyDescent="0.2">
      <c r="A32" s="16" t="s">
        <v>87</v>
      </c>
      <c r="B32" s="16"/>
      <c r="C32" s="16"/>
      <c r="D32" s="4">
        <v>6.6666666666666666E-2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</row>
    <row r="33" spans="1:18" x14ac:dyDescent="0.2">
      <c r="A33" s="16" t="s">
        <v>88</v>
      </c>
      <c r="B33" s="16"/>
      <c r="C33" s="16"/>
      <c r="D33" s="4">
        <v>6.6666666666666666E-2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spans="1:18" x14ac:dyDescent="0.2">
      <c r="A34" s="16" t="s">
        <v>89</v>
      </c>
      <c r="B34" s="16"/>
      <c r="C34" s="16"/>
      <c r="D34" s="4">
        <v>6.6666666666666666E-2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</row>
    <row r="35" spans="1:18" x14ac:dyDescent="0.2">
      <c r="A35" s="16" t="s">
        <v>157</v>
      </c>
      <c r="B35" s="16"/>
      <c r="C35" s="16"/>
      <c r="D35" s="16"/>
      <c r="E35" s="4">
        <v>6.6666666666666666E-2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</row>
    <row r="36" spans="1:18" x14ac:dyDescent="0.2">
      <c r="A36" s="16" t="s">
        <v>158</v>
      </c>
      <c r="B36" s="16"/>
      <c r="C36" s="16"/>
      <c r="D36" s="16"/>
      <c r="E36" s="4">
        <v>6.6666666666666666E-2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</row>
    <row r="37" spans="1:18" x14ac:dyDescent="0.2">
      <c r="A37" s="16" t="s">
        <v>84</v>
      </c>
      <c r="B37" s="16"/>
      <c r="C37" s="16"/>
      <c r="D37" s="16"/>
      <c r="E37" s="4">
        <v>6.6666666666666666E-2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 spans="1:18" x14ac:dyDescent="0.2">
      <c r="A38" s="16" t="s">
        <v>83</v>
      </c>
      <c r="B38" s="16"/>
      <c r="C38" s="16"/>
      <c r="D38" s="16"/>
      <c r="E38" s="4">
        <v>6.6666666666666666E-2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</row>
    <row r="39" spans="1:18" x14ac:dyDescent="0.2">
      <c r="A39" s="16" t="s">
        <v>159</v>
      </c>
      <c r="B39" s="16"/>
      <c r="C39" s="16"/>
      <c r="D39" s="16"/>
      <c r="E39" s="4">
        <v>6.6666666666666666E-2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</row>
    <row r="40" spans="1:18" x14ac:dyDescent="0.2">
      <c r="A40" s="16" t="s">
        <v>160</v>
      </c>
      <c r="B40" s="16"/>
      <c r="C40" s="16"/>
      <c r="D40" s="16"/>
      <c r="E40" s="4">
        <v>6.6666666666666666E-2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</row>
    <row r="41" spans="1:18" x14ac:dyDescent="0.2">
      <c r="A41" s="16" t="s">
        <v>85</v>
      </c>
      <c r="B41" s="16"/>
      <c r="C41" s="16"/>
      <c r="D41" s="16"/>
      <c r="E41" s="4">
        <v>6.6666666666666666E-2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</row>
    <row r="42" spans="1:18" x14ac:dyDescent="0.2">
      <c r="A42" s="16" t="s">
        <v>86</v>
      </c>
      <c r="B42" s="16"/>
      <c r="C42" s="16"/>
      <c r="D42" s="16"/>
      <c r="E42" s="4">
        <v>6.6666666666666666E-2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 spans="1:18" x14ac:dyDescent="0.2">
      <c r="A43" s="16" t="s">
        <v>161</v>
      </c>
      <c r="B43" s="16"/>
      <c r="C43" s="16"/>
      <c r="D43" s="16"/>
      <c r="E43" s="4">
        <v>6.6666666666666666E-2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 spans="1:18" x14ac:dyDescent="0.2">
      <c r="A44" s="16" t="s">
        <v>88</v>
      </c>
      <c r="B44" s="16"/>
      <c r="C44" s="16"/>
      <c r="D44" s="16"/>
      <c r="E44" s="4">
        <v>6.6666666666666666E-2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</row>
    <row r="45" spans="1:18" x14ac:dyDescent="0.2">
      <c r="A45" s="16" t="s">
        <v>162</v>
      </c>
      <c r="B45" s="16"/>
      <c r="C45" s="16"/>
      <c r="D45" s="16"/>
      <c r="E45" s="4">
        <v>6.6666666666666666E-2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 spans="1:18" x14ac:dyDescent="0.2">
      <c r="A46" s="16" t="s">
        <v>163</v>
      </c>
      <c r="B46" s="16"/>
      <c r="C46" s="16"/>
      <c r="D46" s="16"/>
      <c r="E46" s="4">
        <v>6.6666666666666666E-2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</row>
    <row r="47" spans="1:18" x14ac:dyDescent="0.2">
      <c r="A47" s="16" t="s">
        <v>165</v>
      </c>
      <c r="B47" s="16"/>
      <c r="C47" s="16"/>
      <c r="D47" s="16"/>
      <c r="E47" s="16"/>
      <c r="F47" s="4">
        <v>1.2866666666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</row>
    <row r="48" spans="1:18" x14ac:dyDescent="0.2">
      <c r="A48" s="16" t="s">
        <v>166</v>
      </c>
      <c r="B48" s="16"/>
      <c r="C48" s="16"/>
      <c r="D48" s="16"/>
      <c r="E48" s="16"/>
      <c r="F48" s="4">
        <v>1.2866666666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</row>
    <row r="49" spans="1:18" x14ac:dyDescent="0.2">
      <c r="A49" s="16" t="s">
        <v>167</v>
      </c>
      <c r="B49" s="16"/>
      <c r="C49" s="16"/>
      <c r="D49" s="16"/>
      <c r="E49" s="16"/>
      <c r="F49" s="4">
        <v>1.2866666666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spans="1:18" x14ac:dyDescent="0.2">
      <c r="A50" s="16" t="s">
        <v>168</v>
      </c>
      <c r="B50" s="16"/>
      <c r="C50" s="16"/>
      <c r="D50" s="16"/>
      <c r="E50" s="16"/>
      <c r="F50" s="4">
        <v>1.2866666666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</row>
    <row r="51" spans="1:18" x14ac:dyDescent="0.2">
      <c r="A51" s="16" t="s">
        <v>169</v>
      </c>
      <c r="B51" s="16"/>
      <c r="C51" s="16"/>
      <c r="D51" s="16"/>
      <c r="E51" s="16"/>
      <c r="F51" s="4">
        <v>1.2866666666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</row>
    <row r="52" spans="1:18" x14ac:dyDescent="0.2">
      <c r="A52" s="16" t="s">
        <v>170</v>
      </c>
      <c r="B52" s="16"/>
      <c r="C52" s="16"/>
      <c r="D52" s="16"/>
      <c r="E52" s="16"/>
      <c r="F52" s="4">
        <v>1.2866666666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</row>
    <row r="53" spans="1:18" x14ac:dyDescent="0.2">
      <c r="A53" s="16" t="s">
        <v>171</v>
      </c>
      <c r="B53" s="16"/>
      <c r="C53" s="16"/>
      <c r="D53" s="16"/>
      <c r="E53" s="16"/>
      <c r="F53" s="4">
        <v>1.2866666666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</row>
    <row r="54" spans="1:18" x14ac:dyDescent="0.2">
      <c r="A54" s="16" t="s">
        <v>172</v>
      </c>
      <c r="B54" s="16"/>
      <c r="C54" s="16"/>
      <c r="D54" s="16"/>
      <c r="E54" s="16"/>
      <c r="F54" s="4">
        <v>1.2866666666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spans="1:18" x14ac:dyDescent="0.2">
      <c r="A55" s="16" t="s">
        <v>173</v>
      </c>
      <c r="B55" s="16"/>
      <c r="C55" s="16"/>
      <c r="D55" s="16"/>
      <c r="E55" s="16"/>
      <c r="F55" s="4">
        <v>1.2866666666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 spans="1:18" x14ac:dyDescent="0.2">
      <c r="A56" s="16" t="s">
        <v>174</v>
      </c>
      <c r="B56" s="16"/>
      <c r="C56" s="16"/>
      <c r="D56" s="16"/>
      <c r="E56" s="16"/>
      <c r="F56" s="4">
        <v>1.2866666666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spans="1:18" x14ac:dyDescent="0.2">
      <c r="A57" s="16" t="s">
        <v>175</v>
      </c>
      <c r="B57" s="16"/>
      <c r="C57" s="16"/>
      <c r="D57" s="16"/>
      <c r="E57" s="16"/>
      <c r="F57" s="4">
        <v>1.2866666666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 spans="1:18" x14ac:dyDescent="0.2">
      <c r="A58" s="16" t="s">
        <v>122</v>
      </c>
      <c r="B58" s="16"/>
      <c r="C58" s="16"/>
      <c r="D58" s="16"/>
      <c r="E58" s="16"/>
      <c r="F58" s="4">
        <v>1.2866666666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 spans="1:18" x14ac:dyDescent="0.2">
      <c r="A59" s="16" t="s">
        <v>63</v>
      </c>
      <c r="B59" s="16"/>
      <c r="C59" s="16"/>
      <c r="D59" s="16"/>
      <c r="E59" s="16"/>
      <c r="F59" s="16"/>
      <c r="G59" s="4">
        <v>6.6666666666666666E-2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 spans="1:18" x14ac:dyDescent="0.2">
      <c r="A60" s="16" t="s">
        <v>64</v>
      </c>
      <c r="B60" s="16"/>
      <c r="C60" s="16"/>
      <c r="D60" s="16"/>
      <c r="E60" s="16"/>
      <c r="F60" s="16"/>
      <c r="G60" s="4">
        <v>6.6666666666666666E-2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spans="1:18" x14ac:dyDescent="0.2">
      <c r="A61" s="16" t="s">
        <v>65</v>
      </c>
      <c r="B61" s="16"/>
      <c r="C61" s="16"/>
      <c r="D61" s="16"/>
      <c r="E61" s="16"/>
      <c r="F61" s="16"/>
      <c r="G61" s="4">
        <v>6.6666666666666666E-2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 spans="1:18" x14ac:dyDescent="0.2">
      <c r="A62" s="16" t="s">
        <v>108</v>
      </c>
      <c r="B62" s="16"/>
      <c r="C62" s="16"/>
      <c r="D62" s="16"/>
      <c r="E62" s="16"/>
      <c r="F62" s="16"/>
      <c r="G62" s="16"/>
      <c r="H62" s="4">
        <v>6.6666666666666666E-2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 spans="1:18" x14ac:dyDescent="0.2">
      <c r="A63" s="16" t="s">
        <v>90</v>
      </c>
      <c r="B63" s="16"/>
      <c r="C63" s="16"/>
      <c r="D63" s="16"/>
      <c r="E63" s="16"/>
      <c r="F63" s="16"/>
      <c r="G63" s="16"/>
      <c r="H63" s="4">
        <v>6.6666666666666666E-2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 spans="1:18" x14ac:dyDescent="0.2">
      <c r="A64" s="16" t="s">
        <v>91</v>
      </c>
      <c r="B64" s="16"/>
      <c r="C64" s="16"/>
      <c r="D64" s="16"/>
      <c r="E64" s="16"/>
      <c r="F64" s="16"/>
      <c r="G64" s="16"/>
      <c r="H64" s="4">
        <v>6.6666666666666666E-2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 spans="1:18" x14ac:dyDescent="0.2">
      <c r="A65" s="16" t="s">
        <v>92</v>
      </c>
      <c r="B65" s="16"/>
      <c r="C65" s="16"/>
      <c r="D65" s="16"/>
      <c r="E65" s="16"/>
      <c r="F65" s="16"/>
      <c r="G65" s="16"/>
      <c r="H65" s="4">
        <v>6.6666666666666666E-2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 spans="1:18" x14ac:dyDescent="0.2">
      <c r="A66" s="16" t="s">
        <v>94</v>
      </c>
      <c r="B66" s="16"/>
      <c r="C66" s="16"/>
      <c r="D66" s="16"/>
      <c r="E66" s="16"/>
      <c r="F66" s="16"/>
      <c r="G66" s="16"/>
      <c r="H66" s="16"/>
      <c r="I66" s="4">
        <v>6.6666666666666666E-2</v>
      </c>
      <c r="J66" s="16"/>
      <c r="K66" s="16"/>
      <c r="L66" s="16"/>
      <c r="M66" s="16"/>
      <c r="N66" s="16"/>
      <c r="O66" s="16"/>
      <c r="P66" s="16"/>
      <c r="Q66" s="16"/>
      <c r="R66" s="16"/>
    </row>
    <row r="67" spans="1:18" x14ac:dyDescent="0.2">
      <c r="A67" s="16" t="s">
        <v>95</v>
      </c>
      <c r="B67" s="16"/>
      <c r="C67" s="16"/>
      <c r="D67" s="16"/>
      <c r="E67" s="16"/>
      <c r="F67" s="16"/>
      <c r="G67" s="16"/>
      <c r="H67" s="16"/>
      <c r="I67" s="4">
        <v>6.6666666666666666E-2</v>
      </c>
      <c r="J67" s="16"/>
      <c r="K67" s="16"/>
      <c r="L67" s="16"/>
      <c r="M67" s="16"/>
      <c r="N67" s="16"/>
      <c r="O67" s="16"/>
      <c r="P67" s="16"/>
      <c r="Q67" s="16"/>
      <c r="R67" s="16"/>
    </row>
    <row r="68" spans="1:18" x14ac:dyDescent="0.2">
      <c r="A68" s="16" t="s">
        <v>97</v>
      </c>
      <c r="B68" s="16"/>
      <c r="C68" s="16"/>
      <c r="D68" s="16"/>
      <c r="E68" s="16"/>
      <c r="F68" s="16"/>
      <c r="G68" s="16"/>
      <c r="H68" s="16"/>
      <c r="I68" s="4">
        <v>6.6666666666666666E-2</v>
      </c>
      <c r="J68" s="16"/>
      <c r="K68" s="16"/>
      <c r="L68" s="16"/>
      <c r="M68" s="16"/>
      <c r="N68" s="16"/>
      <c r="O68" s="16"/>
      <c r="P68" s="16"/>
      <c r="Q68" s="16"/>
      <c r="R68" s="16"/>
    </row>
    <row r="69" spans="1:18" x14ac:dyDescent="0.2">
      <c r="A69" s="16" t="s">
        <v>96</v>
      </c>
      <c r="B69" s="16"/>
      <c r="C69" s="16"/>
      <c r="D69" s="16"/>
      <c r="E69" s="16"/>
      <c r="F69" s="16"/>
      <c r="G69" s="16"/>
      <c r="H69" s="16"/>
      <c r="I69" s="4">
        <v>6.6666666666666666E-2</v>
      </c>
      <c r="J69" s="16"/>
      <c r="K69" s="16"/>
      <c r="L69" s="16"/>
      <c r="M69" s="16"/>
      <c r="N69" s="16"/>
      <c r="O69" s="16"/>
      <c r="P69" s="16"/>
      <c r="Q69" s="16"/>
      <c r="R69" s="16"/>
    </row>
    <row r="70" spans="1:18" x14ac:dyDescent="0.2">
      <c r="A70" s="16" t="s">
        <v>98</v>
      </c>
      <c r="B70" s="16"/>
      <c r="C70" s="16"/>
      <c r="D70" s="16"/>
      <c r="E70" s="16"/>
      <c r="F70" s="16"/>
      <c r="G70" s="16"/>
      <c r="H70" s="16"/>
      <c r="I70" s="4">
        <v>6.6666666666666666E-2</v>
      </c>
      <c r="J70" s="16"/>
      <c r="K70" s="16"/>
      <c r="L70" s="16"/>
      <c r="M70" s="16"/>
      <c r="N70" s="16"/>
      <c r="O70" s="16"/>
      <c r="P70" s="16"/>
      <c r="Q70" s="16"/>
      <c r="R70" s="16"/>
    </row>
    <row r="71" spans="1:18" x14ac:dyDescent="0.2">
      <c r="A71" s="16" t="s">
        <v>99</v>
      </c>
      <c r="B71" s="16"/>
      <c r="C71" s="16"/>
      <c r="D71" s="16"/>
      <c r="E71" s="16"/>
      <c r="F71" s="16"/>
      <c r="G71" s="16"/>
      <c r="H71" s="16"/>
      <c r="I71" s="4">
        <v>6.6666666666666666E-2</v>
      </c>
      <c r="J71" s="16"/>
      <c r="K71" s="16"/>
      <c r="L71" s="16"/>
      <c r="M71" s="16"/>
      <c r="N71" s="16"/>
      <c r="O71" s="16"/>
      <c r="P71" s="16"/>
      <c r="Q71" s="16"/>
      <c r="R71" s="16"/>
    </row>
    <row r="72" spans="1:18" x14ac:dyDescent="0.2">
      <c r="A72" s="16" t="s">
        <v>103</v>
      </c>
      <c r="B72" s="16"/>
      <c r="C72" s="16"/>
      <c r="D72" s="16"/>
      <c r="E72" s="16"/>
      <c r="F72" s="16"/>
      <c r="G72" s="16"/>
      <c r="H72" s="16"/>
      <c r="I72" s="16"/>
      <c r="J72" s="4">
        <v>6.6666666666666666E-2</v>
      </c>
      <c r="K72" s="16"/>
      <c r="L72" s="16"/>
      <c r="M72" s="16"/>
      <c r="N72" s="16"/>
      <c r="O72" s="16"/>
      <c r="P72" s="16"/>
      <c r="Q72" s="16"/>
      <c r="R72" s="16"/>
    </row>
    <row r="73" spans="1:18" x14ac:dyDescent="0.2">
      <c r="A73" s="16" t="s">
        <v>104</v>
      </c>
      <c r="B73" s="16"/>
      <c r="C73" s="16"/>
      <c r="D73" s="16"/>
      <c r="E73" s="16"/>
      <c r="F73" s="16"/>
      <c r="G73" s="16"/>
      <c r="H73" s="16"/>
      <c r="I73" s="16"/>
      <c r="J73" s="4">
        <v>6.6666666666666666E-2</v>
      </c>
      <c r="K73" s="16"/>
      <c r="L73" s="16"/>
      <c r="M73" s="16"/>
      <c r="N73" s="16"/>
      <c r="O73" s="16"/>
      <c r="P73" s="16"/>
      <c r="Q73" s="16"/>
      <c r="R73" s="16"/>
    </row>
    <row r="74" spans="1:18" x14ac:dyDescent="0.2">
      <c r="A74" s="16" t="s">
        <v>105</v>
      </c>
      <c r="B74" s="16"/>
      <c r="C74" s="16"/>
      <c r="D74" s="16"/>
      <c r="E74" s="16"/>
      <c r="F74" s="16"/>
      <c r="G74" s="16"/>
      <c r="H74" s="16"/>
      <c r="I74" s="16"/>
      <c r="J74" s="4">
        <v>6.6666666666666666E-2</v>
      </c>
      <c r="K74" s="16"/>
      <c r="L74" s="16"/>
      <c r="M74" s="16"/>
      <c r="N74" s="16"/>
      <c r="O74" s="16"/>
      <c r="P74" s="16"/>
      <c r="Q74" s="16"/>
      <c r="R74" s="16"/>
    </row>
    <row r="75" spans="1:18" x14ac:dyDescent="0.2">
      <c r="A75" s="16" t="s">
        <v>25</v>
      </c>
      <c r="B75" s="16"/>
      <c r="C75" s="16"/>
      <c r="D75" s="16"/>
      <c r="E75" s="16"/>
      <c r="F75" s="16"/>
      <c r="G75" s="16"/>
      <c r="H75" s="16"/>
      <c r="I75" s="16"/>
      <c r="J75" s="16"/>
      <c r="K75" s="4">
        <v>6.6666666666666666E-2</v>
      </c>
      <c r="L75" s="16"/>
      <c r="M75" s="16"/>
      <c r="N75" s="16"/>
      <c r="O75" s="16"/>
      <c r="P75" s="16"/>
      <c r="Q75" s="16"/>
      <c r="R75" s="16"/>
    </row>
    <row r="76" spans="1:18" x14ac:dyDescent="0.2">
      <c r="A76" s="16" t="s">
        <v>26</v>
      </c>
      <c r="B76" s="16"/>
      <c r="C76" s="16"/>
      <c r="D76" s="16"/>
      <c r="E76" s="16"/>
      <c r="F76" s="16"/>
      <c r="G76" s="16"/>
      <c r="H76" s="16"/>
      <c r="I76" s="16"/>
      <c r="J76" s="16"/>
      <c r="K76" s="4">
        <v>6.6666666666666666E-2</v>
      </c>
      <c r="L76" s="16"/>
      <c r="M76" s="16"/>
      <c r="N76" s="16"/>
      <c r="O76" s="16"/>
      <c r="P76" s="16"/>
      <c r="Q76" s="16"/>
      <c r="R76" s="16"/>
    </row>
    <row r="77" spans="1:18" x14ac:dyDescent="0.2">
      <c r="A77" s="16" t="s">
        <v>27</v>
      </c>
      <c r="B77" s="16"/>
      <c r="C77" s="16"/>
      <c r="D77" s="16"/>
      <c r="E77" s="16"/>
      <c r="F77" s="16"/>
      <c r="G77" s="16"/>
      <c r="H77" s="16"/>
      <c r="I77" s="16"/>
      <c r="J77" s="16"/>
      <c r="K77" s="4">
        <v>6.6666666666666666E-2</v>
      </c>
      <c r="L77" s="16"/>
      <c r="M77" s="16"/>
      <c r="N77" s="16"/>
      <c r="O77" s="16"/>
      <c r="P77" s="16"/>
      <c r="Q77" s="16"/>
      <c r="R77" s="16"/>
    </row>
    <row r="78" spans="1:18" x14ac:dyDescent="0.2">
      <c r="A78" s="16" t="s">
        <v>28</v>
      </c>
      <c r="B78" s="16"/>
      <c r="C78" s="16"/>
      <c r="D78" s="16"/>
      <c r="E78" s="16"/>
      <c r="F78" s="16"/>
      <c r="G78" s="16"/>
      <c r="H78" s="16"/>
      <c r="I78" s="16"/>
      <c r="J78" s="16"/>
      <c r="K78" s="4">
        <v>6.6666666666666666E-2</v>
      </c>
      <c r="L78" s="16"/>
      <c r="M78" s="16"/>
      <c r="N78" s="16"/>
      <c r="O78" s="16"/>
      <c r="P78" s="16"/>
      <c r="Q78" s="16"/>
      <c r="R78" s="16"/>
    </row>
    <row r="79" spans="1:18" x14ac:dyDescent="0.2">
      <c r="A79" s="16" t="s">
        <v>144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4">
        <v>6.6666666666666666E-2</v>
      </c>
      <c r="M79" s="16"/>
      <c r="N79" s="16"/>
      <c r="O79" s="16"/>
      <c r="P79" s="16"/>
      <c r="Q79" s="16"/>
      <c r="R79" s="16"/>
    </row>
    <row r="80" spans="1:18" x14ac:dyDescent="0.2">
      <c r="A80" s="16" t="s">
        <v>143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4">
        <v>6.6666666666666666E-2</v>
      </c>
      <c r="M80" s="16"/>
      <c r="N80" s="16"/>
      <c r="O80" s="16"/>
      <c r="P80" s="16"/>
      <c r="Q80" s="16"/>
      <c r="R80" s="16"/>
    </row>
    <row r="81" spans="1:18" x14ac:dyDescent="0.2">
      <c r="A81" s="16" t="s">
        <v>146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4">
        <v>6.6666666666666666E-2</v>
      </c>
      <c r="M81" s="16"/>
      <c r="N81" s="16"/>
      <c r="O81" s="16"/>
      <c r="P81" s="16"/>
      <c r="Q81" s="16"/>
      <c r="R81" s="16"/>
    </row>
    <row r="82" spans="1:18" x14ac:dyDescent="0.2">
      <c r="A82" s="16" t="s">
        <v>145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4">
        <v>6.6666666666666666E-2</v>
      </c>
      <c r="M82" s="16"/>
      <c r="N82" s="16"/>
      <c r="O82" s="16"/>
      <c r="P82" s="16"/>
      <c r="Q82" s="16"/>
      <c r="R82" s="16"/>
    </row>
    <row r="83" spans="1:18" x14ac:dyDescent="0.2">
      <c r="A83" s="16" t="s">
        <v>147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4">
        <v>6.6666666666666666E-2</v>
      </c>
      <c r="M83" s="16"/>
      <c r="N83" s="16"/>
      <c r="O83" s="16"/>
      <c r="P83" s="16"/>
      <c r="Q83" s="16"/>
      <c r="R83" s="16"/>
    </row>
    <row r="84" spans="1:18" x14ac:dyDescent="0.2">
      <c r="A84" s="16" t="s">
        <v>147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4">
        <v>6.6666666666666666E-2</v>
      </c>
      <c r="M84" s="16"/>
      <c r="N84" s="16"/>
      <c r="O84" s="16"/>
      <c r="P84" s="16"/>
      <c r="Q84" s="16"/>
      <c r="R84" s="16"/>
    </row>
    <row r="85" spans="1:18" x14ac:dyDescent="0.2">
      <c r="A85" s="16" t="s">
        <v>2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4">
        <v>6.6666666666666666E-2</v>
      </c>
      <c r="N85" s="16"/>
      <c r="O85" s="16"/>
      <c r="P85" s="16"/>
      <c r="Q85" s="16"/>
      <c r="R85" s="16"/>
    </row>
    <row r="86" spans="1:18" x14ac:dyDescent="0.2">
      <c r="A86" s="16" t="s">
        <v>0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4">
        <v>6.6666666666666666E-2</v>
      </c>
      <c r="N86" s="16"/>
      <c r="O86" s="16"/>
      <c r="P86" s="16"/>
      <c r="Q86" s="16"/>
      <c r="R86" s="16"/>
    </row>
    <row r="87" spans="1:18" x14ac:dyDescent="0.2">
      <c r="A87" s="16" t="s">
        <v>3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4">
        <v>6.6666666666666666E-2</v>
      </c>
      <c r="N87" s="16"/>
      <c r="O87" s="16"/>
      <c r="P87" s="16"/>
      <c r="Q87" s="16"/>
      <c r="R87" s="16"/>
    </row>
    <row r="88" spans="1:18" x14ac:dyDescent="0.2">
      <c r="A88" s="16" t="s">
        <v>4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4">
        <v>6.6666666666666666E-2</v>
      </c>
      <c r="N88" s="16"/>
      <c r="O88" s="16"/>
      <c r="P88" s="16"/>
      <c r="Q88" s="16"/>
      <c r="R88" s="16"/>
    </row>
    <row r="89" spans="1:18" x14ac:dyDescent="0.2">
      <c r="A89" s="16" t="s">
        <v>5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4">
        <v>6.6666666666666666E-2</v>
      </c>
      <c r="N89" s="16"/>
      <c r="O89" s="16"/>
      <c r="P89" s="16"/>
      <c r="Q89" s="16"/>
      <c r="R89" s="16"/>
    </row>
    <row r="90" spans="1:18" x14ac:dyDescent="0.2">
      <c r="A90" s="16" t="s">
        <v>1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4">
        <v>6.6666666666666666E-2</v>
      </c>
      <c r="N90" s="16"/>
      <c r="O90" s="16"/>
      <c r="P90" s="16"/>
      <c r="Q90" s="16"/>
      <c r="R90" s="16"/>
    </row>
    <row r="91" spans="1:18" x14ac:dyDescent="0.2">
      <c r="A91" s="16" t="s">
        <v>2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4">
        <v>6.6666666666666666E-2</v>
      </c>
      <c r="O91" s="16"/>
      <c r="P91" s="16"/>
      <c r="Q91" s="16"/>
      <c r="R91" s="16"/>
    </row>
    <row r="92" spans="1:18" x14ac:dyDescent="0.2">
      <c r="A92" s="16" t="s">
        <v>0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4">
        <v>6.6666666666666666E-2</v>
      </c>
      <c r="O92" s="16"/>
      <c r="P92" s="16"/>
      <c r="Q92" s="16"/>
      <c r="R92" s="16"/>
    </row>
    <row r="93" spans="1:18" x14ac:dyDescent="0.2">
      <c r="A93" s="16" t="s">
        <v>3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4">
        <v>6.6666666666666666E-2</v>
      </c>
      <c r="O93" s="16"/>
      <c r="P93" s="16"/>
      <c r="Q93" s="16"/>
      <c r="R93" s="16"/>
    </row>
    <row r="94" spans="1:18" x14ac:dyDescent="0.2">
      <c r="A94" s="16" t="s">
        <v>4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4">
        <v>6.6666666666666666E-2</v>
      </c>
      <c r="O94" s="16"/>
      <c r="P94" s="16"/>
      <c r="Q94" s="16"/>
      <c r="R94" s="16"/>
    </row>
    <row r="95" spans="1:18" x14ac:dyDescent="0.2">
      <c r="A95" s="16" t="s">
        <v>5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4">
        <v>6.6666666666666666E-2</v>
      </c>
      <c r="O95" s="16"/>
      <c r="P95" s="16"/>
      <c r="Q95" s="16"/>
      <c r="R95" s="16"/>
    </row>
    <row r="96" spans="1:18" x14ac:dyDescent="0.2">
      <c r="A96" s="16" t="s">
        <v>1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4">
        <v>6.6666666666666666E-2</v>
      </c>
      <c r="O96" s="16"/>
      <c r="P96" s="16"/>
      <c r="Q96" s="16"/>
      <c r="R96" s="16"/>
    </row>
    <row r="97" spans="1:18" x14ac:dyDescent="0.2">
      <c r="A97" s="16" t="s">
        <v>6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4">
        <v>6.6666666666666666E-2</v>
      </c>
      <c r="O97" s="16"/>
      <c r="P97" s="16"/>
      <c r="Q97" s="16"/>
      <c r="R97" s="16"/>
    </row>
    <row r="98" spans="1:18" x14ac:dyDescent="0.2">
      <c r="A98" s="16" t="s">
        <v>7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4">
        <v>6.6666666666666666E-2</v>
      </c>
      <c r="O98" s="16"/>
      <c r="P98" s="16"/>
      <c r="Q98" s="16"/>
      <c r="R98" s="16"/>
    </row>
    <row r="99" spans="1:18" x14ac:dyDescent="0.2">
      <c r="A99" s="16" t="s">
        <v>8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4">
        <v>6.6666666666666666E-2</v>
      </c>
      <c r="O99" s="16"/>
      <c r="P99" s="16"/>
      <c r="Q99" s="16"/>
      <c r="R99" s="16"/>
    </row>
    <row r="100" spans="1:18" x14ac:dyDescent="0.2">
      <c r="A100" s="16" t="s">
        <v>9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4">
        <v>6.6666666666666666E-2</v>
      </c>
      <c r="O100" s="16"/>
      <c r="P100" s="16"/>
      <c r="Q100" s="16"/>
      <c r="R100" s="16"/>
    </row>
    <row r="101" spans="1:18" x14ac:dyDescent="0.2">
      <c r="A101" s="16" t="s">
        <v>10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4">
        <v>6.6666666666666666E-2</v>
      </c>
      <c r="O101" s="16"/>
      <c r="P101" s="16"/>
      <c r="Q101" s="16"/>
      <c r="R101" s="16"/>
    </row>
    <row r="102" spans="1:18" x14ac:dyDescent="0.2">
      <c r="A102" s="16" t="s">
        <v>11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4">
        <v>6.6666666666666666E-2</v>
      </c>
      <c r="O102" s="16"/>
      <c r="P102" s="16"/>
      <c r="Q102" s="16"/>
      <c r="R102" s="16"/>
    </row>
    <row r="103" spans="1:18" x14ac:dyDescent="0.2">
      <c r="A103" s="16" t="s">
        <v>22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4">
        <v>6.6666666666666666E-2</v>
      </c>
      <c r="P103" s="4">
        <v>6.6666666666666666E-2</v>
      </c>
      <c r="Q103" s="4">
        <v>6.6666666666666666E-2</v>
      </c>
      <c r="R103" s="4">
        <v>6.6666666666666666E-2</v>
      </c>
    </row>
    <row r="104" spans="1:18" x14ac:dyDescent="0.2">
      <c r="A104" s="16" t="s">
        <v>19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4">
        <v>6.6666666666666666E-2</v>
      </c>
      <c r="P104" s="4">
        <v>6.6666666666666666E-2</v>
      </c>
      <c r="Q104" s="4">
        <v>6.6666666666666666E-2</v>
      </c>
      <c r="R104" s="4">
        <v>6.6666666666666666E-2</v>
      </c>
    </row>
    <row r="105" spans="1:18" x14ac:dyDescent="0.2">
      <c r="A105" s="16" t="s">
        <v>20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4">
        <v>6.6666666666666666E-2</v>
      </c>
      <c r="P105" s="4">
        <v>6.6666666666666666E-2</v>
      </c>
      <c r="Q105" s="4">
        <v>6.6666666666666666E-2</v>
      </c>
      <c r="R105" s="4">
        <v>6.6666666666666666E-2</v>
      </c>
    </row>
    <row r="106" spans="1:18" x14ac:dyDescent="0.2">
      <c r="A106" s="16" t="s">
        <v>23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4">
        <v>6.6666666666666666E-2</v>
      </c>
      <c r="P106" s="4">
        <v>6.6666666666666666E-2</v>
      </c>
      <c r="Q106" s="4">
        <v>6.6666666666666666E-2</v>
      </c>
      <c r="R106" s="4">
        <v>6.6666666666666666E-2</v>
      </c>
    </row>
  </sheetData>
  <sheetProtection algorithmName="SHA-512" hashValue="SpLXJo9ZM7RIsG6t/VkA5dQw7eYNb0gDVW0Umg3haGMFLA3yPHjv1xNhK2emxUWjz/+gKAPMxn1eCKdEFgclHg==" saltValue="dB2a6u7FZ/CGZbitGodRc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92D050"/>
    <pageSetUpPr fitToPage="1"/>
  </sheetPr>
  <dimension ref="A1:AB49"/>
  <sheetViews>
    <sheetView showGridLines="0" tabSelected="1" zoomScale="85" zoomScaleNormal="85" workbookViewId="0">
      <selection activeCell="Q32" sqref="Q32"/>
    </sheetView>
  </sheetViews>
  <sheetFormatPr defaultColWidth="9" defaultRowHeight="18" x14ac:dyDescent="0.25"/>
  <cols>
    <col min="1" max="1" width="20.42578125" style="98" customWidth="1"/>
    <col min="2" max="2" width="9.85546875" style="71" hidden="1" customWidth="1"/>
    <col min="3" max="3" width="27.42578125" style="71" customWidth="1"/>
    <col min="4" max="4" width="7.140625" style="99" customWidth="1"/>
    <col min="5" max="5" width="4.28515625" style="100" customWidth="1"/>
    <col min="6" max="6" width="4.28515625" style="94" customWidth="1"/>
    <col min="7" max="7" width="20.5703125" style="102" customWidth="1"/>
    <col min="8" max="8" width="5.42578125" style="71" hidden="1" customWidth="1"/>
    <col min="9" max="9" width="27.42578125" style="71" customWidth="1"/>
    <col min="10" max="10" width="7.140625" style="99" customWidth="1"/>
    <col min="11" max="11" width="4.28515625" style="100" customWidth="1"/>
    <col min="12" max="12" width="4.28515625" style="94" customWidth="1"/>
    <col min="13" max="13" width="21.42578125" style="71" customWidth="1"/>
    <col min="14" max="14" width="21.42578125" style="71" hidden="1" customWidth="1"/>
    <col min="15" max="15" width="24.42578125" style="71" bestFit="1" customWidth="1"/>
    <col min="16" max="16" width="7.140625" style="99" customWidth="1"/>
    <col min="17" max="17" width="3.42578125" style="100" customWidth="1"/>
    <col min="18" max="18" width="2.5703125" style="100" customWidth="1"/>
    <col min="19" max="19" width="5" style="100" customWidth="1"/>
    <col min="20" max="27" width="10.85546875" style="71" customWidth="1"/>
    <col min="28" max="16384" width="9" style="71"/>
  </cols>
  <sheetData>
    <row r="1" spans="1:27" ht="27" x14ac:dyDescent="0.3">
      <c r="A1" s="30" t="s">
        <v>226</v>
      </c>
      <c r="B1" s="67"/>
      <c r="C1" s="68"/>
      <c r="D1" s="68"/>
      <c r="E1" s="69"/>
      <c r="F1" s="70"/>
      <c r="G1" s="71"/>
      <c r="H1" s="68"/>
      <c r="J1" s="71"/>
      <c r="K1" s="69"/>
      <c r="L1" s="70"/>
      <c r="N1" s="73"/>
      <c r="O1" s="161" t="s">
        <v>279</v>
      </c>
      <c r="P1" s="141"/>
    </row>
    <row r="2" spans="1:27" ht="27" x14ac:dyDescent="0.35">
      <c r="A2" s="30"/>
      <c r="B2" s="67"/>
      <c r="C2" s="72" t="s">
        <v>254</v>
      </c>
      <c r="D2" s="68"/>
      <c r="E2" s="69"/>
      <c r="F2" s="70"/>
      <c r="G2" s="73" t="s">
        <v>29</v>
      </c>
      <c r="H2" s="68"/>
      <c r="I2" s="32">
        <f>'Weekly Plan'!H1</f>
        <v>46006</v>
      </c>
      <c r="J2" s="32"/>
      <c r="K2" s="69"/>
      <c r="L2" s="70"/>
      <c r="N2" s="73"/>
      <c r="P2" s="141"/>
    </row>
    <row r="3" spans="1:27" s="105" customFormat="1" ht="19.5" customHeight="1" x14ac:dyDescent="0.2">
      <c r="A3" s="209" t="s">
        <v>14</v>
      </c>
      <c r="B3" s="74"/>
      <c r="C3" s="209" t="s">
        <v>282</v>
      </c>
      <c r="D3" s="209"/>
      <c r="E3" s="209"/>
      <c r="F3" s="209"/>
      <c r="G3" s="209"/>
      <c r="H3" s="209"/>
      <c r="I3" s="209"/>
      <c r="J3" s="209"/>
      <c r="K3" s="34"/>
      <c r="L3" s="35"/>
      <c r="M3" s="33"/>
      <c r="N3" s="33"/>
      <c r="O3" s="33"/>
      <c r="P3" s="33"/>
      <c r="Q3" s="33"/>
      <c r="R3" s="36"/>
      <c r="S3" s="142"/>
      <c r="T3" s="142"/>
      <c r="U3" s="142"/>
      <c r="V3" s="142"/>
      <c r="W3" s="142"/>
      <c r="X3" s="142"/>
      <c r="Y3" s="142"/>
      <c r="Z3" s="142"/>
      <c r="AA3" s="142"/>
    </row>
    <row r="4" spans="1:27" s="105" customFormat="1" ht="19.5" customHeight="1" thickBot="1" x14ac:dyDescent="0.25">
      <c r="A4" s="210"/>
      <c r="B4" s="74"/>
      <c r="C4" s="209"/>
      <c r="D4" s="209"/>
      <c r="E4" s="209"/>
      <c r="F4" s="209"/>
      <c r="G4" s="209"/>
      <c r="H4" s="209"/>
      <c r="I4" s="209"/>
      <c r="J4" s="209"/>
      <c r="K4" s="34"/>
      <c r="L4" s="35"/>
      <c r="M4" s="33"/>
      <c r="N4" s="33"/>
      <c r="O4" s="33"/>
      <c r="P4" s="33"/>
      <c r="Q4" s="33"/>
      <c r="R4" s="36"/>
      <c r="S4" s="142"/>
      <c r="T4" s="142"/>
      <c r="U4" s="142"/>
      <c r="V4" s="142"/>
      <c r="W4" s="142"/>
      <c r="X4" s="142"/>
      <c r="Y4" s="142"/>
      <c r="Z4" s="142"/>
      <c r="AA4" s="142"/>
    </row>
    <row r="5" spans="1:27" ht="27" customHeight="1" thickBot="1" x14ac:dyDescent="0.25">
      <c r="A5" s="206" t="s">
        <v>215</v>
      </c>
      <c r="B5" s="207"/>
      <c r="C5" s="207"/>
      <c r="D5" s="208"/>
      <c r="E5" s="75"/>
      <c r="F5" s="76"/>
      <c r="G5" s="192" t="s">
        <v>150</v>
      </c>
      <c r="H5" s="193"/>
      <c r="I5" s="194"/>
      <c r="J5" s="195"/>
      <c r="K5" s="75"/>
      <c r="L5" s="76"/>
      <c r="M5" s="143"/>
      <c r="P5" s="144"/>
      <c r="Q5" s="144"/>
      <c r="R5" s="144"/>
      <c r="S5" s="144"/>
      <c r="T5" s="144"/>
      <c r="U5" s="144"/>
      <c r="V5" s="144"/>
    </row>
    <row r="6" spans="1:27" ht="27" customHeight="1" x14ac:dyDescent="0.2">
      <c r="A6" s="56" t="str">
        <f>'Weekly Plan'!F4</f>
        <v>99944 Bezel</v>
      </c>
      <c r="B6" s="49" t="s">
        <v>166</v>
      </c>
      <c r="C6" s="56" t="str">
        <f>'Weekly Plan'!G4</f>
        <v>Bezel</v>
      </c>
      <c r="D6" s="37" t="str">
        <f>IF(INDEX('Weekly Plan'!$F$2:$M$79,MATCH(A6,'Weekly Plan'!$F$2:$F$79,0),MATCH($C$2,'Weekly Plan'!$F$2:$M$2,0))=0,"",INDEX('Weekly Plan'!$F$2:$M$79,MATCH(A6,'Weekly Plan'!$F$2:$F$79,0),MATCH($C$2,'Weekly Plan'!$F$2:$M$2,0)))</f>
        <v/>
      </c>
      <c r="E6" s="38">
        <f>'Weekly Plan'!A4</f>
        <v>2</v>
      </c>
      <c r="F6" s="39">
        <f t="shared" ref="F6:F11" si="0">IFERROR(D6/E6,0)</f>
        <v>0</v>
      </c>
      <c r="G6" s="56" t="str">
        <f>'Weekly Plan'!F16</f>
        <v>VG0240BL0PA</v>
      </c>
      <c r="H6" s="64"/>
      <c r="I6" s="77" t="str">
        <f>'Weekly Plan'!G16</f>
        <v>C223 ACCSRY Spoiler</v>
      </c>
      <c r="J6" s="37" t="str">
        <f>IF(INDEX('Weekly Plan'!$F$2:$M$79,MATCH(G6,'Weekly Plan'!$F$2:$F$79,0),MATCH($C$2,'Weekly Plan'!$F$2:$M$2,0))=0,"",INDEX('Weekly Plan'!$F$2:$M$79,MATCH(G6,'Weekly Plan'!$F$2:$F$79,0),MATCH($C$2,'Weekly Plan'!$F$2:$M$2,0)))</f>
        <v/>
      </c>
      <c r="K6" s="38">
        <f>'Weekly Plan'!A16</f>
        <v>1</v>
      </c>
      <c r="L6" s="39">
        <f>IFERROR(J6/K6,0)</f>
        <v>0</v>
      </c>
      <c r="M6" s="100"/>
      <c r="P6" s="145"/>
      <c r="Q6" s="145"/>
      <c r="R6" s="145"/>
      <c r="S6" s="145"/>
      <c r="T6" s="145"/>
      <c r="U6" s="145"/>
      <c r="V6" s="145"/>
    </row>
    <row r="7" spans="1:27" ht="27" customHeight="1" x14ac:dyDescent="0.2">
      <c r="A7" s="58">
        <f>'Weekly Plan'!F5</f>
        <v>99633</v>
      </c>
      <c r="B7" s="51" t="s">
        <v>166</v>
      </c>
      <c r="C7" s="58" t="str">
        <f>'Weekly Plan'!G5</f>
        <v>IR Cover LH</v>
      </c>
      <c r="D7" s="37" t="str">
        <f>IF(INDEX('Weekly Plan'!$F$2:$M$79,MATCH(A7,'Weekly Plan'!$F$2:$F$79,0),MATCH($C$2,'Weekly Plan'!$F$2:$M$2,0))=0,"",INDEX('Weekly Plan'!$F$2:$M$79,MATCH(A7,'Weekly Plan'!$F$2:$F$79,0),MATCH($C$2,'Weekly Plan'!$F$2:$M$2,0)))</f>
        <v/>
      </c>
      <c r="E7" s="38">
        <f>'Weekly Plan'!A5</f>
        <v>20</v>
      </c>
      <c r="F7" s="39">
        <f t="shared" si="0"/>
        <v>0</v>
      </c>
      <c r="G7" s="58" t="str">
        <f>'Weekly Plan'!F17</f>
        <v>VG0241CM0PB</v>
      </c>
      <c r="H7" s="65"/>
      <c r="I7" s="78" t="str">
        <f>'Weekly Plan'!G17</f>
        <v>Y2XX Stanchion - LH</v>
      </c>
      <c r="J7" s="37" t="str">
        <f>IF(INDEX('Weekly Plan'!$F$2:$M$79,MATCH(G7,'Weekly Plan'!$F$2:$F$79,0),MATCH($C$2,'Weekly Plan'!$F$2:$M$2,0))=0,"",INDEX('Weekly Plan'!$F$2:$M$79,MATCH(G7,'Weekly Plan'!$F$2:$F$79,0),MATCH($C$2,'Weekly Plan'!$F$2:$M$2,0)))</f>
        <v/>
      </c>
      <c r="K7" s="38">
        <f>'Weekly Plan'!A17</f>
        <v>6</v>
      </c>
      <c r="L7" s="39">
        <f>IFERROR(J7/K7,0)</f>
        <v>0</v>
      </c>
      <c r="M7" s="100"/>
      <c r="P7" s="145"/>
      <c r="Q7" s="145"/>
      <c r="R7" s="145"/>
      <c r="S7" s="145"/>
      <c r="T7" s="145"/>
      <c r="U7" s="145"/>
      <c r="V7" s="145"/>
    </row>
    <row r="8" spans="1:27" ht="27" customHeight="1" x14ac:dyDescent="0.2">
      <c r="A8" s="58">
        <f>'Weekly Plan'!F6</f>
        <v>99646</v>
      </c>
      <c r="B8" s="51" t="s">
        <v>166</v>
      </c>
      <c r="C8" s="58" t="str">
        <f>'Weekly Plan'!G6</f>
        <v>IR Cover RH</v>
      </c>
      <c r="D8" s="37" t="str">
        <f>IF(INDEX('Weekly Plan'!$F$2:$M$79,MATCH(A8,'Weekly Plan'!$F$2:$F$79,0),MATCH($C$2,'Weekly Plan'!$F$2:$M$2,0))=0,"",INDEX('Weekly Plan'!$F$2:$M$79,MATCH(A8,'Weekly Plan'!$F$2:$F$79,0),MATCH($C$2,'Weekly Plan'!$F$2:$M$2,0)))</f>
        <v/>
      </c>
      <c r="E8" s="38">
        <f>'Weekly Plan'!A6</f>
        <v>20</v>
      </c>
      <c r="F8" s="39">
        <f t="shared" si="0"/>
        <v>0</v>
      </c>
      <c r="G8" s="58" t="str">
        <f>'Weekly Plan'!F18</f>
        <v>VG0241CM0PD</v>
      </c>
      <c r="H8" s="65"/>
      <c r="I8" s="78" t="str">
        <f>'Weekly Plan'!G18</f>
        <v>Y2XX Stanchion - RH</v>
      </c>
      <c r="J8" s="37" t="str">
        <f>IF(INDEX('Weekly Plan'!$F$2:$M$79,MATCH(G8,'Weekly Plan'!$F$2:$F$79,0),MATCH($C$2,'Weekly Plan'!$F$2:$M$2,0))=0,"",INDEX('Weekly Plan'!$F$2:$M$79,MATCH(G8,'Weekly Plan'!$F$2:$F$79,0),MATCH($C$2,'Weekly Plan'!$F$2:$M$2,0)))</f>
        <v/>
      </c>
      <c r="K8" s="38">
        <f>'Weekly Plan'!A18</f>
        <v>6</v>
      </c>
      <c r="L8" s="39">
        <f>IFERROR(J8/K8,0)</f>
        <v>0</v>
      </c>
      <c r="P8" s="145"/>
      <c r="Q8" s="145"/>
      <c r="R8" s="145"/>
      <c r="S8" s="145"/>
      <c r="T8" s="145"/>
      <c r="U8" s="145"/>
      <c r="V8" s="145"/>
    </row>
    <row r="9" spans="1:27" ht="27" customHeight="1" x14ac:dyDescent="0.2">
      <c r="A9" s="58">
        <f>'Weekly Plan'!F7</f>
        <v>99635</v>
      </c>
      <c r="B9" s="51" t="s">
        <v>166</v>
      </c>
      <c r="C9" s="58" t="str">
        <f>'Weekly Plan'!G7</f>
        <v>Lateral Belt LH</v>
      </c>
      <c r="D9" s="37" t="str">
        <f>IF(INDEX('Weekly Plan'!$F$2:$M$79,MATCH(A9,'Weekly Plan'!$F$2:$F$79,0),MATCH($C$2,'Weekly Plan'!$F$2:$M$2,0))=0,"",INDEX('Weekly Plan'!$F$2:$M$79,MATCH(A9,'Weekly Plan'!$F$2:$F$79,0),MATCH($C$2,'Weekly Plan'!$F$2:$M$2,0)))</f>
        <v/>
      </c>
      <c r="E9" s="38">
        <f>'Weekly Plan'!A7</f>
        <v>6</v>
      </c>
      <c r="F9" s="39">
        <f t="shared" si="0"/>
        <v>0</v>
      </c>
      <c r="G9" s="58" t="str">
        <f>'Weekly Plan'!F19</f>
        <v>VG0241CM0PC</v>
      </c>
      <c r="H9" s="65"/>
      <c r="I9" s="78" t="str">
        <f>'Weekly Plan'!G19</f>
        <v>Y2XX Stanchion - Center</v>
      </c>
      <c r="J9" s="37" t="str">
        <f>IF(INDEX('Weekly Plan'!$F$2:$M$79,MATCH(G9,'Weekly Plan'!$F$2:$F$79,0),MATCH($C$2,'Weekly Plan'!$F$2:$M$2,0))=0,"",INDEX('Weekly Plan'!$F$2:$M$79,MATCH(G9,'Weekly Plan'!$F$2:$F$79,0),MATCH($C$2,'Weekly Plan'!$F$2:$M$2,0)))</f>
        <v/>
      </c>
      <c r="K9" s="38">
        <f>'Weekly Plan'!A19</f>
        <v>6</v>
      </c>
      <c r="L9" s="39">
        <f>IFERROR(J9/K9,0)</f>
        <v>0</v>
      </c>
      <c r="M9" s="146"/>
      <c r="P9" s="145"/>
      <c r="Q9" s="145"/>
      <c r="R9" s="145"/>
      <c r="S9" s="145"/>
      <c r="T9" s="145"/>
      <c r="U9" s="145"/>
      <c r="V9" s="145"/>
    </row>
    <row r="10" spans="1:27" ht="27" customHeight="1" x14ac:dyDescent="0.2">
      <c r="A10" s="58">
        <f>'Weekly Plan'!F8</f>
        <v>99944</v>
      </c>
      <c r="B10" s="51" t="s">
        <v>166</v>
      </c>
      <c r="C10" s="58" t="str">
        <f>'Weekly Plan'!G8</f>
        <v>Lateral Belt RH</v>
      </c>
      <c r="D10" s="37" t="str">
        <f>IF(INDEX('Weekly Plan'!$F$2:$M$79,MATCH(A10,'Weekly Plan'!$F$2:$F$79,0),MATCH($C$2,'Weekly Plan'!$F$2:$M$2,0))=0,"",INDEX('Weekly Plan'!$F$2:$M$79,MATCH(A10,'Weekly Plan'!$F$2:$F$79,0),MATCH($C$2,'Weekly Plan'!$F$2:$M$2,0)))</f>
        <v/>
      </c>
      <c r="E10" s="38">
        <f>'Weekly Plan'!A8</f>
        <v>6</v>
      </c>
      <c r="F10" s="39">
        <f t="shared" si="0"/>
        <v>0</v>
      </c>
      <c r="G10" s="58" t="str">
        <f>'Weekly Plan'!F20</f>
        <v>VG0241CM0PE</v>
      </c>
      <c r="H10" s="65"/>
      <c r="I10" s="78" t="str">
        <f>'Weekly Plan'!G20</f>
        <v>Y2XX Winglet -LH</v>
      </c>
      <c r="J10" s="37" t="str">
        <f>IF(INDEX('Weekly Plan'!$F$2:$M$79,MATCH(G10,'Weekly Plan'!$F$2:$F$79,0),MATCH($C$2,'Weekly Plan'!$F$2:$M$2,0))=0,"",INDEX('Weekly Plan'!$F$2:$M$79,MATCH(G10,'Weekly Plan'!$F$2:$F$79,0),MATCH($C$2,'Weekly Plan'!$F$2:$M$2,0)))</f>
        <v/>
      </c>
      <c r="K10" s="38">
        <f>'Weekly Plan'!A20</f>
        <v>0</v>
      </c>
      <c r="L10" s="39">
        <f>IFERROR(J12/K10,0)</f>
        <v>0</v>
      </c>
      <c r="M10" s="146"/>
      <c r="P10" s="145"/>
      <c r="Q10" s="145"/>
      <c r="R10" s="145"/>
      <c r="S10" s="145"/>
      <c r="T10" s="145"/>
      <c r="U10" s="145"/>
      <c r="V10" s="145"/>
    </row>
    <row r="11" spans="1:27" ht="27" customHeight="1" thickBot="1" x14ac:dyDescent="0.25">
      <c r="A11" s="61">
        <f>'Weekly Plan'!F9</f>
        <v>99636</v>
      </c>
      <c r="B11" s="54" t="s">
        <v>166</v>
      </c>
      <c r="C11" s="61" t="str">
        <f>'Weekly Plan'!G9</f>
        <v>Rear Belt</v>
      </c>
      <c r="D11" s="40" t="str">
        <f>IF(INDEX('Weekly Plan'!$F$2:$M$79,MATCH(A11,'Weekly Plan'!$F$2:$F$79,0),MATCH($C$2,'Weekly Plan'!$F$2:$M$2,0))=0,"",INDEX('Weekly Plan'!$F$2:$M$79,MATCH(A11,'Weekly Plan'!$F$2:$F$79,0),MATCH($C$2,'Weekly Plan'!$F$2:$M$2,0)))</f>
        <v/>
      </c>
      <c r="E11" s="38">
        <f>'Weekly Plan'!A9</f>
        <v>20</v>
      </c>
      <c r="F11" s="39">
        <f t="shared" si="0"/>
        <v>0</v>
      </c>
      <c r="G11" s="58" t="str">
        <f>'Weekly Plan'!F21</f>
        <v>VG0241CM0PF</v>
      </c>
      <c r="H11" s="65"/>
      <c r="I11" s="78" t="str">
        <f>'Weekly Plan'!G21</f>
        <v>Y2XX Winglet -RH</v>
      </c>
      <c r="J11" s="37" t="str">
        <f>IF(INDEX('Weekly Plan'!$F$2:$M$79,MATCH(G11,'Weekly Plan'!$F$2:$F$79,0),MATCH($C$2,'Weekly Plan'!$F$2:$M$2,0))=0,"",INDEX('Weekly Plan'!$F$2:$M$79,MATCH(G11,'Weekly Plan'!$F$2:$F$79,0),MATCH($C$2,'Weekly Plan'!$F$2:$M$2,0)))</f>
        <v/>
      </c>
      <c r="K11" s="38">
        <f>'Weekly Plan'!A21</f>
        <v>0</v>
      </c>
      <c r="L11" s="39">
        <f>IFERROR(J13/K11,0)</f>
        <v>0</v>
      </c>
      <c r="M11" s="146"/>
      <c r="P11" s="145"/>
      <c r="Q11" s="145"/>
      <c r="R11" s="145"/>
      <c r="S11" s="145"/>
      <c r="T11" s="145"/>
      <c r="U11" s="145"/>
      <c r="V11" s="145"/>
    </row>
    <row r="12" spans="1:27" ht="27" customHeight="1" x14ac:dyDescent="0.2">
      <c r="A12" s="79"/>
      <c r="B12" s="79"/>
      <c r="C12" s="27"/>
      <c r="D12" s="80"/>
      <c r="E12" s="75"/>
      <c r="F12" s="76"/>
      <c r="G12" s="58" t="str">
        <f>'Weekly Plan'!F22</f>
        <v>VG0241CM0PG</v>
      </c>
      <c r="H12" s="65"/>
      <c r="I12" s="78" t="str">
        <f>'Weekly Plan'!G22</f>
        <v>Y2XX Screw Cover - LH</v>
      </c>
      <c r="J12" s="37" t="str">
        <f>IF(INDEX('Weekly Plan'!$F$2:$M$79,MATCH(G12,'Weekly Plan'!$F$2:$F$79,0),MATCH($C$2,'Weekly Plan'!$F$2:$M$2,0))=0,"",INDEX('Weekly Plan'!$F$2:$M$79,MATCH(G12,'Weekly Plan'!$F$2:$F$79,0),MATCH($C$2,'Weekly Plan'!$F$2:$M$2,0)))</f>
        <v/>
      </c>
      <c r="K12" s="38">
        <f>'Weekly Plan'!A22</f>
        <v>20</v>
      </c>
      <c r="L12" s="39">
        <f>IFERROR(J14/K12,0)</f>
        <v>0</v>
      </c>
      <c r="M12" s="146"/>
      <c r="P12" s="145"/>
      <c r="Q12" s="145"/>
      <c r="R12" s="145"/>
      <c r="S12" s="145"/>
      <c r="T12" s="145"/>
      <c r="U12" s="145"/>
      <c r="V12" s="145"/>
    </row>
    <row r="13" spans="1:27" ht="27" customHeight="1" thickBot="1" x14ac:dyDescent="0.25">
      <c r="A13" s="79"/>
      <c r="B13" s="79"/>
      <c r="C13" s="27"/>
      <c r="D13" s="80"/>
      <c r="E13" s="75"/>
      <c r="F13" s="76"/>
      <c r="G13" s="61" t="str">
        <f>'Weekly Plan'!F23</f>
        <v>VG0241CM0PH</v>
      </c>
      <c r="H13" s="66"/>
      <c r="I13" s="81" t="str">
        <f>'Weekly Plan'!G23</f>
        <v>Y2XX Screw Cover - RH</v>
      </c>
      <c r="J13" s="40" t="str">
        <f>IF(INDEX('Weekly Plan'!$F$2:$M$79,MATCH(G13,'Weekly Plan'!$F$2:$F$79,0),MATCH($C$2,'Weekly Plan'!$F$2:$M$2,0))=0,"",INDEX('Weekly Plan'!$F$2:$M$79,MATCH(G13,'Weekly Plan'!$F$2:$F$79,0),MATCH($C$2,'Weekly Plan'!$F$2:$M$2,0)))</f>
        <v/>
      </c>
      <c r="K13" s="38">
        <f>'Weekly Plan'!A23</f>
        <v>20</v>
      </c>
      <c r="L13" s="39">
        <f>IFERROR(J15/K13,0)</f>
        <v>0</v>
      </c>
      <c r="M13" s="147"/>
      <c r="P13" s="123"/>
      <c r="Q13" s="123"/>
      <c r="R13" s="123"/>
      <c r="S13" s="123"/>
      <c r="T13" s="123"/>
      <c r="U13" s="123"/>
      <c r="V13" s="123"/>
    </row>
    <row r="14" spans="1:27" ht="27" customHeight="1" thickBot="1" x14ac:dyDescent="0.25">
      <c r="A14" s="82"/>
      <c r="B14" s="82"/>
      <c r="C14" s="82"/>
      <c r="D14" s="80"/>
      <c r="E14" s="75"/>
      <c r="F14" s="76"/>
      <c r="G14" s="82"/>
      <c r="H14" s="82"/>
      <c r="I14" s="82"/>
      <c r="J14" s="83"/>
      <c r="K14" s="75"/>
      <c r="L14" s="76"/>
      <c r="M14" s="100"/>
      <c r="P14" s="71"/>
      <c r="Q14" s="71"/>
      <c r="R14" s="71"/>
      <c r="S14" s="71"/>
    </row>
    <row r="15" spans="1:27" ht="27" customHeight="1" thickBot="1" x14ac:dyDescent="0.25">
      <c r="A15" s="206" t="s">
        <v>214</v>
      </c>
      <c r="B15" s="207"/>
      <c r="C15" s="207"/>
      <c r="D15" s="208"/>
      <c r="E15" s="75"/>
      <c r="F15" s="76"/>
      <c r="G15" s="192" t="s">
        <v>208</v>
      </c>
      <c r="H15" s="193"/>
      <c r="I15" s="194"/>
      <c r="J15" s="195"/>
      <c r="K15" s="75"/>
      <c r="L15" s="76"/>
      <c r="P15" s="71"/>
      <c r="Q15" s="71"/>
      <c r="R15" s="71"/>
      <c r="S15" s="71"/>
    </row>
    <row r="16" spans="1:27" ht="27" customHeight="1" x14ac:dyDescent="0.2">
      <c r="A16" s="56">
        <f>'Weekly Plan'!F11</f>
        <v>99629</v>
      </c>
      <c r="B16" s="42" t="s">
        <v>122</v>
      </c>
      <c r="C16" s="57" t="str">
        <f>'Weekly Plan'!G11</f>
        <v>Main Lower Cover</v>
      </c>
      <c r="D16" s="37">
        <f>IF(INDEX('Weekly Plan'!$F$2:$M$79,MATCH(A16,'Weekly Plan'!$F$2:$F$79,0),MATCH($C$2,'Weekly Plan'!$F$2:$M$2,0))=0,"",INDEX('Weekly Plan'!$F$2:$M$79,MATCH(A16,'Weekly Plan'!$F$2:$F$79,0),MATCH($C$2,'Weekly Plan'!$F$2:$M$2,0)))</f>
        <v>30</v>
      </c>
      <c r="E16" s="38">
        <f>'Weekly Plan'!A11</f>
        <v>1</v>
      </c>
      <c r="F16" s="39">
        <f>IFERROR(D16/E16,0)</f>
        <v>30</v>
      </c>
      <c r="G16" s="56" t="str">
        <f>'Weekly Plan'!F25</f>
        <v>9405929P</v>
      </c>
      <c r="H16" s="64"/>
      <c r="I16" s="57" t="str">
        <f>'Weekly Plan'!G25</f>
        <v>MX Applique</v>
      </c>
      <c r="J16" s="37">
        <f>IF(INDEX('Weekly Plan'!$F$2:$M$79,MATCH(G16,'Weekly Plan'!$F$2:$F$79,0),MATCH($C$2,'Weekly Plan'!$F$2:$M$2,0))=0,"",INDEX('Weekly Plan'!$F$2:$M$79,MATCH(G16,'Weekly Plan'!$F$2:$F$79,0),MATCH($C$2,'Weekly Plan'!$F$2:$M$2,0)))</f>
        <v>260</v>
      </c>
      <c r="K16" s="38">
        <f>'Weekly Plan'!A25</f>
        <v>6</v>
      </c>
      <c r="L16" s="39">
        <f>IFERROR(J16/K16,0)</f>
        <v>43.333333333333336</v>
      </c>
      <c r="M16" s="146"/>
      <c r="P16" s="71"/>
      <c r="Q16" s="71"/>
      <c r="R16" s="71"/>
      <c r="S16" s="71"/>
      <c r="V16" s="145"/>
    </row>
    <row r="17" spans="1:22" ht="27" customHeight="1" x14ac:dyDescent="0.2">
      <c r="A17" s="58">
        <f>'Weekly Plan'!F12</f>
        <v>99631</v>
      </c>
      <c r="B17" s="59" t="s">
        <v>122</v>
      </c>
      <c r="C17" s="60" t="str">
        <f>'Weekly Plan'!G12</f>
        <v>Main Upper Cover</v>
      </c>
      <c r="D17" s="37">
        <f>IF(INDEX('Weekly Plan'!$F$2:$M$79,MATCH(A17,'Weekly Plan'!$F$2:$F$79,0),MATCH($C$2,'Weekly Plan'!$F$2:$M$2,0))=0,"",INDEX('Weekly Plan'!$F$2:$M$79,MATCH(A17,'Weekly Plan'!$F$2:$F$79,0),MATCH($C$2,'Weekly Plan'!$F$2:$M$2,0)))</f>
        <v>30</v>
      </c>
      <c r="E17" s="38">
        <f>'Weekly Plan'!A12</f>
        <v>1</v>
      </c>
      <c r="F17" s="39">
        <f>IFERROR(D17/E17,0)</f>
        <v>30</v>
      </c>
      <c r="G17" s="58" t="str">
        <f>'Weekly Plan'!F26</f>
        <v>9405930P</v>
      </c>
      <c r="H17" s="65"/>
      <c r="I17" s="60" t="str">
        <f>'Weekly Plan'!G26</f>
        <v>MS Applique</v>
      </c>
      <c r="J17" s="155" t="str">
        <f>IF(INDEX('Weekly Plan'!$F$2:$M$79,MATCH(G17,'Weekly Plan'!$F$2:$F$79,0),MATCH($C$2,'Weekly Plan'!$F$2:$M$2,0))=0,"",INDEX('Weekly Plan'!$F$2:$M$79,MATCH(G17,'Weekly Plan'!$F$2:$F$79,0),MATCH($C$2,'Weekly Plan'!$F$2:$M$2,0)))</f>
        <v/>
      </c>
      <c r="K17" s="38">
        <f>'Weekly Plan'!A26</f>
        <v>6</v>
      </c>
      <c r="L17" s="39">
        <f>IFERROR(J17/K17,0)</f>
        <v>0</v>
      </c>
      <c r="M17" s="146"/>
      <c r="P17" s="71"/>
      <c r="Q17" s="71"/>
      <c r="R17" s="71"/>
      <c r="S17" s="71"/>
      <c r="V17" s="145"/>
    </row>
    <row r="18" spans="1:22" ht="27" customHeight="1" x14ac:dyDescent="0.2">
      <c r="A18" s="58">
        <f>'Weekly Plan'!F13</f>
        <v>99638</v>
      </c>
      <c r="B18" s="59" t="s">
        <v>122</v>
      </c>
      <c r="C18" s="60" t="str">
        <f>'Weekly Plan'!G13</f>
        <v>Rear Plate</v>
      </c>
      <c r="D18" s="37" t="str">
        <f>IF(INDEX('Weekly Plan'!$F$2:$M$79,MATCH(A18,'Weekly Plan'!$F$2:$F$79,0),MATCH($C$2,'Weekly Plan'!$F$2:$M$2,0))=0,"",INDEX('Weekly Plan'!$F$2:$M$79,MATCH(A18,'Weekly Plan'!$F$2:$F$79,0),MATCH($C$2,'Weekly Plan'!$F$2:$M$2,0)))</f>
        <v/>
      </c>
      <c r="E18" s="38">
        <f>'Weekly Plan'!A13</f>
        <v>20</v>
      </c>
      <c r="F18" s="39">
        <f>IFERROR(D18/E18,0)</f>
        <v>0</v>
      </c>
      <c r="G18" s="58" t="str">
        <f>'Weekly Plan'!F27</f>
        <v>9405929P-REW</v>
      </c>
      <c r="H18" s="65"/>
      <c r="I18" s="60" t="str">
        <f>'Weekly Plan'!G27</f>
        <v>MX Applique Rework</v>
      </c>
      <c r="J18" s="37">
        <f>IF(INDEX('Weekly Plan'!$F$2:$M$79,MATCH(G18,'Weekly Plan'!$F$2:$F$79,0),MATCH($C$2,'Weekly Plan'!$F$2:$M$2,0))=0,"",INDEX('Weekly Plan'!$F$2:$M$79,MATCH(G18,'Weekly Plan'!$F$2:$F$79,0),MATCH($C$2,'Weekly Plan'!$F$2:$M$2,0)))</f>
        <v>360</v>
      </c>
      <c r="K18" s="38">
        <f>'Weekly Plan'!A27</f>
        <v>6</v>
      </c>
      <c r="L18" s="39">
        <f>IFERROR(J18/K18,0)</f>
        <v>60</v>
      </c>
      <c r="M18" s="146"/>
      <c r="P18" s="71"/>
      <c r="Q18" s="71"/>
      <c r="R18" s="71"/>
      <c r="S18" s="71"/>
      <c r="V18" s="145"/>
    </row>
    <row r="19" spans="1:22" ht="27" customHeight="1" thickBot="1" x14ac:dyDescent="0.25">
      <c r="A19" s="61">
        <f>'Weekly Plan'!F14</f>
        <v>99630</v>
      </c>
      <c r="B19" s="62" t="s">
        <v>122</v>
      </c>
      <c r="C19" s="63" t="str">
        <f>'Weekly Plan'!G14</f>
        <v>Vent Cover</v>
      </c>
      <c r="D19" s="40">
        <f>IF(INDEX('Weekly Plan'!$F$2:$M$79,MATCH(A19,'Weekly Plan'!$F$2:$F$79,0),MATCH($C$2,'Weekly Plan'!$F$2:$M$2,0))=0,"",INDEX('Weekly Plan'!$F$2:$M$79,MATCH(A19,'Weekly Plan'!$F$2:$F$79,0),MATCH($C$2,'Weekly Plan'!$F$2:$M$2,0)))</f>
        <v>30</v>
      </c>
      <c r="E19" s="38">
        <f>'Weekly Plan'!A14</f>
        <v>1</v>
      </c>
      <c r="F19" s="39">
        <f>IFERROR(D19/E19,0)</f>
        <v>30</v>
      </c>
      <c r="G19" s="61" t="str">
        <f>'Weekly Plan'!F28</f>
        <v>9405930P-REW</v>
      </c>
      <c r="H19" s="66"/>
      <c r="I19" s="63" t="str">
        <f>'Weekly Plan'!G28</f>
        <v>MS Applique Rework</v>
      </c>
      <c r="J19" s="40" t="str">
        <f>IF(INDEX('Weekly Plan'!$F$2:$M$79,MATCH(G19,'Weekly Plan'!$F$2:$F$79,0),MATCH($C$2,'Weekly Plan'!$F$2:$M$2,0))=0,"",INDEX('Weekly Plan'!$F$2:$M$79,MATCH(G19,'Weekly Plan'!$F$2:$F$79,0),MATCH($C$2,'Weekly Plan'!$F$2:$M$2,0)))</f>
        <v/>
      </c>
      <c r="K19" s="38">
        <f>'Weekly Plan'!A28</f>
        <v>6</v>
      </c>
      <c r="L19" s="39">
        <f>IFERROR(J19/K19,0)</f>
        <v>0</v>
      </c>
      <c r="M19" s="146"/>
      <c r="P19" s="71"/>
      <c r="Q19" s="71"/>
      <c r="R19" s="71"/>
      <c r="S19" s="71"/>
      <c r="V19" s="145"/>
    </row>
    <row r="20" spans="1:22" ht="27" customHeight="1" thickBot="1" x14ac:dyDescent="0.25">
      <c r="A20" s="84"/>
      <c r="B20" s="84"/>
      <c r="C20" s="84"/>
      <c r="D20" s="80"/>
      <c r="E20" s="75"/>
      <c r="F20" s="76"/>
      <c r="G20" s="85"/>
      <c r="H20" s="85"/>
      <c r="I20" s="85"/>
      <c r="J20" s="86"/>
      <c r="K20" s="75"/>
      <c r="L20" s="76"/>
      <c r="M20" s="100"/>
      <c r="P20" s="71"/>
      <c r="Q20" s="71"/>
      <c r="R20" s="71"/>
      <c r="S20" s="71"/>
    </row>
    <row r="21" spans="1:22" ht="27" customHeight="1" thickBot="1" x14ac:dyDescent="0.25">
      <c r="A21" s="206" t="s">
        <v>277</v>
      </c>
      <c r="B21" s="207"/>
      <c r="C21" s="207"/>
      <c r="D21" s="208"/>
      <c r="E21" s="75"/>
      <c r="F21" s="76"/>
      <c r="G21" s="192" t="s">
        <v>227</v>
      </c>
      <c r="H21" s="193"/>
      <c r="I21" s="194"/>
      <c r="J21" s="195"/>
      <c r="K21" s="75"/>
      <c r="L21" s="76"/>
      <c r="M21" s="85"/>
      <c r="P21" s="71"/>
      <c r="Q21" s="71"/>
      <c r="R21" s="71"/>
      <c r="S21" s="71"/>
    </row>
    <row r="22" spans="1:22" ht="27" customHeight="1" x14ac:dyDescent="0.2">
      <c r="A22" s="41" t="str">
        <f>'Weekly Plan'!F31</f>
        <v>KB2352</v>
      </c>
      <c r="B22" s="42" t="s">
        <v>253</v>
      </c>
      <c r="C22" s="25" t="str">
        <f>'Weekly Plan'!G31</f>
        <v>W12 Roof Top Cover</v>
      </c>
      <c r="D22" s="37" t="str">
        <f>IF(INDEX('Weekly Plan'!$F$2:$M$79,MATCH(A22,'Weekly Plan'!$F$2:$F$79,0),MATCH($C$2,'Weekly Plan'!$F$2:$M$2,0))=0,"",INDEX('Weekly Plan'!$F$2:$M$79,MATCH(A22,'Weekly Plan'!$F$2:$F$79,0),MATCH($C$2,'Weekly Plan'!$F$2:$M$2,0)))</f>
        <v/>
      </c>
      <c r="E22" s="38">
        <f>'Weekly Plan'!A31</f>
        <v>1</v>
      </c>
      <c r="F22" s="39">
        <f>IFERROR(D22/E22,0)</f>
        <v>0</v>
      </c>
      <c r="G22" s="49" t="str">
        <f>'Weekly Plan'!F36</f>
        <v>PART#1</v>
      </c>
      <c r="H22" s="50"/>
      <c r="I22" s="42"/>
      <c r="J22" s="37" t="str">
        <f>IF(INDEX('Weekly Plan'!$F$2:$M$79,MATCH(G22,'Weekly Plan'!$F$2:$F$79,0),MATCH($C$2,'Weekly Plan'!$F$2:$M$2,0))=0,"",INDEX('Weekly Plan'!$F$2:$M$79,MATCH(G22,'Weekly Plan'!$F$2:$F$79,0),MATCH($C$2,'Weekly Plan'!$F$2:$M$2,0)))</f>
        <v/>
      </c>
      <c r="K22" s="38">
        <f>'Weekly Plan'!A36</f>
        <v>0</v>
      </c>
      <c r="L22" s="39">
        <f t="shared" ref="L22:L25" si="1">IFERROR(J22/K22,0)</f>
        <v>0</v>
      </c>
      <c r="P22" s="71"/>
      <c r="Q22" s="71"/>
      <c r="R22" s="71"/>
      <c r="S22" s="71"/>
      <c r="U22" s="145"/>
    </row>
    <row r="23" spans="1:22" ht="27" customHeight="1" x14ac:dyDescent="0.2">
      <c r="A23" s="41" t="str">
        <f>'Weekly Plan'!F32</f>
        <v>KB2369</v>
      </c>
      <c r="B23" s="42" t="s">
        <v>253</v>
      </c>
      <c r="C23" s="25" t="str">
        <f>'Weekly Plan'!G32</f>
        <v>W12 Mech Bezel Pod 1</v>
      </c>
      <c r="D23" s="37" t="str">
        <f>IF(INDEX('Weekly Plan'!$F$2:$M$79,MATCH(A23,'Weekly Plan'!$F$2:$F$79,0),MATCH($C$2,'Weekly Plan'!$F$2:$M$2,0))=0,"",INDEX('Weekly Plan'!$F$2:$M$79,MATCH(A23,'Weekly Plan'!$F$2:$F$79,0),MATCH($C$2,'Weekly Plan'!$F$2:$M$2,0)))</f>
        <v/>
      </c>
      <c r="E23" s="38">
        <f>'Weekly Plan'!A32</f>
        <v>4</v>
      </c>
      <c r="F23" s="39">
        <f>IFERROR(D23/E23,0)</f>
        <v>0</v>
      </c>
      <c r="G23" s="51" t="str">
        <f>'Weekly Plan'!F37</f>
        <v>PART#2</v>
      </c>
      <c r="H23" s="52"/>
      <c r="I23" s="53"/>
      <c r="J23" s="37" t="str">
        <f>IF(INDEX('Weekly Plan'!$F$2:$M$79,MATCH(G23,'Weekly Plan'!$F$2:$F$79,0),MATCH($C$2,'Weekly Plan'!$F$2:$M$2,0))=0,"",INDEX('Weekly Plan'!$F$2:$M$79,MATCH(G23,'Weekly Plan'!$F$2:$F$79,0),MATCH($C$2,'Weekly Plan'!$F$2:$M$2,0)))</f>
        <v/>
      </c>
      <c r="K23" s="38">
        <f>'Weekly Plan'!A37</f>
        <v>0</v>
      </c>
      <c r="L23" s="39">
        <f t="shared" si="1"/>
        <v>0</v>
      </c>
      <c r="P23" s="71"/>
      <c r="Q23" s="71"/>
      <c r="R23" s="71"/>
      <c r="S23" s="71"/>
      <c r="U23" s="145"/>
    </row>
    <row r="24" spans="1:22" ht="27" customHeight="1" x14ac:dyDescent="0.2">
      <c r="A24" s="41" t="str">
        <f>'Weekly Plan'!F33</f>
        <v>KB2370L</v>
      </c>
      <c r="B24" s="42" t="s">
        <v>253</v>
      </c>
      <c r="C24" s="162" t="str">
        <f>'Weekly Plan'!G33</f>
        <v>W12 LH Cover Body Closeout Pod 5</v>
      </c>
      <c r="D24" s="37" t="str">
        <f>IF(INDEX('Weekly Plan'!$F$2:$M$79,MATCH(A24,'Weekly Plan'!$F$2:$F$79,0),MATCH($C$2,'Weekly Plan'!$F$2:$M$2,0))=0,"",INDEX('Weekly Plan'!$F$2:$M$79,MATCH(A24,'Weekly Plan'!$F$2:$F$79,0),MATCH($C$2,'Weekly Plan'!$F$2:$M$2,0)))</f>
        <v/>
      </c>
      <c r="E24" s="38">
        <f>'Weekly Plan'!A33</f>
        <v>4</v>
      </c>
      <c r="F24" s="39">
        <f>IFERROR(D24/E24,0)</f>
        <v>0</v>
      </c>
      <c r="G24" s="51" t="str">
        <f>'Weekly Plan'!F38</f>
        <v>PART#3</v>
      </c>
      <c r="H24" s="52"/>
      <c r="I24" s="23"/>
      <c r="J24" s="37" t="str">
        <f>IF(INDEX('Weekly Plan'!$F$2:$M$79,MATCH(G24,'Weekly Plan'!$F$2:$F$79,0),MATCH($C$2,'Weekly Plan'!$F$2:$M$2,0))=0,"",INDEX('Weekly Plan'!$F$2:$M$79,MATCH(G24,'Weekly Plan'!$F$2:$F$79,0),MATCH($C$2,'Weekly Plan'!$F$2:$M$2,0)))</f>
        <v/>
      </c>
      <c r="K24" s="38">
        <f>'Weekly Plan'!A38</f>
        <v>0</v>
      </c>
      <c r="L24" s="39">
        <f t="shared" si="1"/>
        <v>0</v>
      </c>
      <c r="P24" s="71"/>
      <c r="Q24" s="71"/>
      <c r="R24" s="71"/>
      <c r="S24" s="71"/>
      <c r="U24" s="145"/>
    </row>
    <row r="25" spans="1:22" ht="27" customHeight="1" thickBot="1" x14ac:dyDescent="0.25">
      <c r="A25" s="43" t="str">
        <f>'Weekly Plan'!F34</f>
        <v>KB2370R</v>
      </c>
      <c r="B25" s="44" t="s">
        <v>253</v>
      </c>
      <c r="C25" s="163" t="str">
        <f>'Weekly Plan'!G34</f>
        <v>W12 RH Cover Body Closeout Pod 6</v>
      </c>
      <c r="D25" s="40" t="str">
        <f>IF(INDEX('Weekly Plan'!$F$2:$M$79,MATCH(A25,'Weekly Plan'!$F$2:$F$79,0),MATCH($C$2,'Weekly Plan'!$F$2:$M$2,0))=0,"",INDEX('Weekly Plan'!$F$2:$M$79,MATCH(A25,'Weekly Plan'!$F$2:$F$79,0),MATCH($C$2,'Weekly Plan'!$F$2:$M$2,0)))</f>
        <v/>
      </c>
      <c r="E25" s="38">
        <f>'Weekly Plan'!A34</f>
        <v>4</v>
      </c>
      <c r="F25" s="39">
        <f>IFERROR(D25/E25,0)</f>
        <v>0</v>
      </c>
      <c r="G25" s="54" t="str">
        <f>'Weekly Plan'!F39</f>
        <v>PART#4</v>
      </c>
      <c r="H25" s="55"/>
      <c r="I25" s="24"/>
      <c r="J25" s="40" t="str">
        <f>IF(INDEX('Weekly Plan'!$F$2:$M$79,MATCH(G25,'Weekly Plan'!$F$2:$F$79,0),MATCH($C$2,'Weekly Plan'!$F$2:$M$2,0))=0,"",INDEX('Weekly Plan'!$F$2:$M$79,MATCH(G25,'Weekly Plan'!$F$2:$F$79,0),MATCH($C$2,'Weekly Plan'!$F$2:$M$2,0)))</f>
        <v/>
      </c>
      <c r="K25" s="38">
        <f>'Weekly Plan'!A39</f>
        <v>0</v>
      </c>
      <c r="L25" s="39">
        <f t="shared" si="1"/>
        <v>0</v>
      </c>
      <c r="P25" s="71"/>
      <c r="Q25" s="71"/>
      <c r="R25" s="71"/>
      <c r="S25" s="71"/>
      <c r="U25" s="145"/>
    </row>
    <row r="26" spans="1:22" ht="24" customHeight="1" x14ac:dyDescent="0.2">
      <c r="A26" s="79"/>
      <c r="B26" s="79"/>
      <c r="C26" s="27"/>
      <c r="D26" s="80"/>
      <c r="E26" s="75"/>
      <c r="F26" s="76"/>
      <c r="G26" s="85"/>
      <c r="H26" s="85"/>
      <c r="I26" s="85"/>
      <c r="J26" s="86"/>
      <c r="K26" s="75"/>
      <c r="L26" s="76"/>
      <c r="M26" s="146"/>
      <c r="P26" s="71"/>
      <c r="Q26" s="71"/>
      <c r="R26" s="71"/>
      <c r="S26" s="71"/>
      <c r="V26" s="145"/>
    </row>
    <row r="27" spans="1:22" ht="24" customHeight="1" thickBot="1" x14ac:dyDescent="0.25">
      <c r="A27" s="79"/>
      <c r="B27" s="79"/>
      <c r="C27" s="27"/>
      <c r="D27" s="80"/>
      <c r="E27" s="75"/>
      <c r="F27" s="76"/>
      <c r="G27" s="85"/>
      <c r="H27" s="85"/>
      <c r="I27" s="85"/>
      <c r="J27" s="86"/>
      <c r="K27" s="75"/>
      <c r="L27" s="76"/>
      <c r="M27" s="146"/>
      <c r="P27" s="71"/>
      <c r="Q27" s="71"/>
      <c r="R27" s="71"/>
      <c r="S27" s="71"/>
      <c r="V27" s="145"/>
    </row>
    <row r="28" spans="1:22" ht="24" customHeight="1" thickBot="1" x14ac:dyDescent="0.25">
      <c r="A28" s="202" t="s">
        <v>278</v>
      </c>
      <c r="B28" s="203"/>
      <c r="C28" s="203"/>
      <c r="D28" s="203"/>
      <c r="E28" s="204"/>
      <c r="F28" s="76"/>
      <c r="G28" s="87" t="s">
        <v>15</v>
      </c>
      <c r="H28" s="88"/>
      <c r="I28" s="89" t="s">
        <v>16</v>
      </c>
      <c r="J28" s="86"/>
      <c r="K28" s="75"/>
      <c r="L28" s="76"/>
      <c r="M28" s="100"/>
      <c r="P28" s="71"/>
      <c r="Q28" s="71"/>
      <c r="R28" s="71"/>
      <c r="S28" s="71"/>
    </row>
    <row r="29" spans="1:22" ht="24" customHeight="1" x14ac:dyDescent="0.2">
      <c r="A29" s="196" t="s">
        <v>283</v>
      </c>
      <c r="B29" s="197"/>
      <c r="C29" s="197"/>
      <c r="D29" s="197"/>
      <c r="E29" s="198"/>
      <c r="F29" s="90"/>
      <c r="G29" s="45" t="str">
        <f>A5</f>
        <v>Black - Laval</v>
      </c>
      <c r="H29" s="91"/>
      <c r="I29" s="156">
        <f>SUM(F6:F11)</f>
        <v>0</v>
      </c>
      <c r="J29" s="86"/>
      <c r="K29" s="148"/>
      <c r="L29" s="90"/>
      <c r="M29" s="146"/>
      <c r="P29" s="71"/>
      <c r="Q29" s="71"/>
      <c r="R29" s="71"/>
      <c r="S29" s="71"/>
      <c r="V29" s="145"/>
    </row>
    <row r="30" spans="1:22" ht="24" customHeight="1" x14ac:dyDescent="0.2">
      <c r="A30" s="196"/>
      <c r="B30" s="197"/>
      <c r="C30" s="197"/>
      <c r="D30" s="197"/>
      <c r="E30" s="198"/>
      <c r="F30" s="90"/>
      <c r="G30" s="46" t="str">
        <f>A15</f>
        <v>Summit White - Laval</v>
      </c>
      <c r="H30" s="92"/>
      <c r="I30" s="156">
        <f>SUM(F16:F19)</f>
        <v>90</v>
      </c>
      <c r="J30" s="86"/>
      <c r="K30" s="148"/>
      <c r="L30" s="90"/>
      <c r="M30" s="146"/>
      <c r="N30" s="149"/>
      <c r="O30" s="150"/>
      <c r="P30" s="101"/>
      <c r="Q30" s="71"/>
      <c r="R30" s="71"/>
      <c r="S30" s="71"/>
      <c r="V30" s="145"/>
    </row>
    <row r="31" spans="1:22" ht="24" customHeight="1" x14ac:dyDescent="0.2">
      <c r="A31" s="196"/>
      <c r="B31" s="197"/>
      <c r="C31" s="197"/>
      <c r="D31" s="197"/>
      <c r="E31" s="198"/>
      <c r="F31" s="76"/>
      <c r="G31" s="46" t="str">
        <f>G5</f>
        <v>Metelix</v>
      </c>
      <c r="H31" s="92"/>
      <c r="I31" s="156">
        <f>SUM(L6:L13)</f>
        <v>0</v>
      </c>
      <c r="J31" s="86"/>
      <c r="K31" s="75"/>
      <c r="L31" s="76"/>
      <c r="M31" s="146"/>
      <c r="P31" s="71"/>
      <c r="Q31" s="71"/>
      <c r="R31" s="71"/>
      <c r="S31" s="71"/>
      <c r="V31" s="145"/>
    </row>
    <row r="32" spans="1:22" ht="30.75" customHeight="1" x14ac:dyDescent="0.2">
      <c r="A32" s="196"/>
      <c r="B32" s="197"/>
      <c r="C32" s="197"/>
      <c r="D32" s="197"/>
      <c r="E32" s="198"/>
      <c r="F32" s="76"/>
      <c r="G32" s="47" t="str">
        <f>G15</f>
        <v>Tesla - High Gloss Black</v>
      </c>
      <c r="H32" s="93"/>
      <c r="I32" s="156">
        <f>SUM(L16:L19)</f>
        <v>103.33333333333334</v>
      </c>
      <c r="J32" s="86"/>
      <c r="K32" s="75"/>
      <c r="L32" s="76"/>
      <c r="M32" s="146"/>
      <c r="P32" s="71"/>
      <c r="Q32" s="71"/>
      <c r="R32" s="71"/>
      <c r="S32" s="71"/>
      <c r="V32" s="145"/>
    </row>
    <row r="33" spans="1:28" ht="30.75" customHeight="1" x14ac:dyDescent="0.2">
      <c r="A33" s="196"/>
      <c r="B33" s="197"/>
      <c r="C33" s="197"/>
      <c r="D33" s="197"/>
      <c r="E33" s="198"/>
      <c r="G33" s="47" t="s">
        <v>253</v>
      </c>
      <c r="H33" s="93"/>
      <c r="I33" s="156">
        <f>SUM(D22:D25)</f>
        <v>0</v>
      </c>
      <c r="J33" s="86"/>
      <c r="M33" s="146"/>
      <c r="P33" s="71"/>
      <c r="Q33" s="71"/>
      <c r="R33" s="71"/>
      <c r="S33" s="71"/>
      <c r="V33" s="145"/>
    </row>
    <row r="34" spans="1:28" ht="24" customHeight="1" x14ac:dyDescent="0.2">
      <c r="A34" s="196"/>
      <c r="B34" s="197"/>
      <c r="C34" s="197"/>
      <c r="D34" s="197"/>
      <c r="E34" s="198"/>
      <c r="G34" s="45" t="str">
        <f>G21</f>
        <v>Miscellaneous</v>
      </c>
      <c r="H34" s="91"/>
      <c r="I34" s="156">
        <f>SUM(L22:L25)</f>
        <v>0</v>
      </c>
      <c r="J34" s="86"/>
      <c r="M34" s="146"/>
      <c r="P34" s="71"/>
      <c r="Q34" s="71"/>
      <c r="R34" s="71"/>
      <c r="S34" s="71"/>
      <c r="V34" s="145"/>
    </row>
    <row r="35" spans="1:28" ht="24" customHeight="1" x14ac:dyDescent="0.2">
      <c r="A35" s="196"/>
      <c r="B35" s="197"/>
      <c r="C35" s="197"/>
      <c r="D35" s="197"/>
      <c r="E35" s="198"/>
      <c r="G35" s="45"/>
      <c r="H35" s="91"/>
      <c r="I35" s="156"/>
      <c r="J35" s="86"/>
      <c r="M35" s="146"/>
      <c r="P35" s="71"/>
      <c r="Q35" s="71"/>
      <c r="R35" s="71"/>
      <c r="S35" s="71"/>
      <c r="V35" s="145"/>
    </row>
    <row r="36" spans="1:28" ht="24" customHeight="1" x14ac:dyDescent="0.2">
      <c r="A36" s="196"/>
      <c r="B36" s="197"/>
      <c r="C36" s="197"/>
      <c r="D36" s="197"/>
      <c r="E36" s="198"/>
      <c r="G36" s="48" t="s">
        <v>164</v>
      </c>
      <c r="H36" s="95"/>
      <c r="I36" s="157">
        <f>SUM(I29:I35)</f>
        <v>193.33333333333334</v>
      </c>
      <c r="J36" s="86"/>
      <c r="M36" s="146"/>
      <c r="P36" s="71"/>
      <c r="Q36" s="71"/>
      <c r="R36" s="71"/>
      <c r="S36" s="71"/>
      <c r="V36" s="145"/>
    </row>
    <row r="37" spans="1:28" ht="24" customHeight="1" x14ac:dyDescent="0.2">
      <c r="A37" s="196"/>
      <c r="B37" s="197"/>
      <c r="C37" s="197"/>
      <c r="D37" s="197"/>
      <c r="E37" s="198"/>
      <c r="G37" s="48"/>
      <c r="H37" s="95"/>
      <c r="I37" s="158"/>
      <c r="J37" s="86"/>
      <c r="M37" s="146"/>
      <c r="P37" s="71"/>
      <c r="Q37" s="71"/>
      <c r="R37" s="71"/>
      <c r="S37" s="71"/>
      <c r="V37" s="145"/>
    </row>
    <row r="38" spans="1:28" ht="24" customHeight="1" x14ac:dyDescent="0.2">
      <c r="A38" s="196"/>
      <c r="B38" s="197"/>
      <c r="C38" s="197"/>
      <c r="D38" s="197"/>
      <c r="E38" s="198"/>
      <c r="G38" s="45" t="s">
        <v>17</v>
      </c>
      <c r="H38" s="91"/>
      <c r="I38" s="159">
        <f>(COUNTIF(I29:I35, "&gt;0")-1)*(IF(I36&gt;0, 12, 0))</f>
        <v>12</v>
      </c>
      <c r="J38" s="86"/>
      <c r="M38" s="146"/>
      <c r="P38" s="71"/>
      <c r="Q38" s="71"/>
      <c r="R38" s="71"/>
      <c r="S38" s="71"/>
      <c r="V38" s="145"/>
    </row>
    <row r="39" spans="1:28" ht="24" customHeight="1" x14ac:dyDescent="0.2">
      <c r="A39" s="196"/>
      <c r="B39" s="197"/>
      <c r="C39" s="197"/>
      <c r="D39" s="197"/>
      <c r="E39" s="198"/>
      <c r="G39" s="189"/>
      <c r="H39" s="190"/>
      <c r="I39" s="191"/>
      <c r="J39" s="86"/>
      <c r="M39" s="100"/>
      <c r="P39" s="71"/>
      <c r="Q39" s="71"/>
      <c r="R39" s="71"/>
      <c r="S39" s="71"/>
    </row>
    <row r="40" spans="1:28" ht="24" customHeight="1" thickBot="1" x14ac:dyDescent="0.25">
      <c r="A40" s="199"/>
      <c r="B40" s="200"/>
      <c r="C40" s="200"/>
      <c r="D40" s="200"/>
      <c r="E40" s="201"/>
      <c r="G40" s="96" t="s">
        <v>18</v>
      </c>
      <c r="H40" s="97"/>
      <c r="I40" s="160">
        <f>(I36+I38)/60</f>
        <v>3.4222222222222225</v>
      </c>
      <c r="J40" s="86"/>
      <c r="K40" s="151"/>
      <c r="L40" s="152"/>
      <c r="M40" s="100"/>
      <c r="P40" s="71"/>
      <c r="Q40" s="71"/>
      <c r="R40" s="71"/>
      <c r="S40" s="71"/>
    </row>
    <row r="41" spans="1:28" ht="24" customHeight="1" x14ac:dyDescent="0.25">
      <c r="G41" s="22"/>
      <c r="H41" s="22"/>
      <c r="I41" s="22"/>
      <c r="J41" s="28"/>
      <c r="M41" s="153"/>
      <c r="N41" s="153"/>
      <c r="O41" s="153"/>
      <c r="P41" s="154"/>
      <c r="R41" s="146"/>
      <c r="S41" s="146"/>
      <c r="AB41" s="145"/>
    </row>
    <row r="42" spans="1:28" ht="24" customHeight="1" x14ac:dyDescent="0.25">
      <c r="G42" s="101"/>
      <c r="H42" s="101"/>
      <c r="I42" s="101"/>
      <c r="J42" s="101"/>
      <c r="M42" s="101"/>
      <c r="N42" s="101"/>
      <c r="O42" s="101"/>
      <c r="P42" s="150"/>
      <c r="R42" s="146"/>
      <c r="S42" s="146"/>
      <c r="AB42" s="145"/>
    </row>
    <row r="43" spans="1:28" ht="24" customHeight="1" x14ac:dyDescent="0.25">
      <c r="G43" s="101"/>
      <c r="H43" s="101"/>
      <c r="I43" s="101"/>
      <c r="J43" s="101"/>
      <c r="M43" s="101"/>
      <c r="N43" s="101"/>
      <c r="O43" s="101"/>
      <c r="P43" s="150"/>
      <c r="S43" s="146"/>
      <c r="AB43" s="145"/>
    </row>
    <row r="44" spans="1:28" ht="24" customHeight="1" x14ac:dyDescent="0.25">
      <c r="G44" s="99"/>
      <c r="H44" s="99"/>
      <c r="I44" s="99"/>
      <c r="M44" s="99"/>
      <c r="N44" s="99"/>
      <c r="O44" s="99"/>
      <c r="P44" s="150"/>
      <c r="S44" s="146"/>
      <c r="AB44" s="145"/>
    </row>
    <row r="45" spans="1:28" ht="15" customHeight="1" x14ac:dyDescent="0.25">
      <c r="G45" s="22"/>
      <c r="H45" s="22"/>
      <c r="I45" s="22"/>
      <c r="J45" s="28"/>
      <c r="S45" s="71"/>
    </row>
    <row r="46" spans="1:28" ht="15" customHeight="1" x14ac:dyDescent="0.25">
      <c r="G46" s="22"/>
      <c r="H46" s="22"/>
      <c r="I46" s="22"/>
      <c r="J46" s="28"/>
      <c r="S46" s="71"/>
    </row>
    <row r="47" spans="1:28" x14ac:dyDescent="0.25">
      <c r="G47" s="22"/>
      <c r="H47" s="22"/>
      <c r="I47" s="22"/>
      <c r="J47" s="28"/>
    </row>
    <row r="48" spans="1:28" x14ac:dyDescent="0.25">
      <c r="G48" s="26"/>
      <c r="H48" s="26"/>
      <c r="I48" s="26"/>
      <c r="J48" s="29"/>
    </row>
    <row r="49" spans="7:10" x14ac:dyDescent="0.25">
      <c r="G49" s="26"/>
      <c r="H49" s="26"/>
      <c r="I49" s="26"/>
      <c r="J49" s="29"/>
    </row>
  </sheetData>
  <sheetProtection algorithmName="SHA-512" hashValue="1PLVTRcJOKtNnt6T2ML3vIP/ucpyhuud1tapBXBOQw51DQyqXh9AKBOBlKmySRh9IJVhf3JrkFp9L/XRozj29w==" saltValue="mLzvObCOshOiEXWPSZCpwQ==" spinCount="100000" sheet="1" formatCells="0"/>
  <mergeCells count="11">
    <mergeCell ref="G39:I39"/>
    <mergeCell ref="G21:J21"/>
    <mergeCell ref="A29:E40"/>
    <mergeCell ref="A28:E28"/>
    <mergeCell ref="C3:J4"/>
    <mergeCell ref="A15:D15"/>
    <mergeCell ref="G15:J15"/>
    <mergeCell ref="A5:D5"/>
    <mergeCell ref="G5:J5"/>
    <mergeCell ref="A3:A4"/>
    <mergeCell ref="A21:D21"/>
  </mergeCells>
  <printOptions horizontalCentered="1" verticalCentered="1"/>
  <pageMargins left="0.4" right="0.25" top="0.75" bottom="0.75" header="0.3" footer="0.3"/>
  <pageSetup scale="66" orientation="portrait" cellComments="asDisplayed" r:id="rId1"/>
  <headerFooter>
    <oddFooter>&amp;L8.2.2.1.6 101 Schedule Template.xlsx&amp;RCreated: 10/22/21TG
Revised: 11/4/25BT</oddFooter>
  </headerFooter>
  <ignoredErrors>
    <ignoredError sqref="C22:C2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2FDD-C412-42EB-B0E6-9699A5E453F7}">
  <sheetPr>
    <tabColor rgb="FF92D050"/>
    <pageSetUpPr fitToPage="1"/>
  </sheetPr>
  <dimension ref="A1:AB49"/>
  <sheetViews>
    <sheetView showGridLines="0" topLeftCell="A20" zoomScale="85" zoomScaleNormal="85" workbookViewId="0">
      <selection activeCell="G28" activeCellId="1" sqref="A5:J25 G28:I40"/>
    </sheetView>
  </sheetViews>
  <sheetFormatPr defaultColWidth="9" defaultRowHeight="18" x14ac:dyDescent="0.25"/>
  <cols>
    <col min="1" max="1" width="20.42578125" style="98" customWidth="1"/>
    <col min="2" max="2" width="9.85546875" style="71" hidden="1" customWidth="1"/>
    <col min="3" max="3" width="27.42578125" style="71" customWidth="1"/>
    <col min="4" max="4" width="7.140625" style="99" customWidth="1"/>
    <col min="5" max="5" width="4.28515625" style="100" customWidth="1"/>
    <col min="6" max="6" width="4.28515625" style="94" customWidth="1"/>
    <col min="7" max="7" width="20.5703125" style="102" customWidth="1"/>
    <col min="8" max="8" width="5.42578125" style="71" hidden="1" customWidth="1"/>
    <col min="9" max="9" width="27.42578125" style="71" customWidth="1"/>
    <col min="10" max="10" width="7.140625" style="99" customWidth="1"/>
    <col min="11" max="11" width="4.28515625" style="100" customWidth="1"/>
    <col min="12" max="12" width="4.28515625" style="94" customWidth="1"/>
    <col min="13" max="13" width="21.42578125" style="71" customWidth="1"/>
    <col min="14" max="14" width="21.42578125" style="71" hidden="1" customWidth="1"/>
    <col min="15" max="15" width="24.42578125" style="71" bestFit="1" customWidth="1"/>
    <col min="16" max="16" width="7.140625" style="99" customWidth="1"/>
    <col min="17" max="17" width="3.42578125" style="71" customWidth="1"/>
    <col min="18" max="18" width="2.5703125" style="71" customWidth="1"/>
    <col min="19" max="19" width="5" style="100" customWidth="1"/>
    <col min="20" max="27" width="10.85546875" style="71" customWidth="1"/>
    <col min="28" max="16384" width="9" style="71"/>
  </cols>
  <sheetData>
    <row r="1" spans="1:27" ht="27" x14ac:dyDescent="0.3">
      <c r="A1" s="30" t="s">
        <v>226</v>
      </c>
      <c r="B1" s="67"/>
      <c r="C1" s="68"/>
      <c r="D1" s="68"/>
      <c r="E1" s="69"/>
      <c r="F1" s="70"/>
      <c r="G1" s="71"/>
      <c r="H1" s="68"/>
      <c r="J1" s="71"/>
      <c r="K1" s="69"/>
      <c r="L1" s="70"/>
      <c r="N1" s="73"/>
      <c r="O1" s="161" t="s">
        <v>279</v>
      </c>
      <c r="P1" s="141"/>
    </row>
    <row r="2" spans="1:27" ht="27" x14ac:dyDescent="0.35">
      <c r="A2" s="30"/>
      <c r="B2" s="67"/>
      <c r="C2" s="72" t="s">
        <v>255</v>
      </c>
      <c r="D2" s="68"/>
      <c r="E2" s="69"/>
      <c r="F2" s="70"/>
      <c r="G2" s="73" t="s">
        <v>29</v>
      </c>
      <c r="H2" s="68"/>
      <c r="I2" s="32">
        <f>'Weekly Plan'!H1+1</f>
        <v>46007</v>
      </c>
      <c r="J2" s="32"/>
      <c r="K2" s="69"/>
      <c r="L2" s="70"/>
      <c r="M2" s="73"/>
      <c r="N2" s="73"/>
      <c r="O2" s="32"/>
      <c r="P2" s="141"/>
    </row>
    <row r="3" spans="1:27" s="105" customFormat="1" ht="19.5" customHeight="1" x14ac:dyDescent="0.2">
      <c r="A3" s="209" t="s">
        <v>14</v>
      </c>
      <c r="B3" s="74"/>
      <c r="C3" s="205" t="s">
        <v>275</v>
      </c>
      <c r="D3" s="205"/>
      <c r="E3" s="205"/>
      <c r="F3" s="205"/>
      <c r="G3" s="205"/>
      <c r="H3" s="205"/>
      <c r="I3" s="205"/>
      <c r="J3" s="205"/>
      <c r="K3" s="34"/>
      <c r="L3" s="35"/>
      <c r="M3" s="33"/>
      <c r="N3" s="33"/>
      <c r="O3" s="33"/>
      <c r="P3" s="33"/>
      <c r="Q3" s="33"/>
      <c r="R3" s="142"/>
      <c r="S3" s="142"/>
      <c r="T3" s="142"/>
      <c r="U3" s="142"/>
      <c r="V3" s="142"/>
      <c r="W3" s="142"/>
      <c r="X3" s="142"/>
      <c r="Y3" s="142"/>
      <c r="Z3" s="142"/>
      <c r="AA3" s="142"/>
    </row>
    <row r="4" spans="1:27" s="105" customFormat="1" ht="19.5" customHeight="1" thickBot="1" x14ac:dyDescent="0.25">
      <c r="A4" s="210"/>
      <c r="B4" s="74"/>
      <c r="C4" s="205"/>
      <c r="D4" s="205"/>
      <c r="E4" s="205"/>
      <c r="F4" s="205"/>
      <c r="G4" s="205"/>
      <c r="H4" s="205"/>
      <c r="I4" s="205"/>
      <c r="J4" s="205"/>
      <c r="K4" s="34"/>
      <c r="L4" s="35"/>
      <c r="M4" s="33"/>
      <c r="N4" s="33"/>
      <c r="O4" s="33"/>
      <c r="P4" s="33"/>
      <c r="Q4" s="33"/>
      <c r="R4" s="142"/>
      <c r="S4" s="142"/>
      <c r="T4" s="142"/>
      <c r="U4" s="142"/>
      <c r="V4" s="142"/>
      <c r="W4" s="142"/>
      <c r="X4" s="142"/>
      <c r="Y4" s="142"/>
      <c r="Z4" s="142"/>
      <c r="AA4" s="142"/>
    </row>
    <row r="5" spans="1:27" ht="24" customHeight="1" thickBot="1" x14ac:dyDescent="0.25">
      <c r="A5" s="206" t="s">
        <v>215</v>
      </c>
      <c r="B5" s="207"/>
      <c r="C5" s="207"/>
      <c r="D5" s="208"/>
      <c r="E5" s="75"/>
      <c r="F5" s="76"/>
      <c r="G5" s="192" t="s">
        <v>150</v>
      </c>
      <c r="H5" s="193"/>
      <c r="I5" s="194"/>
      <c r="J5" s="195"/>
      <c r="K5" s="75"/>
      <c r="L5" s="76"/>
      <c r="M5" s="143"/>
      <c r="P5" s="144"/>
      <c r="Q5" s="144"/>
      <c r="R5" s="144"/>
      <c r="S5" s="144"/>
      <c r="T5" s="144"/>
      <c r="U5" s="144"/>
      <c r="V5" s="144"/>
    </row>
    <row r="6" spans="1:27" ht="24" customHeight="1" x14ac:dyDescent="0.2">
      <c r="A6" s="56" t="str">
        <f>'Weekly Plan'!F4</f>
        <v>99944 Bezel</v>
      </c>
      <c r="B6" s="49" t="s">
        <v>166</v>
      </c>
      <c r="C6" s="56" t="str">
        <f>'Weekly Plan'!G4</f>
        <v>Bezel</v>
      </c>
      <c r="D6" s="37" t="str">
        <f>IF(INDEX('Weekly Plan'!$F$2:$M$79,MATCH(A6,'Weekly Plan'!$F$2:$F$79,0),MATCH($C$2,'Weekly Plan'!$F$2:$M$2,0))=0,"",INDEX('Weekly Plan'!$F$2:$M$79,MATCH(A6,'Weekly Plan'!$F$2:$F$79,0),MATCH($C$2,'Weekly Plan'!$F$2:$M$2,0)))</f>
        <v/>
      </c>
      <c r="E6" s="38">
        <f>'Weekly Plan'!A4</f>
        <v>2</v>
      </c>
      <c r="F6" s="39">
        <f t="shared" ref="F6:F11" si="0">IFERROR(D6/E6,0)</f>
        <v>0</v>
      </c>
      <c r="G6" s="56" t="str">
        <f>'Weekly Plan'!F16</f>
        <v>VG0240BL0PA</v>
      </c>
      <c r="H6" s="64"/>
      <c r="I6" s="77" t="str">
        <f>'Weekly Plan'!G16</f>
        <v>C223 ACCSRY Spoiler</v>
      </c>
      <c r="J6" s="37" t="str">
        <f>IF(INDEX('Weekly Plan'!$F$2:$M$79,MATCH(G6,'Weekly Plan'!$F$2:$F$79,0),MATCH($C$2,'Weekly Plan'!$F$2:$M$2,0))=0,"",INDEX('Weekly Plan'!$F$2:$M$79,MATCH(G6,'Weekly Plan'!$F$2:$F$79,0),MATCH($C$2,'Weekly Plan'!$F$2:$M$2,0)))</f>
        <v/>
      </c>
      <c r="K6" s="38">
        <f>'Weekly Plan'!A16</f>
        <v>1</v>
      </c>
      <c r="L6" s="39">
        <f>IFERROR(J6/K6,0)</f>
        <v>0</v>
      </c>
      <c r="M6" s="100"/>
      <c r="P6" s="145"/>
      <c r="Q6" s="145"/>
      <c r="R6" s="145"/>
      <c r="S6" s="145"/>
      <c r="T6" s="145"/>
      <c r="U6" s="145"/>
      <c r="V6" s="145"/>
    </row>
    <row r="7" spans="1:27" ht="24" customHeight="1" x14ac:dyDescent="0.2">
      <c r="A7" s="58">
        <f>'Weekly Plan'!F5</f>
        <v>99633</v>
      </c>
      <c r="B7" s="51" t="s">
        <v>166</v>
      </c>
      <c r="C7" s="58" t="str">
        <f>'Weekly Plan'!G5</f>
        <v>IR Cover LH</v>
      </c>
      <c r="D7" s="37" t="str">
        <f>IF(INDEX('Weekly Plan'!$F$2:$M$79,MATCH(A7,'Weekly Plan'!$F$2:$F$79,0),MATCH($C$2,'Weekly Plan'!$F$2:$M$2,0))=0,"",INDEX('Weekly Plan'!$F$2:$M$79,MATCH(A7,'Weekly Plan'!$F$2:$F$79,0),MATCH($C$2,'Weekly Plan'!$F$2:$M$2,0)))</f>
        <v/>
      </c>
      <c r="E7" s="38">
        <f>'Weekly Plan'!A5</f>
        <v>20</v>
      </c>
      <c r="F7" s="39">
        <f t="shared" si="0"/>
        <v>0</v>
      </c>
      <c r="G7" s="58" t="str">
        <f>'Weekly Plan'!F17</f>
        <v>VG0241CM0PB</v>
      </c>
      <c r="H7" s="65"/>
      <c r="I7" s="78" t="str">
        <f>'Weekly Plan'!G17</f>
        <v>Y2XX Stanchion - LH</v>
      </c>
      <c r="J7" s="37" t="str">
        <f>IF(INDEX('Weekly Plan'!$F$2:$M$79,MATCH(G7,'Weekly Plan'!$F$2:$F$79,0),MATCH($C$2,'Weekly Plan'!$F$2:$M$2,0))=0,"",INDEX('Weekly Plan'!$F$2:$M$79,MATCH(G7,'Weekly Plan'!$F$2:$F$79,0),MATCH($C$2,'Weekly Plan'!$F$2:$M$2,0)))</f>
        <v/>
      </c>
      <c r="K7" s="38">
        <f>'Weekly Plan'!A17</f>
        <v>6</v>
      </c>
      <c r="L7" s="39">
        <f>IFERROR(J7/K7,0)</f>
        <v>0</v>
      </c>
      <c r="M7" s="100"/>
      <c r="P7" s="145"/>
      <c r="Q7" s="145"/>
      <c r="R7" s="145"/>
      <c r="S7" s="145"/>
      <c r="T7" s="145"/>
      <c r="U7" s="145"/>
      <c r="V7" s="145"/>
    </row>
    <row r="8" spans="1:27" ht="24" customHeight="1" x14ac:dyDescent="0.2">
      <c r="A8" s="58">
        <f>'Weekly Plan'!F6</f>
        <v>99646</v>
      </c>
      <c r="B8" s="51" t="s">
        <v>166</v>
      </c>
      <c r="C8" s="58" t="str">
        <f>'Weekly Plan'!G6</f>
        <v>IR Cover RH</v>
      </c>
      <c r="D8" s="37" t="str">
        <f>IF(INDEX('Weekly Plan'!$F$2:$M$79,MATCH(A8,'Weekly Plan'!$F$2:$F$79,0),MATCH($C$2,'Weekly Plan'!$F$2:$M$2,0))=0,"",INDEX('Weekly Plan'!$F$2:$M$79,MATCH(A8,'Weekly Plan'!$F$2:$F$79,0),MATCH($C$2,'Weekly Plan'!$F$2:$M$2,0)))</f>
        <v/>
      </c>
      <c r="E8" s="38">
        <f>'Weekly Plan'!A6</f>
        <v>20</v>
      </c>
      <c r="F8" s="39">
        <f t="shared" si="0"/>
        <v>0</v>
      </c>
      <c r="G8" s="58" t="str">
        <f>'Weekly Plan'!F18</f>
        <v>VG0241CM0PD</v>
      </c>
      <c r="H8" s="65"/>
      <c r="I8" s="78" t="str">
        <f>'Weekly Plan'!G18</f>
        <v>Y2XX Stanchion - RH</v>
      </c>
      <c r="J8" s="37" t="str">
        <f>IF(INDEX('Weekly Plan'!$F$2:$M$79,MATCH(G8,'Weekly Plan'!$F$2:$F$79,0),MATCH($C$2,'Weekly Plan'!$F$2:$M$2,0))=0,"",INDEX('Weekly Plan'!$F$2:$M$79,MATCH(G8,'Weekly Plan'!$F$2:$F$79,0),MATCH($C$2,'Weekly Plan'!$F$2:$M$2,0)))</f>
        <v/>
      </c>
      <c r="K8" s="38">
        <f>'Weekly Plan'!A18</f>
        <v>6</v>
      </c>
      <c r="L8" s="39">
        <f>IFERROR(J8/K8,0)</f>
        <v>0</v>
      </c>
      <c r="M8" s="100"/>
      <c r="P8" s="145"/>
      <c r="Q8" s="145"/>
      <c r="R8" s="145"/>
      <c r="S8" s="145"/>
      <c r="T8" s="145"/>
      <c r="U8" s="145"/>
      <c r="V8" s="145"/>
    </row>
    <row r="9" spans="1:27" ht="24" customHeight="1" x14ac:dyDescent="0.2">
      <c r="A9" s="58">
        <f>'Weekly Plan'!F7</f>
        <v>99635</v>
      </c>
      <c r="B9" s="51" t="s">
        <v>166</v>
      </c>
      <c r="C9" s="58" t="str">
        <f>'Weekly Plan'!G7</f>
        <v>Lateral Belt LH</v>
      </c>
      <c r="D9" s="37" t="str">
        <f>IF(INDEX('Weekly Plan'!$F$2:$M$79,MATCH(A9,'Weekly Plan'!$F$2:$F$79,0),MATCH($C$2,'Weekly Plan'!$F$2:$M$2,0))=0,"",INDEX('Weekly Plan'!$F$2:$M$79,MATCH(A9,'Weekly Plan'!$F$2:$F$79,0),MATCH($C$2,'Weekly Plan'!$F$2:$M$2,0)))</f>
        <v/>
      </c>
      <c r="E9" s="38">
        <f>'Weekly Plan'!A7</f>
        <v>6</v>
      </c>
      <c r="F9" s="39">
        <f t="shared" si="0"/>
        <v>0</v>
      </c>
      <c r="G9" s="58" t="str">
        <f>'Weekly Plan'!F19</f>
        <v>VG0241CM0PC</v>
      </c>
      <c r="H9" s="65"/>
      <c r="I9" s="78" t="str">
        <f>'Weekly Plan'!G19</f>
        <v>Y2XX Stanchion - Center</v>
      </c>
      <c r="J9" s="37" t="str">
        <f>IF(INDEX('Weekly Plan'!$F$2:$M$79,MATCH(G9,'Weekly Plan'!$F$2:$F$79,0),MATCH($C$2,'Weekly Plan'!$F$2:$M$2,0))=0,"",INDEX('Weekly Plan'!$F$2:$M$79,MATCH(G9,'Weekly Plan'!$F$2:$F$79,0),MATCH($C$2,'Weekly Plan'!$F$2:$M$2,0)))</f>
        <v/>
      </c>
      <c r="K9" s="38">
        <f>'Weekly Plan'!A19</f>
        <v>6</v>
      </c>
      <c r="L9" s="39">
        <f>IFERROR(J9/K9,0)</f>
        <v>0</v>
      </c>
      <c r="M9" s="146"/>
      <c r="P9" s="145"/>
      <c r="Q9" s="145"/>
      <c r="R9" s="145"/>
      <c r="S9" s="145"/>
      <c r="T9" s="145"/>
      <c r="U9" s="145"/>
      <c r="V9" s="145"/>
    </row>
    <row r="10" spans="1:27" ht="24" customHeight="1" x14ac:dyDescent="0.2">
      <c r="A10" s="58">
        <f>'Weekly Plan'!F8</f>
        <v>99944</v>
      </c>
      <c r="B10" s="51" t="s">
        <v>166</v>
      </c>
      <c r="C10" s="58" t="str">
        <f>'Weekly Plan'!G8</f>
        <v>Lateral Belt RH</v>
      </c>
      <c r="D10" s="37" t="str">
        <f>IF(INDEX('Weekly Plan'!$F$2:$M$79,MATCH(A10,'Weekly Plan'!$F$2:$F$79,0),MATCH($C$2,'Weekly Plan'!$F$2:$M$2,0))=0,"",INDEX('Weekly Plan'!$F$2:$M$79,MATCH(A10,'Weekly Plan'!$F$2:$F$79,0),MATCH($C$2,'Weekly Plan'!$F$2:$M$2,0)))</f>
        <v/>
      </c>
      <c r="E10" s="38">
        <f>'Weekly Plan'!A8</f>
        <v>6</v>
      </c>
      <c r="F10" s="39">
        <f t="shared" si="0"/>
        <v>0</v>
      </c>
      <c r="G10" s="58" t="str">
        <f>'Weekly Plan'!F20</f>
        <v>VG0241CM0PE</v>
      </c>
      <c r="H10" s="65"/>
      <c r="I10" s="78" t="str">
        <f>'Weekly Plan'!G20</f>
        <v>Y2XX Winglet -LH</v>
      </c>
      <c r="J10" s="37" t="str">
        <f>IF(INDEX('Weekly Plan'!$F$2:$M$79,MATCH(G10,'Weekly Plan'!$F$2:$F$79,0),MATCH($C$2,'Weekly Plan'!$F$2:$M$2,0))=0,"",INDEX('Weekly Plan'!$F$2:$M$79,MATCH(G10,'Weekly Plan'!$F$2:$F$79,0),MATCH($C$2,'Weekly Plan'!$F$2:$M$2,0)))</f>
        <v/>
      </c>
      <c r="K10" s="38">
        <f>'Weekly Plan'!A20</f>
        <v>0</v>
      </c>
      <c r="L10" s="39">
        <f>IFERROR(J12/K10,0)</f>
        <v>0</v>
      </c>
      <c r="M10" s="146"/>
      <c r="P10" s="145"/>
      <c r="Q10" s="145"/>
      <c r="R10" s="145"/>
      <c r="S10" s="145"/>
      <c r="T10" s="145"/>
      <c r="U10" s="145"/>
      <c r="V10" s="145"/>
    </row>
    <row r="11" spans="1:27" ht="24" customHeight="1" thickBot="1" x14ac:dyDescent="0.25">
      <c r="A11" s="61">
        <f>'Weekly Plan'!F9</f>
        <v>99636</v>
      </c>
      <c r="B11" s="54" t="s">
        <v>166</v>
      </c>
      <c r="C11" s="61" t="str">
        <f>'Weekly Plan'!G9</f>
        <v>Rear Belt</v>
      </c>
      <c r="D11" s="40" t="str">
        <f>IF(INDEX('Weekly Plan'!$F$2:$M$79,MATCH(A11,'Weekly Plan'!$F$2:$F$79,0),MATCH($C$2,'Weekly Plan'!$F$2:$M$2,0))=0,"",INDEX('Weekly Plan'!$F$2:$M$79,MATCH(A11,'Weekly Plan'!$F$2:$F$79,0),MATCH($C$2,'Weekly Plan'!$F$2:$M$2,0)))</f>
        <v/>
      </c>
      <c r="E11" s="38">
        <f>'Weekly Plan'!A9</f>
        <v>20</v>
      </c>
      <c r="F11" s="39">
        <f t="shared" si="0"/>
        <v>0</v>
      </c>
      <c r="G11" s="58" t="str">
        <f>'Weekly Plan'!F21</f>
        <v>VG0241CM0PF</v>
      </c>
      <c r="H11" s="65"/>
      <c r="I11" s="78" t="str">
        <f>'Weekly Plan'!G21</f>
        <v>Y2XX Winglet -RH</v>
      </c>
      <c r="J11" s="37" t="str">
        <f>IF(INDEX('Weekly Plan'!$F$2:$M$79,MATCH(G11,'Weekly Plan'!$F$2:$F$79,0),MATCH($C$2,'Weekly Plan'!$F$2:$M$2,0))=0,"",INDEX('Weekly Plan'!$F$2:$M$79,MATCH(G11,'Weekly Plan'!$F$2:$F$79,0),MATCH($C$2,'Weekly Plan'!$F$2:$M$2,0)))</f>
        <v/>
      </c>
      <c r="K11" s="38">
        <f>'Weekly Plan'!A21</f>
        <v>0</v>
      </c>
      <c r="L11" s="39">
        <f>IFERROR(J13/K11,0)</f>
        <v>0</v>
      </c>
      <c r="M11" s="146"/>
      <c r="P11" s="145"/>
      <c r="Q11" s="145"/>
      <c r="R11" s="145"/>
      <c r="S11" s="145"/>
      <c r="T11" s="145"/>
      <c r="U11" s="145"/>
      <c r="V11" s="145"/>
    </row>
    <row r="12" spans="1:27" ht="24" customHeight="1" x14ac:dyDescent="0.2">
      <c r="A12" s="79"/>
      <c r="B12" s="79"/>
      <c r="C12" s="27"/>
      <c r="D12" s="80"/>
      <c r="E12" s="75"/>
      <c r="F12" s="76"/>
      <c r="G12" s="58" t="str">
        <f>'Weekly Plan'!F22</f>
        <v>VG0241CM0PG</v>
      </c>
      <c r="H12" s="65"/>
      <c r="I12" s="78" t="str">
        <f>'Weekly Plan'!G22</f>
        <v>Y2XX Screw Cover - LH</v>
      </c>
      <c r="J12" s="37" t="str">
        <f>IF(INDEX('Weekly Plan'!$F$2:$M$79,MATCH(G12,'Weekly Plan'!$F$2:$F$79,0),MATCH($C$2,'Weekly Plan'!$F$2:$M$2,0))=0,"",INDEX('Weekly Plan'!$F$2:$M$79,MATCH(G12,'Weekly Plan'!$F$2:$F$79,0),MATCH($C$2,'Weekly Plan'!$F$2:$M$2,0)))</f>
        <v/>
      </c>
      <c r="K12" s="38">
        <f>'Weekly Plan'!A22</f>
        <v>20</v>
      </c>
      <c r="L12" s="39">
        <f>IFERROR(J14/K12,0)</f>
        <v>0</v>
      </c>
      <c r="M12" s="146"/>
      <c r="P12" s="145"/>
      <c r="Q12" s="145"/>
      <c r="R12" s="145"/>
      <c r="S12" s="145"/>
      <c r="T12" s="145"/>
      <c r="U12" s="145"/>
      <c r="V12" s="145"/>
    </row>
    <row r="13" spans="1:27" ht="24" customHeight="1" thickBot="1" x14ac:dyDescent="0.25">
      <c r="A13" s="79"/>
      <c r="B13" s="79"/>
      <c r="C13" s="27"/>
      <c r="D13" s="80"/>
      <c r="E13" s="75"/>
      <c r="F13" s="76"/>
      <c r="G13" s="61" t="str">
        <f>'Weekly Plan'!F23</f>
        <v>VG0241CM0PH</v>
      </c>
      <c r="H13" s="66"/>
      <c r="I13" s="81" t="str">
        <f>'Weekly Plan'!G23</f>
        <v>Y2XX Screw Cover - RH</v>
      </c>
      <c r="J13" s="40" t="str">
        <f>IF(INDEX('Weekly Plan'!$F$2:$M$79,MATCH(G13,'Weekly Plan'!$F$2:$F$79,0),MATCH($C$2,'Weekly Plan'!$F$2:$M$2,0))=0,"",INDEX('Weekly Plan'!$F$2:$M$79,MATCH(G13,'Weekly Plan'!$F$2:$F$79,0),MATCH($C$2,'Weekly Plan'!$F$2:$M$2,0)))</f>
        <v/>
      </c>
      <c r="K13" s="38">
        <f>'Weekly Plan'!A23</f>
        <v>20</v>
      </c>
      <c r="L13" s="39">
        <f>IFERROR(J15/K13,0)</f>
        <v>0</v>
      </c>
      <c r="M13" s="147"/>
      <c r="P13" s="123"/>
      <c r="Q13" s="123"/>
      <c r="R13" s="123"/>
      <c r="S13" s="123"/>
      <c r="T13" s="123"/>
      <c r="U13" s="123"/>
      <c r="V13" s="123"/>
    </row>
    <row r="14" spans="1:27" ht="24" customHeight="1" thickBot="1" x14ac:dyDescent="0.25">
      <c r="A14" s="82"/>
      <c r="B14" s="82"/>
      <c r="C14" s="82"/>
      <c r="D14" s="80"/>
      <c r="E14" s="75"/>
      <c r="F14" s="76"/>
      <c r="G14" s="82"/>
      <c r="H14" s="82"/>
      <c r="I14" s="82"/>
      <c r="J14" s="83"/>
      <c r="K14" s="75"/>
      <c r="L14" s="76"/>
      <c r="M14" s="100"/>
      <c r="P14" s="71"/>
      <c r="S14" s="71"/>
    </row>
    <row r="15" spans="1:27" ht="24" customHeight="1" thickBot="1" x14ac:dyDescent="0.25">
      <c r="A15" s="206" t="s">
        <v>214</v>
      </c>
      <c r="B15" s="207"/>
      <c r="C15" s="207"/>
      <c r="D15" s="208"/>
      <c r="E15" s="75"/>
      <c r="F15" s="76"/>
      <c r="G15" s="192" t="s">
        <v>208</v>
      </c>
      <c r="H15" s="193"/>
      <c r="I15" s="194"/>
      <c r="J15" s="195"/>
      <c r="K15" s="75"/>
      <c r="L15" s="76"/>
      <c r="P15" s="71"/>
      <c r="S15" s="71"/>
    </row>
    <row r="16" spans="1:27" ht="24" customHeight="1" x14ac:dyDescent="0.2">
      <c r="A16" s="56">
        <f>'Weekly Plan'!F11</f>
        <v>99629</v>
      </c>
      <c r="B16" s="42" t="s">
        <v>122</v>
      </c>
      <c r="C16" s="57" t="str">
        <f>'Weekly Plan'!G11</f>
        <v>Main Lower Cover</v>
      </c>
      <c r="D16" s="37" t="str">
        <f>IF(INDEX('Weekly Plan'!$F$2:$M$79,MATCH(A16,'Weekly Plan'!$F$2:$F$79,0),MATCH($C$2,'Weekly Plan'!$F$2:$M$2,0))=0,"",INDEX('Weekly Plan'!$F$2:$M$79,MATCH(A16,'Weekly Plan'!$F$2:$F$79,0),MATCH($C$2,'Weekly Plan'!$F$2:$M$2,0)))</f>
        <v/>
      </c>
      <c r="E16" s="38">
        <f>'Weekly Plan'!A11</f>
        <v>1</v>
      </c>
      <c r="F16" s="39">
        <f>IFERROR(D16/E16,0)</f>
        <v>0</v>
      </c>
      <c r="G16" s="56" t="str">
        <f>'Weekly Plan'!F25</f>
        <v>9405929P</v>
      </c>
      <c r="H16" s="64"/>
      <c r="I16" s="57" t="str">
        <f>'Weekly Plan'!G25</f>
        <v>MX Applique</v>
      </c>
      <c r="J16" s="37" t="str">
        <f>IF(INDEX('Weekly Plan'!$F$2:$M$79,MATCH(G16,'Weekly Plan'!$F$2:$F$79,0),MATCH($C$2,'Weekly Plan'!$F$2:$M$2,0))=0,"",INDEX('Weekly Plan'!$F$2:$M$79,MATCH(G16,'Weekly Plan'!$F$2:$F$79,0),MATCH($C$2,'Weekly Plan'!$F$2:$M$2,0)))</f>
        <v/>
      </c>
      <c r="K16" s="38">
        <f>'Weekly Plan'!A25</f>
        <v>6</v>
      </c>
      <c r="L16" s="39">
        <f>IFERROR(J16/K16,0)</f>
        <v>0</v>
      </c>
      <c r="M16" s="146"/>
      <c r="P16" s="71"/>
      <c r="S16" s="71"/>
      <c r="V16" s="145"/>
    </row>
    <row r="17" spans="1:22" ht="24" customHeight="1" x14ac:dyDescent="0.2">
      <c r="A17" s="58">
        <f>'Weekly Plan'!F12</f>
        <v>99631</v>
      </c>
      <c r="B17" s="59" t="s">
        <v>122</v>
      </c>
      <c r="C17" s="60" t="str">
        <f>'Weekly Plan'!G12</f>
        <v>Main Upper Cover</v>
      </c>
      <c r="D17" s="37" t="str">
        <f>IF(INDEX('Weekly Plan'!$F$2:$M$79,MATCH(A17,'Weekly Plan'!$F$2:$F$79,0),MATCH($C$2,'Weekly Plan'!$F$2:$M$2,0))=0,"",INDEX('Weekly Plan'!$F$2:$M$79,MATCH(A17,'Weekly Plan'!$F$2:$F$79,0),MATCH($C$2,'Weekly Plan'!$F$2:$M$2,0)))</f>
        <v/>
      </c>
      <c r="E17" s="38">
        <f>'Weekly Plan'!A12</f>
        <v>1</v>
      </c>
      <c r="F17" s="39">
        <f>IFERROR(D17/E17,0)</f>
        <v>0</v>
      </c>
      <c r="G17" s="58" t="str">
        <f>'Weekly Plan'!F26</f>
        <v>9405930P</v>
      </c>
      <c r="H17" s="65"/>
      <c r="I17" s="60" t="str">
        <f>'Weekly Plan'!G26</f>
        <v>MS Applique</v>
      </c>
      <c r="J17" s="155" t="str">
        <f>IF(INDEX('Weekly Plan'!$F$2:$M$79,MATCH(G17,'Weekly Plan'!$F$2:$F$79,0),MATCH($C$2,'Weekly Plan'!$F$2:$M$2,0))=0,"",INDEX('Weekly Plan'!$F$2:$M$79,MATCH(G17,'Weekly Plan'!$F$2:$F$79,0),MATCH($C$2,'Weekly Plan'!$F$2:$M$2,0)))</f>
        <v/>
      </c>
      <c r="K17" s="38">
        <f>'Weekly Plan'!A26</f>
        <v>6</v>
      </c>
      <c r="L17" s="39">
        <f>IFERROR(J17/K17,0)</f>
        <v>0</v>
      </c>
      <c r="M17" s="146"/>
      <c r="P17" s="71"/>
      <c r="S17" s="71"/>
      <c r="V17" s="145"/>
    </row>
    <row r="18" spans="1:22" ht="24" customHeight="1" x14ac:dyDescent="0.2">
      <c r="A18" s="58">
        <f>'Weekly Plan'!F13</f>
        <v>99638</v>
      </c>
      <c r="B18" s="59" t="s">
        <v>122</v>
      </c>
      <c r="C18" s="60" t="str">
        <f>'Weekly Plan'!G13</f>
        <v>Rear Plate</v>
      </c>
      <c r="D18" s="37" t="str">
        <f>IF(INDEX('Weekly Plan'!$F$2:$M$79,MATCH(A18,'Weekly Plan'!$F$2:$F$79,0),MATCH($C$2,'Weekly Plan'!$F$2:$M$2,0))=0,"",INDEX('Weekly Plan'!$F$2:$M$79,MATCH(A18,'Weekly Plan'!$F$2:$F$79,0),MATCH($C$2,'Weekly Plan'!$F$2:$M$2,0)))</f>
        <v/>
      </c>
      <c r="E18" s="38">
        <f>'Weekly Plan'!A13</f>
        <v>20</v>
      </c>
      <c r="F18" s="39">
        <f>IFERROR(D18/E18,0)</f>
        <v>0</v>
      </c>
      <c r="G18" s="58" t="str">
        <f>'Weekly Plan'!F27</f>
        <v>9405929P-REW</v>
      </c>
      <c r="H18" s="65"/>
      <c r="I18" s="60" t="str">
        <f>'Weekly Plan'!G27</f>
        <v>MX Applique Rework</v>
      </c>
      <c r="J18" s="37" t="str">
        <f>IF(INDEX('Weekly Plan'!$F$2:$M$79,MATCH(G18,'Weekly Plan'!$F$2:$F$79,0),MATCH($C$2,'Weekly Plan'!$F$2:$M$2,0))=0,"",INDEX('Weekly Plan'!$F$2:$M$79,MATCH(G18,'Weekly Plan'!$F$2:$F$79,0),MATCH($C$2,'Weekly Plan'!$F$2:$M$2,0)))</f>
        <v/>
      </c>
      <c r="K18" s="38">
        <f>'Weekly Plan'!A27</f>
        <v>6</v>
      </c>
      <c r="L18" s="39">
        <f>IFERROR(J18/K18,0)</f>
        <v>0</v>
      </c>
      <c r="M18" s="146"/>
      <c r="P18" s="71"/>
      <c r="S18" s="71"/>
      <c r="V18" s="145"/>
    </row>
    <row r="19" spans="1:22" ht="24" customHeight="1" thickBot="1" x14ac:dyDescent="0.25">
      <c r="A19" s="61">
        <f>'Weekly Plan'!F14</f>
        <v>99630</v>
      </c>
      <c r="B19" s="62" t="s">
        <v>122</v>
      </c>
      <c r="C19" s="63" t="str">
        <f>'Weekly Plan'!G14</f>
        <v>Vent Cover</v>
      </c>
      <c r="D19" s="40" t="str">
        <f>IF(INDEX('Weekly Plan'!$F$2:$M$79,MATCH(A19,'Weekly Plan'!$F$2:$F$79,0),MATCH($C$2,'Weekly Plan'!$F$2:$M$2,0))=0,"",INDEX('Weekly Plan'!$F$2:$M$79,MATCH(A19,'Weekly Plan'!$F$2:$F$79,0),MATCH($C$2,'Weekly Plan'!$F$2:$M$2,0)))</f>
        <v/>
      </c>
      <c r="E19" s="38">
        <f>'Weekly Plan'!A14</f>
        <v>1</v>
      </c>
      <c r="F19" s="39">
        <f>IFERROR(D19/E19,0)</f>
        <v>0</v>
      </c>
      <c r="G19" s="61" t="str">
        <f>'Weekly Plan'!F28</f>
        <v>9405930P-REW</v>
      </c>
      <c r="H19" s="66"/>
      <c r="I19" s="63" t="str">
        <f>'Weekly Plan'!G28</f>
        <v>MS Applique Rework</v>
      </c>
      <c r="J19" s="40" t="str">
        <f>IF(INDEX('Weekly Plan'!$F$2:$M$79,MATCH(G19,'Weekly Plan'!$F$2:$F$79,0),MATCH($C$2,'Weekly Plan'!$F$2:$M$2,0))=0,"",INDEX('Weekly Plan'!$F$2:$M$79,MATCH(G19,'Weekly Plan'!$F$2:$F$79,0),MATCH($C$2,'Weekly Plan'!$F$2:$M$2,0)))</f>
        <v/>
      </c>
      <c r="K19" s="38">
        <f>'Weekly Plan'!A28</f>
        <v>6</v>
      </c>
      <c r="L19" s="39">
        <f>IFERROR(J19/K19,0)</f>
        <v>0</v>
      </c>
      <c r="M19" s="146"/>
      <c r="P19" s="71"/>
      <c r="S19" s="71"/>
      <c r="V19" s="145"/>
    </row>
    <row r="20" spans="1:22" ht="24" customHeight="1" thickBot="1" x14ac:dyDescent="0.25">
      <c r="A20" s="84"/>
      <c r="B20" s="84"/>
      <c r="C20" s="84"/>
      <c r="D20" s="80"/>
      <c r="E20" s="75"/>
      <c r="F20" s="76"/>
      <c r="G20" s="85"/>
      <c r="H20" s="85"/>
      <c r="I20" s="85"/>
      <c r="J20" s="86"/>
      <c r="K20" s="75"/>
      <c r="L20" s="76"/>
      <c r="M20" s="100"/>
      <c r="P20" s="71"/>
      <c r="S20" s="71"/>
    </row>
    <row r="21" spans="1:22" ht="24" customHeight="1" thickBot="1" x14ac:dyDescent="0.25">
      <c r="A21" s="206" t="s">
        <v>244</v>
      </c>
      <c r="B21" s="207"/>
      <c r="C21" s="207"/>
      <c r="D21" s="208"/>
      <c r="E21" s="75"/>
      <c r="F21" s="76"/>
      <c r="G21" s="192" t="s">
        <v>227</v>
      </c>
      <c r="H21" s="193"/>
      <c r="I21" s="194"/>
      <c r="J21" s="195"/>
      <c r="K21" s="75"/>
      <c r="L21" s="76"/>
      <c r="M21" s="85"/>
      <c r="P21" s="71"/>
      <c r="S21" s="71"/>
    </row>
    <row r="22" spans="1:22" ht="24" customHeight="1" x14ac:dyDescent="0.2">
      <c r="A22" s="41" t="str">
        <f>'Weekly Plan'!F31</f>
        <v>KB2352</v>
      </c>
      <c r="B22" s="42" t="s">
        <v>253</v>
      </c>
      <c r="C22" s="25" t="str">
        <f>'Weekly Plan'!G31</f>
        <v>W12 Roof Top Cover</v>
      </c>
      <c r="D22" s="37" t="str">
        <f>IF(INDEX('Weekly Plan'!$F$2:$M$79,MATCH(A22,'Weekly Plan'!$F$2:$F$79,0),MATCH($C$2,'Weekly Plan'!$F$2:$M$2,0))=0,"",INDEX('Weekly Plan'!$F$2:$M$79,MATCH(A22,'Weekly Plan'!$F$2:$F$79,0),MATCH($C$2,'Weekly Plan'!$F$2:$M$2,0)))</f>
        <v/>
      </c>
      <c r="E22" s="38">
        <f>'Weekly Plan'!A31</f>
        <v>1</v>
      </c>
      <c r="F22" s="39">
        <f>IFERROR(D22/E22,0)</f>
        <v>0</v>
      </c>
      <c r="G22" s="49" t="str">
        <f>'Weekly Plan'!F36</f>
        <v>PART#1</v>
      </c>
      <c r="H22" s="50"/>
      <c r="I22" s="42"/>
      <c r="J22" s="37" t="str">
        <f>IF(INDEX('Weekly Plan'!$F$2:$M$79,MATCH(G22,'Weekly Plan'!$F$2:$F$79,0),MATCH($C$2,'Weekly Plan'!$F$2:$M$2,0))=0,"",INDEX('Weekly Plan'!$F$2:$M$79,MATCH(G22,'Weekly Plan'!$F$2:$F$79,0),MATCH($C$2,'Weekly Plan'!$F$2:$M$2,0)))</f>
        <v/>
      </c>
      <c r="K22" s="38">
        <f>'Weekly Plan'!A36</f>
        <v>0</v>
      </c>
      <c r="L22" s="39">
        <f t="shared" ref="L22:L25" si="1">IFERROR(J22/K22,0)</f>
        <v>0</v>
      </c>
      <c r="P22" s="71"/>
      <c r="S22" s="71"/>
      <c r="U22" s="145"/>
    </row>
    <row r="23" spans="1:22" ht="24" customHeight="1" x14ac:dyDescent="0.2">
      <c r="A23" s="41" t="str">
        <f>'Weekly Plan'!F32</f>
        <v>KB2369</v>
      </c>
      <c r="B23" s="42" t="s">
        <v>253</v>
      </c>
      <c r="C23" s="25" t="str">
        <f>'Weekly Plan'!G32</f>
        <v>W12 Mech Bezel Pod 1</v>
      </c>
      <c r="D23" s="37" t="str">
        <f>IF(INDEX('Weekly Plan'!$F$2:$M$79,MATCH(A23,'Weekly Plan'!$F$2:$F$79,0),MATCH($C$2,'Weekly Plan'!$F$2:$M$2,0))=0,"",INDEX('Weekly Plan'!$F$2:$M$79,MATCH(A23,'Weekly Plan'!$F$2:$F$79,0),MATCH($C$2,'Weekly Plan'!$F$2:$M$2,0)))</f>
        <v/>
      </c>
      <c r="E23" s="38">
        <f>'Weekly Plan'!A32</f>
        <v>4</v>
      </c>
      <c r="F23" s="39">
        <f>IFERROR(D23/E23,0)</f>
        <v>0</v>
      </c>
      <c r="G23" s="51" t="str">
        <f>'Weekly Plan'!F37</f>
        <v>PART#2</v>
      </c>
      <c r="H23" s="52"/>
      <c r="I23" s="53"/>
      <c r="J23" s="37" t="str">
        <f>IF(INDEX('Weekly Plan'!$F$2:$M$79,MATCH(G23,'Weekly Plan'!$F$2:$F$79,0),MATCH($C$2,'Weekly Plan'!$F$2:$M$2,0))=0,"",INDEX('Weekly Plan'!$F$2:$M$79,MATCH(G23,'Weekly Plan'!$F$2:$F$79,0),MATCH($C$2,'Weekly Plan'!$F$2:$M$2,0)))</f>
        <v/>
      </c>
      <c r="K23" s="38">
        <f>'Weekly Plan'!A37</f>
        <v>0</v>
      </c>
      <c r="L23" s="39">
        <f t="shared" si="1"/>
        <v>0</v>
      </c>
      <c r="P23" s="71"/>
      <c r="S23" s="71"/>
      <c r="U23" s="145"/>
    </row>
    <row r="24" spans="1:22" ht="24" customHeight="1" x14ac:dyDescent="0.2">
      <c r="A24" s="41" t="str">
        <f>'Weekly Plan'!F33</f>
        <v>KB2370L</v>
      </c>
      <c r="B24" s="42" t="s">
        <v>253</v>
      </c>
      <c r="C24" s="162" t="str">
        <f>'Weekly Plan'!G33</f>
        <v>W12 LH Cover Body Closeout Pod 5</v>
      </c>
      <c r="D24" s="37" t="str">
        <f>IF(INDEX('Weekly Plan'!$F$2:$M$79,MATCH(A24,'Weekly Plan'!$F$2:$F$79,0),MATCH($C$2,'Weekly Plan'!$F$2:$M$2,0))=0,"",INDEX('Weekly Plan'!$F$2:$M$79,MATCH(A24,'Weekly Plan'!$F$2:$F$79,0),MATCH($C$2,'Weekly Plan'!$F$2:$M$2,0)))</f>
        <v/>
      </c>
      <c r="E24" s="38">
        <f>'Weekly Plan'!A33</f>
        <v>4</v>
      </c>
      <c r="F24" s="39">
        <f>IFERROR(D24/E24,0)</f>
        <v>0</v>
      </c>
      <c r="G24" s="51" t="str">
        <f>'Weekly Plan'!F38</f>
        <v>PART#3</v>
      </c>
      <c r="H24" s="52"/>
      <c r="I24" s="23"/>
      <c r="J24" s="37" t="str">
        <f>IF(INDEX('Weekly Plan'!$F$2:$M$79,MATCH(G24,'Weekly Plan'!$F$2:$F$79,0),MATCH($C$2,'Weekly Plan'!$F$2:$M$2,0))=0,"",INDEX('Weekly Plan'!$F$2:$M$79,MATCH(G24,'Weekly Plan'!$F$2:$F$79,0),MATCH($C$2,'Weekly Plan'!$F$2:$M$2,0)))</f>
        <v/>
      </c>
      <c r="K24" s="38">
        <f>'Weekly Plan'!A38</f>
        <v>0</v>
      </c>
      <c r="L24" s="39">
        <f t="shared" si="1"/>
        <v>0</v>
      </c>
      <c r="P24" s="71"/>
      <c r="S24" s="71"/>
      <c r="U24" s="145"/>
    </row>
    <row r="25" spans="1:22" ht="24" customHeight="1" thickBot="1" x14ac:dyDescent="0.25">
      <c r="A25" s="43" t="str">
        <f>'Weekly Plan'!F34</f>
        <v>KB2370R</v>
      </c>
      <c r="B25" s="44" t="s">
        <v>253</v>
      </c>
      <c r="C25" s="163" t="str">
        <f>'Weekly Plan'!G34</f>
        <v>W12 RH Cover Body Closeout Pod 6</v>
      </c>
      <c r="D25" s="40" t="str">
        <f>IF(INDEX('Weekly Plan'!$F$2:$M$79,MATCH(A25,'Weekly Plan'!$F$2:$F$79,0),MATCH($C$2,'Weekly Plan'!$F$2:$M$2,0))=0,"",INDEX('Weekly Plan'!$F$2:$M$79,MATCH(A25,'Weekly Plan'!$F$2:$F$79,0),MATCH($C$2,'Weekly Plan'!$F$2:$M$2,0)))</f>
        <v/>
      </c>
      <c r="E25" s="38">
        <f>'Weekly Plan'!A34</f>
        <v>4</v>
      </c>
      <c r="F25" s="39">
        <f>IFERROR(D25/E25,0)</f>
        <v>0</v>
      </c>
      <c r="G25" s="54" t="str">
        <f>'Weekly Plan'!F39</f>
        <v>PART#4</v>
      </c>
      <c r="H25" s="55"/>
      <c r="I25" s="24"/>
      <c r="J25" s="40" t="str">
        <f>IF(INDEX('Weekly Plan'!$F$2:$M$79,MATCH(G25,'Weekly Plan'!$F$2:$F$79,0),MATCH($C$2,'Weekly Plan'!$F$2:$M$2,0))=0,"",INDEX('Weekly Plan'!$F$2:$M$79,MATCH(G25,'Weekly Plan'!$F$2:$F$79,0),MATCH($C$2,'Weekly Plan'!$F$2:$M$2,0)))</f>
        <v/>
      </c>
      <c r="K25" s="38">
        <f>'Weekly Plan'!A39</f>
        <v>0</v>
      </c>
      <c r="L25" s="39">
        <f t="shared" si="1"/>
        <v>0</v>
      </c>
      <c r="P25" s="71"/>
      <c r="S25" s="71"/>
      <c r="U25" s="145"/>
    </row>
    <row r="26" spans="1:22" ht="24" customHeight="1" x14ac:dyDescent="0.2">
      <c r="A26" s="79"/>
      <c r="B26" s="79"/>
      <c r="C26" s="27"/>
      <c r="D26" s="80"/>
      <c r="E26" s="75"/>
      <c r="F26" s="76"/>
      <c r="G26" s="85"/>
      <c r="H26" s="85"/>
      <c r="I26" s="85"/>
      <c r="J26" s="86"/>
      <c r="K26" s="75"/>
      <c r="L26" s="76"/>
      <c r="M26" s="146">
        <v>18</v>
      </c>
      <c r="P26" s="71"/>
      <c r="S26" s="71"/>
      <c r="V26" s="145"/>
    </row>
    <row r="27" spans="1:22" ht="24" customHeight="1" thickBot="1" x14ac:dyDescent="0.25">
      <c r="A27" s="79"/>
      <c r="B27" s="79"/>
      <c r="C27" s="27"/>
      <c r="D27" s="80"/>
      <c r="E27" s="75"/>
      <c r="F27" s="76"/>
      <c r="G27" s="85"/>
      <c r="H27" s="85"/>
      <c r="I27" s="85"/>
      <c r="J27" s="86"/>
      <c r="K27" s="75"/>
      <c r="L27" s="76"/>
      <c r="M27" s="146"/>
      <c r="P27" s="71"/>
      <c r="S27" s="71"/>
      <c r="V27" s="145"/>
    </row>
    <row r="28" spans="1:22" ht="24" customHeight="1" thickBot="1" x14ac:dyDescent="0.25">
      <c r="A28" s="202" t="s">
        <v>278</v>
      </c>
      <c r="B28" s="203"/>
      <c r="C28" s="203"/>
      <c r="D28" s="203"/>
      <c r="E28" s="204"/>
      <c r="F28" s="76"/>
      <c r="G28" s="87" t="s">
        <v>15</v>
      </c>
      <c r="H28" s="88"/>
      <c r="I28" s="89" t="s">
        <v>16</v>
      </c>
      <c r="J28" s="86"/>
      <c r="K28" s="75"/>
      <c r="L28" s="76"/>
      <c r="M28" s="100"/>
      <c r="P28" s="71"/>
      <c r="S28" s="71"/>
    </row>
    <row r="29" spans="1:22" ht="24" customHeight="1" x14ac:dyDescent="0.2">
      <c r="A29" s="196"/>
      <c r="B29" s="197"/>
      <c r="C29" s="197"/>
      <c r="D29" s="197"/>
      <c r="E29" s="198"/>
      <c r="F29" s="90"/>
      <c r="G29" s="45" t="str">
        <f>A5</f>
        <v>Black - Laval</v>
      </c>
      <c r="H29" s="91"/>
      <c r="I29" s="156">
        <f>SUM(F6:F11)</f>
        <v>0</v>
      </c>
      <c r="J29" s="86"/>
      <c r="K29" s="148"/>
      <c r="L29" s="90"/>
      <c r="M29" s="100"/>
      <c r="P29" s="71"/>
      <c r="S29" s="71"/>
    </row>
    <row r="30" spans="1:22" ht="24" customHeight="1" x14ac:dyDescent="0.2">
      <c r="A30" s="196"/>
      <c r="B30" s="197"/>
      <c r="C30" s="197"/>
      <c r="D30" s="197"/>
      <c r="E30" s="198"/>
      <c r="F30" s="90"/>
      <c r="G30" s="46" t="str">
        <f>A15</f>
        <v>Summit White - Laval</v>
      </c>
      <c r="H30" s="92"/>
      <c r="I30" s="156">
        <f>SUM(F16:F19)</f>
        <v>0</v>
      </c>
      <c r="J30" s="86"/>
      <c r="K30" s="148"/>
      <c r="L30" s="90"/>
      <c r="M30" s="100">
        <v>21</v>
      </c>
      <c r="P30" s="71"/>
      <c r="S30" s="71"/>
    </row>
    <row r="31" spans="1:22" ht="24" customHeight="1" x14ac:dyDescent="0.2">
      <c r="A31" s="196"/>
      <c r="B31" s="197"/>
      <c r="C31" s="197"/>
      <c r="D31" s="197"/>
      <c r="E31" s="198"/>
      <c r="F31" s="76"/>
      <c r="G31" s="46" t="str">
        <f>G5</f>
        <v>Metelix</v>
      </c>
      <c r="H31" s="92"/>
      <c r="I31" s="156">
        <f>SUM(L6:L13)</f>
        <v>0</v>
      </c>
      <c r="J31" s="86"/>
      <c r="K31" s="75"/>
      <c r="L31" s="76"/>
      <c r="M31" s="146"/>
      <c r="P31" s="71"/>
      <c r="S31" s="71"/>
      <c r="V31" s="145"/>
    </row>
    <row r="32" spans="1:22" ht="24" customHeight="1" x14ac:dyDescent="0.2">
      <c r="A32" s="196"/>
      <c r="B32" s="197"/>
      <c r="C32" s="197"/>
      <c r="D32" s="197"/>
      <c r="E32" s="198"/>
      <c r="F32" s="76"/>
      <c r="G32" s="47" t="str">
        <f>G15</f>
        <v>Tesla - High Gloss Black</v>
      </c>
      <c r="H32" s="93"/>
      <c r="I32" s="156">
        <f>SUM(L16:L19)</f>
        <v>0</v>
      </c>
      <c r="J32" s="86"/>
      <c r="K32" s="75"/>
      <c r="L32" s="76"/>
      <c r="M32" s="146"/>
      <c r="P32" s="71"/>
      <c r="S32" s="71"/>
      <c r="V32" s="145"/>
    </row>
    <row r="33" spans="1:28" ht="24" customHeight="1" x14ac:dyDescent="0.2">
      <c r="A33" s="196"/>
      <c r="B33" s="197"/>
      <c r="C33" s="197"/>
      <c r="D33" s="197"/>
      <c r="E33" s="198"/>
      <c r="G33" s="47" t="s">
        <v>253</v>
      </c>
      <c r="H33" s="93"/>
      <c r="I33" s="156">
        <f>SUM(D22:D25)</f>
        <v>0</v>
      </c>
      <c r="J33" s="86"/>
      <c r="M33" s="146"/>
      <c r="P33" s="71"/>
      <c r="S33" s="71"/>
      <c r="V33" s="145"/>
    </row>
    <row r="34" spans="1:28" ht="24" customHeight="1" x14ac:dyDescent="0.2">
      <c r="A34" s="196"/>
      <c r="B34" s="197"/>
      <c r="C34" s="197"/>
      <c r="D34" s="197"/>
      <c r="E34" s="198"/>
      <c r="G34" s="45" t="str">
        <f>G21</f>
        <v>Miscellaneous</v>
      </c>
      <c r="H34" s="91"/>
      <c r="I34" s="156">
        <f>SUM(L22:L25)</f>
        <v>0</v>
      </c>
      <c r="J34" s="86"/>
      <c r="M34" s="146"/>
      <c r="P34" s="71"/>
      <c r="S34" s="71"/>
      <c r="V34" s="145"/>
    </row>
    <row r="35" spans="1:28" ht="24" customHeight="1" x14ac:dyDescent="0.2">
      <c r="A35" s="196"/>
      <c r="B35" s="197"/>
      <c r="C35" s="197"/>
      <c r="D35" s="197"/>
      <c r="E35" s="198"/>
      <c r="G35" s="45"/>
      <c r="H35" s="91"/>
      <c r="I35" s="156"/>
      <c r="J35" s="86"/>
      <c r="M35" s="146"/>
      <c r="P35" s="71"/>
      <c r="S35" s="71"/>
      <c r="V35" s="145"/>
    </row>
    <row r="36" spans="1:28" ht="30.75" customHeight="1" x14ac:dyDescent="0.2">
      <c r="A36" s="196"/>
      <c r="B36" s="197"/>
      <c r="C36" s="197"/>
      <c r="D36" s="197"/>
      <c r="E36" s="198"/>
      <c r="G36" s="48" t="s">
        <v>164</v>
      </c>
      <c r="H36" s="95"/>
      <c r="I36" s="157">
        <f>SUM(I29:I35)</f>
        <v>0</v>
      </c>
      <c r="J36" s="86"/>
      <c r="M36" s="146">
        <v>4</v>
      </c>
      <c r="P36" s="71"/>
      <c r="S36" s="71"/>
      <c r="V36" s="145"/>
    </row>
    <row r="37" spans="1:28" ht="30.75" customHeight="1" x14ac:dyDescent="0.2">
      <c r="A37" s="196"/>
      <c r="B37" s="197"/>
      <c r="C37" s="197"/>
      <c r="D37" s="197"/>
      <c r="E37" s="198"/>
      <c r="G37" s="48"/>
      <c r="H37" s="95"/>
      <c r="I37" s="158"/>
      <c r="J37" s="86"/>
      <c r="M37" s="146">
        <v>2</v>
      </c>
      <c r="P37" s="71"/>
      <c r="S37" s="71"/>
      <c r="V37" s="145"/>
    </row>
    <row r="38" spans="1:28" ht="24" customHeight="1" x14ac:dyDescent="0.2">
      <c r="A38" s="196"/>
      <c r="B38" s="197"/>
      <c r="C38" s="197"/>
      <c r="D38" s="197"/>
      <c r="E38" s="198"/>
      <c r="G38" s="45" t="s">
        <v>17</v>
      </c>
      <c r="H38" s="91"/>
      <c r="I38" s="159">
        <f>(COUNTIF(I29:I35, "&gt;0")-1)*(IF(I36&gt;0, 12, 0))</f>
        <v>0</v>
      </c>
      <c r="J38" s="86"/>
      <c r="M38" s="146"/>
      <c r="P38" s="71"/>
      <c r="S38" s="71"/>
      <c r="V38" s="145"/>
    </row>
    <row r="39" spans="1:28" ht="24" customHeight="1" x14ac:dyDescent="0.2">
      <c r="A39" s="196"/>
      <c r="B39" s="197"/>
      <c r="C39" s="197"/>
      <c r="D39" s="197"/>
      <c r="E39" s="198"/>
      <c r="G39" s="189"/>
      <c r="H39" s="190"/>
      <c r="I39" s="191"/>
      <c r="J39" s="86"/>
      <c r="M39" s="146">
        <v>1</v>
      </c>
      <c r="P39" s="71"/>
      <c r="S39" s="71"/>
      <c r="V39" s="145"/>
    </row>
    <row r="40" spans="1:28" ht="24" customHeight="1" thickBot="1" x14ac:dyDescent="0.25">
      <c r="A40" s="199"/>
      <c r="B40" s="200"/>
      <c r="C40" s="200"/>
      <c r="D40" s="200"/>
      <c r="E40" s="201"/>
      <c r="G40" s="96" t="s">
        <v>18</v>
      </c>
      <c r="H40" s="97"/>
      <c r="I40" s="160">
        <f>(I36+I38)/60</f>
        <v>0</v>
      </c>
      <c r="J40" s="86"/>
      <c r="K40" s="151"/>
      <c r="L40" s="152"/>
      <c r="M40" s="146"/>
      <c r="P40" s="71"/>
      <c r="S40" s="71"/>
      <c r="V40" s="145"/>
    </row>
    <row r="41" spans="1:28" ht="24" customHeight="1" x14ac:dyDescent="0.25">
      <c r="G41" s="22"/>
      <c r="H41" s="22"/>
      <c r="I41" s="22"/>
      <c r="J41" s="28"/>
      <c r="M41" s="146">
        <v>4</v>
      </c>
      <c r="P41" s="71"/>
      <c r="S41" s="71"/>
      <c r="V41" s="145"/>
    </row>
    <row r="42" spans="1:28" ht="24" customHeight="1" x14ac:dyDescent="0.25">
      <c r="G42" s="22"/>
      <c r="H42" s="22"/>
      <c r="I42" s="22"/>
      <c r="J42" s="101"/>
      <c r="M42" s="146">
        <v>2</v>
      </c>
      <c r="P42" s="71"/>
      <c r="S42" s="71"/>
      <c r="V42" s="145"/>
    </row>
    <row r="43" spans="1:28" ht="24" customHeight="1" x14ac:dyDescent="0.25">
      <c r="G43" s="22"/>
      <c r="H43" s="22"/>
      <c r="I43" s="22"/>
      <c r="J43" s="101"/>
      <c r="M43" s="100">
        <v>1</v>
      </c>
      <c r="P43" s="71"/>
      <c r="S43" s="71"/>
    </row>
    <row r="44" spans="1:28" ht="24" customHeight="1" x14ac:dyDescent="0.25">
      <c r="G44" s="26"/>
      <c r="H44" s="26"/>
      <c r="I44" s="26"/>
      <c r="M44" s="100">
        <v>1</v>
      </c>
      <c r="P44" s="71"/>
      <c r="S44" s="71"/>
    </row>
    <row r="45" spans="1:28" ht="24" customHeight="1" x14ac:dyDescent="0.25">
      <c r="G45" s="26"/>
      <c r="H45" s="26"/>
      <c r="I45" s="26"/>
      <c r="J45" s="28"/>
      <c r="M45" s="153"/>
      <c r="N45" s="153"/>
      <c r="O45" s="153"/>
      <c r="P45" s="154"/>
      <c r="R45" s="145"/>
      <c r="S45" s="146"/>
      <c r="AB45" s="145"/>
    </row>
    <row r="46" spans="1:28" ht="15" customHeight="1" x14ac:dyDescent="0.25">
      <c r="J46" s="28"/>
      <c r="S46" s="71"/>
    </row>
    <row r="47" spans="1:28" x14ac:dyDescent="0.25">
      <c r="J47" s="28"/>
    </row>
    <row r="48" spans="1:28" x14ac:dyDescent="0.25">
      <c r="J48" s="29"/>
    </row>
    <row r="49" spans="10:10" x14ac:dyDescent="0.25">
      <c r="J49" s="29"/>
    </row>
  </sheetData>
  <sheetProtection algorithmName="SHA-512" hashValue="oOChM0T6kqPizZW/Gb5VEwAei+shqZlfyDjAHljGX3UnrMKbbIkxEg0se58Qc5lpqpOPOf4whhhumVcOY9vo7A==" saltValue="NK6EnTx3QWYk6yEe6qFzcg==" spinCount="100000" sheet="1" formatCells="0"/>
  <mergeCells count="11">
    <mergeCell ref="A3:A4"/>
    <mergeCell ref="A5:D5"/>
    <mergeCell ref="G5:J5"/>
    <mergeCell ref="C3:J4"/>
    <mergeCell ref="A15:D15"/>
    <mergeCell ref="G15:J15"/>
    <mergeCell ref="G21:J21"/>
    <mergeCell ref="A21:D21"/>
    <mergeCell ref="A28:E28"/>
    <mergeCell ref="A29:E40"/>
    <mergeCell ref="G39:I39"/>
  </mergeCells>
  <printOptions horizontalCentered="1" verticalCentered="1"/>
  <pageMargins left="0.4" right="0.25" top="0.75" bottom="0.75" header="0.3" footer="0.3"/>
  <pageSetup scale="71" orientation="portrait" cellComments="asDisplayed" r:id="rId1"/>
  <headerFooter>
    <oddFooter>&amp;L8.2.2.1.6 101 Schedule Template.xlsx&amp;RCreated: 10/22/21TG
Revised: 11/4/25BT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CB08-36B4-4D4B-81E2-38CA29E912E1}">
  <sheetPr>
    <tabColor rgb="FF92D050"/>
    <pageSetUpPr fitToPage="1"/>
  </sheetPr>
  <dimension ref="A1:AB49"/>
  <sheetViews>
    <sheetView showGridLines="0" topLeftCell="A14" zoomScale="85" zoomScaleNormal="85" workbookViewId="0">
      <selection activeCell="I24" sqref="I24"/>
    </sheetView>
  </sheetViews>
  <sheetFormatPr defaultColWidth="9" defaultRowHeight="18" x14ac:dyDescent="0.25"/>
  <cols>
    <col min="1" max="1" width="20.42578125" style="98" customWidth="1"/>
    <col min="2" max="2" width="9.85546875" style="71" hidden="1" customWidth="1"/>
    <col min="3" max="3" width="27.42578125" style="71" customWidth="1"/>
    <col min="4" max="4" width="7.140625" style="99" customWidth="1"/>
    <col min="5" max="5" width="4.28515625" style="100" customWidth="1"/>
    <col min="6" max="6" width="4.28515625" style="94" customWidth="1"/>
    <col min="7" max="7" width="20.5703125" style="102" customWidth="1"/>
    <col min="8" max="8" width="5.42578125" style="71" hidden="1" customWidth="1"/>
    <col min="9" max="9" width="27.42578125" style="71" customWidth="1"/>
    <col min="10" max="10" width="7.140625" style="99" customWidth="1"/>
    <col min="11" max="11" width="4.28515625" style="100" customWidth="1"/>
    <col min="12" max="12" width="4.28515625" style="94" customWidth="1"/>
    <col min="13" max="13" width="21.42578125" style="71" customWidth="1"/>
    <col min="14" max="14" width="21.42578125" style="71" hidden="1" customWidth="1"/>
    <col min="15" max="15" width="24.42578125" style="71" bestFit="1" customWidth="1"/>
    <col min="16" max="16" width="7.140625" style="99" customWidth="1"/>
    <col min="17" max="17" width="3.42578125" style="100" customWidth="1"/>
    <col min="18" max="18" width="2.5703125" style="100" customWidth="1"/>
    <col min="19" max="19" width="5" style="100" customWidth="1"/>
    <col min="20" max="27" width="10.85546875" style="71" customWidth="1"/>
    <col min="28" max="16384" width="9" style="71"/>
  </cols>
  <sheetData>
    <row r="1" spans="1:27" ht="27" x14ac:dyDescent="0.3">
      <c r="A1" s="30" t="s">
        <v>226</v>
      </c>
      <c r="B1" s="67"/>
      <c r="C1" s="68"/>
      <c r="D1" s="68"/>
      <c r="E1" s="69"/>
      <c r="F1" s="70"/>
      <c r="G1" s="71"/>
      <c r="H1" s="68"/>
      <c r="J1" s="71"/>
      <c r="K1" s="69"/>
      <c r="L1" s="70"/>
      <c r="N1" s="73"/>
      <c r="O1" s="161" t="s">
        <v>279</v>
      </c>
      <c r="P1" s="141"/>
    </row>
    <row r="2" spans="1:27" ht="27" x14ac:dyDescent="0.35">
      <c r="A2" s="30"/>
      <c r="B2" s="67"/>
      <c r="C2" s="72" t="s">
        <v>256</v>
      </c>
      <c r="D2" s="68"/>
      <c r="E2" s="69"/>
      <c r="F2" s="70"/>
      <c r="G2" s="73" t="s">
        <v>29</v>
      </c>
      <c r="H2" s="68"/>
      <c r="I2" s="32">
        <f>'Weekly Plan'!H1+2</f>
        <v>46008</v>
      </c>
      <c r="J2" s="32"/>
      <c r="K2" s="69"/>
      <c r="L2" s="70"/>
      <c r="M2" s="73"/>
      <c r="N2" s="73"/>
      <c r="O2" s="32"/>
      <c r="P2" s="141"/>
    </row>
    <row r="3" spans="1:27" s="105" customFormat="1" ht="19.5" customHeight="1" x14ac:dyDescent="0.2">
      <c r="A3" s="209" t="s">
        <v>14</v>
      </c>
      <c r="B3" s="74"/>
      <c r="C3" s="205"/>
      <c r="D3" s="205"/>
      <c r="E3" s="205"/>
      <c r="F3" s="205"/>
      <c r="G3" s="205"/>
      <c r="H3" s="205"/>
      <c r="I3" s="205"/>
      <c r="J3" s="205"/>
      <c r="K3" s="34"/>
      <c r="L3" s="35"/>
      <c r="M3" s="33"/>
      <c r="N3" s="33"/>
      <c r="O3" s="33"/>
      <c r="P3" s="33"/>
      <c r="Q3" s="33"/>
      <c r="R3" s="36"/>
      <c r="S3" s="142"/>
      <c r="T3" s="142"/>
      <c r="U3" s="142"/>
      <c r="V3" s="142"/>
      <c r="W3" s="142"/>
      <c r="X3" s="142"/>
      <c r="Y3" s="142"/>
      <c r="Z3" s="142"/>
      <c r="AA3" s="142"/>
    </row>
    <row r="4" spans="1:27" s="105" customFormat="1" ht="19.5" customHeight="1" thickBot="1" x14ac:dyDescent="0.25">
      <c r="A4" s="210"/>
      <c r="B4" s="74"/>
      <c r="C4" s="205"/>
      <c r="D4" s="205"/>
      <c r="E4" s="205"/>
      <c r="F4" s="205"/>
      <c r="G4" s="205"/>
      <c r="H4" s="205"/>
      <c r="I4" s="205"/>
      <c r="J4" s="205"/>
      <c r="K4" s="34"/>
      <c r="L4" s="35"/>
      <c r="M4" s="33"/>
      <c r="N4" s="33"/>
      <c r="O4" s="33"/>
      <c r="P4" s="33"/>
      <c r="Q4" s="33"/>
      <c r="R4" s="36"/>
      <c r="S4" s="142"/>
      <c r="T4" s="142"/>
      <c r="U4" s="142"/>
      <c r="V4" s="142"/>
      <c r="W4" s="142"/>
      <c r="X4" s="142"/>
      <c r="Y4" s="142"/>
      <c r="Z4" s="142"/>
      <c r="AA4" s="142"/>
    </row>
    <row r="5" spans="1:27" ht="24" customHeight="1" thickBot="1" x14ac:dyDescent="0.25">
      <c r="A5" s="206" t="s">
        <v>215</v>
      </c>
      <c r="B5" s="207"/>
      <c r="C5" s="207"/>
      <c r="D5" s="208"/>
      <c r="E5" s="75"/>
      <c r="F5" s="76"/>
      <c r="G5" s="192" t="s">
        <v>150</v>
      </c>
      <c r="H5" s="193"/>
      <c r="I5" s="194"/>
      <c r="J5" s="195"/>
      <c r="K5" s="75"/>
      <c r="L5" s="76"/>
      <c r="M5" s="143"/>
      <c r="P5" s="144"/>
      <c r="Q5" s="144"/>
      <c r="R5" s="144"/>
      <c r="S5" s="144"/>
      <c r="T5" s="144"/>
      <c r="U5" s="144"/>
      <c r="V5" s="144"/>
    </row>
    <row r="6" spans="1:27" ht="24" customHeight="1" x14ac:dyDescent="0.2">
      <c r="A6" s="56" t="str">
        <f>'Weekly Plan'!F4</f>
        <v>99944 Bezel</v>
      </c>
      <c r="B6" s="49" t="s">
        <v>166</v>
      </c>
      <c r="C6" s="56" t="str">
        <f>'Weekly Plan'!G4</f>
        <v>Bezel</v>
      </c>
      <c r="D6" s="37" t="str">
        <f>IF(INDEX('Weekly Plan'!$F$2:$M$79,MATCH(A6,'Weekly Plan'!$F$2:$F$79,0),MATCH($C$2,'Weekly Plan'!$F$2:$M$2,0))=0,"",INDEX('Weekly Plan'!$F$2:$M$79,MATCH(A6,'Weekly Plan'!$F$2:$F$79,0),MATCH($C$2,'Weekly Plan'!$F$2:$M$2,0)))</f>
        <v/>
      </c>
      <c r="E6" s="38">
        <f>'Weekly Plan'!A4</f>
        <v>2</v>
      </c>
      <c r="F6" s="39">
        <f t="shared" ref="F6:F11" si="0">IFERROR(D6/E6,0)</f>
        <v>0</v>
      </c>
      <c r="G6" s="56" t="str">
        <f>'Weekly Plan'!F16</f>
        <v>VG0240BL0PA</v>
      </c>
      <c r="H6" s="64"/>
      <c r="I6" s="77" t="str">
        <f>'Weekly Plan'!G16</f>
        <v>C223 ACCSRY Spoiler</v>
      </c>
      <c r="J6" s="37" t="str">
        <f>IF(INDEX('Weekly Plan'!$F$2:$M$79,MATCH(G6,'Weekly Plan'!$F$2:$F$79,0),MATCH($C$2,'Weekly Plan'!$F$2:$M$2,0))=0,"",INDEX('Weekly Plan'!$F$2:$M$79,MATCH(G6,'Weekly Plan'!$F$2:$F$79,0),MATCH($C$2,'Weekly Plan'!$F$2:$M$2,0)))</f>
        <v/>
      </c>
      <c r="K6" s="38">
        <f>'Weekly Plan'!A16</f>
        <v>1</v>
      </c>
      <c r="L6" s="39">
        <f>IFERROR(J6/K6,0)</f>
        <v>0</v>
      </c>
      <c r="M6" s="100"/>
      <c r="P6" s="145"/>
      <c r="Q6" s="145"/>
      <c r="R6" s="145"/>
      <c r="S6" s="145"/>
      <c r="T6" s="145"/>
      <c r="U6" s="145"/>
      <c r="V6" s="145"/>
    </row>
    <row r="7" spans="1:27" ht="24" customHeight="1" x14ac:dyDescent="0.2">
      <c r="A7" s="58">
        <f>'Weekly Plan'!F5</f>
        <v>99633</v>
      </c>
      <c r="B7" s="51" t="s">
        <v>166</v>
      </c>
      <c r="C7" s="58" t="str">
        <f>'Weekly Plan'!G5</f>
        <v>IR Cover LH</v>
      </c>
      <c r="D7" s="37" t="str">
        <f>IF(INDEX('Weekly Plan'!$F$2:$M$79,MATCH(A7,'Weekly Plan'!$F$2:$F$79,0),MATCH($C$2,'Weekly Plan'!$F$2:$M$2,0))=0,"",INDEX('Weekly Plan'!$F$2:$M$79,MATCH(A7,'Weekly Plan'!$F$2:$F$79,0),MATCH($C$2,'Weekly Plan'!$F$2:$M$2,0)))</f>
        <v/>
      </c>
      <c r="E7" s="38">
        <f>'Weekly Plan'!A5</f>
        <v>20</v>
      </c>
      <c r="F7" s="39">
        <f t="shared" si="0"/>
        <v>0</v>
      </c>
      <c r="G7" s="58" t="str">
        <f>'Weekly Plan'!F17</f>
        <v>VG0241CM0PB</v>
      </c>
      <c r="H7" s="65"/>
      <c r="I7" s="78" t="str">
        <f>'Weekly Plan'!G17</f>
        <v>Y2XX Stanchion - LH</v>
      </c>
      <c r="J7" s="37" t="str">
        <f>IF(INDEX('Weekly Plan'!$F$2:$M$79,MATCH(G7,'Weekly Plan'!$F$2:$F$79,0),MATCH($C$2,'Weekly Plan'!$F$2:$M$2,0))=0,"",INDEX('Weekly Plan'!$F$2:$M$79,MATCH(G7,'Weekly Plan'!$F$2:$F$79,0),MATCH($C$2,'Weekly Plan'!$F$2:$M$2,0)))</f>
        <v/>
      </c>
      <c r="K7" s="38">
        <f>'Weekly Plan'!A17</f>
        <v>6</v>
      </c>
      <c r="L7" s="39">
        <f>IFERROR(J7/K7,0)</f>
        <v>0</v>
      </c>
      <c r="M7" s="100"/>
      <c r="P7" s="145"/>
      <c r="Q7" s="145"/>
      <c r="R7" s="145"/>
      <c r="S7" s="145"/>
      <c r="T7" s="145"/>
      <c r="U7" s="145"/>
      <c r="V7" s="145"/>
    </row>
    <row r="8" spans="1:27" ht="24" customHeight="1" x14ac:dyDescent="0.2">
      <c r="A8" s="58">
        <f>'Weekly Plan'!F6</f>
        <v>99646</v>
      </c>
      <c r="B8" s="51" t="s">
        <v>166</v>
      </c>
      <c r="C8" s="58" t="str">
        <f>'Weekly Plan'!G6</f>
        <v>IR Cover RH</v>
      </c>
      <c r="D8" s="37" t="str">
        <f>IF(INDEX('Weekly Plan'!$F$2:$M$79,MATCH(A8,'Weekly Plan'!$F$2:$F$79,0),MATCH($C$2,'Weekly Plan'!$F$2:$M$2,0))=0,"",INDEX('Weekly Plan'!$F$2:$M$79,MATCH(A8,'Weekly Plan'!$F$2:$F$79,0),MATCH($C$2,'Weekly Plan'!$F$2:$M$2,0)))</f>
        <v/>
      </c>
      <c r="E8" s="38">
        <f>'Weekly Plan'!A6</f>
        <v>20</v>
      </c>
      <c r="F8" s="39">
        <f t="shared" si="0"/>
        <v>0</v>
      </c>
      <c r="G8" s="58" t="str">
        <f>'Weekly Plan'!F18</f>
        <v>VG0241CM0PD</v>
      </c>
      <c r="H8" s="65"/>
      <c r="I8" s="78" t="str">
        <f>'Weekly Plan'!G18</f>
        <v>Y2XX Stanchion - RH</v>
      </c>
      <c r="J8" s="37" t="str">
        <f>IF(INDEX('Weekly Plan'!$F$2:$M$79,MATCH(G8,'Weekly Plan'!$F$2:$F$79,0),MATCH($C$2,'Weekly Plan'!$F$2:$M$2,0))=0,"",INDEX('Weekly Plan'!$F$2:$M$79,MATCH(G8,'Weekly Plan'!$F$2:$F$79,0),MATCH($C$2,'Weekly Plan'!$F$2:$M$2,0)))</f>
        <v/>
      </c>
      <c r="K8" s="38">
        <f>'Weekly Plan'!A18</f>
        <v>6</v>
      </c>
      <c r="L8" s="39">
        <f>IFERROR(J8/K8,0)</f>
        <v>0</v>
      </c>
      <c r="M8" s="100"/>
      <c r="P8" s="145"/>
      <c r="Q8" s="145"/>
      <c r="R8" s="145"/>
      <c r="S8" s="145"/>
      <c r="T8" s="145"/>
      <c r="U8" s="145"/>
      <c r="V8" s="145"/>
    </row>
    <row r="9" spans="1:27" ht="24" customHeight="1" x14ac:dyDescent="0.2">
      <c r="A9" s="58">
        <f>'Weekly Plan'!F7</f>
        <v>99635</v>
      </c>
      <c r="B9" s="51" t="s">
        <v>166</v>
      </c>
      <c r="C9" s="58" t="str">
        <f>'Weekly Plan'!G7</f>
        <v>Lateral Belt LH</v>
      </c>
      <c r="D9" s="37" t="str">
        <f>IF(INDEX('Weekly Plan'!$F$2:$M$79,MATCH(A9,'Weekly Plan'!$F$2:$F$79,0),MATCH($C$2,'Weekly Plan'!$F$2:$M$2,0))=0,"",INDEX('Weekly Plan'!$F$2:$M$79,MATCH(A9,'Weekly Plan'!$F$2:$F$79,0),MATCH($C$2,'Weekly Plan'!$F$2:$M$2,0)))</f>
        <v/>
      </c>
      <c r="E9" s="38">
        <f>'Weekly Plan'!A7</f>
        <v>6</v>
      </c>
      <c r="F9" s="39">
        <f t="shared" si="0"/>
        <v>0</v>
      </c>
      <c r="G9" s="58" t="str">
        <f>'Weekly Plan'!F19</f>
        <v>VG0241CM0PC</v>
      </c>
      <c r="H9" s="65"/>
      <c r="I9" s="78" t="str">
        <f>'Weekly Plan'!G19</f>
        <v>Y2XX Stanchion - Center</v>
      </c>
      <c r="J9" s="37" t="str">
        <f>IF(INDEX('Weekly Plan'!$F$2:$M$79,MATCH(G9,'Weekly Plan'!$F$2:$F$79,0),MATCH($C$2,'Weekly Plan'!$F$2:$M$2,0))=0,"",INDEX('Weekly Plan'!$F$2:$M$79,MATCH(G9,'Weekly Plan'!$F$2:$F$79,0),MATCH($C$2,'Weekly Plan'!$F$2:$M$2,0)))</f>
        <v/>
      </c>
      <c r="K9" s="38">
        <f>'Weekly Plan'!A19</f>
        <v>6</v>
      </c>
      <c r="L9" s="39">
        <f>IFERROR(J9/K9,0)</f>
        <v>0</v>
      </c>
      <c r="M9" s="146"/>
      <c r="P9" s="145"/>
      <c r="Q9" s="145"/>
      <c r="R9" s="145"/>
      <c r="S9" s="145"/>
      <c r="T9" s="145"/>
      <c r="U9" s="145"/>
      <c r="V9" s="145"/>
    </row>
    <row r="10" spans="1:27" ht="24" customHeight="1" x14ac:dyDescent="0.2">
      <c r="A10" s="58">
        <f>'Weekly Plan'!F8</f>
        <v>99944</v>
      </c>
      <c r="B10" s="51" t="s">
        <v>166</v>
      </c>
      <c r="C10" s="58" t="str">
        <f>'Weekly Plan'!G8</f>
        <v>Lateral Belt RH</v>
      </c>
      <c r="D10" s="37" t="str">
        <f>IF(INDEX('Weekly Plan'!$F$2:$M$79,MATCH(A10,'Weekly Plan'!$F$2:$F$79,0),MATCH($C$2,'Weekly Plan'!$F$2:$M$2,0))=0,"",INDEX('Weekly Plan'!$F$2:$M$79,MATCH(A10,'Weekly Plan'!$F$2:$F$79,0),MATCH($C$2,'Weekly Plan'!$F$2:$M$2,0)))</f>
        <v/>
      </c>
      <c r="E10" s="38">
        <f>'Weekly Plan'!A8</f>
        <v>6</v>
      </c>
      <c r="F10" s="39">
        <f t="shared" si="0"/>
        <v>0</v>
      </c>
      <c r="G10" s="58" t="str">
        <f>'Weekly Plan'!F20</f>
        <v>VG0241CM0PE</v>
      </c>
      <c r="H10" s="65"/>
      <c r="I10" s="78" t="str">
        <f>'Weekly Plan'!G20</f>
        <v>Y2XX Winglet -LH</v>
      </c>
      <c r="J10" s="37" t="str">
        <f>IF(INDEX('Weekly Plan'!$F$2:$M$79,MATCH(G10,'Weekly Plan'!$F$2:$F$79,0),MATCH($C$2,'Weekly Plan'!$F$2:$M$2,0))=0,"",INDEX('Weekly Plan'!$F$2:$M$79,MATCH(G10,'Weekly Plan'!$F$2:$F$79,0),MATCH($C$2,'Weekly Plan'!$F$2:$M$2,0)))</f>
        <v/>
      </c>
      <c r="K10" s="38">
        <f>'Weekly Plan'!A20</f>
        <v>0</v>
      </c>
      <c r="L10" s="39">
        <f>IFERROR(J12/K10,0)</f>
        <v>0</v>
      </c>
      <c r="M10" s="146"/>
      <c r="P10" s="145"/>
      <c r="Q10" s="145"/>
      <c r="R10" s="145"/>
      <c r="S10" s="145"/>
      <c r="T10" s="145"/>
      <c r="U10" s="145"/>
      <c r="V10" s="145"/>
    </row>
    <row r="11" spans="1:27" ht="24" customHeight="1" thickBot="1" x14ac:dyDescent="0.25">
      <c r="A11" s="61">
        <f>'Weekly Plan'!F9</f>
        <v>99636</v>
      </c>
      <c r="B11" s="54" t="s">
        <v>166</v>
      </c>
      <c r="C11" s="61" t="str">
        <f>'Weekly Plan'!G9</f>
        <v>Rear Belt</v>
      </c>
      <c r="D11" s="40" t="str">
        <f>IF(INDEX('Weekly Plan'!$F$2:$M$79,MATCH(A11,'Weekly Plan'!$F$2:$F$79,0),MATCH($C$2,'Weekly Plan'!$F$2:$M$2,0))=0,"",INDEX('Weekly Plan'!$F$2:$M$79,MATCH(A11,'Weekly Plan'!$F$2:$F$79,0),MATCH($C$2,'Weekly Plan'!$F$2:$M$2,0)))</f>
        <v/>
      </c>
      <c r="E11" s="38">
        <f>'Weekly Plan'!A9</f>
        <v>20</v>
      </c>
      <c r="F11" s="39">
        <f t="shared" si="0"/>
        <v>0</v>
      </c>
      <c r="G11" s="58" t="str">
        <f>'Weekly Plan'!F21</f>
        <v>VG0241CM0PF</v>
      </c>
      <c r="H11" s="65"/>
      <c r="I11" s="78" t="str">
        <f>'Weekly Plan'!G21</f>
        <v>Y2XX Winglet -RH</v>
      </c>
      <c r="J11" s="37" t="str">
        <f>IF(INDEX('Weekly Plan'!$F$2:$M$79,MATCH(G11,'Weekly Plan'!$F$2:$F$79,0),MATCH($C$2,'Weekly Plan'!$F$2:$M$2,0))=0,"",INDEX('Weekly Plan'!$F$2:$M$79,MATCH(G11,'Weekly Plan'!$F$2:$F$79,0),MATCH($C$2,'Weekly Plan'!$F$2:$M$2,0)))</f>
        <v/>
      </c>
      <c r="K11" s="38">
        <f>'Weekly Plan'!A21</f>
        <v>0</v>
      </c>
      <c r="L11" s="39">
        <f>IFERROR(J13/K11,0)</f>
        <v>0</v>
      </c>
      <c r="M11" s="146"/>
      <c r="P11" s="145"/>
      <c r="Q11" s="145"/>
      <c r="R11" s="145"/>
      <c r="S11" s="145"/>
      <c r="T11" s="145"/>
      <c r="U11" s="145"/>
      <c r="V11" s="145"/>
    </row>
    <row r="12" spans="1:27" ht="24" customHeight="1" x14ac:dyDescent="0.2">
      <c r="A12" s="79"/>
      <c r="B12" s="79"/>
      <c r="C12" s="27"/>
      <c r="D12" s="80"/>
      <c r="E12" s="75"/>
      <c r="F12" s="76"/>
      <c r="G12" s="58" t="str">
        <f>'Weekly Plan'!F22</f>
        <v>VG0241CM0PG</v>
      </c>
      <c r="H12" s="65"/>
      <c r="I12" s="78" t="str">
        <f>'Weekly Plan'!G22</f>
        <v>Y2XX Screw Cover - LH</v>
      </c>
      <c r="J12" s="37" t="str">
        <f>IF(INDEX('Weekly Plan'!$F$2:$M$79,MATCH(G12,'Weekly Plan'!$F$2:$F$79,0),MATCH($C$2,'Weekly Plan'!$F$2:$M$2,0))=0,"",INDEX('Weekly Plan'!$F$2:$M$79,MATCH(G12,'Weekly Plan'!$F$2:$F$79,0),MATCH($C$2,'Weekly Plan'!$F$2:$M$2,0)))</f>
        <v/>
      </c>
      <c r="K12" s="38">
        <f>'Weekly Plan'!A22</f>
        <v>20</v>
      </c>
      <c r="L12" s="39">
        <f>IFERROR(J14/K12,0)</f>
        <v>0</v>
      </c>
      <c r="M12" s="146"/>
      <c r="P12" s="145"/>
      <c r="Q12" s="145"/>
      <c r="R12" s="145"/>
      <c r="S12" s="145"/>
      <c r="T12" s="145"/>
      <c r="U12" s="145"/>
      <c r="V12" s="145"/>
    </row>
    <row r="13" spans="1:27" ht="24" customHeight="1" thickBot="1" x14ac:dyDescent="0.25">
      <c r="A13" s="79"/>
      <c r="B13" s="79"/>
      <c r="C13" s="27"/>
      <c r="D13" s="80"/>
      <c r="E13" s="75"/>
      <c r="F13" s="76"/>
      <c r="G13" s="61" t="str">
        <f>'Weekly Plan'!F23</f>
        <v>VG0241CM0PH</v>
      </c>
      <c r="H13" s="66"/>
      <c r="I13" s="81" t="str">
        <f>'Weekly Plan'!G23</f>
        <v>Y2XX Screw Cover - RH</v>
      </c>
      <c r="J13" s="40" t="str">
        <f>IF(INDEX('Weekly Plan'!$F$2:$M$79,MATCH(G13,'Weekly Plan'!$F$2:$F$79,0),MATCH($C$2,'Weekly Plan'!$F$2:$M$2,0))=0,"",INDEX('Weekly Plan'!$F$2:$M$79,MATCH(G13,'Weekly Plan'!$F$2:$F$79,0),MATCH($C$2,'Weekly Plan'!$F$2:$M$2,0)))</f>
        <v/>
      </c>
      <c r="K13" s="38">
        <f>'Weekly Plan'!A23</f>
        <v>20</v>
      </c>
      <c r="L13" s="39">
        <f>IFERROR(J15/K13,0)</f>
        <v>0</v>
      </c>
      <c r="M13" s="147"/>
      <c r="P13" s="123"/>
      <c r="Q13" s="123"/>
      <c r="R13" s="123"/>
      <c r="S13" s="123"/>
      <c r="T13" s="123"/>
      <c r="U13" s="123"/>
      <c r="V13" s="123"/>
    </row>
    <row r="14" spans="1:27" ht="24" customHeight="1" thickBot="1" x14ac:dyDescent="0.25">
      <c r="A14" s="82"/>
      <c r="B14" s="82"/>
      <c r="C14" s="82"/>
      <c r="D14" s="80"/>
      <c r="E14" s="75"/>
      <c r="F14" s="76"/>
      <c r="G14" s="82"/>
      <c r="H14" s="82"/>
      <c r="I14" s="82"/>
      <c r="J14" s="83"/>
      <c r="K14" s="75"/>
      <c r="L14" s="76"/>
      <c r="M14" s="100"/>
      <c r="P14" s="71"/>
      <c r="Q14" s="71"/>
      <c r="R14" s="71"/>
      <c r="S14" s="71"/>
    </row>
    <row r="15" spans="1:27" ht="24" customHeight="1" thickBot="1" x14ac:dyDescent="0.25">
      <c r="A15" s="206" t="s">
        <v>214</v>
      </c>
      <c r="B15" s="207"/>
      <c r="C15" s="207"/>
      <c r="D15" s="208"/>
      <c r="E15" s="75"/>
      <c r="F15" s="76"/>
      <c r="G15" s="192" t="s">
        <v>208</v>
      </c>
      <c r="H15" s="193"/>
      <c r="I15" s="194"/>
      <c r="J15" s="195"/>
      <c r="K15" s="75"/>
      <c r="L15" s="76"/>
      <c r="P15" s="71"/>
      <c r="Q15" s="71"/>
      <c r="R15" s="71"/>
      <c r="S15" s="71"/>
    </row>
    <row r="16" spans="1:27" ht="24" customHeight="1" x14ac:dyDescent="0.2">
      <c r="A16" s="56">
        <f>'Weekly Plan'!F11</f>
        <v>99629</v>
      </c>
      <c r="B16" s="42" t="s">
        <v>122</v>
      </c>
      <c r="C16" s="57" t="str">
        <f>'Weekly Plan'!G11</f>
        <v>Main Lower Cover</v>
      </c>
      <c r="D16" s="37" t="str">
        <f>IF(INDEX('Weekly Plan'!$F$2:$M$79,MATCH(A16,'Weekly Plan'!$F$2:$F$79,0),MATCH($C$2,'Weekly Plan'!$F$2:$M$2,0))=0,"",INDEX('Weekly Plan'!$F$2:$M$79,MATCH(A16,'Weekly Plan'!$F$2:$F$79,0),MATCH($C$2,'Weekly Plan'!$F$2:$M$2,0)))</f>
        <v/>
      </c>
      <c r="E16" s="38">
        <f>'Weekly Plan'!A11</f>
        <v>1</v>
      </c>
      <c r="F16" s="39">
        <f>IFERROR(D16/E16,0)</f>
        <v>0</v>
      </c>
      <c r="G16" s="56" t="str">
        <f>'Weekly Plan'!F25</f>
        <v>9405929P</v>
      </c>
      <c r="H16" s="64"/>
      <c r="I16" s="57" t="str">
        <f>'Weekly Plan'!G25</f>
        <v>MX Applique</v>
      </c>
      <c r="J16" s="37" t="str">
        <f>IF(INDEX('Weekly Plan'!$F$2:$M$79,MATCH(G16,'Weekly Plan'!$F$2:$F$79,0),MATCH($C$2,'Weekly Plan'!$F$2:$M$2,0))=0,"",INDEX('Weekly Plan'!$F$2:$M$79,MATCH(G16,'Weekly Plan'!$F$2:$F$79,0),MATCH($C$2,'Weekly Plan'!$F$2:$M$2,0)))</f>
        <v/>
      </c>
      <c r="K16" s="38">
        <f>'Weekly Plan'!A25</f>
        <v>6</v>
      </c>
      <c r="L16" s="39">
        <f>IFERROR(J16/K16,0)</f>
        <v>0</v>
      </c>
      <c r="M16" s="146"/>
      <c r="P16" s="71"/>
      <c r="Q16" s="71"/>
      <c r="R16" s="71"/>
      <c r="S16" s="71"/>
      <c r="V16" s="145"/>
    </row>
    <row r="17" spans="1:22" ht="24" customHeight="1" x14ac:dyDescent="0.2">
      <c r="A17" s="58">
        <f>'Weekly Plan'!F12</f>
        <v>99631</v>
      </c>
      <c r="B17" s="59" t="s">
        <v>122</v>
      </c>
      <c r="C17" s="60" t="str">
        <f>'Weekly Plan'!G12</f>
        <v>Main Upper Cover</v>
      </c>
      <c r="D17" s="37" t="str">
        <f>IF(INDEX('Weekly Plan'!$F$2:$M$79,MATCH(A17,'Weekly Plan'!$F$2:$F$79,0),MATCH($C$2,'Weekly Plan'!$F$2:$M$2,0))=0,"",INDEX('Weekly Plan'!$F$2:$M$79,MATCH(A17,'Weekly Plan'!$F$2:$F$79,0),MATCH($C$2,'Weekly Plan'!$F$2:$M$2,0)))</f>
        <v/>
      </c>
      <c r="E17" s="38">
        <f>'Weekly Plan'!A12</f>
        <v>1</v>
      </c>
      <c r="F17" s="39">
        <f>IFERROR(D17/E17,0)</f>
        <v>0</v>
      </c>
      <c r="G17" s="58" t="str">
        <f>'Weekly Plan'!F26</f>
        <v>9405930P</v>
      </c>
      <c r="H17" s="65"/>
      <c r="I17" s="60" t="str">
        <f>'Weekly Plan'!G26</f>
        <v>MS Applique</v>
      </c>
      <c r="J17" s="155" t="str">
        <f>IF(INDEX('Weekly Plan'!$F$2:$M$79,MATCH(G17,'Weekly Plan'!$F$2:$F$79,0),MATCH($C$2,'Weekly Plan'!$F$2:$M$2,0))=0,"",INDEX('Weekly Plan'!$F$2:$M$79,MATCH(G17,'Weekly Plan'!$F$2:$F$79,0),MATCH($C$2,'Weekly Plan'!$F$2:$M$2,0)))</f>
        <v/>
      </c>
      <c r="K17" s="38">
        <f>'Weekly Plan'!A26</f>
        <v>6</v>
      </c>
      <c r="L17" s="39">
        <f>IFERROR(J17/K17,0)</f>
        <v>0</v>
      </c>
      <c r="M17" s="146"/>
      <c r="P17" s="71"/>
      <c r="Q17" s="71"/>
      <c r="R17" s="71"/>
      <c r="S17" s="71"/>
      <c r="V17" s="145"/>
    </row>
    <row r="18" spans="1:22" ht="24" customHeight="1" x14ac:dyDescent="0.2">
      <c r="A18" s="58">
        <f>'Weekly Plan'!F13</f>
        <v>99638</v>
      </c>
      <c r="B18" s="59" t="s">
        <v>122</v>
      </c>
      <c r="C18" s="60" t="str">
        <f>'Weekly Plan'!G13</f>
        <v>Rear Plate</v>
      </c>
      <c r="D18" s="37" t="str">
        <f>IF(INDEX('Weekly Plan'!$F$2:$M$79,MATCH(A18,'Weekly Plan'!$F$2:$F$79,0),MATCH($C$2,'Weekly Plan'!$F$2:$M$2,0))=0,"",INDEX('Weekly Plan'!$F$2:$M$79,MATCH(A18,'Weekly Plan'!$F$2:$F$79,0),MATCH($C$2,'Weekly Plan'!$F$2:$M$2,0)))</f>
        <v/>
      </c>
      <c r="E18" s="38">
        <f>'Weekly Plan'!A13</f>
        <v>20</v>
      </c>
      <c r="F18" s="39">
        <f>IFERROR(D18/E18,0)</f>
        <v>0</v>
      </c>
      <c r="G18" s="58" t="str">
        <f>'Weekly Plan'!F27</f>
        <v>9405929P-REW</v>
      </c>
      <c r="H18" s="65"/>
      <c r="I18" s="60" t="str">
        <f>'Weekly Plan'!G27</f>
        <v>MX Applique Rework</v>
      </c>
      <c r="J18" s="37" t="str">
        <f>IF(INDEX('Weekly Plan'!$F$2:$M$79,MATCH(G18,'Weekly Plan'!$F$2:$F$79,0),MATCH($C$2,'Weekly Plan'!$F$2:$M$2,0))=0,"",INDEX('Weekly Plan'!$F$2:$M$79,MATCH(G18,'Weekly Plan'!$F$2:$F$79,0),MATCH($C$2,'Weekly Plan'!$F$2:$M$2,0)))</f>
        <v/>
      </c>
      <c r="K18" s="38">
        <f>'Weekly Plan'!A27</f>
        <v>6</v>
      </c>
      <c r="L18" s="39">
        <f>IFERROR(J18/K18,0)</f>
        <v>0</v>
      </c>
      <c r="M18" s="146"/>
      <c r="P18" s="71"/>
      <c r="Q18" s="71"/>
      <c r="R18" s="71"/>
      <c r="S18" s="71"/>
      <c r="V18" s="145"/>
    </row>
    <row r="19" spans="1:22" ht="24" customHeight="1" thickBot="1" x14ac:dyDescent="0.25">
      <c r="A19" s="61">
        <f>'Weekly Plan'!F14</f>
        <v>99630</v>
      </c>
      <c r="B19" s="62" t="s">
        <v>122</v>
      </c>
      <c r="C19" s="63" t="str">
        <f>'Weekly Plan'!G14</f>
        <v>Vent Cover</v>
      </c>
      <c r="D19" s="40" t="str">
        <f>IF(INDEX('Weekly Plan'!$F$2:$M$79,MATCH(A19,'Weekly Plan'!$F$2:$F$79,0),MATCH($C$2,'Weekly Plan'!$F$2:$M$2,0))=0,"",INDEX('Weekly Plan'!$F$2:$M$79,MATCH(A19,'Weekly Plan'!$F$2:$F$79,0),MATCH($C$2,'Weekly Plan'!$F$2:$M$2,0)))</f>
        <v/>
      </c>
      <c r="E19" s="38">
        <f>'Weekly Plan'!A14</f>
        <v>1</v>
      </c>
      <c r="F19" s="39">
        <f>IFERROR(D19/E19,0)</f>
        <v>0</v>
      </c>
      <c r="G19" s="61" t="str">
        <f>'Weekly Plan'!F28</f>
        <v>9405930P-REW</v>
      </c>
      <c r="H19" s="66"/>
      <c r="I19" s="63" t="str">
        <f>'Weekly Plan'!G28</f>
        <v>MS Applique Rework</v>
      </c>
      <c r="J19" s="40" t="str">
        <f>IF(INDEX('Weekly Plan'!$F$2:$M$79,MATCH(G19,'Weekly Plan'!$F$2:$F$79,0),MATCH($C$2,'Weekly Plan'!$F$2:$M$2,0))=0,"",INDEX('Weekly Plan'!$F$2:$M$79,MATCH(G19,'Weekly Plan'!$F$2:$F$79,0),MATCH($C$2,'Weekly Plan'!$F$2:$M$2,0)))</f>
        <v/>
      </c>
      <c r="K19" s="38">
        <f>'Weekly Plan'!A28</f>
        <v>6</v>
      </c>
      <c r="L19" s="39">
        <f>IFERROR(J19/K19,0)</f>
        <v>0</v>
      </c>
      <c r="M19" s="146"/>
      <c r="P19" s="71"/>
      <c r="Q19" s="71"/>
      <c r="R19" s="71"/>
      <c r="S19" s="71"/>
      <c r="V19" s="145"/>
    </row>
    <row r="20" spans="1:22" ht="24" customHeight="1" thickBot="1" x14ac:dyDescent="0.25">
      <c r="A20" s="84"/>
      <c r="B20" s="84"/>
      <c r="C20" s="84"/>
      <c r="D20" s="80"/>
      <c r="E20" s="75"/>
      <c r="F20" s="76"/>
      <c r="G20" s="85"/>
      <c r="H20" s="85"/>
      <c r="I20" s="85"/>
      <c r="J20" s="86"/>
      <c r="K20" s="75"/>
      <c r="L20" s="76"/>
      <c r="M20" s="100"/>
      <c r="P20" s="71"/>
      <c r="Q20" s="71"/>
      <c r="R20" s="71"/>
      <c r="S20" s="71"/>
    </row>
    <row r="21" spans="1:22" ht="24" customHeight="1" thickBot="1" x14ac:dyDescent="0.25">
      <c r="A21" s="206" t="s">
        <v>244</v>
      </c>
      <c r="B21" s="207"/>
      <c r="C21" s="207"/>
      <c r="D21" s="208"/>
      <c r="E21" s="75"/>
      <c r="F21" s="76"/>
      <c r="G21" s="192" t="s">
        <v>227</v>
      </c>
      <c r="H21" s="193"/>
      <c r="I21" s="194"/>
      <c r="J21" s="195"/>
      <c r="K21" s="75"/>
      <c r="L21" s="76"/>
      <c r="M21" s="85"/>
      <c r="P21" s="71"/>
      <c r="Q21" s="71"/>
      <c r="R21" s="71"/>
      <c r="S21" s="71"/>
    </row>
    <row r="22" spans="1:22" ht="24" customHeight="1" x14ac:dyDescent="0.2">
      <c r="A22" s="41" t="str">
        <f>'Weekly Plan'!F31</f>
        <v>KB2352</v>
      </c>
      <c r="B22" s="42" t="s">
        <v>253</v>
      </c>
      <c r="C22" s="25" t="str">
        <f>'Weekly Plan'!G31</f>
        <v>W12 Roof Top Cover</v>
      </c>
      <c r="D22" s="37" t="str">
        <f>IF(INDEX('Weekly Plan'!$F$2:$M$79,MATCH(A22,'Weekly Plan'!$F$2:$F$79,0),MATCH($C$2,'Weekly Plan'!$F$2:$M$2,0))=0,"",INDEX('Weekly Plan'!$F$2:$M$79,MATCH(A22,'Weekly Plan'!$F$2:$F$79,0),MATCH($C$2,'Weekly Plan'!$F$2:$M$2,0)))</f>
        <v/>
      </c>
      <c r="E22" s="38">
        <f>'Weekly Plan'!A31</f>
        <v>1</v>
      </c>
      <c r="F22" s="39">
        <f>IFERROR(D22/E22,0)</f>
        <v>0</v>
      </c>
      <c r="G22" s="49" t="str">
        <f>'Weekly Plan'!F36</f>
        <v>PART#1</v>
      </c>
      <c r="H22" s="50"/>
      <c r="I22" s="42"/>
      <c r="J22" s="37" t="str">
        <f>IF(INDEX('Weekly Plan'!$F$2:$M$79,MATCH(G22,'Weekly Plan'!$F$2:$F$79,0),MATCH($C$2,'Weekly Plan'!$F$2:$M$2,0))=0,"",INDEX('Weekly Plan'!$F$2:$M$79,MATCH(G22,'Weekly Plan'!$F$2:$F$79,0),MATCH($C$2,'Weekly Plan'!$F$2:$M$2,0)))</f>
        <v/>
      </c>
      <c r="K22" s="38">
        <f>'Weekly Plan'!A36</f>
        <v>0</v>
      </c>
      <c r="L22" s="39">
        <f t="shared" ref="L22:L25" si="1">IFERROR(J22/K22,0)</f>
        <v>0</v>
      </c>
      <c r="P22" s="71"/>
      <c r="Q22" s="71"/>
      <c r="R22" s="71"/>
      <c r="S22" s="71"/>
      <c r="U22" s="145"/>
    </row>
    <row r="23" spans="1:22" ht="24" customHeight="1" x14ac:dyDescent="0.2">
      <c r="A23" s="41" t="str">
        <f>'Weekly Plan'!F32</f>
        <v>KB2369</v>
      </c>
      <c r="B23" s="42" t="s">
        <v>253</v>
      </c>
      <c r="C23" s="25" t="str">
        <f>'Weekly Plan'!G32</f>
        <v>W12 Mech Bezel Pod 1</v>
      </c>
      <c r="D23" s="37" t="str">
        <f>IF(INDEX('Weekly Plan'!$F$2:$M$79,MATCH(A23,'Weekly Plan'!$F$2:$F$79,0),MATCH($C$2,'Weekly Plan'!$F$2:$M$2,0))=0,"",INDEX('Weekly Plan'!$F$2:$M$79,MATCH(A23,'Weekly Plan'!$F$2:$F$79,0),MATCH($C$2,'Weekly Plan'!$F$2:$M$2,0)))</f>
        <v/>
      </c>
      <c r="E23" s="38">
        <f>'Weekly Plan'!A32</f>
        <v>4</v>
      </c>
      <c r="F23" s="39">
        <f>IFERROR(D23/E23,0)</f>
        <v>0</v>
      </c>
      <c r="G23" s="51" t="str">
        <f>'Weekly Plan'!F37</f>
        <v>PART#2</v>
      </c>
      <c r="H23" s="52"/>
      <c r="I23" s="53"/>
      <c r="J23" s="37" t="str">
        <f>IF(INDEX('Weekly Plan'!$F$2:$M$79,MATCH(G23,'Weekly Plan'!$F$2:$F$79,0),MATCH($C$2,'Weekly Plan'!$F$2:$M$2,0))=0,"",INDEX('Weekly Plan'!$F$2:$M$79,MATCH(G23,'Weekly Plan'!$F$2:$F$79,0),MATCH($C$2,'Weekly Plan'!$F$2:$M$2,0)))</f>
        <v/>
      </c>
      <c r="K23" s="38">
        <f>'Weekly Plan'!A37</f>
        <v>0</v>
      </c>
      <c r="L23" s="39">
        <f t="shared" si="1"/>
        <v>0</v>
      </c>
      <c r="P23" s="71"/>
      <c r="Q23" s="71"/>
      <c r="R23" s="71"/>
      <c r="S23" s="71"/>
      <c r="U23" s="145"/>
    </row>
    <row r="24" spans="1:22" ht="24" customHeight="1" x14ac:dyDescent="0.2">
      <c r="A24" s="41" t="str">
        <f>'Weekly Plan'!F33</f>
        <v>KB2370L</v>
      </c>
      <c r="B24" s="42" t="s">
        <v>253</v>
      </c>
      <c r="C24" s="162" t="str">
        <f>'Weekly Plan'!G33</f>
        <v>W12 LH Cover Body Closeout Pod 5</v>
      </c>
      <c r="D24" s="37" t="str">
        <f>IF(INDEX('Weekly Plan'!$F$2:$M$79,MATCH(A24,'Weekly Plan'!$F$2:$F$79,0),MATCH($C$2,'Weekly Plan'!$F$2:$M$2,0))=0,"",INDEX('Weekly Plan'!$F$2:$M$79,MATCH(A24,'Weekly Plan'!$F$2:$F$79,0),MATCH($C$2,'Weekly Plan'!$F$2:$M$2,0)))</f>
        <v/>
      </c>
      <c r="E24" s="38">
        <f>'Weekly Plan'!A33</f>
        <v>4</v>
      </c>
      <c r="F24" s="39">
        <f>IFERROR(D24/E24,0)</f>
        <v>0</v>
      </c>
      <c r="G24" s="51" t="str">
        <f>'Weekly Plan'!F38</f>
        <v>PART#3</v>
      </c>
      <c r="H24" s="52"/>
      <c r="I24" s="23"/>
      <c r="J24" s="37" t="str">
        <f>IF(INDEX('Weekly Plan'!$F$2:$M$79,MATCH(G24,'Weekly Plan'!$F$2:$F$79,0),MATCH($C$2,'Weekly Plan'!$F$2:$M$2,0))=0,"",INDEX('Weekly Plan'!$F$2:$M$79,MATCH(G24,'Weekly Plan'!$F$2:$F$79,0),MATCH($C$2,'Weekly Plan'!$F$2:$M$2,0)))</f>
        <v/>
      </c>
      <c r="K24" s="38">
        <f>'Weekly Plan'!A38</f>
        <v>0</v>
      </c>
      <c r="L24" s="39">
        <f t="shared" si="1"/>
        <v>0</v>
      </c>
      <c r="P24" s="71"/>
      <c r="Q24" s="71"/>
      <c r="R24" s="71"/>
      <c r="S24" s="71"/>
      <c r="U24" s="145"/>
    </row>
    <row r="25" spans="1:22" ht="24" customHeight="1" thickBot="1" x14ac:dyDescent="0.25">
      <c r="A25" s="43" t="str">
        <f>'Weekly Plan'!F34</f>
        <v>KB2370R</v>
      </c>
      <c r="B25" s="44" t="s">
        <v>253</v>
      </c>
      <c r="C25" s="163" t="str">
        <f>'Weekly Plan'!G34</f>
        <v>W12 RH Cover Body Closeout Pod 6</v>
      </c>
      <c r="D25" s="40" t="str">
        <f>IF(INDEX('Weekly Plan'!$F$2:$M$79,MATCH(A25,'Weekly Plan'!$F$2:$F$79,0),MATCH($C$2,'Weekly Plan'!$F$2:$M$2,0))=0,"",INDEX('Weekly Plan'!$F$2:$M$79,MATCH(A25,'Weekly Plan'!$F$2:$F$79,0),MATCH($C$2,'Weekly Plan'!$F$2:$M$2,0)))</f>
        <v/>
      </c>
      <c r="E25" s="38">
        <f>'Weekly Plan'!A34</f>
        <v>4</v>
      </c>
      <c r="F25" s="39">
        <f>IFERROR(D25/E25,0)</f>
        <v>0</v>
      </c>
      <c r="G25" s="54" t="str">
        <f>'Weekly Plan'!F39</f>
        <v>PART#4</v>
      </c>
      <c r="H25" s="55"/>
      <c r="I25" s="24"/>
      <c r="J25" s="40" t="str">
        <f>IF(INDEX('Weekly Plan'!$F$2:$M$79,MATCH(G25,'Weekly Plan'!$F$2:$F$79,0),MATCH($C$2,'Weekly Plan'!$F$2:$M$2,0))=0,"",INDEX('Weekly Plan'!$F$2:$M$79,MATCH(G25,'Weekly Plan'!$F$2:$F$79,0),MATCH($C$2,'Weekly Plan'!$F$2:$M$2,0)))</f>
        <v/>
      </c>
      <c r="K25" s="38">
        <f>'Weekly Plan'!A39</f>
        <v>0</v>
      </c>
      <c r="L25" s="39">
        <f t="shared" si="1"/>
        <v>0</v>
      </c>
      <c r="P25" s="71"/>
      <c r="Q25" s="71"/>
      <c r="R25" s="71"/>
      <c r="S25" s="71"/>
      <c r="U25" s="145"/>
    </row>
    <row r="26" spans="1:22" ht="24" customHeight="1" x14ac:dyDescent="0.2">
      <c r="A26" s="79"/>
      <c r="B26" s="79"/>
      <c r="C26" s="27"/>
      <c r="D26" s="80"/>
      <c r="E26" s="75"/>
      <c r="F26" s="76"/>
      <c r="G26" s="85"/>
      <c r="H26" s="85"/>
      <c r="I26" s="85"/>
      <c r="J26" s="86"/>
      <c r="K26" s="75"/>
      <c r="L26" s="76"/>
      <c r="M26" s="146">
        <v>18</v>
      </c>
      <c r="P26" s="71"/>
      <c r="Q26" s="71"/>
      <c r="R26" s="71"/>
      <c r="S26" s="71"/>
      <c r="V26" s="145"/>
    </row>
    <row r="27" spans="1:22" ht="24" customHeight="1" thickBot="1" x14ac:dyDescent="0.25">
      <c r="A27" s="79"/>
      <c r="B27" s="79"/>
      <c r="C27" s="27"/>
      <c r="D27" s="80"/>
      <c r="E27" s="75"/>
      <c r="F27" s="76"/>
      <c r="G27" s="85"/>
      <c r="H27" s="85"/>
      <c r="I27" s="85"/>
      <c r="J27" s="86"/>
      <c r="K27" s="75"/>
      <c r="L27" s="76"/>
      <c r="M27" s="146"/>
      <c r="P27" s="71"/>
      <c r="Q27" s="71"/>
      <c r="R27" s="71"/>
      <c r="S27" s="71"/>
      <c r="V27" s="145"/>
    </row>
    <row r="28" spans="1:22" ht="24" customHeight="1" thickBot="1" x14ac:dyDescent="0.25">
      <c r="A28" s="202" t="s">
        <v>278</v>
      </c>
      <c r="B28" s="203"/>
      <c r="C28" s="203"/>
      <c r="D28" s="203"/>
      <c r="E28" s="204"/>
      <c r="F28" s="76"/>
      <c r="G28" s="87" t="s">
        <v>15</v>
      </c>
      <c r="H28" s="88"/>
      <c r="I28" s="89" t="s">
        <v>16</v>
      </c>
      <c r="J28" s="86"/>
      <c r="K28" s="75"/>
      <c r="L28" s="76"/>
      <c r="M28" s="100"/>
      <c r="P28" s="71"/>
      <c r="Q28" s="71"/>
      <c r="R28" s="71"/>
      <c r="S28" s="71"/>
    </row>
    <row r="29" spans="1:22" ht="24" customHeight="1" x14ac:dyDescent="0.2">
      <c r="A29" s="196"/>
      <c r="B29" s="197"/>
      <c r="C29" s="197"/>
      <c r="D29" s="197"/>
      <c r="E29" s="198"/>
      <c r="F29" s="90"/>
      <c r="G29" s="45" t="str">
        <f>A5</f>
        <v>Black - Laval</v>
      </c>
      <c r="H29" s="91"/>
      <c r="I29" s="156">
        <f>SUM(F6:F11)</f>
        <v>0</v>
      </c>
      <c r="J29" s="86"/>
      <c r="K29" s="148"/>
      <c r="L29" s="90"/>
      <c r="M29" s="100"/>
      <c r="P29" s="71"/>
      <c r="Q29" s="71"/>
      <c r="R29" s="71"/>
      <c r="S29" s="71"/>
    </row>
    <row r="30" spans="1:22" ht="24" customHeight="1" x14ac:dyDescent="0.2">
      <c r="A30" s="196"/>
      <c r="B30" s="197"/>
      <c r="C30" s="197"/>
      <c r="D30" s="197"/>
      <c r="E30" s="198"/>
      <c r="F30" s="90"/>
      <c r="G30" s="46" t="str">
        <f>A15</f>
        <v>Summit White - Laval</v>
      </c>
      <c r="H30" s="92"/>
      <c r="I30" s="156">
        <f>SUM(F16:F19)</f>
        <v>0</v>
      </c>
      <c r="J30" s="86"/>
      <c r="K30" s="148"/>
      <c r="L30" s="90"/>
      <c r="M30" s="100">
        <v>21</v>
      </c>
      <c r="P30" s="71"/>
      <c r="Q30" s="71"/>
      <c r="R30" s="71"/>
      <c r="S30" s="71"/>
    </row>
    <row r="31" spans="1:22" ht="24" customHeight="1" x14ac:dyDescent="0.2">
      <c r="A31" s="196"/>
      <c r="B31" s="197"/>
      <c r="C31" s="197"/>
      <c r="D31" s="197"/>
      <c r="E31" s="198"/>
      <c r="F31" s="76"/>
      <c r="G31" s="46" t="str">
        <f>G5</f>
        <v>Metelix</v>
      </c>
      <c r="H31" s="92"/>
      <c r="I31" s="156">
        <f>SUM(L6:L13)</f>
        <v>0</v>
      </c>
      <c r="J31" s="86"/>
      <c r="K31" s="75"/>
      <c r="L31" s="76"/>
      <c r="M31" s="146"/>
      <c r="P31" s="71"/>
      <c r="Q31" s="71"/>
      <c r="R31" s="71"/>
      <c r="S31" s="71"/>
      <c r="V31" s="145"/>
    </row>
    <row r="32" spans="1:22" ht="24" customHeight="1" x14ac:dyDescent="0.2">
      <c r="A32" s="196"/>
      <c r="B32" s="197"/>
      <c r="C32" s="197"/>
      <c r="D32" s="197"/>
      <c r="E32" s="198"/>
      <c r="F32" s="76"/>
      <c r="G32" s="47" t="str">
        <f>G15</f>
        <v>Tesla - High Gloss Black</v>
      </c>
      <c r="H32" s="93"/>
      <c r="I32" s="156">
        <f>SUM(L16:L19)</f>
        <v>0</v>
      </c>
      <c r="J32" s="86"/>
      <c r="K32" s="75"/>
      <c r="L32" s="76"/>
      <c r="M32" s="146"/>
      <c r="P32" s="71"/>
      <c r="Q32" s="71"/>
      <c r="R32" s="71"/>
      <c r="S32" s="71"/>
      <c r="V32" s="145"/>
    </row>
    <row r="33" spans="1:28" ht="24" customHeight="1" x14ac:dyDescent="0.2">
      <c r="A33" s="196"/>
      <c r="B33" s="197"/>
      <c r="C33" s="197"/>
      <c r="D33" s="197"/>
      <c r="E33" s="198"/>
      <c r="G33" s="47" t="s">
        <v>253</v>
      </c>
      <c r="H33" s="93"/>
      <c r="I33" s="156">
        <f>SUM(D22:D25)</f>
        <v>0</v>
      </c>
      <c r="J33" s="86"/>
      <c r="M33" s="146"/>
      <c r="P33" s="71"/>
      <c r="Q33" s="71"/>
      <c r="R33" s="71"/>
      <c r="S33" s="71"/>
      <c r="V33" s="145"/>
    </row>
    <row r="34" spans="1:28" ht="24" customHeight="1" x14ac:dyDescent="0.2">
      <c r="A34" s="196"/>
      <c r="B34" s="197"/>
      <c r="C34" s="197"/>
      <c r="D34" s="197"/>
      <c r="E34" s="198"/>
      <c r="G34" s="45" t="str">
        <f>G21</f>
        <v>Miscellaneous</v>
      </c>
      <c r="H34" s="91"/>
      <c r="I34" s="156">
        <f>SUM(L22:L25)</f>
        <v>0</v>
      </c>
      <c r="J34" s="86"/>
      <c r="M34" s="146"/>
      <c r="P34" s="71"/>
      <c r="Q34" s="71"/>
      <c r="R34" s="71"/>
      <c r="S34" s="71"/>
      <c r="V34" s="145"/>
    </row>
    <row r="35" spans="1:28" ht="24" customHeight="1" x14ac:dyDescent="0.2">
      <c r="A35" s="196"/>
      <c r="B35" s="197"/>
      <c r="C35" s="197"/>
      <c r="D35" s="197"/>
      <c r="E35" s="198"/>
      <c r="G35" s="45"/>
      <c r="H35" s="91"/>
      <c r="I35" s="156"/>
      <c r="J35" s="86"/>
      <c r="M35" s="146"/>
      <c r="P35" s="71"/>
      <c r="Q35" s="71"/>
      <c r="R35" s="71"/>
      <c r="S35" s="71"/>
      <c r="V35" s="145"/>
    </row>
    <row r="36" spans="1:28" ht="30.75" customHeight="1" x14ac:dyDescent="0.2">
      <c r="A36" s="196"/>
      <c r="B36" s="197"/>
      <c r="C36" s="197"/>
      <c r="D36" s="197"/>
      <c r="E36" s="198"/>
      <c r="G36" s="48" t="s">
        <v>164</v>
      </c>
      <c r="H36" s="95"/>
      <c r="I36" s="157">
        <f>SUM(I29:I35)</f>
        <v>0</v>
      </c>
      <c r="J36" s="86"/>
      <c r="M36" s="146">
        <v>4</v>
      </c>
      <c r="P36" s="71"/>
      <c r="Q36" s="71"/>
      <c r="R36" s="71"/>
      <c r="S36" s="71"/>
      <c r="V36" s="145"/>
    </row>
    <row r="37" spans="1:28" ht="30.75" customHeight="1" x14ac:dyDescent="0.2">
      <c r="A37" s="196"/>
      <c r="B37" s="197"/>
      <c r="C37" s="197"/>
      <c r="D37" s="197"/>
      <c r="E37" s="198"/>
      <c r="G37" s="48"/>
      <c r="H37" s="95"/>
      <c r="I37" s="158"/>
      <c r="J37" s="86"/>
      <c r="M37" s="146">
        <v>2</v>
      </c>
      <c r="P37" s="71"/>
      <c r="Q37" s="71"/>
      <c r="R37" s="71"/>
      <c r="S37" s="71"/>
      <c r="V37" s="145"/>
    </row>
    <row r="38" spans="1:28" ht="24" customHeight="1" x14ac:dyDescent="0.2">
      <c r="A38" s="196"/>
      <c r="B38" s="197"/>
      <c r="C38" s="197"/>
      <c r="D38" s="197"/>
      <c r="E38" s="198"/>
      <c r="G38" s="45" t="s">
        <v>17</v>
      </c>
      <c r="H38" s="91"/>
      <c r="I38" s="159">
        <f>(COUNTIF(I29:I35, "&gt;0")-1)*(IF(I36&gt;0, 12, 0))</f>
        <v>0</v>
      </c>
      <c r="J38" s="86"/>
      <c r="M38" s="146"/>
      <c r="P38" s="71"/>
      <c r="Q38" s="71"/>
      <c r="R38" s="71"/>
      <c r="S38" s="71"/>
      <c r="V38" s="145"/>
    </row>
    <row r="39" spans="1:28" ht="24" customHeight="1" x14ac:dyDescent="0.2">
      <c r="A39" s="196"/>
      <c r="B39" s="197"/>
      <c r="C39" s="197"/>
      <c r="D39" s="197"/>
      <c r="E39" s="198"/>
      <c r="G39" s="189"/>
      <c r="H39" s="190"/>
      <c r="I39" s="191"/>
      <c r="J39" s="86"/>
      <c r="M39" s="146">
        <v>1</v>
      </c>
      <c r="P39" s="71"/>
      <c r="Q39" s="71"/>
      <c r="R39" s="71"/>
      <c r="S39" s="71"/>
      <c r="V39" s="145"/>
    </row>
    <row r="40" spans="1:28" ht="24" customHeight="1" thickBot="1" x14ac:dyDescent="0.25">
      <c r="A40" s="199"/>
      <c r="B40" s="200"/>
      <c r="C40" s="200"/>
      <c r="D40" s="200"/>
      <c r="E40" s="201"/>
      <c r="G40" s="96" t="s">
        <v>18</v>
      </c>
      <c r="H40" s="97"/>
      <c r="I40" s="160">
        <f>(I36+I38)/60</f>
        <v>0</v>
      </c>
      <c r="J40" s="86"/>
      <c r="K40" s="151"/>
      <c r="L40" s="152"/>
      <c r="M40" s="146"/>
      <c r="P40" s="71"/>
      <c r="Q40" s="71"/>
      <c r="R40" s="71"/>
      <c r="S40" s="71"/>
      <c r="V40" s="145"/>
    </row>
    <row r="41" spans="1:28" ht="24" customHeight="1" x14ac:dyDescent="0.25">
      <c r="G41" s="22"/>
      <c r="H41" s="22"/>
      <c r="I41" s="22"/>
      <c r="J41" s="28"/>
      <c r="M41" s="146">
        <v>4</v>
      </c>
      <c r="P41" s="71"/>
      <c r="Q41" s="71"/>
      <c r="R41" s="71"/>
      <c r="S41" s="71"/>
      <c r="V41" s="145"/>
    </row>
    <row r="42" spans="1:28" ht="24" customHeight="1" x14ac:dyDescent="0.25">
      <c r="G42" s="22"/>
      <c r="H42" s="22"/>
      <c r="I42" s="22"/>
      <c r="J42" s="101"/>
      <c r="M42" s="146">
        <v>2</v>
      </c>
      <c r="P42" s="71"/>
      <c r="Q42" s="71"/>
      <c r="R42" s="71"/>
      <c r="S42" s="71"/>
      <c r="V42" s="145"/>
    </row>
    <row r="43" spans="1:28" ht="24" customHeight="1" x14ac:dyDescent="0.25">
      <c r="G43" s="22"/>
      <c r="H43" s="22"/>
      <c r="I43" s="22"/>
      <c r="J43" s="101"/>
      <c r="M43" s="100">
        <v>1</v>
      </c>
      <c r="P43" s="71"/>
      <c r="Q43" s="71"/>
      <c r="R43" s="71"/>
      <c r="S43" s="71"/>
    </row>
    <row r="44" spans="1:28" ht="24" customHeight="1" x14ac:dyDescent="0.25">
      <c r="G44" s="26"/>
      <c r="H44" s="26"/>
      <c r="I44" s="26"/>
      <c r="M44" s="100">
        <v>1</v>
      </c>
      <c r="P44" s="71"/>
      <c r="Q44" s="71"/>
      <c r="R44" s="71"/>
      <c r="S44" s="71"/>
    </row>
    <row r="45" spans="1:28" ht="24" customHeight="1" x14ac:dyDescent="0.25">
      <c r="G45" s="26"/>
      <c r="H45" s="26"/>
      <c r="I45" s="26"/>
      <c r="J45" s="28"/>
      <c r="M45" s="153"/>
      <c r="N45" s="153"/>
      <c r="O45" s="153"/>
      <c r="P45" s="154"/>
      <c r="R45" s="146"/>
      <c r="S45" s="146"/>
      <c r="AB45" s="145"/>
    </row>
    <row r="46" spans="1:28" x14ac:dyDescent="0.25">
      <c r="J46" s="28"/>
    </row>
    <row r="47" spans="1:28" x14ac:dyDescent="0.25">
      <c r="J47" s="28"/>
    </row>
    <row r="48" spans="1:28" x14ac:dyDescent="0.25">
      <c r="J48" s="29"/>
    </row>
    <row r="49" spans="10:10" x14ac:dyDescent="0.25">
      <c r="J49" s="29"/>
    </row>
  </sheetData>
  <sheetProtection algorithmName="SHA-512" hashValue="VVu0QyYY/dIP7eq5ZTpWhawlf0mYMlLz2D8vn3465PuYvQYFvPCPba0WVDKLq5coVQh4TDrtBN0SVVhI/CDdbQ==" saltValue="NNHn8GsuUEpUkAX00/j5lg==" spinCount="100000" sheet="1" formatCells="0"/>
  <mergeCells count="11">
    <mergeCell ref="C3:J4"/>
    <mergeCell ref="A3:A4"/>
    <mergeCell ref="A5:D5"/>
    <mergeCell ref="G5:J5"/>
    <mergeCell ref="G39:I39"/>
    <mergeCell ref="A15:D15"/>
    <mergeCell ref="G15:J15"/>
    <mergeCell ref="A21:D21"/>
    <mergeCell ref="G21:J21"/>
    <mergeCell ref="A28:E28"/>
    <mergeCell ref="A29:E40"/>
  </mergeCells>
  <printOptions horizontalCentered="1" verticalCentered="1"/>
  <pageMargins left="0.4" right="0.25" top="0.75" bottom="0.75" header="0.3" footer="0.3"/>
  <pageSetup scale="71" orientation="portrait" cellComments="asDisplayed" r:id="rId1"/>
  <headerFooter>
    <oddFooter>&amp;L8.2.2.1.6 101 Schedule Template.xlsx&amp;RCreated: 10/22/21TG
Revised: 11/4/25BT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EC84-411E-4CFF-B8E9-48979AA34F35}">
  <sheetPr>
    <tabColor rgb="FF92D050"/>
    <pageSetUpPr fitToPage="1"/>
  </sheetPr>
  <dimension ref="A1:AB49"/>
  <sheetViews>
    <sheetView showGridLines="0" topLeftCell="A2" zoomScale="85" zoomScaleNormal="85" workbookViewId="0">
      <selection activeCell="J17" sqref="J17"/>
    </sheetView>
  </sheetViews>
  <sheetFormatPr defaultColWidth="9" defaultRowHeight="18" x14ac:dyDescent="0.25"/>
  <cols>
    <col min="1" max="1" width="20.42578125" style="98" customWidth="1"/>
    <col min="2" max="2" width="9.85546875" style="71" hidden="1" customWidth="1"/>
    <col min="3" max="3" width="27.42578125" style="71" customWidth="1"/>
    <col min="4" max="4" width="7.140625" style="99" customWidth="1"/>
    <col min="5" max="5" width="4.28515625" style="100" customWidth="1"/>
    <col min="6" max="6" width="4.28515625" style="94" customWidth="1"/>
    <col min="7" max="7" width="20.5703125" style="102" customWidth="1"/>
    <col min="8" max="8" width="5.42578125" style="71" hidden="1" customWidth="1"/>
    <col min="9" max="9" width="27.42578125" style="71" customWidth="1"/>
    <col min="10" max="10" width="7.140625" style="99" customWidth="1"/>
    <col min="11" max="11" width="4.28515625" style="100" customWidth="1"/>
    <col min="12" max="12" width="4.28515625" style="94" customWidth="1"/>
    <col min="13" max="13" width="21.42578125" style="71" customWidth="1"/>
    <col min="14" max="14" width="21.42578125" style="71" hidden="1" customWidth="1"/>
    <col min="15" max="15" width="24.42578125" style="71" bestFit="1" customWidth="1"/>
    <col min="16" max="16" width="7.140625" style="99" customWidth="1"/>
    <col min="17" max="17" width="3.42578125" style="100" customWidth="1"/>
    <col min="18" max="18" width="2.5703125" style="100" customWidth="1"/>
    <col min="19" max="19" width="5" style="100" customWidth="1"/>
    <col min="20" max="27" width="10.85546875" style="71" customWidth="1"/>
    <col min="28" max="16384" width="9" style="71"/>
  </cols>
  <sheetData>
    <row r="1" spans="1:27" ht="27" x14ac:dyDescent="0.3">
      <c r="A1" s="30" t="s">
        <v>226</v>
      </c>
      <c r="B1" s="67"/>
      <c r="C1" s="68"/>
      <c r="D1" s="68"/>
      <c r="E1" s="69"/>
      <c r="F1" s="70"/>
      <c r="G1" s="71"/>
      <c r="H1" s="68"/>
      <c r="J1" s="71"/>
      <c r="K1" s="69"/>
      <c r="L1" s="70"/>
      <c r="N1" s="73"/>
      <c r="O1" s="161" t="s">
        <v>279</v>
      </c>
      <c r="P1" s="141"/>
    </row>
    <row r="2" spans="1:27" ht="27" x14ac:dyDescent="0.35">
      <c r="A2" s="30"/>
      <c r="B2" s="67"/>
      <c r="C2" s="72" t="s">
        <v>257</v>
      </c>
      <c r="D2" s="68"/>
      <c r="E2" s="69"/>
      <c r="F2" s="70"/>
      <c r="G2" s="73" t="s">
        <v>29</v>
      </c>
      <c r="H2" s="68"/>
      <c r="I2" s="32">
        <f>'Weekly Plan'!H1+3</f>
        <v>46009</v>
      </c>
      <c r="J2" s="32"/>
      <c r="K2" s="69"/>
      <c r="L2" s="70"/>
      <c r="N2" s="73"/>
      <c r="O2" s="32"/>
      <c r="P2" s="141"/>
    </row>
    <row r="3" spans="1:27" s="105" customFormat="1" ht="19.5" customHeight="1" x14ac:dyDescent="0.2">
      <c r="A3" s="209" t="s">
        <v>14</v>
      </c>
      <c r="B3" s="74"/>
      <c r="C3" s="205" t="s">
        <v>280</v>
      </c>
      <c r="D3" s="205"/>
      <c r="E3" s="205"/>
      <c r="F3" s="205"/>
      <c r="G3" s="205"/>
      <c r="H3" s="205"/>
      <c r="I3" s="205"/>
      <c r="J3" s="205"/>
      <c r="K3" s="34"/>
      <c r="L3" s="35"/>
      <c r="M3" s="33"/>
      <c r="N3" s="33"/>
      <c r="O3" s="33"/>
      <c r="P3" s="33"/>
      <c r="Q3" s="33"/>
      <c r="R3" s="36"/>
      <c r="S3" s="142"/>
      <c r="T3" s="142"/>
      <c r="U3" s="142"/>
      <c r="V3" s="142"/>
      <c r="W3" s="142"/>
      <c r="X3" s="142"/>
      <c r="Y3" s="142"/>
      <c r="Z3" s="142"/>
      <c r="AA3" s="142"/>
    </row>
    <row r="4" spans="1:27" s="105" customFormat="1" ht="19.5" customHeight="1" thickBot="1" x14ac:dyDescent="0.25">
      <c r="A4" s="210"/>
      <c r="B4" s="74"/>
      <c r="C4" s="205"/>
      <c r="D4" s="205"/>
      <c r="E4" s="205"/>
      <c r="F4" s="205"/>
      <c r="G4" s="205"/>
      <c r="H4" s="205"/>
      <c r="I4" s="205"/>
      <c r="J4" s="205"/>
      <c r="K4" s="34"/>
      <c r="L4" s="35"/>
      <c r="M4" s="33"/>
      <c r="N4" s="33"/>
      <c r="O4" s="33"/>
      <c r="P4" s="33"/>
      <c r="Q4" s="33"/>
      <c r="R4" s="36"/>
      <c r="S4" s="142"/>
      <c r="T4" s="142"/>
      <c r="U4" s="142"/>
      <c r="V4" s="142"/>
      <c r="W4" s="142"/>
      <c r="X4" s="142"/>
      <c r="Y4" s="142"/>
      <c r="Z4" s="142"/>
      <c r="AA4" s="142"/>
    </row>
    <row r="5" spans="1:27" ht="24" customHeight="1" thickBot="1" x14ac:dyDescent="0.25">
      <c r="A5" s="206" t="s">
        <v>215</v>
      </c>
      <c r="B5" s="207"/>
      <c r="C5" s="207"/>
      <c r="D5" s="208"/>
      <c r="E5" s="75"/>
      <c r="F5" s="76"/>
      <c r="G5" s="192" t="s">
        <v>150</v>
      </c>
      <c r="H5" s="193"/>
      <c r="I5" s="194"/>
      <c r="J5" s="195"/>
      <c r="K5" s="75"/>
      <c r="L5" s="76"/>
      <c r="M5" s="143"/>
      <c r="P5" s="144"/>
      <c r="Q5" s="144"/>
      <c r="R5" s="144"/>
      <c r="S5" s="144"/>
      <c r="T5" s="144"/>
      <c r="U5" s="144"/>
      <c r="V5" s="144"/>
    </row>
    <row r="6" spans="1:27" ht="24" customHeight="1" x14ac:dyDescent="0.2">
      <c r="A6" s="56" t="str">
        <f>'Weekly Plan'!F4</f>
        <v>99944 Bezel</v>
      </c>
      <c r="B6" s="49" t="s">
        <v>166</v>
      </c>
      <c r="C6" s="56" t="str">
        <f>'Weekly Plan'!G4</f>
        <v>Bezel</v>
      </c>
      <c r="D6" s="37" t="str">
        <f>IF(INDEX('Weekly Plan'!$F$2:$M$79,MATCH(A6,'Weekly Plan'!$F$2:$F$79,0),MATCH($C$2,'Weekly Plan'!$F$2:$M$2,0))=0,"",INDEX('Weekly Plan'!$F$2:$M$79,MATCH(A6,'Weekly Plan'!$F$2:$F$79,0),MATCH($C$2,'Weekly Plan'!$F$2:$M$2,0)))</f>
        <v/>
      </c>
      <c r="E6" s="38">
        <f>'Weekly Plan'!A4</f>
        <v>2</v>
      </c>
      <c r="F6" s="39">
        <f t="shared" ref="F6:F11" si="0">IFERROR(D6/E6,0)</f>
        <v>0</v>
      </c>
      <c r="G6" s="56" t="str">
        <f>'Weekly Plan'!F16</f>
        <v>VG0240BL0PA</v>
      </c>
      <c r="H6" s="64"/>
      <c r="I6" s="77" t="str">
        <f>'Weekly Plan'!G16</f>
        <v>C223 ACCSRY Spoiler</v>
      </c>
      <c r="J6" s="37" t="str">
        <f>IF(INDEX('Weekly Plan'!$F$2:$M$79,MATCH(G6,'Weekly Plan'!$F$2:$F$79,0),MATCH($C$2,'Weekly Plan'!$F$2:$M$2,0))=0,"",INDEX('Weekly Plan'!$F$2:$M$79,MATCH(G6,'Weekly Plan'!$F$2:$F$79,0),MATCH($C$2,'Weekly Plan'!$F$2:$M$2,0)))</f>
        <v/>
      </c>
      <c r="K6" s="38">
        <f>'Weekly Plan'!A16</f>
        <v>1</v>
      </c>
      <c r="L6" s="39">
        <f>IFERROR(J6/K6,0)</f>
        <v>0</v>
      </c>
      <c r="M6" s="100"/>
      <c r="P6" s="145"/>
      <c r="Q6" s="145"/>
      <c r="R6" s="145"/>
      <c r="S6" s="145"/>
      <c r="T6" s="145"/>
      <c r="U6" s="145"/>
      <c r="V6" s="145"/>
    </row>
    <row r="7" spans="1:27" ht="24" customHeight="1" x14ac:dyDescent="0.2">
      <c r="A7" s="58">
        <f>'Weekly Plan'!F5</f>
        <v>99633</v>
      </c>
      <c r="B7" s="51" t="s">
        <v>166</v>
      </c>
      <c r="C7" s="58" t="str">
        <f>'Weekly Plan'!G5</f>
        <v>IR Cover LH</v>
      </c>
      <c r="D7" s="37" t="str">
        <f>IF(INDEX('Weekly Plan'!$F$2:$M$79,MATCH(A7,'Weekly Plan'!$F$2:$F$79,0),MATCH($C$2,'Weekly Plan'!$F$2:$M$2,0))=0,"",INDEX('Weekly Plan'!$F$2:$M$79,MATCH(A7,'Weekly Plan'!$F$2:$F$79,0),MATCH($C$2,'Weekly Plan'!$F$2:$M$2,0)))</f>
        <v/>
      </c>
      <c r="E7" s="38">
        <f>'Weekly Plan'!A5</f>
        <v>20</v>
      </c>
      <c r="F7" s="39">
        <f t="shared" si="0"/>
        <v>0</v>
      </c>
      <c r="G7" s="58" t="str">
        <f>'Weekly Plan'!F17</f>
        <v>VG0241CM0PB</v>
      </c>
      <c r="H7" s="65"/>
      <c r="I7" s="78" t="str">
        <f>'Weekly Plan'!G17</f>
        <v>Y2XX Stanchion - LH</v>
      </c>
      <c r="J7" s="37" t="str">
        <f>IF(INDEX('Weekly Plan'!$F$2:$M$79,MATCH(G7,'Weekly Plan'!$F$2:$F$79,0),MATCH($C$2,'Weekly Plan'!$F$2:$M$2,0))=0,"",INDEX('Weekly Plan'!$F$2:$M$79,MATCH(G7,'Weekly Plan'!$F$2:$F$79,0),MATCH($C$2,'Weekly Plan'!$F$2:$M$2,0)))</f>
        <v/>
      </c>
      <c r="K7" s="38">
        <f>'Weekly Plan'!A17</f>
        <v>6</v>
      </c>
      <c r="L7" s="39">
        <f>IFERROR(J7/K7,0)</f>
        <v>0</v>
      </c>
      <c r="M7" s="100"/>
      <c r="P7" s="145"/>
      <c r="Q7" s="145"/>
      <c r="R7" s="145"/>
      <c r="S7" s="145"/>
      <c r="T7" s="145"/>
      <c r="U7" s="145"/>
      <c r="V7" s="145"/>
    </row>
    <row r="8" spans="1:27" ht="24" customHeight="1" x14ac:dyDescent="0.2">
      <c r="A8" s="58">
        <f>'Weekly Plan'!F6</f>
        <v>99646</v>
      </c>
      <c r="B8" s="51" t="s">
        <v>166</v>
      </c>
      <c r="C8" s="58" t="str">
        <f>'Weekly Plan'!G6</f>
        <v>IR Cover RH</v>
      </c>
      <c r="D8" s="37" t="str">
        <f>IF(INDEX('Weekly Plan'!$F$2:$M$79,MATCH(A8,'Weekly Plan'!$F$2:$F$79,0),MATCH($C$2,'Weekly Plan'!$F$2:$M$2,0))=0,"",INDEX('Weekly Plan'!$F$2:$M$79,MATCH(A8,'Weekly Plan'!$F$2:$F$79,0),MATCH($C$2,'Weekly Plan'!$F$2:$M$2,0)))</f>
        <v/>
      </c>
      <c r="E8" s="38">
        <f>'Weekly Plan'!A6</f>
        <v>20</v>
      </c>
      <c r="F8" s="39">
        <f t="shared" si="0"/>
        <v>0</v>
      </c>
      <c r="G8" s="58" t="str">
        <f>'Weekly Plan'!F18</f>
        <v>VG0241CM0PD</v>
      </c>
      <c r="H8" s="65"/>
      <c r="I8" s="78" t="str">
        <f>'Weekly Plan'!G18</f>
        <v>Y2XX Stanchion - RH</v>
      </c>
      <c r="J8" s="37" t="str">
        <f>IF(INDEX('Weekly Plan'!$F$2:$M$79,MATCH(G8,'Weekly Plan'!$F$2:$F$79,0),MATCH($C$2,'Weekly Plan'!$F$2:$M$2,0))=0,"",INDEX('Weekly Plan'!$F$2:$M$79,MATCH(G8,'Weekly Plan'!$F$2:$F$79,0),MATCH($C$2,'Weekly Plan'!$F$2:$M$2,0)))</f>
        <v/>
      </c>
      <c r="K8" s="38">
        <f>'Weekly Plan'!A18</f>
        <v>6</v>
      </c>
      <c r="L8" s="39">
        <f>IFERROR(J8/K8,0)</f>
        <v>0</v>
      </c>
      <c r="M8" s="100"/>
      <c r="P8" s="145"/>
      <c r="Q8" s="145"/>
      <c r="R8" s="145"/>
      <c r="S8" s="145"/>
      <c r="T8" s="145"/>
      <c r="U8" s="145"/>
      <c r="V8" s="145"/>
    </row>
    <row r="9" spans="1:27" ht="24" customHeight="1" x14ac:dyDescent="0.2">
      <c r="A9" s="58">
        <f>'Weekly Plan'!F7</f>
        <v>99635</v>
      </c>
      <c r="B9" s="51" t="s">
        <v>166</v>
      </c>
      <c r="C9" s="58" t="str">
        <f>'Weekly Plan'!G7</f>
        <v>Lateral Belt LH</v>
      </c>
      <c r="D9" s="37" t="str">
        <f>IF(INDEX('Weekly Plan'!$F$2:$M$79,MATCH(A9,'Weekly Plan'!$F$2:$F$79,0),MATCH($C$2,'Weekly Plan'!$F$2:$M$2,0))=0,"",INDEX('Weekly Plan'!$F$2:$M$79,MATCH(A9,'Weekly Plan'!$F$2:$F$79,0),MATCH($C$2,'Weekly Plan'!$F$2:$M$2,0)))</f>
        <v/>
      </c>
      <c r="E9" s="38">
        <f>'Weekly Plan'!A7</f>
        <v>6</v>
      </c>
      <c r="F9" s="39">
        <f t="shared" si="0"/>
        <v>0</v>
      </c>
      <c r="G9" s="58" t="str">
        <f>'Weekly Plan'!F19</f>
        <v>VG0241CM0PC</v>
      </c>
      <c r="H9" s="65"/>
      <c r="I9" s="78" t="str">
        <f>'Weekly Plan'!G19</f>
        <v>Y2XX Stanchion - Center</v>
      </c>
      <c r="J9" s="37" t="str">
        <f>IF(INDEX('Weekly Plan'!$F$2:$M$79,MATCH(G9,'Weekly Plan'!$F$2:$F$79,0),MATCH($C$2,'Weekly Plan'!$F$2:$M$2,0))=0,"",INDEX('Weekly Plan'!$F$2:$M$79,MATCH(G9,'Weekly Plan'!$F$2:$F$79,0),MATCH($C$2,'Weekly Plan'!$F$2:$M$2,0)))</f>
        <v/>
      </c>
      <c r="K9" s="38">
        <f>'Weekly Plan'!A19</f>
        <v>6</v>
      </c>
      <c r="L9" s="39">
        <f>IFERROR(J9/K9,0)</f>
        <v>0</v>
      </c>
      <c r="M9" s="146"/>
      <c r="P9" s="145"/>
      <c r="Q9" s="145"/>
      <c r="R9" s="145"/>
      <c r="S9" s="145"/>
      <c r="T9" s="145"/>
      <c r="U9" s="145"/>
      <c r="V9" s="145"/>
    </row>
    <row r="10" spans="1:27" ht="24" customHeight="1" x14ac:dyDescent="0.2">
      <c r="A10" s="58">
        <f>'Weekly Plan'!F8</f>
        <v>99944</v>
      </c>
      <c r="B10" s="51" t="s">
        <v>166</v>
      </c>
      <c r="C10" s="58" t="str">
        <f>'Weekly Plan'!G8</f>
        <v>Lateral Belt RH</v>
      </c>
      <c r="D10" s="37" t="str">
        <f>IF(INDEX('Weekly Plan'!$F$2:$M$79,MATCH(A10,'Weekly Plan'!$F$2:$F$79,0),MATCH($C$2,'Weekly Plan'!$F$2:$M$2,0))=0,"",INDEX('Weekly Plan'!$F$2:$M$79,MATCH(A10,'Weekly Plan'!$F$2:$F$79,0),MATCH($C$2,'Weekly Plan'!$F$2:$M$2,0)))</f>
        <v/>
      </c>
      <c r="E10" s="38">
        <f>'Weekly Plan'!A8</f>
        <v>6</v>
      </c>
      <c r="F10" s="39">
        <f t="shared" si="0"/>
        <v>0</v>
      </c>
      <c r="G10" s="58" t="str">
        <f>'Weekly Plan'!F20</f>
        <v>VG0241CM0PE</v>
      </c>
      <c r="H10" s="65"/>
      <c r="I10" s="78" t="str">
        <f>'Weekly Plan'!G20</f>
        <v>Y2XX Winglet -LH</v>
      </c>
      <c r="J10" s="37" t="str">
        <f>IF(INDEX('Weekly Plan'!$F$2:$M$79,MATCH(G10,'Weekly Plan'!$F$2:$F$79,0),MATCH($C$2,'Weekly Plan'!$F$2:$M$2,0))=0,"",INDEX('Weekly Plan'!$F$2:$M$79,MATCH(G10,'Weekly Plan'!$F$2:$F$79,0),MATCH($C$2,'Weekly Plan'!$F$2:$M$2,0)))</f>
        <v/>
      </c>
      <c r="K10" s="38">
        <f>'Weekly Plan'!A20</f>
        <v>0</v>
      </c>
      <c r="L10" s="39">
        <f>IFERROR(J12/K10,0)</f>
        <v>0</v>
      </c>
      <c r="M10" s="146"/>
      <c r="P10" s="145"/>
      <c r="Q10" s="145"/>
      <c r="R10" s="145"/>
      <c r="S10" s="145"/>
      <c r="T10" s="145"/>
      <c r="U10" s="145"/>
      <c r="V10" s="145"/>
    </row>
    <row r="11" spans="1:27" ht="24" customHeight="1" thickBot="1" x14ac:dyDescent="0.25">
      <c r="A11" s="61">
        <f>'Weekly Plan'!F9</f>
        <v>99636</v>
      </c>
      <c r="B11" s="54" t="s">
        <v>166</v>
      </c>
      <c r="C11" s="61" t="str">
        <f>'Weekly Plan'!G9</f>
        <v>Rear Belt</v>
      </c>
      <c r="D11" s="40" t="str">
        <f>IF(INDEX('Weekly Plan'!$F$2:$M$79,MATCH(A11,'Weekly Plan'!$F$2:$F$79,0),MATCH($C$2,'Weekly Plan'!$F$2:$M$2,0))=0,"",INDEX('Weekly Plan'!$F$2:$M$79,MATCH(A11,'Weekly Plan'!$F$2:$F$79,0),MATCH($C$2,'Weekly Plan'!$F$2:$M$2,0)))</f>
        <v/>
      </c>
      <c r="E11" s="38">
        <f>'Weekly Plan'!A9</f>
        <v>20</v>
      </c>
      <c r="F11" s="39">
        <f t="shared" si="0"/>
        <v>0</v>
      </c>
      <c r="G11" s="58" t="str">
        <f>'Weekly Plan'!F21</f>
        <v>VG0241CM0PF</v>
      </c>
      <c r="H11" s="65"/>
      <c r="I11" s="78" t="str">
        <f>'Weekly Plan'!G21</f>
        <v>Y2XX Winglet -RH</v>
      </c>
      <c r="J11" s="37" t="str">
        <f>IF(INDEX('Weekly Plan'!$F$2:$M$79,MATCH(G11,'Weekly Plan'!$F$2:$F$79,0),MATCH($C$2,'Weekly Plan'!$F$2:$M$2,0))=0,"",INDEX('Weekly Plan'!$F$2:$M$79,MATCH(G11,'Weekly Plan'!$F$2:$F$79,0),MATCH($C$2,'Weekly Plan'!$F$2:$M$2,0)))</f>
        <v/>
      </c>
      <c r="K11" s="38">
        <f>'Weekly Plan'!A21</f>
        <v>0</v>
      </c>
      <c r="L11" s="39">
        <f>IFERROR(J13/K11,0)</f>
        <v>0</v>
      </c>
      <c r="M11" s="146"/>
      <c r="P11" s="145"/>
      <c r="Q11" s="145"/>
      <c r="R11" s="145"/>
      <c r="S11" s="145"/>
      <c r="T11" s="145"/>
      <c r="U11" s="145"/>
      <c r="V11" s="145"/>
    </row>
    <row r="12" spans="1:27" ht="24" customHeight="1" x14ac:dyDescent="0.2">
      <c r="A12" s="79"/>
      <c r="B12" s="79"/>
      <c r="C12" s="27"/>
      <c r="D12" s="80"/>
      <c r="E12" s="75"/>
      <c r="F12" s="76"/>
      <c r="G12" s="58" t="str">
        <f>'Weekly Plan'!F22</f>
        <v>VG0241CM0PG</v>
      </c>
      <c r="H12" s="65"/>
      <c r="I12" s="78" t="str">
        <f>'Weekly Plan'!G22</f>
        <v>Y2XX Screw Cover - LH</v>
      </c>
      <c r="J12" s="37" t="str">
        <f>IF(INDEX('Weekly Plan'!$F$2:$M$79,MATCH(G12,'Weekly Plan'!$F$2:$F$79,0),MATCH($C$2,'Weekly Plan'!$F$2:$M$2,0))=0,"",INDEX('Weekly Plan'!$F$2:$M$79,MATCH(G12,'Weekly Plan'!$F$2:$F$79,0),MATCH($C$2,'Weekly Plan'!$F$2:$M$2,0)))</f>
        <v/>
      </c>
      <c r="K12" s="38">
        <f>'Weekly Plan'!A22</f>
        <v>20</v>
      </c>
      <c r="L12" s="39">
        <f>IFERROR(J14/K12,0)</f>
        <v>0</v>
      </c>
      <c r="M12" s="146"/>
      <c r="P12" s="145"/>
      <c r="Q12" s="145"/>
      <c r="R12" s="145"/>
      <c r="S12" s="145"/>
      <c r="T12" s="145"/>
      <c r="U12" s="145"/>
      <c r="V12" s="145"/>
    </row>
    <row r="13" spans="1:27" ht="24" customHeight="1" thickBot="1" x14ac:dyDescent="0.25">
      <c r="A13" s="79"/>
      <c r="B13" s="79"/>
      <c r="C13" s="27"/>
      <c r="D13" s="80"/>
      <c r="E13" s="75"/>
      <c r="F13" s="76"/>
      <c r="G13" s="61" t="str">
        <f>'Weekly Plan'!F23</f>
        <v>VG0241CM0PH</v>
      </c>
      <c r="H13" s="66"/>
      <c r="I13" s="81" t="str">
        <f>'Weekly Plan'!G23</f>
        <v>Y2XX Screw Cover - RH</v>
      </c>
      <c r="J13" s="40" t="str">
        <f>IF(INDEX('Weekly Plan'!$F$2:$M$79,MATCH(G13,'Weekly Plan'!$F$2:$F$79,0),MATCH($C$2,'Weekly Plan'!$F$2:$M$2,0))=0,"",INDEX('Weekly Plan'!$F$2:$M$79,MATCH(G13,'Weekly Plan'!$F$2:$F$79,0),MATCH($C$2,'Weekly Plan'!$F$2:$M$2,0)))</f>
        <v/>
      </c>
      <c r="K13" s="38">
        <f>'Weekly Plan'!A23</f>
        <v>20</v>
      </c>
      <c r="L13" s="39">
        <f>IFERROR(J15/K13,0)</f>
        <v>0</v>
      </c>
      <c r="M13" s="147"/>
      <c r="P13" s="123"/>
      <c r="Q13" s="123"/>
      <c r="R13" s="123"/>
      <c r="S13" s="123"/>
      <c r="T13" s="123"/>
      <c r="U13" s="123"/>
      <c r="V13" s="123"/>
    </row>
    <row r="14" spans="1:27" ht="24" customHeight="1" thickBot="1" x14ac:dyDescent="0.25">
      <c r="A14" s="82"/>
      <c r="B14" s="82"/>
      <c r="C14" s="82"/>
      <c r="D14" s="80"/>
      <c r="E14" s="75"/>
      <c r="F14" s="76"/>
      <c r="G14" s="82"/>
      <c r="H14" s="82"/>
      <c r="I14" s="82"/>
      <c r="J14" s="83"/>
      <c r="K14" s="75"/>
      <c r="L14" s="76"/>
      <c r="M14" s="100"/>
      <c r="P14" s="71"/>
      <c r="Q14" s="71"/>
      <c r="R14" s="71"/>
      <c r="S14" s="71"/>
    </row>
    <row r="15" spans="1:27" ht="24" customHeight="1" thickBot="1" x14ac:dyDescent="0.25">
      <c r="A15" s="206" t="s">
        <v>214</v>
      </c>
      <c r="B15" s="207"/>
      <c r="C15" s="207"/>
      <c r="D15" s="208"/>
      <c r="E15" s="75"/>
      <c r="F15" s="76"/>
      <c r="G15" s="192" t="s">
        <v>208</v>
      </c>
      <c r="H15" s="193"/>
      <c r="I15" s="194"/>
      <c r="J15" s="195"/>
      <c r="K15" s="75"/>
      <c r="L15" s="76"/>
      <c r="P15" s="71"/>
      <c r="Q15" s="71"/>
      <c r="R15" s="71"/>
      <c r="S15" s="71"/>
    </row>
    <row r="16" spans="1:27" ht="24" customHeight="1" x14ac:dyDescent="0.2">
      <c r="A16" s="56">
        <f>'Weekly Plan'!F11</f>
        <v>99629</v>
      </c>
      <c r="B16" s="42" t="s">
        <v>122</v>
      </c>
      <c r="C16" s="57" t="str">
        <f>'Weekly Plan'!G11</f>
        <v>Main Lower Cover</v>
      </c>
      <c r="D16" s="37" t="str">
        <f>IF(INDEX('Weekly Plan'!$F$2:$M$79,MATCH(A16,'Weekly Plan'!$F$2:$F$79,0),MATCH($C$2,'Weekly Plan'!$F$2:$M$2,0))=0,"",INDEX('Weekly Plan'!$F$2:$M$79,MATCH(A16,'Weekly Plan'!$F$2:$F$79,0),MATCH($C$2,'Weekly Plan'!$F$2:$M$2,0)))</f>
        <v/>
      </c>
      <c r="E16" s="38">
        <f>'Weekly Plan'!A11</f>
        <v>1</v>
      </c>
      <c r="F16" s="39">
        <f>IFERROR(D16/E16,0)</f>
        <v>0</v>
      </c>
      <c r="G16" s="56" t="str">
        <f>'Weekly Plan'!F25</f>
        <v>9405929P</v>
      </c>
      <c r="H16" s="64"/>
      <c r="I16" s="57" t="str">
        <f>'Weekly Plan'!G25</f>
        <v>MX Applique</v>
      </c>
      <c r="J16" s="37" t="str">
        <f>IF(INDEX('Weekly Plan'!$F$2:$M$79,MATCH(G16,'Weekly Plan'!$F$2:$F$79,0),MATCH($C$2,'Weekly Plan'!$F$2:$M$2,0))=0,"",INDEX('Weekly Plan'!$F$2:$M$79,MATCH(G16,'Weekly Plan'!$F$2:$F$79,0),MATCH($C$2,'Weekly Plan'!$F$2:$M$2,0)))</f>
        <v/>
      </c>
      <c r="K16" s="38">
        <f>'Weekly Plan'!A25</f>
        <v>6</v>
      </c>
      <c r="L16" s="39">
        <f>IFERROR(J16/K16,0)</f>
        <v>0</v>
      </c>
      <c r="M16" s="146"/>
      <c r="P16" s="71"/>
      <c r="Q16" s="71"/>
      <c r="R16" s="71"/>
      <c r="S16" s="71"/>
      <c r="V16" s="145"/>
    </row>
    <row r="17" spans="1:22" ht="24" customHeight="1" x14ac:dyDescent="0.2">
      <c r="A17" s="58">
        <f>'Weekly Plan'!F12</f>
        <v>99631</v>
      </c>
      <c r="B17" s="59" t="s">
        <v>122</v>
      </c>
      <c r="C17" s="60" t="str">
        <f>'Weekly Plan'!G12</f>
        <v>Main Upper Cover</v>
      </c>
      <c r="D17" s="37" t="str">
        <f>IF(INDEX('Weekly Plan'!$F$2:$M$79,MATCH(A17,'Weekly Plan'!$F$2:$F$79,0),MATCH($C$2,'Weekly Plan'!$F$2:$M$2,0))=0,"",INDEX('Weekly Plan'!$F$2:$M$79,MATCH(A17,'Weekly Plan'!$F$2:$F$79,0),MATCH($C$2,'Weekly Plan'!$F$2:$M$2,0)))</f>
        <v/>
      </c>
      <c r="E17" s="38">
        <f>'Weekly Plan'!A12</f>
        <v>1</v>
      </c>
      <c r="F17" s="39">
        <f>IFERROR(D17/E17,0)</f>
        <v>0</v>
      </c>
      <c r="G17" s="58" t="str">
        <f>'Weekly Plan'!F26</f>
        <v>9405930P</v>
      </c>
      <c r="H17" s="65"/>
      <c r="I17" s="60" t="str">
        <f>'Weekly Plan'!G26</f>
        <v>MS Applique</v>
      </c>
      <c r="J17" s="155" t="str">
        <f>IF(INDEX('Weekly Plan'!$F$2:$M$79,MATCH(G17,'Weekly Plan'!$F$2:$F$79,0),MATCH($C$2,'Weekly Plan'!$F$2:$M$2,0))=0,"",INDEX('Weekly Plan'!$F$2:$M$79,MATCH(G17,'Weekly Plan'!$F$2:$F$79,0),MATCH($C$2,'Weekly Plan'!$F$2:$M$2,0)))</f>
        <v/>
      </c>
      <c r="K17" s="38">
        <f>'Weekly Plan'!A26</f>
        <v>6</v>
      </c>
      <c r="L17" s="39">
        <f>IFERROR(J17/K17,0)</f>
        <v>0</v>
      </c>
      <c r="M17" s="146"/>
      <c r="P17" s="71"/>
      <c r="Q17" s="71"/>
      <c r="R17" s="71"/>
      <c r="S17" s="71"/>
      <c r="V17" s="145"/>
    </row>
    <row r="18" spans="1:22" ht="24" customHeight="1" x14ac:dyDescent="0.2">
      <c r="A18" s="58">
        <f>'Weekly Plan'!F13</f>
        <v>99638</v>
      </c>
      <c r="B18" s="59" t="s">
        <v>122</v>
      </c>
      <c r="C18" s="60" t="str">
        <f>'Weekly Plan'!G13</f>
        <v>Rear Plate</v>
      </c>
      <c r="D18" s="37" t="str">
        <f>IF(INDEX('Weekly Plan'!$F$2:$M$79,MATCH(A18,'Weekly Plan'!$F$2:$F$79,0),MATCH($C$2,'Weekly Plan'!$F$2:$M$2,0))=0,"",INDEX('Weekly Plan'!$F$2:$M$79,MATCH(A18,'Weekly Plan'!$F$2:$F$79,0),MATCH($C$2,'Weekly Plan'!$F$2:$M$2,0)))</f>
        <v/>
      </c>
      <c r="E18" s="38">
        <f>'Weekly Plan'!A13</f>
        <v>20</v>
      </c>
      <c r="F18" s="39">
        <f>IFERROR(D18/E18,0)</f>
        <v>0</v>
      </c>
      <c r="G18" s="58" t="str">
        <f>'Weekly Plan'!F27</f>
        <v>9405929P-REW</v>
      </c>
      <c r="H18" s="65"/>
      <c r="I18" s="60" t="str">
        <f>'Weekly Plan'!G27</f>
        <v>MX Applique Rework</v>
      </c>
      <c r="J18" s="37" t="str">
        <f>IF(INDEX('Weekly Plan'!$F$2:$M$79,MATCH(G18,'Weekly Plan'!$F$2:$F$79,0),MATCH($C$2,'Weekly Plan'!$F$2:$M$2,0))=0,"",INDEX('Weekly Plan'!$F$2:$M$79,MATCH(G18,'Weekly Plan'!$F$2:$F$79,0),MATCH($C$2,'Weekly Plan'!$F$2:$M$2,0)))</f>
        <v/>
      </c>
      <c r="K18" s="38">
        <f>'Weekly Plan'!A27</f>
        <v>6</v>
      </c>
      <c r="L18" s="39">
        <f>IFERROR(J18/K18,0)</f>
        <v>0</v>
      </c>
      <c r="M18" s="146"/>
      <c r="P18" s="71"/>
      <c r="Q18" s="71"/>
      <c r="R18" s="71" t="s">
        <v>276</v>
      </c>
      <c r="S18" s="71"/>
      <c r="V18" s="145"/>
    </row>
    <row r="19" spans="1:22" ht="24" customHeight="1" thickBot="1" x14ac:dyDescent="0.25">
      <c r="A19" s="61">
        <f>'Weekly Plan'!F14</f>
        <v>99630</v>
      </c>
      <c r="B19" s="62" t="s">
        <v>122</v>
      </c>
      <c r="C19" s="63" t="str">
        <f>'Weekly Plan'!G14</f>
        <v>Vent Cover</v>
      </c>
      <c r="D19" s="40" t="str">
        <f>IF(INDEX('Weekly Plan'!$F$2:$M$79,MATCH(A19,'Weekly Plan'!$F$2:$F$79,0),MATCH($C$2,'Weekly Plan'!$F$2:$M$2,0))=0,"",INDEX('Weekly Plan'!$F$2:$M$79,MATCH(A19,'Weekly Plan'!$F$2:$F$79,0),MATCH($C$2,'Weekly Plan'!$F$2:$M$2,0)))</f>
        <v/>
      </c>
      <c r="E19" s="38">
        <f>'Weekly Plan'!A14</f>
        <v>1</v>
      </c>
      <c r="F19" s="39">
        <f>IFERROR(D19/E19,0)</f>
        <v>0</v>
      </c>
      <c r="G19" s="61" t="str">
        <f>'Weekly Plan'!F28</f>
        <v>9405930P-REW</v>
      </c>
      <c r="H19" s="66"/>
      <c r="I19" s="63" t="str">
        <f>'Weekly Plan'!G28</f>
        <v>MS Applique Rework</v>
      </c>
      <c r="J19" s="40" t="str">
        <f>IF(INDEX('Weekly Plan'!$F$2:$M$79,MATCH(G19,'Weekly Plan'!$F$2:$F$79,0),MATCH($C$2,'Weekly Plan'!$F$2:$M$2,0))=0,"",INDEX('Weekly Plan'!$F$2:$M$79,MATCH(G19,'Weekly Plan'!$F$2:$F$79,0),MATCH($C$2,'Weekly Plan'!$F$2:$M$2,0)))</f>
        <v/>
      </c>
      <c r="K19" s="38">
        <f>'Weekly Plan'!A28</f>
        <v>6</v>
      </c>
      <c r="L19" s="39">
        <f>IFERROR(J19/K19,0)</f>
        <v>0</v>
      </c>
      <c r="M19" s="146"/>
      <c r="P19" s="71"/>
      <c r="Q19" s="71"/>
      <c r="R19" s="71"/>
      <c r="S19" s="71"/>
      <c r="V19" s="145"/>
    </row>
    <row r="20" spans="1:22" ht="24" customHeight="1" thickBot="1" x14ac:dyDescent="0.25">
      <c r="A20" s="84"/>
      <c r="B20" s="84"/>
      <c r="C20" s="84"/>
      <c r="D20" s="80"/>
      <c r="E20" s="75"/>
      <c r="F20" s="76"/>
      <c r="G20" s="85"/>
      <c r="H20" s="85"/>
      <c r="I20" s="85"/>
      <c r="J20" s="86"/>
      <c r="K20" s="75"/>
      <c r="L20" s="76"/>
      <c r="M20" s="100"/>
      <c r="P20" s="71"/>
      <c r="Q20" s="71"/>
      <c r="R20" s="71"/>
      <c r="S20" s="71"/>
    </row>
    <row r="21" spans="1:22" ht="24" customHeight="1" thickBot="1" x14ac:dyDescent="0.25">
      <c r="A21" s="206" t="s">
        <v>244</v>
      </c>
      <c r="B21" s="207"/>
      <c r="C21" s="207"/>
      <c r="D21" s="208"/>
      <c r="E21" s="75"/>
      <c r="F21" s="76"/>
      <c r="G21" s="192" t="s">
        <v>227</v>
      </c>
      <c r="H21" s="193"/>
      <c r="I21" s="194"/>
      <c r="J21" s="195"/>
      <c r="K21" s="75"/>
      <c r="L21" s="76"/>
      <c r="M21" s="85"/>
      <c r="P21" s="71"/>
      <c r="Q21" s="71"/>
      <c r="R21" s="71"/>
      <c r="S21" s="71"/>
    </row>
    <row r="22" spans="1:22" ht="24" customHeight="1" x14ac:dyDescent="0.2">
      <c r="A22" s="41" t="str">
        <f>'Weekly Plan'!F31</f>
        <v>KB2352</v>
      </c>
      <c r="B22" s="42" t="s">
        <v>253</v>
      </c>
      <c r="C22" s="25" t="str">
        <f>'Weekly Plan'!G31</f>
        <v>W12 Roof Top Cover</v>
      </c>
      <c r="D22" s="37" t="str">
        <f>IF(INDEX('Weekly Plan'!$F$2:$M$79,MATCH(A22,'Weekly Plan'!$F$2:$F$79,0),MATCH($C$2,'Weekly Plan'!$F$2:$M$2,0))=0,"",INDEX('Weekly Plan'!$F$2:$M$79,MATCH(A22,'Weekly Plan'!$F$2:$F$79,0),MATCH($C$2,'Weekly Plan'!$F$2:$M$2,0)))</f>
        <v/>
      </c>
      <c r="E22" s="38">
        <f>'Weekly Plan'!A31</f>
        <v>1</v>
      </c>
      <c r="F22" s="39">
        <f>IFERROR(D22/E22,0)</f>
        <v>0</v>
      </c>
      <c r="G22" s="49" t="str">
        <f>'Weekly Plan'!F36</f>
        <v>PART#1</v>
      </c>
      <c r="H22" s="50"/>
      <c r="I22" s="42"/>
      <c r="J22" s="37" t="str">
        <f>IF(INDEX('Weekly Plan'!$F$2:$M$79,MATCH(G22,'Weekly Plan'!$F$2:$F$79,0),MATCH($C$2,'Weekly Plan'!$F$2:$M$2,0))=0,"",INDEX('Weekly Plan'!$F$2:$M$79,MATCH(G22,'Weekly Plan'!$F$2:$F$79,0),MATCH($C$2,'Weekly Plan'!$F$2:$M$2,0)))</f>
        <v/>
      </c>
      <c r="K22" s="38">
        <f>'Weekly Plan'!A36</f>
        <v>0</v>
      </c>
      <c r="L22" s="39">
        <f t="shared" ref="L22:L25" si="1">IFERROR(J22/K22,0)</f>
        <v>0</v>
      </c>
      <c r="P22" s="71"/>
      <c r="Q22" s="71"/>
      <c r="R22" s="71"/>
      <c r="S22" s="71"/>
      <c r="U22" s="145"/>
    </row>
    <row r="23" spans="1:22" ht="24" customHeight="1" x14ac:dyDescent="0.2">
      <c r="A23" s="41" t="str">
        <f>'Weekly Plan'!F32</f>
        <v>KB2369</v>
      </c>
      <c r="B23" s="42" t="s">
        <v>253</v>
      </c>
      <c r="C23" s="25" t="str">
        <f>'Weekly Plan'!G32</f>
        <v>W12 Mech Bezel Pod 1</v>
      </c>
      <c r="D23" s="37" t="str">
        <f>IF(INDEX('Weekly Plan'!$F$2:$M$79,MATCH(A23,'Weekly Plan'!$F$2:$F$79,0),MATCH($C$2,'Weekly Plan'!$F$2:$M$2,0))=0,"",INDEX('Weekly Plan'!$F$2:$M$79,MATCH(A23,'Weekly Plan'!$F$2:$F$79,0),MATCH($C$2,'Weekly Plan'!$F$2:$M$2,0)))</f>
        <v/>
      </c>
      <c r="E23" s="38">
        <f>'Weekly Plan'!A32</f>
        <v>4</v>
      </c>
      <c r="F23" s="39">
        <f>IFERROR(D23/E23,0)</f>
        <v>0</v>
      </c>
      <c r="G23" s="51" t="str">
        <f>'Weekly Plan'!F37</f>
        <v>PART#2</v>
      </c>
      <c r="H23" s="52"/>
      <c r="I23" s="53"/>
      <c r="J23" s="37" t="str">
        <f>IF(INDEX('Weekly Plan'!$F$2:$M$79,MATCH(G23,'Weekly Plan'!$F$2:$F$79,0),MATCH($C$2,'Weekly Plan'!$F$2:$M$2,0))=0,"",INDEX('Weekly Plan'!$F$2:$M$79,MATCH(G23,'Weekly Plan'!$F$2:$F$79,0),MATCH($C$2,'Weekly Plan'!$F$2:$M$2,0)))</f>
        <v/>
      </c>
      <c r="K23" s="38">
        <f>'Weekly Plan'!A37</f>
        <v>0</v>
      </c>
      <c r="L23" s="39">
        <f t="shared" si="1"/>
        <v>0</v>
      </c>
      <c r="P23" s="71"/>
      <c r="Q23" s="71"/>
      <c r="R23" s="71"/>
      <c r="S23" s="71"/>
      <c r="U23" s="145"/>
    </row>
    <row r="24" spans="1:22" ht="24" customHeight="1" x14ac:dyDescent="0.2">
      <c r="A24" s="41" t="str">
        <f>'Weekly Plan'!F33</f>
        <v>KB2370L</v>
      </c>
      <c r="B24" s="42" t="s">
        <v>253</v>
      </c>
      <c r="C24" s="162" t="str">
        <f>'Weekly Plan'!G33</f>
        <v>W12 LH Cover Body Closeout Pod 5</v>
      </c>
      <c r="D24" s="37" t="str">
        <f>IF(INDEX('Weekly Plan'!$F$2:$M$79,MATCH(A24,'Weekly Plan'!$F$2:$F$79,0),MATCH($C$2,'Weekly Plan'!$F$2:$M$2,0))=0,"",INDEX('Weekly Plan'!$F$2:$M$79,MATCH(A24,'Weekly Plan'!$F$2:$F$79,0),MATCH($C$2,'Weekly Plan'!$F$2:$M$2,0)))</f>
        <v/>
      </c>
      <c r="E24" s="38">
        <f>'Weekly Plan'!A33</f>
        <v>4</v>
      </c>
      <c r="F24" s="39">
        <f>IFERROR(D24/E24,0)</f>
        <v>0</v>
      </c>
      <c r="G24" s="51" t="str">
        <f>'Weekly Plan'!F38</f>
        <v>PART#3</v>
      </c>
      <c r="H24" s="52"/>
      <c r="I24" s="23"/>
      <c r="J24" s="37" t="str">
        <f>IF(INDEX('Weekly Plan'!$F$2:$M$79,MATCH(G24,'Weekly Plan'!$F$2:$F$79,0),MATCH($C$2,'Weekly Plan'!$F$2:$M$2,0))=0,"",INDEX('Weekly Plan'!$F$2:$M$79,MATCH(G24,'Weekly Plan'!$F$2:$F$79,0),MATCH($C$2,'Weekly Plan'!$F$2:$M$2,0)))</f>
        <v/>
      </c>
      <c r="K24" s="38">
        <f>'Weekly Plan'!A38</f>
        <v>0</v>
      </c>
      <c r="L24" s="39">
        <f t="shared" si="1"/>
        <v>0</v>
      </c>
      <c r="P24" s="71"/>
      <c r="Q24" s="71"/>
      <c r="R24" s="71"/>
      <c r="S24" s="71"/>
      <c r="U24" s="145"/>
    </row>
    <row r="25" spans="1:22" ht="24" customHeight="1" thickBot="1" x14ac:dyDescent="0.25">
      <c r="A25" s="43" t="str">
        <f>'Weekly Plan'!F34</f>
        <v>KB2370R</v>
      </c>
      <c r="B25" s="44" t="s">
        <v>253</v>
      </c>
      <c r="C25" s="163" t="str">
        <f>'Weekly Plan'!G34</f>
        <v>W12 RH Cover Body Closeout Pod 6</v>
      </c>
      <c r="D25" s="40" t="str">
        <f>IF(INDEX('Weekly Plan'!$F$2:$M$79,MATCH(A25,'Weekly Plan'!$F$2:$F$79,0),MATCH($C$2,'Weekly Plan'!$F$2:$M$2,0))=0,"",INDEX('Weekly Plan'!$F$2:$M$79,MATCH(A25,'Weekly Plan'!$F$2:$F$79,0),MATCH($C$2,'Weekly Plan'!$F$2:$M$2,0)))</f>
        <v/>
      </c>
      <c r="E25" s="38">
        <f>'Weekly Plan'!A34</f>
        <v>4</v>
      </c>
      <c r="F25" s="39">
        <f>IFERROR(D25/E25,0)</f>
        <v>0</v>
      </c>
      <c r="G25" s="54" t="str">
        <f>'Weekly Plan'!F39</f>
        <v>PART#4</v>
      </c>
      <c r="H25" s="55"/>
      <c r="I25" s="24"/>
      <c r="J25" s="40" t="str">
        <f>IF(INDEX('Weekly Plan'!$F$2:$M$79,MATCH(G25,'Weekly Plan'!$F$2:$F$79,0),MATCH($C$2,'Weekly Plan'!$F$2:$M$2,0))=0,"",INDEX('Weekly Plan'!$F$2:$M$79,MATCH(G25,'Weekly Plan'!$F$2:$F$79,0),MATCH($C$2,'Weekly Plan'!$F$2:$M$2,0)))</f>
        <v/>
      </c>
      <c r="K25" s="38">
        <f>'Weekly Plan'!A39</f>
        <v>0</v>
      </c>
      <c r="L25" s="39">
        <f t="shared" si="1"/>
        <v>0</v>
      </c>
      <c r="P25" s="71"/>
      <c r="Q25" s="71"/>
      <c r="R25" s="71"/>
      <c r="S25" s="71"/>
      <c r="U25" s="145"/>
    </row>
    <row r="26" spans="1:22" ht="24" customHeight="1" x14ac:dyDescent="0.2">
      <c r="A26" s="79"/>
      <c r="B26" s="79"/>
      <c r="C26" s="27"/>
      <c r="D26" s="80"/>
      <c r="E26" s="75"/>
      <c r="F26" s="76"/>
      <c r="G26" s="85"/>
      <c r="H26" s="85"/>
      <c r="I26" s="85"/>
      <c r="J26" s="86"/>
      <c r="K26" s="75"/>
      <c r="L26" s="76"/>
      <c r="M26" s="146">
        <v>18</v>
      </c>
      <c r="P26" s="71"/>
      <c r="Q26" s="71"/>
      <c r="R26" s="71"/>
      <c r="S26" s="71"/>
      <c r="V26" s="145"/>
    </row>
    <row r="27" spans="1:22" ht="24" customHeight="1" thickBot="1" x14ac:dyDescent="0.25">
      <c r="A27" s="79"/>
      <c r="B27" s="79"/>
      <c r="C27" s="27"/>
      <c r="D27" s="80"/>
      <c r="E27" s="75"/>
      <c r="F27" s="76"/>
      <c r="G27" s="85"/>
      <c r="H27" s="85"/>
      <c r="I27" s="85"/>
      <c r="J27" s="86"/>
      <c r="K27" s="75"/>
      <c r="L27" s="76"/>
      <c r="M27" s="146"/>
      <c r="P27" s="71"/>
      <c r="Q27" s="71"/>
      <c r="R27" s="71"/>
      <c r="S27" s="71"/>
      <c r="V27" s="145"/>
    </row>
    <row r="28" spans="1:22" ht="24" customHeight="1" thickBot="1" x14ac:dyDescent="0.25">
      <c r="A28" s="202" t="s">
        <v>278</v>
      </c>
      <c r="B28" s="203"/>
      <c r="C28" s="203"/>
      <c r="D28" s="203"/>
      <c r="E28" s="204"/>
      <c r="F28" s="76"/>
      <c r="G28" s="87" t="s">
        <v>15</v>
      </c>
      <c r="H28" s="88"/>
      <c r="I28" s="89" t="s">
        <v>16</v>
      </c>
      <c r="J28" s="86"/>
      <c r="K28" s="75"/>
      <c r="L28" s="76"/>
      <c r="M28" s="100"/>
      <c r="P28" s="71"/>
      <c r="Q28" s="71"/>
      <c r="R28" s="71"/>
      <c r="S28" s="71"/>
    </row>
    <row r="29" spans="1:22" ht="24" customHeight="1" x14ac:dyDescent="0.2">
      <c r="A29" s="196"/>
      <c r="B29" s="197"/>
      <c r="C29" s="197"/>
      <c r="D29" s="197"/>
      <c r="E29" s="198"/>
      <c r="F29" s="90"/>
      <c r="G29" s="45" t="s">
        <v>215</v>
      </c>
      <c r="H29" s="91"/>
      <c r="I29" s="156">
        <f>SUM(F6:F11)</f>
        <v>0</v>
      </c>
      <c r="J29" s="86"/>
      <c r="K29" s="148"/>
      <c r="L29" s="90"/>
      <c r="M29" s="146"/>
      <c r="P29" s="71"/>
      <c r="Q29" s="71"/>
      <c r="R29" s="71"/>
      <c r="S29" s="71"/>
    </row>
    <row r="30" spans="1:22" ht="24" customHeight="1" x14ac:dyDescent="0.2">
      <c r="A30" s="196"/>
      <c r="B30" s="197"/>
      <c r="C30" s="197"/>
      <c r="D30" s="197"/>
      <c r="E30" s="198"/>
      <c r="F30" s="90"/>
      <c r="G30" s="46" t="s">
        <v>214</v>
      </c>
      <c r="H30" s="92"/>
      <c r="I30" s="156">
        <f>SUM(F16:F19)</f>
        <v>0</v>
      </c>
      <c r="J30" s="86"/>
      <c r="K30" s="148"/>
      <c r="L30" s="90"/>
      <c r="M30" s="146">
        <v>21</v>
      </c>
      <c r="P30" s="71"/>
      <c r="Q30" s="71"/>
      <c r="R30" s="71"/>
      <c r="S30" s="71"/>
    </row>
    <row r="31" spans="1:22" ht="24" customHeight="1" x14ac:dyDescent="0.2">
      <c r="A31" s="196"/>
      <c r="B31" s="197"/>
      <c r="C31" s="197"/>
      <c r="D31" s="197"/>
      <c r="E31" s="198"/>
      <c r="F31" s="76"/>
      <c r="G31" s="46" t="s">
        <v>150</v>
      </c>
      <c r="H31" s="92"/>
      <c r="I31" s="156">
        <f>SUM(L6:L13)</f>
        <v>0</v>
      </c>
      <c r="J31" s="86"/>
      <c r="K31" s="75"/>
      <c r="L31" s="76"/>
      <c r="M31" s="146"/>
      <c r="P31" s="71"/>
      <c r="Q31" s="71"/>
      <c r="R31" s="71"/>
      <c r="S31" s="71"/>
      <c r="V31" s="145"/>
    </row>
    <row r="32" spans="1:22" ht="24" customHeight="1" x14ac:dyDescent="0.2">
      <c r="A32" s="196"/>
      <c r="B32" s="197"/>
      <c r="C32" s="197"/>
      <c r="D32" s="197"/>
      <c r="E32" s="198"/>
      <c r="F32" s="76"/>
      <c r="G32" s="47" t="s">
        <v>208</v>
      </c>
      <c r="H32" s="93"/>
      <c r="I32" s="156">
        <f>SUM(L16:L19)</f>
        <v>0</v>
      </c>
      <c r="J32" s="86"/>
      <c r="K32" s="75"/>
      <c r="L32" s="76"/>
      <c r="M32" s="146"/>
      <c r="P32" s="71"/>
      <c r="Q32" s="71"/>
      <c r="R32" s="71"/>
      <c r="S32" s="71"/>
      <c r="V32" s="145"/>
    </row>
    <row r="33" spans="1:28" ht="24" customHeight="1" x14ac:dyDescent="0.2">
      <c r="A33" s="196"/>
      <c r="B33" s="197"/>
      <c r="C33" s="197"/>
      <c r="D33" s="197"/>
      <c r="E33" s="198"/>
      <c r="G33" s="47" t="s">
        <v>253</v>
      </c>
      <c r="H33" s="93"/>
      <c r="I33" s="156">
        <f>SUM(D22:D25)</f>
        <v>0</v>
      </c>
      <c r="J33" s="86"/>
      <c r="M33" s="146"/>
      <c r="P33" s="71"/>
      <c r="Q33" s="71"/>
      <c r="R33" s="71"/>
      <c r="S33" s="71"/>
      <c r="V33" s="145"/>
    </row>
    <row r="34" spans="1:28" ht="24" customHeight="1" x14ac:dyDescent="0.2">
      <c r="A34" s="196"/>
      <c r="B34" s="197"/>
      <c r="C34" s="197"/>
      <c r="D34" s="197"/>
      <c r="E34" s="198"/>
      <c r="G34" s="45" t="s">
        <v>227</v>
      </c>
      <c r="H34" s="91"/>
      <c r="I34" s="156">
        <f>SUM(L22:L25)</f>
        <v>0</v>
      </c>
      <c r="J34" s="86"/>
      <c r="M34" s="146"/>
      <c r="P34" s="71"/>
      <c r="Q34" s="71"/>
      <c r="R34" s="71"/>
      <c r="S34" s="71"/>
      <c r="V34" s="145"/>
    </row>
    <row r="35" spans="1:28" ht="24" customHeight="1" x14ac:dyDescent="0.2">
      <c r="A35" s="196"/>
      <c r="B35" s="197"/>
      <c r="C35" s="197"/>
      <c r="D35" s="197"/>
      <c r="E35" s="198"/>
      <c r="G35" s="45"/>
      <c r="H35" s="91"/>
      <c r="I35" s="156"/>
      <c r="J35" s="86"/>
      <c r="M35" s="146"/>
      <c r="P35" s="71"/>
      <c r="Q35" s="71"/>
      <c r="R35" s="71"/>
      <c r="S35" s="71"/>
      <c r="V35" s="145"/>
    </row>
    <row r="36" spans="1:28" ht="30.75" customHeight="1" x14ac:dyDescent="0.2">
      <c r="A36" s="196"/>
      <c r="B36" s="197"/>
      <c r="C36" s="197"/>
      <c r="D36" s="197"/>
      <c r="E36" s="198"/>
      <c r="G36" s="48" t="s">
        <v>164</v>
      </c>
      <c r="H36" s="95"/>
      <c r="I36" s="157">
        <f>SUM(I29:I35)</f>
        <v>0</v>
      </c>
      <c r="J36" s="86"/>
      <c r="M36" s="146">
        <v>4</v>
      </c>
      <c r="P36" s="71"/>
      <c r="Q36" s="71"/>
      <c r="R36" s="71"/>
      <c r="S36" s="71"/>
      <c r="V36" s="145"/>
    </row>
    <row r="37" spans="1:28" ht="30.75" customHeight="1" x14ac:dyDescent="0.2">
      <c r="A37" s="196"/>
      <c r="B37" s="197"/>
      <c r="C37" s="197"/>
      <c r="D37" s="197"/>
      <c r="E37" s="198"/>
      <c r="G37" s="48"/>
      <c r="H37" s="95"/>
      <c r="I37" s="158"/>
      <c r="J37" s="86"/>
      <c r="M37" s="146">
        <v>2</v>
      </c>
      <c r="P37" s="71"/>
      <c r="Q37" s="71"/>
      <c r="R37" s="71"/>
      <c r="S37" s="71"/>
      <c r="V37" s="145"/>
    </row>
    <row r="38" spans="1:28" ht="24" customHeight="1" x14ac:dyDescent="0.2">
      <c r="A38" s="196"/>
      <c r="B38" s="197"/>
      <c r="C38" s="197"/>
      <c r="D38" s="197"/>
      <c r="E38" s="198"/>
      <c r="G38" s="45" t="s">
        <v>17</v>
      </c>
      <c r="H38" s="91"/>
      <c r="I38" s="159">
        <f>(COUNTIF(I29:I35, "&gt;0")-1)*(IF(I36&gt;0, 12, 0))</f>
        <v>0</v>
      </c>
      <c r="J38" s="86"/>
      <c r="M38" s="146"/>
      <c r="P38" s="71"/>
      <c r="Q38" s="71"/>
      <c r="R38" s="71"/>
      <c r="S38" s="71"/>
      <c r="V38" s="145"/>
    </row>
    <row r="39" spans="1:28" ht="24" customHeight="1" x14ac:dyDescent="0.2">
      <c r="A39" s="196"/>
      <c r="B39" s="197"/>
      <c r="C39" s="197"/>
      <c r="D39" s="197"/>
      <c r="E39" s="198"/>
      <c r="G39" s="189"/>
      <c r="H39" s="190"/>
      <c r="I39" s="191"/>
      <c r="J39" s="86"/>
      <c r="M39" s="100">
        <v>1</v>
      </c>
      <c r="P39" s="71"/>
      <c r="Q39" s="71"/>
      <c r="R39" s="71"/>
      <c r="S39" s="71"/>
      <c r="V39" s="145"/>
    </row>
    <row r="40" spans="1:28" ht="24" customHeight="1" thickBot="1" x14ac:dyDescent="0.25">
      <c r="A40" s="199"/>
      <c r="B40" s="200"/>
      <c r="C40" s="200"/>
      <c r="D40" s="200"/>
      <c r="E40" s="201"/>
      <c r="G40" s="96" t="s">
        <v>18</v>
      </c>
      <c r="H40" s="97"/>
      <c r="I40" s="160">
        <f>(I36+I38)/60</f>
        <v>0</v>
      </c>
      <c r="J40" s="86"/>
      <c r="K40" s="151"/>
      <c r="L40" s="152"/>
      <c r="M40" s="100"/>
      <c r="P40" s="71"/>
      <c r="Q40" s="71"/>
      <c r="R40" s="71"/>
      <c r="S40" s="71"/>
      <c r="V40" s="145"/>
    </row>
    <row r="41" spans="1:28" ht="24" customHeight="1" x14ac:dyDescent="0.25">
      <c r="G41" s="22"/>
      <c r="H41" s="22"/>
      <c r="I41" s="22"/>
      <c r="J41" s="28"/>
      <c r="M41" s="153"/>
      <c r="P41" s="71"/>
      <c r="Q41" s="71"/>
      <c r="R41" s="71"/>
      <c r="S41" s="71"/>
      <c r="V41" s="145"/>
    </row>
    <row r="42" spans="1:28" ht="24" customHeight="1" x14ac:dyDescent="0.25">
      <c r="G42" s="101"/>
      <c r="H42" s="101"/>
      <c r="I42" s="101"/>
      <c r="J42" s="101"/>
      <c r="M42" s="101"/>
      <c r="P42" s="71"/>
      <c r="Q42" s="71"/>
      <c r="R42" s="71"/>
      <c r="S42" s="71"/>
      <c r="V42" s="145"/>
    </row>
    <row r="43" spans="1:28" ht="24" customHeight="1" x14ac:dyDescent="0.25">
      <c r="G43" s="101"/>
      <c r="H43" s="101"/>
      <c r="I43" s="101"/>
      <c r="J43" s="101"/>
      <c r="M43" s="101"/>
      <c r="P43" s="71"/>
      <c r="Q43" s="71"/>
      <c r="R43" s="71"/>
      <c r="S43" s="71"/>
    </row>
    <row r="44" spans="1:28" ht="24" customHeight="1" x14ac:dyDescent="0.25">
      <c r="G44" s="99"/>
      <c r="H44" s="99"/>
      <c r="I44" s="99"/>
      <c r="M44" s="99"/>
      <c r="P44" s="71"/>
      <c r="Q44" s="71"/>
      <c r="R44" s="71"/>
      <c r="S44" s="71"/>
    </row>
    <row r="45" spans="1:28" ht="24" customHeight="1" x14ac:dyDescent="0.25">
      <c r="G45" s="22"/>
      <c r="H45" s="22"/>
      <c r="I45" s="22"/>
      <c r="J45" s="28"/>
      <c r="N45" s="153"/>
      <c r="O45" s="153"/>
      <c r="P45" s="154"/>
      <c r="R45" s="146"/>
      <c r="S45" s="146"/>
      <c r="AB45" s="145"/>
    </row>
    <row r="46" spans="1:28" x14ac:dyDescent="0.25">
      <c r="G46" s="22"/>
      <c r="H46" s="22"/>
      <c r="I46" s="22"/>
      <c r="J46" s="28"/>
    </row>
    <row r="47" spans="1:28" x14ac:dyDescent="0.25">
      <c r="G47" s="22"/>
      <c r="H47" s="22"/>
      <c r="I47" s="22"/>
      <c r="J47" s="28"/>
    </row>
    <row r="48" spans="1:28" x14ac:dyDescent="0.25">
      <c r="G48" s="26"/>
      <c r="H48" s="26"/>
      <c r="I48" s="26"/>
      <c r="J48" s="29"/>
    </row>
    <row r="49" spans="7:10" x14ac:dyDescent="0.25">
      <c r="G49" s="26"/>
      <c r="H49" s="26"/>
      <c r="I49" s="26"/>
      <c r="J49" s="29"/>
    </row>
  </sheetData>
  <sheetProtection sheet="1" formatCells="0"/>
  <mergeCells count="11">
    <mergeCell ref="G21:J21"/>
    <mergeCell ref="A21:D21"/>
    <mergeCell ref="G39:I39"/>
    <mergeCell ref="A28:E28"/>
    <mergeCell ref="A29:E40"/>
    <mergeCell ref="A3:A4"/>
    <mergeCell ref="A5:D5"/>
    <mergeCell ref="G5:J5"/>
    <mergeCell ref="C3:J4"/>
    <mergeCell ref="A15:D15"/>
    <mergeCell ref="G15:J15"/>
  </mergeCells>
  <printOptions horizontalCentered="1" verticalCentered="1"/>
  <pageMargins left="0.4" right="0.25" top="0.75" bottom="0.75" header="0.3" footer="0.3"/>
  <pageSetup scale="71" orientation="portrait" cellComments="asDisplayed" r:id="rId1"/>
  <headerFooter>
    <oddFooter>&amp;L8.2.2.1.6 101 Schedule Template.xlsx&amp;RCreated: 10/22/21TG
Revised: 11/4/25BT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E923-0093-44CD-85AC-24EA0F645E76}">
  <sheetPr>
    <tabColor rgb="FF92D050"/>
    <pageSetUpPr fitToPage="1"/>
  </sheetPr>
  <dimension ref="A1:AB49"/>
  <sheetViews>
    <sheetView showGridLines="0" topLeftCell="A7" zoomScale="70" zoomScaleNormal="70" workbookViewId="0">
      <selection activeCell="G28" activeCellId="1" sqref="A5:J25 G28:I40"/>
    </sheetView>
  </sheetViews>
  <sheetFormatPr defaultColWidth="9" defaultRowHeight="18" x14ac:dyDescent="0.25"/>
  <cols>
    <col min="1" max="1" width="20.42578125" style="98" customWidth="1"/>
    <col min="2" max="2" width="9.85546875" style="71" hidden="1" customWidth="1"/>
    <col min="3" max="3" width="27.42578125" style="71" customWidth="1"/>
    <col min="4" max="4" width="7.140625" style="99" customWidth="1"/>
    <col min="5" max="5" width="4.28515625" style="100" customWidth="1"/>
    <col min="6" max="6" width="4.28515625" style="94" customWidth="1"/>
    <col min="7" max="7" width="20.5703125" style="102" customWidth="1"/>
    <col min="8" max="8" width="5.42578125" style="71" hidden="1" customWidth="1"/>
    <col min="9" max="9" width="27.42578125" style="71" customWidth="1"/>
    <col min="10" max="10" width="7.140625" style="99" customWidth="1"/>
    <col min="11" max="11" width="4.28515625" style="100" customWidth="1"/>
    <col min="12" max="12" width="4.28515625" style="94" customWidth="1"/>
    <col min="13" max="13" width="21.42578125" style="71" customWidth="1"/>
    <col min="14" max="14" width="21.42578125" style="71" hidden="1" customWidth="1"/>
    <col min="15" max="15" width="24.42578125" style="71" bestFit="1" customWidth="1"/>
    <col min="16" max="16" width="7.140625" style="99" customWidth="1"/>
    <col min="17" max="17" width="3.42578125" style="100" customWidth="1"/>
    <col min="18" max="18" width="2.5703125" style="100" customWidth="1"/>
    <col min="19" max="19" width="5" style="100" customWidth="1"/>
    <col min="20" max="27" width="10.85546875" style="71" customWidth="1"/>
    <col min="28" max="16384" width="9" style="71"/>
  </cols>
  <sheetData>
    <row r="1" spans="1:27" ht="27" x14ac:dyDescent="0.3">
      <c r="A1" s="30" t="s">
        <v>226</v>
      </c>
      <c r="B1" s="67"/>
      <c r="C1" s="68"/>
      <c r="D1" s="68"/>
      <c r="E1" s="69"/>
      <c r="F1" s="70"/>
      <c r="G1" s="71"/>
      <c r="H1" s="68"/>
      <c r="J1" s="71"/>
      <c r="K1" s="69"/>
      <c r="L1" s="70"/>
      <c r="N1" s="73"/>
      <c r="O1" s="161" t="s">
        <v>279</v>
      </c>
      <c r="P1" s="141"/>
    </row>
    <row r="2" spans="1:27" ht="27" x14ac:dyDescent="0.35">
      <c r="A2" s="30"/>
      <c r="B2" s="67"/>
      <c r="C2" s="72" t="s">
        <v>258</v>
      </c>
      <c r="D2" s="68"/>
      <c r="E2" s="69"/>
      <c r="F2" s="70"/>
      <c r="G2" s="73" t="s">
        <v>29</v>
      </c>
      <c r="H2" s="68"/>
      <c r="I2" s="32">
        <f>'Weekly Plan'!H1+4</f>
        <v>46010</v>
      </c>
      <c r="J2" s="32"/>
      <c r="K2" s="69"/>
      <c r="L2" s="70"/>
      <c r="M2" s="73"/>
      <c r="N2" s="73"/>
      <c r="O2" s="32"/>
      <c r="P2" s="141"/>
    </row>
    <row r="3" spans="1:27" s="105" customFormat="1" ht="19.5" customHeight="1" x14ac:dyDescent="0.2">
      <c r="A3" s="209" t="s">
        <v>14</v>
      </c>
      <c r="B3" s="74"/>
      <c r="C3" s="205" t="s">
        <v>274</v>
      </c>
      <c r="D3" s="205"/>
      <c r="E3" s="205"/>
      <c r="F3" s="205"/>
      <c r="G3" s="205"/>
      <c r="H3" s="205"/>
      <c r="I3" s="205"/>
      <c r="J3" s="205"/>
      <c r="K3" s="34"/>
      <c r="L3" s="35"/>
      <c r="M3" s="33"/>
      <c r="N3" s="33"/>
      <c r="O3" s="33"/>
      <c r="P3" s="33"/>
      <c r="Q3" s="33"/>
      <c r="R3" s="36"/>
      <c r="S3" s="142"/>
      <c r="T3" s="142"/>
      <c r="U3" s="142"/>
      <c r="V3" s="142"/>
      <c r="W3" s="142"/>
      <c r="X3" s="142"/>
      <c r="Y3" s="142"/>
      <c r="Z3" s="142"/>
      <c r="AA3" s="142"/>
    </row>
    <row r="4" spans="1:27" s="105" customFormat="1" ht="19.5" customHeight="1" thickBot="1" x14ac:dyDescent="0.25">
      <c r="A4" s="210"/>
      <c r="B4" s="74"/>
      <c r="C4" s="205"/>
      <c r="D4" s="205"/>
      <c r="E4" s="205"/>
      <c r="F4" s="205"/>
      <c r="G4" s="205"/>
      <c r="H4" s="205"/>
      <c r="I4" s="205"/>
      <c r="J4" s="205"/>
      <c r="K4" s="34"/>
      <c r="L4" s="35"/>
      <c r="M4" s="33"/>
      <c r="N4" s="33"/>
      <c r="O4" s="33"/>
      <c r="P4" s="33"/>
      <c r="Q4" s="33"/>
      <c r="R4" s="36"/>
      <c r="S4" s="142"/>
      <c r="T4" s="142"/>
      <c r="U4" s="142"/>
      <c r="V4" s="142"/>
      <c r="W4" s="142"/>
      <c r="X4" s="142"/>
      <c r="Y4" s="142"/>
      <c r="Z4" s="142"/>
      <c r="AA4" s="142"/>
    </row>
    <row r="5" spans="1:27" ht="24" customHeight="1" thickBot="1" x14ac:dyDescent="0.25">
      <c r="A5" s="206" t="s">
        <v>215</v>
      </c>
      <c r="B5" s="207"/>
      <c r="C5" s="207"/>
      <c r="D5" s="208"/>
      <c r="E5" s="75"/>
      <c r="F5" s="76"/>
      <c r="G5" s="192" t="s">
        <v>150</v>
      </c>
      <c r="H5" s="193"/>
      <c r="I5" s="194"/>
      <c r="J5" s="195"/>
      <c r="K5" s="75"/>
      <c r="L5" s="76"/>
      <c r="M5" s="143"/>
      <c r="P5" s="144"/>
      <c r="Q5" s="144"/>
      <c r="R5" s="144"/>
      <c r="S5" s="144"/>
      <c r="T5" s="144"/>
      <c r="U5" s="144"/>
      <c r="V5" s="144"/>
    </row>
    <row r="6" spans="1:27" ht="24" customHeight="1" x14ac:dyDescent="0.2">
      <c r="A6" s="56" t="str">
        <f>'Weekly Plan'!F4</f>
        <v>99944 Bezel</v>
      </c>
      <c r="B6" s="49" t="s">
        <v>166</v>
      </c>
      <c r="C6" s="56" t="str">
        <f>'Weekly Plan'!G4</f>
        <v>Bezel</v>
      </c>
      <c r="D6" s="37" t="str">
        <f>IF(INDEX('Weekly Plan'!$F$2:$M$79,MATCH(A6,'Weekly Plan'!$F$2:$F$79,0),MATCH($C$2,'Weekly Plan'!$F$2:$M$2,0))=0,"",INDEX('Weekly Plan'!$F$2:$M$79,MATCH(A6,'Weekly Plan'!$F$2:$F$79,0),MATCH($C$2,'Weekly Plan'!$F$2:$M$2,0)))</f>
        <v/>
      </c>
      <c r="E6" s="38">
        <f>'Weekly Plan'!A4</f>
        <v>2</v>
      </c>
      <c r="F6" s="39">
        <f t="shared" ref="F6:F11" si="0">IFERROR(D6/E6,0)</f>
        <v>0</v>
      </c>
      <c r="G6" s="56" t="str">
        <f>'Weekly Plan'!F16</f>
        <v>VG0240BL0PA</v>
      </c>
      <c r="H6" s="64"/>
      <c r="I6" s="77" t="str">
        <f>'Weekly Plan'!G16</f>
        <v>C223 ACCSRY Spoiler</v>
      </c>
      <c r="J6" s="37" t="str">
        <f>IF(INDEX('Weekly Plan'!$F$2:$M$79,MATCH(G6,'Weekly Plan'!$F$2:$F$79,0),MATCH($C$2,'Weekly Plan'!$F$2:$M$2,0))=0,"",INDEX('Weekly Plan'!$F$2:$M$79,MATCH(G6,'Weekly Plan'!$F$2:$F$79,0),MATCH($C$2,'Weekly Plan'!$F$2:$M$2,0)))</f>
        <v/>
      </c>
      <c r="K6" s="38">
        <f>'Weekly Plan'!A16</f>
        <v>1</v>
      </c>
      <c r="L6" s="39">
        <f>IFERROR(J6/K6,0)</f>
        <v>0</v>
      </c>
      <c r="M6" s="100"/>
      <c r="P6" s="145"/>
      <c r="Q6" s="145"/>
      <c r="R6" s="145"/>
      <c r="S6" s="145"/>
      <c r="T6" s="145"/>
      <c r="U6" s="145"/>
      <c r="V6" s="145"/>
    </row>
    <row r="7" spans="1:27" ht="24" customHeight="1" x14ac:dyDescent="0.2">
      <c r="A7" s="58">
        <f>'Weekly Plan'!F5</f>
        <v>99633</v>
      </c>
      <c r="B7" s="51" t="s">
        <v>166</v>
      </c>
      <c r="C7" s="58" t="str">
        <f>'Weekly Plan'!G5</f>
        <v>IR Cover LH</v>
      </c>
      <c r="D7" s="37"/>
      <c r="E7" s="38">
        <f>'Weekly Plan'!A5</f>
        <v>20</v>
      </c>
      <c r="F7" s="39">
        <f t="shared" si="0"/>
        <v>0</v>
      </c>
      <c r="G7" s="58" t="str">
        <f>'Weekly Plan'!F17</f>
        <v>VG0241CM0PB</v>
      </c>
      <c r="H7" s="65"/>
      <c r="I7" s="78" t="str">
        <f>'Weekly Plan'!G17</f>
        <v>Y2XX Stanchion - LH</v>
      </c>
      <c r="J7" s="37" t="str">
        <f>IF(INDEX('Weekly Plan'!$F$2:$M$79,MATCH(G7,'Weekly Plan'!$F$2:$F$79,0),MATCH($C$2,'Weekly Plan'!$F$2:$M$2,0))=0,"",INDEX('Weekly Plan'!$F$2:$M$79,MATCH(G7,'Weekly Plan'!$F$2:$F$79,0),MATCH($C$2,'Weekly Plan'!$F$2:$M$2,0)))</f>
        <v/>
      </c>
      <c r="K7" s="38">
        <f>'Weekly Plan'!A17</f>
        <v>6</v>
      </c>
      <c r="L7" s="39">
        <f>IFERROR(J7/K7,0)</f>
        <v>0</v>
      </c>
      <c r="M7" s="100"/>
      <c r="P7" s="145"/>
      <c r="Q7" s="145"/>
      <c r="R7" s="145"/>
      <c r="S7" s="145"/>
      <c r="T7" s="145"/>
      <c r="U7" s="145"/>
      <c r="V7" s="145"/>
    </row>
    <row r="8" spans="1:27" ht="24" customHeight="1" x14ac:dyDescent="0.2">
      <c r="A8" s="58">
        <f>'Weekly Plan'!F6</f>
        <v>99646</v>
      </c>
      <c r="B8" s="51" t="s">
        <v>166</v>
      </c>
      <c r="C8" s="58" t="str">
        <f>'Weekly Plan'!G6</f>
        <v>IR Cover RH</v>
      </c>
      <c r="D8" s="37"/>
      <c r="E8" s="38">
        <f>'Weekly Plan'!A6</f>
        <v>20</v>
      </c>
      <c r="F8" s="39">
        <f t="shared" si="0"/>
        <v>0</v>
      </c>
      <c r="G8" s="58" t="str">
        <f>'Weekly Plan'!F18</f>
        <v>VG0241CM0PD</v>
      </c>
      <c r="H8" s="65"/>
      <c r="I8" s="78" t="str">
        <f>'Weekly Plan'!G18</f>
        <v>Y2XX Stanchion - RH</v>
      </c>
      <c r="J8" s="37" t="str">
        <f>IF(INDEX('Weekly Plan'!$F$2:$M$79,MATCH(G8,'Weekly Plan'!$F$2:$F$79,0),MATCH($C$2,'Weekly Plan'!$F$2:$M$2,0))=0,"",INDEX('Weekly Plan'!$F$2:$M$79,MATCH(G8,'Weekly Plan'!$F$2:$F$79,0),MATCH($C$2,'Weekly Plan'!$F$2:$M$2,0)))</f>
        <v/>
      </c>
      <c r="K8" s="38">
        <f>'Weekly Plan'!A18</f>
        <v>6</v>
      </c>
      <c r="L8" s="39">
        <f>IFERROR(J8/K8,0)</f>
        <v>0</v>
      </c>
      <c r="M8" s="100"/>
      <c r="P8" s="145"/>
      <c r="Q8" s="145"/>
      <c r="R8" s="145"/>
      <c r="S8" s="145"/>
      <c r="T8" s="145"/>
      <c r="U8" s="145"/>
      <c r="V8" s="145"/>
    </row>
    <row r="9" spans="1:27" ht="24" customHeight="1" x14ac:dyDescent="0.2">
      <c r="A9" s="58">
        <f>'Weekly Plan'!F7</f>
        <v>99635</v>
      </c>
      <c r="B9" s="51" t="s">
        <v>166</v>
      </c>
      <c r="C9" s="58" t="str">
        <f>'Weekly Plan'!G7</f>
        <v>Lateral Belt LH</v>
      </c>
      <c r="D9" s="37"/>
      <c r="E9" s="38">
        <f>'Weekly Plan'!A7</f>
        <v>6</v>
      </c>
      <c r="F9" s="39">
        <f t="shared" si="0"/>
        <v>0</v>
      </c>
      <c r="G9" s="58" t="str">
        <f>'Weekly Plan'!F19</f>
        <v>VG0241CM0PC</v>
      </c>
      <c r="H9" s="65"/>
      <c r="I9" s="78" t="str">
        <f>'Weekly Plan'!G19</f>
        <v>Y2XX Stanchion - Center</v>
      </c>
      <c r="J9" s="37"/>
      <c r="K9" s="38">
        <f>'Weekly Plan'!A19</f>
        <v>6</v>
      </c>
      <c r="L9" s="39">
        <f>IFERROR(J9/K9,0)</f>
        <v>0</v>
      </c>
      <c r="M9" s="146"/>
      <c r="P9" s="145"/>
      <c r="Q9" s="145"/>
      <c r="R9" s="145"/>
      <c r="S9" s="145"/>
      <c r="T9" s="145"/>
      <c r="U9" s="145"/>
      <c r="V9" s="145"/>
    </row>
    <row r="10" spans="1:27" ht="24" customHeight="1" x14ac:dyDescent="0.2">
      <c r="A10" s="58">
        <f>'Weekly Plan'!F8</f>
        <v>99944</v>
      </c>
      <c r="B10" s="51" t="s">
        <v>166</v>
      </c>
      <c r="C10" s="58" t="str">
        <f>'Weekly Plan'!G8</f>
        <v>Lateral Belt RH</v>
      </c>
      <c r="D10" s="37"/>
      <c r="E10" s="38">
        <f>'Weekly Plan'!A8</f>
        <v>6</v>
      </c>
      <c r="F10" s="39">
        <f t="shared" si="0"/>
        <v>0</v>
      </c>
      <c r="G10" s="58" t="str">
        <f>'Weekly Plan'!F20</f>
        <v>VG0241CM0PE</v>
      </c>
      <c r="H10" s="65"/>
      <c r="I10" s="78" t="str">
        <f>'Weekly Plan'!G20</f>
        <v>Y2XX Winglet -LH</v>
      </c>
      <c r="J10" s="37"/>
      <c r="K10" s="38">
        <f>'Weekly Plan'!A20</f>
        <v>0</v>
      </c>
      <c r="L10" s="39">
        <f>IFERROR(J12/K10,0)</f>
        <v>0</v>
      </c>
      <c r="M10" s="146"/>
      <c r="P10" s="145"/>
      <c r="Q10" s="145"/>
      <c r="R10" s="145"/>
      <c r="S10" s="145"/>
      <c r="T10" s="145"/>
      <c r="U10" s="145"/>
      <c r="V10" s="145"/>
    </row>
    <row r="11" spans="1:27" ht="24" customHeight="1" thickBot="1" x14ac:dyDescent="0.25">
      <c r="A11" s="61">
        <f>'Weekly Plan'!F9</f>
        <v>99636</v>
      </c>
      <c r="B11" s="54" t="s">
        <v>166</v>
      </c>
      <c r="C11" s="61" t="str">
        <f>'Weekly Plan'!G9</f>
        <v>Rear Belt</v>
      </c>
      <c r="D11" s="40" t="str">
        <f>IF(INDEX('Weekly Plan'!$F$2:$M$79,MATCH(A11,'Weekly Plan'!$F$2:$F$79,0),MATCH($C$2,'Weekly Plan'!$F$2:$M$2,0))=0,"",INDEX('Weekly Plan'!$F$2:$M$79,MATCH(A11,'Weekly Plan'!$F$2:$F$79,0),MATCH($C$2,'Weekly Plan'!$F$2:$M$2,0)))</f>
        <v/>
      </c>
      <c r="E11" s="38">
        <f>'Weekly Plan'!A9</f>
        <v>20</v>
      </c>
      <c r="F11" s="39">
        <f t="shared" si="0"/>
        <v>0</v>
      </c>
      <c r="G11" s="58" t="str">
        <f>'Weekly Plan'!F21</f>
        <v>VG0241CM0PF</v>
      </c>
      <c r="H11" s="65"/>
      <c r="I11" s="78" t="str">
        <f>'Weekly Plan'!G21</f>
        <v>Y2XX Winglet -RH</v>
      </c>
      <c r="J11" s="37"/>
      <c r="K11" s="38">
        <f>'Weekly Plan'!A21</f>
        <v>0</v>
      </c>
      <c r="L11" s="39">
        <f>IFERROR(J13/K11,0)</f>
        <v>0</v>
      </c>
      <c r="M11" s="146"/>
      <c r="P11" s="145"/>
      <c r="Q11" s="145"/>
      <c r="R11" s="145"/>
      <c r="S11" s="145"/>
      <c r="T11" s="145"/>
      <c r="U11" s="145"/>
      <c r="V11" s="145"/>
    </row>
    <row r="12" spans="1:27" ht="24" customHeight="1" x14ac:dyDescent="0.2">
      <c r="A12" s="79"/>
      <c r="B12" s="79"/>
      <c r="C12" s="27"/>
      <c r="D12" s="80"/>
      <c r="E12" s="75"/>
      <c r="F12" s="76"/>
      <c r="G12" s="58" t="str">
        <f>'Weekly Plan'!F22</f>
        <v>VG0241CM0PG</v>
      </c>
      <c r="H12" s="65"/>
      <c r="I12" s="78" t="str">
        <f>'Weekly Plan'!G22</f>
        <v>Y2XX Screw Cover - LH</v>
      </c>
      <c r="J12" s="37"/>
      <c r="K12" s="38">
        <f>'Weekly Plan'!A22</f>
        <v>20</v>
      </c>
      <c r="L12" s="39">
        <f>IFERROR(J14/K12,0)</f>
        <v>0</v>
      </c>
      <c r="M12" s="146"/>
      <c r="P12" s="145"/>
      <c r="Q12" s="145"/>
      <c r="R12" s="145"/>
      <c r="S12" s="145"/>
      <c r="T12" s="145"/>
      <c r="U12" s="145"/>
      <c r="V12" s="145"/>
    </row>
    <row r="13" spans="1:27" ht="24" customHeight="1" thickBot="1" x14ac:dyDescent="0.25">
      <c r="A13" s="79"/>
      <c r="B13" s="79"/>
      <c r="C13" s="27"/>
      <c r="D13" s="80"/>
      <c r="E13" s="75"/>
      <c r="F13" s="76"/>
      <c r="G13" s="61" t="str">
        <f>'Weekly Plan'!F23</f>
        <v>VG0241CM0PH</v>
      </c>
      <c r="H13" s="66"/>
      <c r="I13" s="81" t="str">
        <f>'Weekly Plan'!G23</f>
        <v>Y2XX Screw Cover - RH</v>
      </c>
      <c r="J13" s="40" t="str">
        <f>IF(INDEX('Weekly Plan'!$F$2:$M$79,MATCH(G13,'Weekly Plan'!$F$2:$F$79,0),MATCH($C$2,'Weekly Plan'!$F$2:$M$2,0))=0,"",INDEX('Weekly Plan'!$F$2:$M$79,MATCH(G13,'Weekly Plan'!$F$2:$F$79,0),MATCH($C$2,'Weekly Plan'!$F$2:$M$2,0)))</f>
        <v/>
      </c>
      <c r="K13" s="38">
        <f>'Weekly Plan'!A23</f>
        <v>20</v>
      </c>
      <c r="L13" s="39">
        <f>IFERROR(J15/K13,0)</f>
        <v>0</v>
      </c>
      <c r="M13" s="147"/>
      <c r="P13" s="123"/>
      <c r="Q13" s="123"/>
      <c r="R13" s="123"/>
      <c r="S13" s="123"/>
      <c r="T13" s="123"/>
      <c r="U13" s="123"/>
      <c r="V13" s="123"/>
    </row>
    <row r="14" spans="1:27" ht="24" customHeight="1" thickBot="1" x14ac:dyDescent="0.25">
      <c r="A14" s="82"/>
      <c r="B14" s="82"/>
      <c r="C14" s="82"/>
      <c r="D14" s="80"/>
      <c r="E14" s="75"/>
      <c r="F14" s="76"/>
      <c r="G14" s="82"/>
      <c r="H14" s="82"/>
      <c r="I14" s="82"/>
      <c r="J14" s="83"/>
      <c r="K14" s="75"/>
      <c r="L14" s="76"/>
      <c r="M14" s="100"/>
      <c r="P14" s="71"/>
      <c r="Q14" s="71"/>
      <c r="R14" s="71"/>
      <c r="S14" s="71"/>
    </row>
    <row r="15" spans="1:27" ht="24" customHeight="1" thickBot="1" x14ac:dyDescent="0.25">
      <c r="A15" s="206" t="s">
        <v>214</v>
      </c>
      <c r="B15" s="207"/>
      <c r="C15" s="207"/>
      <c r="D15" s="208"/>
      <c r="E15" s="75"/>
      <c r="F15" s="76"/>
      <c r="G15" s="192" t="s">
        <v>208</v>
      </c>
      <c r="H15" s="193"/>
      <c r="I15" s="194"/>
      <c r="J15" s="195"/>
      <c r="K15" s="75"/>
      <c r="L15" s="76"/>
      <c r="P15" s="71"/>
      <c r="Q15" s="71"/>
      <c r="R15" s="71"/>
      <c r="S15" s="71"/>
    </row>
    <row r="16" spans="1:27" ht="24" customHeight="1" x14ac:dyDescent="0.2">
      <c r="A16" s="56">
        <f>'Weekly Plan'!F11</f>
        <v>99629</v>
      </c>
      <c r="B16" s="42" t="s">
        <v>122</v>
      </c>
      <c r="C16" s="57" t="str">
        <f>'Weekly Plan'!G11</f>
        <v>Main Lower Cover</v>
      </c>
      <c r="D16" s="37" t="str">
        <f>IF(INDEX('Weekly Plan'!$F$2:$M$79,MATCH(A16,'Weekly Plan'!$F$2:$F$79,0),MATCH($C$2,'Weekly Plan'!$F$2:$M$2,0))=0,"",INDEX('Weekly Plan'!$F$2:$M$79,MATCH(A16,'Weekly Plan'!$F$2:$F$79,0),MATCH($C$2,'Weekly Plan'!$F$2:$M$2,0)))</f>
        <v/>
      </c>
      <c r="E16" s="38">
        <f>'Weekly Plan'!A11</f>
        <v>1</v>
      </c>
      <c r="F16" s="39">
        <f>IFERROR(D16/E16,0)</f>
        <v>0</v>
      </c>
      <c r="G16" s="56" t="str">
        <f>'Weekly Plan'!F25</f>
        <v>9405929P</v>
      </c>
      <c r="H16" s="64"/>
      <c r="I16" s="57" t="str">
        <f>'Weekly Plan'!G25</f>
        <v>MX Applique</v>
      </c>
      <c r="J16" s="37" t="str">
        <f>IF(INDEX('Weekly Plan'!$F$2:$M$79,MATCH(G16,'Weekly Plan'!$F$2:$F$79,0),MATCH($C$2,'Weekly Plan'!$F$2:$M$2,0))=0,"",INDEX('Weekly Plan'!$F$2:$M$79,MATCH(G16,'Weekly Plan'!$F$2:$F$79,0),MATCH($C$2,'Weekly Plan'!$F$2:$M$2,0)))</f>
        <v/>
      </c>
      <c r="K16" s="38">
        <f>'Weekly Plan'!A25</f>
        <v>6</v>
      </c>
      <c r="L16" s="39">
        <f>IFERROR(J16/K16,0)</f>
        <v>0</v>
      </c>
      <c r="M16" s="146"/>
      <c r="P16" s="71"/>
      <c r="Q16" s="71"/>
      <c r="R16" s="71"/>
      <c r="S16" s="71"/>
      <c r="V16" s="145"/>
    </row>
    <row r="17" spans="1:22" ht="24" customHeight="1" x14ac:dyDescent="0.2">
      <c r="A17" s="58">
        <f>'Weekly Plan'!F12</f>
        <v>99631</v>
      </c>
      <c r="B17" s="59" t="s">
        <v>122</v>
      </c>
      <c r="C17" s="60" t="str">
        <f>'Weekly Plan'!G12</f>
        <v>Main Upper Cover</v>
      </c>
      <c r="D17" s="37" t="str">
        <f>IF(INDEX('Weekly Plan'!$F$2:$M$79,MATCH(A17,'Weekly Plan'!$F$2:$F$79,0),MATCH($C$2,'Weekly Plan'!$F$2:$M$2,0))=0,"",INDEX('Weekly Plan'!$F$2:$M$79,MATCH(A17,'Weekly Plan'!$F$2:$F$79,0),MATCH($C$2,'Weekly Plan'!$F$2:$M$2,0)))</f>
        <v/>
      </c>
      <c r="E17" s="38">
        <f>'Weekly Plan'!A12</f>
        <v>1</v>
      </c>
      <c r="F17" s="39">
        <f>IFERROR(D17/E17,0)</f>
        <v>0</v>
      </c>
      <c r="G17" s="58" t="str">
        <f>'Weekly Plan'!F26</f>
        <v>9405930P</v>
      </c>
      <c r="H17" s="65"/>
      <c r="I17" s="60" t="str">
        <f>'Weekly Plan'!G26</f>
        <v>MS Applique</v>
      </c>
      <c r="J17" s="155" t="str">
        <f>IF(INDEX('Weekly Plan'!$F$2:$M$79,MATCH(G17,'Weekly Plan'!$F$2:$F$79,0),MATCH($C$2,'Weekly Plan'!$F$2:$M$2,0))=0,"",INDEX('Weekly Plan'!$F$2:$M$79,MATCH(G17,'Weekly Plan'!$F$2:$F$79,0),MATCH($C$2,'Weekly Plan'!$F$2:$M$2,0)))</f>
        <v/>
      </c>
      <c r="K17" s="38">
        <f>'Weekly Plan'!A26</f>
        <v>6</v>
      </c>
      <c r="L17" s="39">
        <f>IFERROR(J17/K17,0)</f>
        <v>0</v>
      </c>
      <c r="M17" s="146"/>
      <c r="P17" s="71"/>
      <c r="Q17" s="71"/>
      <c r="R17" s="71"/>
      <c r="S17" s="71"/>
      <c r="V17" s="145"/>
    </row>
    <row r="18" spans="1:22" ht="24" customHeight="1" x14ac:dyDescent="0.2">
      <c r="A18" s="58">
        <f>'Weekly Plan'!F13</f>
        <v>99638</v>
      </c>
      <c r="B18" s="59" t="s">
        <v>122</v>
      </c>
      <c r="C18" s="60" t="str">
        <f>'Weekly Plan'!G13</f>
        <v>Rear Plate</v>
      </c>
      <c r="D18" s="37" t="str">
        <f>IF(INDEX('Weekly Plan'!$F$2:$M$79,MATCH(A18,'Weekly Plan'!$F$2:$F$79,0),MATCH($C$2,'Weekly Plan'!$F$2:$M$2,0))=0,"",INDEX('Weekly Plan'!$F$2:$M$79,MATCH(A18,'Weekly Plan'!$F$2:$F$79,0),MATCH($C$2,'Weekly Plan'!$F$2:$M$2,0)))</f>
        <v/>
      </c>
      <c r="E18" s="38">
        <f>'Weekly Plan'!A13</f>
        <v>20</v>
      </c>
      <c r="F18" s="39">
        <f>IFERROR(D18/E18,0)</f>
        <v>0</v>
      </c>
      <c r="G18" s="58" t="str">
        <f>'Weekly Plan'!F27</f>
        <v>9405929P-REW</v>
      </c>
      <c r="H18" s="65"/>
      <c r="I18" s="60" t="str">
        <f>'Weekly Plan'!G27</f>
        <v>MX Applique Rework</v>
      </c>
      <c r="J18" s="37" t="str">
        <f>IF(INDEX('Weekly Plan'!$F$2:$M$79,MATCH(G18,'Weekly Plan'!$F$2:$F$79,0),MATCH($C$2,'Weekly Plan'!$F$2:$M$2,0))=0,"",INDEX('Weekly Plan'!$F$2:$M$79,MATCH(G18,'Weekly Plan'!$F$2:$F$79,0),MATCH($C$2,'Weekly Plan'!$F$2:$M$2,0)))</f>
        <v/>
      </c>
      <c r="K18" s="38">
        <f>'Weekly Plan'!A27</f>
        <v>6</v>
      </c>
      <c r="L18" s="39">
        <f>IFERROR(J18/K18,0)</f>
        <v>0</v>
      </c>
      <c r="M18" s="146"/>
      <c r="P18" s="71"/>
      <c r="Q18" s="71"/>
      <c r="R18" s="71"/>
      <c r="S18" s="71"/>
      <c r="V18" s="145"/>
    </row>
    <row r="19" spans="1:22" ht="24" customHeight="1" thickBot="1" x14ac:dyDescent="0.25">
      <c r="A19" s="61">
        <f>'Weekly Plan'!F14</f>
        <v>99630</v>
      </c>
      <c r="B19" s="62" t="s">
        <v>122</v>
      </c>
      <c r="C19" s="63" t="str">
        <f>'Weekly Plan'!G14</f>
        <v>Vent Cover</v>
      </c>
      <c r="D19" s="40" t="str">
        <f>IF(INDEX('Weekly Plan'!$F$2:$M$79,MATCH(A19,'Weekly Plan'!$F$2:$F$79,0),MATCH($C$2,'Weekly Plan'!$F$2:$M$2,0))=0,"",INDEX('Weekly Plan'!$F$2:$M$79,MATCH(A19,'Weekly Plan'!$F$2:$F$79,0),MATCH($C$2,'Weekly Plan'!$F$2:$M$2,0)))</f>
        <v/>
      </c>
      <c r="E19" s="38">
        <f>'Weekly Plan'!A14</f>
        <v>1</v>
      </c>
      <c r="F19" s="39">
        <f>IFERROR(D19/E19,0)</f>
        <v>0</v>
      </c>
      <c r="G19" s="61" t="str">
        <f>'Weekly Plan'!F28</f>
        <v>9405930P-REW</v>
      </c>
      <c r="H19" s="66"/>
      <c r="I19" s="63" t="str">
        <f>'Weekly Plan'!G28</f>
        <v>MS Applique Rework</v>
      </c>
      <c r="J19" s="40" t="str">
        <f>IF(INDEX('Weekly Plan'!$F$2:$M$79,MATCH(G19,'Weekly Plan'!$F$2:$F$79,0),MATCH($C$2,'Weekly Plan'!$F$2:$M$2,0))=0,"",INDEX('Weekly Plan'!$F$2:$M$79,MATCH(G19,'Weekly Plan'!$F$2:$F$79,0),MATCH($C$2,'Weekly Plan'!$F$2:$M$2,0)))</f>
        <v/>
      </c>
      <c r="K19" s="38">
        <f>'Weekly Plan'!A28</f>
        <v>6</v>
      </c>
      <c r="L19" s="39">
        <f>IFERROR(J19/K19,0)</f>
        <v>0</v>
      </c>
      <c r="M19" s="146"/>
      <c r="P19" s="71"/>
      <c r="Q19" s="71"/>
      <c r="R19" s="71"/>
      <c r="S19" s="71"/>
      <c r="V19" s="145"/>
    </row>
    <row r="20" spans="1:22" ht="24" customHeight="1" thickBot="1" x14ac:dyDescent="0.25">
      <c r="A20" s="84"/>
      <c r="B20" s="84"/>
      <c r="C20" s="84"/>
      <c r="D20" s="80"/>
      <c r="E20" s="75"/>
      <c r="F20" s="76"/>
      <c r="G20" s="85"/>
      <c r="H20" s="85"/>
      <c r="I20" s="85"/>
      <c r="J20" s="86"/>
      <c r="K20" s="75"/>
      <c r="L20" s="76"/>
      <c r="M20" s="100"/>
      <c r="P20" s="71"/>
      <c r="Q20" s="71"/>
      <c r="R20" s="71"/>
      <c r="S20" s="71"/>
    </row>
    <row r="21" spans="1:22" ht="24" customHeight="1" thickBot="1" x14ac:dyDescent="0.25">
      <c r="A21" s="206" t="s">
        <v>244</v>
      </c>
      <c r="B21" s="207"/>
      <c r="C21" s="207"/>
      <c r="D21" s="208"/>
      <c r="E21" s="75"/>
      <c r="F21" s="76"/>
      <c r="G21" s="192" t="s">
        <v>227</v>
      </c>
      <c r="H21" s="193"/>
      <c r="I21" s="194"/>
      <c r="J21" s="195"/>
      <c r="K21" s="75"/>
      <c r="L21" s="76"/>
      <c r="M21" s="85"/>
      <c r="P21" s="71"/>
      <c r="Q21" s="71"/>
      <c r="R21" s="71"/>
      <c r="S21" s="71"/>
    </row>
    <row r="22" spans="1:22" ht="24" customHeight="1" x14ac:dyDescent="0.2">
      <c r="A22" s="41" t="str">
        <f>'Weekly Plan'!F31</f>
        <v>KB2352</v>
      </c>
      <c r="B22" s="42" t="s">
        <v>253</v>
      </c>
      <c r="C22" s="25" t="str">
        <f>'Weekly Plan'!G31</f>
        <v>W12 Roof Top Cover</v>
      </c>
      <c r="D22" s="37" t="str">
        <f>IF(INDEX('Weekly Plan'!$F$2:$M$79,MATCH(A22,'Weekly Plan'!$F$2:$F$79,0),MATCH($C$2,'Weekly Plan'!$F$2:$M$2,0))=0,"",INDEX('Weekly Plan'!$F$2:$M$79,MATCH(A22,'Weekly Plan'!$F$2:$F$79,0),MATCH($C$2,'Weekly Plan'!$F$2:$M$2,0)))</f>
        <v/>
      </c>
      <c r="E22" s="38">
        <f>'Weekly Plan'!A31</f>
        <v>1</v>
      </c>
      <c r="F22" s="39">
        <f>IFERROR(D22/E22,0)</f>
        <v>0</v>
      </c>
      <c r="G22" s="49" t="str">
        <f>'Weekly Plan'!F36</f>
        <v>PART#1</v>
      </c>
      <c r="H22" s="50"/>
      <c r="I22" s="42"/>
      <c r="J22" s="37" t="str">
        <f>IF(INDEX('Weekly Plan'!$F$2:$M$79,MATCH(G22,'Weekly Plan'!$F$2:$F$79,0),MATCH($C$2,'Weekly Plan'!$F$2:$M$2,0))=0,"",INDEX('Weekly Plan'!$F$2:$M$79,MATCH(G22,'Weekly Plan'!$F$2:$F$79,0),MATCH($C$2,'Weekly Plan'!$F$2:$M$2,0)))</f>
        <v/>
      </c>
      <c r="K22" s="38">
        <f>'Weekly Plan'!A36</f>
        <v>0</v>
      </c>
      <c r="L22" s="39">
        <f t="shared" ref="L22:L25" si="1">IFERROR(J22/K22,0)</f>
        <v>0</v>
      </c>
      <c r="P22" s="71"/>
      <c r="Q22" s="71"/>
      <c r="R22" s="71"/>
      <c r="S22" s="71"/>
      <c r="U22" s="145"/>
    </row>
    <row r="23" spans="1:22" ht="24" customHeight="1" x14ac:dyDescent="0.2">
      <c r="A23" s="41" t="str">
        <f>'Weekly Plan'!F32</f>
        <v>KB2369</v>
      </c>
      <c r="B23" s="42" t="s">
        <v>253</v>
      </c>
      <c r="C23" s="25" t="str">
        <f>'Weekly Plan'!G32</f>
        <v>W12 Mech Bezel Pod 1</v>
      </c>
      <c r="D23" s="37" t="str">
        <f>IF(INDEX('Weekly Plan'!$F$2:$M$79,MATCH(A23,'Weekly Plan'!$F$2:$F$79,0),MATCH($C$2,'Weekly Plan'!$F$2:$M$2,0))=0,"",INDEX('Weekly Plan'!$F$2:$M$79,MATCH(A23,'Weekly Plan'!$F$2:$F$79,0),MATCH($C$2,'Weekly Plan'!$F$2:$M$2,0)))</f>
        <v/>
      </c>
      <c r="E23" s="38">
        <f>'Weekly Plan'!A32</f>
        <v>4</v>
      </c>
      <c r="F23" s="39">
        <f>IFERROR(D23/E23,0)</f>
        <v>0</v>
      </c>
      <c r="G23" s="51" t="str">
        <f>'Weekly Plan'!F37</f>
        <v>PART#2</v>
      </c>
      <c r="H23" s="52"/>
      <c r="I23" s="53"/>
      <c r="J23" s="37" t="str">
        <f>IF(INDEX('Weekly Plan'!$F$2:$M$79,MATCH(G23,'Weekly Plan'!$F$2:$F$79,0),MATCH($C$2,'Weekly Plan'!$F$2:$M$2,0))=0,"",INDEX('Weekly Plan'!$F$2:$M$79,MATCH(G23,'Weekly Plan'!$F$2:$F$79,0),MATCH($C$2,'Weekly Plan'!$F$2:$M$2,0)))</f>
        <v/>
      </c>
      <c r="K23" s="38">
        <f>'Weekly Plan'!A37</f>
        <v>0</v>
      </c>
      <c r="L23" s="39">
        <f t="shared" si="1"/>
        <v>0</v>
      </c>
      <c r="P23" s="71"/>
      <c r="Q23" s="71"/>
      <c r="R23" s="71"/>
      <c r="S23" s="71"/>
      <c r="U23" s="145"/>
    </row>
    <row r="24" spans="1:22" ht="24" customHeight="1" x14ac:dyDescent="0.2">
      <c r="A24" s="41" t="str">
        <f>'Weekly Plan'!F33</f>
        <v>KB2370L</v>
      </c>
      <c r="B24" s="42" t="s">
        <v>253</v>
      </c>
      <c r="C24" s="162" t="str">
        <f>'Weekly Plan'!G33</f>
        <v>W12 LH Cover Body Closeout Pod 5</v>
      </c>
      <c r="D24" s="37" t="str">
        <f>IF(INDEX('Weekly Plan'!$F$2:$M$79,MATCH(A24,'Weekly Plan'!$F$2:$F$79,0),MATCH($C$2,'Weekly Plan'!$F$2:$M$2,0))=0,"",INDEX('Weekly Plan'!$F$2:$M$79,MATCH(A24,'Weekly Plan'!$F$2:$F$79,0),MATCH($C$2,'Weekly Plan'!$F$2:$M$2,0)))</f>
        <v/>
      </c>
      <c r="E24" s="38">
        <f>'Weekly Plan'!A33</f>
        <v>4</v>
      </c>
      <c r="F24" s="39">
        <f>IFERROR(D24/E24,0)</f>
        <v>0</v>
      </c>
      <c r="G24" s="51" t="str">
        <f>'Weekly Plan'!F38</f>
        <v>PART#3</v>
      </c>
      <c r="H24" s="52"/>
      <c r="I24" s="23"/>
      <c r="J24" s="37" t="str">
        <f>IF(INDEX('Weekly Plan'!$F$2:$M$79,MATCH(G24,'Weekly Plan'!$F$2:$F$79,0),MATCH($C$2,'Weekly Plan'!$F$2:$M$2,0))=0,"",INDEX('Weekly Plan'!$F$2:$M$79,MATCH(G24,'Weekly Plan'!$F$2:$F$79,0),MATCH($C$2,'Weekly Plan'!$F$2:$M$2,0)))</f>
        <v/>
      </c>
      <c r="K24" s="38">
        <f>'Weekly Plan'!A38</f>
        <v>0</v>
      </c>
      <c r="L24" s="39">
        <f t="shared" si="1"/>
        <v>0</v>
      </c>
      <c r="P24" s="71"/>
      <c r="Q24" s="71"/>
      <c r="R24" s="71"/>
      <c r="S24" s="71"/>
      <c r="U24" s="145"/>
    </row>
    <row r="25" spans="1:22" ht="24" customHeight="1" thickBot="1" x14ac:dyDescent="0.25">
      <c r="A25" s="43" t="str">
        <f>'Weekly Plan'!F34</f>
        <v>KB2370R</v>
      </c>
      <c r="B25" s="44" t="s">
        <v>253</v>
      </c>
      <c r="C25" s="163" t="str">
        <f>'Weekly Plan'!G34</f>
        <v>W12 RH Cover Body Closeout Pod 6</v>
      </c>
      <c r="D25" s="40" t="str">
        <f>IF(INDEX('Weekly Plan'!$F$2:$M$79,MATCH(A25,'Weekly Plan'!$F$2:$F$79,0),MATCH($C$2,'Weekly Plan'!$F$2:$M$2,0))=0,"",INDEX('Weekly Plan'!$F$2:$M$79,MATCH(A25,'Weekly Plan'!$F$2:$F$79,0),MATCH($C$2,'Weekly Plan'!$F$2:$M$2,0)))</f>
        <v/>
      </c>
      <c r="E25" s="38">
        <f>'Weekly Plan'!A34</f>
        <v>4</v>
      </c>
      <c r="F25" s="39">
        <f>IFERROR(D25/E25,0)</f>
        <v>0</v>
      </c>
      <c r="G25" s="54" t="str">
        <f>'Weekly Plan'!F39</f>
        <v>PART#4</v>
      </c>
      <c r="H25" s="55"/>
      <c r="I25" s="24"/>
      <c r="J25" s="40" t="str">
        <f>IF(INDEX('Weekly Plan'!$F$2:$M$79,MATCH(G25,'Weekly Plan'!$F$2:$F$79,0),MATCH($C$2,'Weekly Plan'!$F$2:$M$2,0))=0,"",INDEX('Weekly Plan'!$F$2:$M$79,MATCH(G25,'Weekly Plan'!$F$2:$F$79,0),MATCH($C$2,'Weekly Plan'!$F$2:$M$2,0)))</f>
        <v/>
      </c>
      <c r="K25" s="38">
        <f>'Weekly Plan'!A39</f>
        <v>0</v>
      </c>
      <c r="L25" s="39">
        <f t="shared" si="1"/>
        <v>0</v>
      </c>
      <c r="P25" s="71"/>
      <c r="Q25" s="71"/>
      <c r="R25" s="71"/>
      <c r="S25" s="71"/>
      <c r="U25" s="145"/>
    </row>
    <row r="26" spans="1:22" ht="24" customHeight="1" x14ac:dyDescent="0.2">
      <c r="A26" s="79"/>
      <c r="B26" s="79"/>
      <c r="C26" s="27"/>
      <c r="D26" s="80"/>
      <c r="E26" s="75"/>
      <c r="F26" s="76"/>
      <c r="G26" s="85"/>
      <c r="H26" s="85"/>
      <c r="I26" s="85"/>
      <c r="J26" s="86"/>
      <c r="K26" s="75"/>
      <c r="L26" s="76"/>
      <c r="M26" s="146">
        <v>18</v>
      </c>
      <c r="P26" s="71"/>
      <c r="Q26" s="71"/>
      <c r="R26" s="71"/>
      <c r="S26" s="71"/>
      <c r="V26" s="145"/>
    </row>
    <row r="27" spans="1:22" ht="24" customHeight="1" thickBot="1" x14ac:dyDescent="0.25">
      <c r="A27" s="79"/>
      <c r="B27" s="79"/>
      <c r="C27" s="27"/>
      <c r="D27" s="80"/>
      <c r="E27" s="75"/>
      <c r="F27" s="76"/>
      <c r="G27" s="85"/>
      <c r="H27" s="85"/>
      <c r="I27" s="85"/>
      <c r="J27" s="86"/>
      <c r="K27" s="75"/>
      <c r="L27" s="76"/>
      <c r="M27" s="146"/>
      <c r="P27" s="71"/>
      <c r="Q27" s="71"/>
      <c r="R27" s="71"/>
      <c r="S27" s="71"/>
      <c r="V27" s="145"/>
    </row>
    <row r="28" spans="1:22" ht="24" customHeight="1" thickBot="1" x14ac:dyDescent="0.25">
      <c r="A28" s="202" t="s">
        <v>278</v>
      </c>
      <c r="B28" s="203"/>
      <c r="C28" s="203"/>
      <c r="D28" s="203"/>
      <c r="E28" s="204"/>
      <c r="F28" s="76"/>
      <c r="G28" s="87" t="s">
        <v>15</v>
      </c>
      <c r="H28" s="88"/>
      <c r="I28" s="89" t="s">
        <v>16</v>
      </c>
      <c r="J28" s="86"/>
      <c r="K28" s="75"/>
      <c r="L28" s="76"/>
      <c r="M28" s="100"/>
      <c r="P28" s="71"/>
      <c r="Q28" s="71"/>
      <c r="R28" s="71"/>
      <c r="S28" s="71"/>
    </row>
    <row r="29" spans="1:22" ht="24" customHeight="1" x14ac:dyDescent="0.2">
      <c r="A29" s="196"/>
      <c r="B29" s="197"/>
      <c r="C29" s="197"/>
      <c r="D29" s="197"/>
      <c r="E29" s="198"/>
      <c r="F29" s="90"/>
      <c r="G29" s="45" t="str">
        <f>A5</f>
        <v>Black - Laval</v>
      </c>
      <c r="H29" s="91"/>
      <c r="I29" s="156">
        <f>SUM(F6:F11)</f>
        <v>0</v>
      </c>
      <c r="J29" s="86"/>
      <c r="K29" s="148"/>
      <c r="L29" s="90"/>
      <c r="M29" s="100"/>
      <c r="P29" s="71"/>
      <c r="Q29" s="71"/>
      <c r="R29" s="71"/>
      <c r="S29" s="71"/>
    </row>
    <row r="30" spans="1:22" ht="24" customHeight="1" x14ac:dyDescent="0.2">
      <c r="A30" s="196"/>
      <c r="B30" s="197"/>
      <c r="C30" s="197"/>
      <c r="D30" s="197"/>
      <c r="E30" s="198"/>
      <c r="F30" s="90"/>
      <c r="G30" s="46" t="str">
        <f>A15</f>
        <v>Summit White - Laval</v>
      </c>
      <c r="H30" s="92"/>
      <c r="I30" s="156">
        <f>SUM(F16:F19)</f>
        <v>0</v>
      </c>
      <c r="J30" s="86"/>
      <c r="K30" s="148"/>
      <c r="L30" s="90"/>
      <c r="M30" s="100">
        <v>21</v>
      </c>
      <c r="P30" s="71"/>
      <c r="Q30" s="71"/>
      <c r="R30" s="71"/>
      <c r="S30" s="71"/>
    </row>
    <row r="31" spans="1:22" ht="24" customHeight="1" x14ac:dyDescent="0.2">
      <c r="A31" s="196"/>
      <c r="B31" s="197"/>
      <c r="C31" s="197"/>
      <c r="D31" s="197"/>
      <c r="E31" s="198"/>
      <c r="F31" s="76"/>
      <c r="G31" s="46" t="str">
        <f>G5</f>
        <v>Metelix</v>
      </c>
      <c r="H31" s="92"/>
      <c r="I31" s="156">
        <f>SUM(L6:L13)</f>
        <v>0</v>
      </c>
      <c r="J31" s="86"/>
      <c r="K31" s="75"/>
      <c r="L31" s="76"/>
      <c r="M31" s="146"/>
      <c r="P31" s="71"/>
      <c r="Q31" s="71"/>
      <c r="R31" s="71"/>
      <c r="S31" s="71"/>
      <c r="V31" s="145"/>
    </row>
    <row r="32" spans="1:22" ht="24" customHeight="1" x14ac:dyDescent="0.2">
      <c r="A32" s="196"/>
      <c r="B32" s="197"/>
      <c r="C32" s="197"/>
      <c r="D32" s="197"/>
      <c r="E32" s="198"/>
      <c r="F32" s="76"/>
      <c r="G32" s="47" t="str">
        <f>G15</f>
        <v>Tesla - High Gloss Black</v>
      </c>
      <c r="H32" s="93"/>
      <c r="I32" s="156">
        <f>SUM(L16:L19)</f>
        <v>0</v>
      </c>
      <c r="J32" s="86"/>
      <c r="K32" s="75"/>
      <c r="L32" s="76"/>
      <c r="M32" s="146"/>
      <c r="P32" s="71"/>
      <c r="Q32" s="71"/>
      <c r="R32" s="71"/>
      <c r="S32" s="71"/>
      <c r="V32" s="145"/>
    </row>
    <row r="33" spans="1:28" ht="24" customHeight="1" x14ac:dyDescent="0.2">
      <c r="A33" s="196"/>
      <c r="B33" s="197"/>
      <c r="C33" s="197"/>
      <c r="D33" s="197"/>
      <c r="E33" s="198"/>
      <c r="G33" s="47" t="s">
        <v>253</v>
      </c>
      <c r="H33" s="93"/>
      <c r="I33" s="156">
        <f>SUM(D22:D25)</f>
        <v>0</v>
      </c>
      <c r="J33" s="86"/>
      <c r="M33" s="146"/>
      <c r="P33" s="71"/>
      <c r="Q33" s="71"/>
      <c r="R33" s="71"/>
      <c r="S33" s="71"/>
      <c r="V33" s="145"/>
    </row>
    <row r="34" spans="1:28" ht="24" customHeight="1" x14ac:dyDescent="0.2">
      <c r="A34" s="196"/>
      <c r="B34" s="197"/>
      <c r="C34" s="197"/>
      <c r="D34" s="197"/>
      <c r="E34" s="198"/>
      <c r="G34" s="45" t="str">
        <f>G21</f>
        <v>Miscellaneous</v>
      </c>
      <c r="H34" s="91"/>
      <c r="I34" s="156">
        <f>SUM(L22:L25)</f>
        <v>0</v>
      </c>
      <c r="J34" s="86"/>
      <c r="M34" s="146"/>
      <c r="P34" s="71"/>
      <c r="Q34" s="71"/>
      <c r="R34" s="71"/>
      <c r="S34" s="71"/>
      <c r="V34" s="145"/>
    </row>
    <row r="35" spans="1:28" ht="24" customHeight="1" x14ac:dyDescent="0.2">
      <c r="A35" s="196"/>
      <c r="B35" s="197"/>
      <c r="C35" s="197"/>
      <c r="D35" s="197"/>
      <c r="E35" s="198"/>
      <c r="G35" s="45"/>
      <c r="H35" s="91"/>
      <c r="I35" s="156"/>
      <c r="J35" s="86"/>
      <c r="M35" s="146"/>
      <c r="P35" s="71"/>
      <c r="Q35" s="71"/>
      <c r="R35" s="71"/>
      <c r="S35" s="71"/>
      <c r="V35" s="145"/>
    </row>
    <row r="36" spans="1:28" ht="30.75" customHeight="1" x14ac:dyDescent="0.2">
      <c r="A36" s="196"/>
      <c r="B36" s="197"/>
      <c r="C36" s="197"/>
      <c r="D36" s="197"/>
      <c r="E36" s="198"/>
      <c r="G36" s="48" t="s">
        <v>164</v>
      </c>
      <c r="H36" s="95"/>
      <c r="I36" s="157">
        <f>SUM(I29:I35)</f>
        <v>0</v>
      </c>
      <c r="J36" s="86"/>
      <c r="M36" s="146">
        <v>4</v>
      </c>
      <c r="P36" s="71"/>
      <c r="Q36" s="71"/>
      <c r="R36" s="71"/>
      <c r="S36" s="71"/>
      <c r="V36" s="145"/>
    </row>
    <row r="37" spans="1:28" ht="30.75" customHeight="1" x14ac:dyDescent="0.2">
      <c r="A37" s="196"/>
      <c r="B37" s="197"/>
      <c r="C37" s="197"/>
      <c r="D37" s="197"/>
      <c r="E37" s="198"/>
      <c r="G37" s="48"/>
      <c r="H37" s="95"/>
      <c r="I37" s="158"/>
      <c r="J37" s="86"/>
      <c r="M37" s="146">
        <v>2</v>
      </c>
      <c r="P37" s="71"/>
      <c r="Q37" s="71"/>
      <c r="R37" s="71"/>
      <c r="S37" s="71"/>
      <c r="V37" s="145"/>
    </row>
    <row r="38" spans="1:28" ht="24" customHeight="1" x14ac:dyDescent="0.2">
      <c r="A38" s="196"/>
      <c r="B38" s="197"/>
      <c r="C38" s="197"/>
      <c r="D38" s="197"/>
      <c r="E38" s="198"/>
      <c r="G38" s="45" t="s">
        <v>17</v>
      </c>
      <c r="H38" s="91"/>
      <c r="I38" s="159">
        <f>(COUNTIF(I29:I35, "&gt;0")-1)*(IF(I36&gt;0, 12, 0))</f>
        <v>0</v>
      </c>
      <c r="J38" s="86"/>
      <c r="M38" s="146"/>
      <c r="P38" s="71"/>
      <c r="Q38" s="71"/>
      <c r="R38" s="71"/>
      <c r="S38" s="71"/>
      <c r="V38" s="145"/>
    </row>
    <row r="39" spans="1:28" ht="24" customHeight="1" x14ac:dyDescent="0.2">
      <c r="A39" s="196"/>
      <c r="B39" s="197"/>
      <c r="C39" s="197"/>
      <c r="D39" s="197"/>
      <c r="E39" s="198"/>
      <c r="G39" s="189"/>
      <c r="H39" s="190"/>
      <c r="I39" s="191"/>
      <c r="J39" s="86"/>
      <c r="M39" s="146">
        <v>1</v>
      </c>
      <c r="P39" s="71"/>
      <c r="Q39" s="71"/>
      <c r="R39" s="71"/>
      <c r="S39" s="71"/>
      <c r="V39" s="145"/>
    </row>
    <row r="40" spans="1:28" ht="24" customHeight="1" thickBot="1" x14ac:dyDescent="0.25">
      <c r="A40" s="199"/>
      <c r="B40" s="200"/>
      <c r="C40" s="200"/>
      <c r="D40" s="200"/>
      <c r="E40" s="201"/>
      <c r="G40" s="96" t="s">
        <v>18</v>
      </c>
      <c r="H40" s="97"/>
      <c r="I40" s="160">
        <f>(I36+I38)/60</f>
        <v>0</v>
      </c>
      <c r="J40" s="86"/>
      <c r="K40" s="151"/>
      <c r="L40" s="152"/>
      <c r="M40" s="146"/>
      <c r="P40" s="71"/>
      <c r="Q40" s="71"/>
      <c r="R40" s="71"/>
      <c r="S40" s="71"/>
      <c r="V40" s="145"/>
    </row>
    <row r="41" spans="1:28" ht="24" customHeight="1" x14ac:dyDescent="0.25">
      <c r="G41" s="22"/>
      <c r="H41" s="22"/>
      <c r="I41" s="22"/>
      <c r="J41" s="28"/>
      <c r="M41" s="146">
        <v>4</v>
      </c>
      <c r="P41" s="71"/>
      <c r="Q41" s="71"/>
      <c r="R41" s="71"/>
      <c r="S41" s="71"/>
      <c r="V41" s="145"/>
    </row>
    <row r="42" spans="1:28" ht="24" customHeight="1" x14ac:dyDescent="0.25">
      <c r="G42" s="101"/>
      <c r="H42" s="101"/>
      <c r="I42" s="101"/>
      <c r="J42" s="101"/>
      <c r="M42" s="146">
        <v>2</v>
      </c>
      <c r="P42" s="71"/>
      <c r="Q42" s="71"/>
      <c r="R42" s="71"/>
      <c r="S42" s="71"/>
      <c r="V42" s="145"/>
    </row>
    <row r="43" spans="1:28" ht="24" customHeight="1" x14ac:dyDescent="0.25">
      <c r="G43" s="101"/>
      <c r="H43" s="101"/>
      <c r="I43" s="101"/>
      <c r="J43" s="101"/>
      <c r="M43" s="100">
        <v>1</v>
      </c>
      <c r="P43" s="71"/>
      <c r="Q43" s="71"/>
      <c r="R43" s="71"/>
      <c r="S43" s="71"/>
    </row>
    <row r="44" spans="1:28" ht="24" customHeight="1" x14ac:dyDescent="0.25">
      <c r="G44" s="99"/>
      <c r="H44" s="99"/>
      <c r="I44" s="99"/>
      <c r="M44" s="100">
        <v>1</v>
      </c>
      <c r="P44" s="71"/>
      <c r="Q44" s="71"/>
      <c r="R44" s="71"/>
      <c r="S44" s="71"/>
    </row>
    <row r="45" spans="1:28" ht="24" customHeight="1" x14ac:dyDescent="0.25">
      <c r="G45" s="22"/>
      <c r="H45" s="22"/>
      <c r="I45" s="22"/>
      <c r="J45" s="28"/>
      <c r="M45" s="153"/>
      <c r="N45" s="153"/>
      <c r="O45" s="153"/>
      <c r="P45" s="154"/>
      <c r="R45" s="146"/>
      <c r="S45" s="146"/>
      <c r="AB45" s="145"/>
    </row>
    <row r="46" spans="1:28" ht="15" customHeight="1" x14ac:dyDescent="0.25">
      <c r="G46" s="22"/>
      <c r="H46" s="22"/>
      <c r="I46" s="22"/>
      <c r="J46" s="28"/>
      <c r="S46" s="71"/>
    </row>
    <row r="47" spans="1:28" ht="15" customHeight="1" x14ac:dyDescent="0.25">
      <c r="G47" s="22"/>
      <c r="H47" s="22"/>
      <c r="I47" s="22"/>
      <c r="J47" s="28"/>
      <c r="S47" s="71"/>
    </row>
    <row r="48" spans="1:28" x14ac:dyDescent="0.25">
      <c r="G48" s="26"/>
      <c r="H48" s="26"/>
      <c r="I48" s="26"/>
      <c r="J48" s="29"/>
    </row>
    <row r="49" spans="7:10" x14ac:dyDescent="0.25">
      <c r="G49" s="26"/>
      <c r="H49" s="26"/>
      <c r="I49" s="26"/>
      <c r="J49" s="29"/>
    </row>
  </sheetData>
  <sheetProtection formatCells="0"/>
  <mergeCells count="11">
    <mergeCell ref="A3:A4"/>
    <mergeCell ref="A5:D5"/>
    <mergeCell ref="G5:J5"/>
    <mergeCell ref="C3:J4"/>
    <mergeCell ref="G39:I39"/>
    <mergeCell ref="A15:D15"/>
    <mergeCell ref="G15:J15"/>
    <mergeCell ref="A21:D21"/>
    <mergeCell ref="G21:J21"/>
    <mergeCell ref="A28:E28"/>
    <mergeCell ref="A29:E40"/>
  </mergeCells>
  <printOptions horizontalCentered="1" verticalCentered="1"/>
  <pageMargins left="0.4" right="0.25" top="0.75" bottom="0.75" header="0.3" footer="0.3"/>
  <pageSetup scale="71" orientation="portrait" cellComments="asDisplayed" r:id="rId1"/>
  <headerFooter>
    <oddFooter>&amp;L8.2.2.1.6 101 Schedule Template.xlsx&amp;RCreated: 10/22/21TG
Revised: 11/4/25BT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C7AD-E418-4256-905A-87D99B02E844}">
  <sheetPr>
    <tabColor rgb="FF92D050"/>
    <pageSetUpPr fitToPage="1"/>
  </sheetPr>
  <dimension ref="A1:AB49"/>
  <sheetViews>
    <sheetView showGridLines="0" topLeftCell="A18" zoomScale="85" zoomScaleNormal="85" workbookViewId="0">
      <selection activeCell="G28" activeCellId="1" sqref="A5:J25 G28:I40"/>
    </sheetView>
  </sheetViews>
  <sheetFormatPr defaultColWidth="9" defaultRowHeight="18" x14ac:dyDescent="0.25"/>
  <cols>
    <col min="1" max="1" width="20.42578125" style="98" customWidth="1"/>
    <col min="2" max="2" width="9.85546875" style="71" hidden="1" customWidth="1"/>
    <col min="3" max="3" width="27.42578125" style="71" customWidth="1"/>
    <col min="4" max="4" width="7.140625" style="99" customWidth="1"/>
    <col min="5" max="5" width="4.28515625" style="100" customWidth="1"/>
    <col min="6" max="6" width="4.28515625" style="94" customWidth="1"/>
    <col min="7" max="7" width="20.5703125" style="102" customWidth="1"/>
    <col min="8" max="8" width="5.42578125" style="71" hidden="1" customWidth="1"/>
    <col min="9" max="9" width="27.42578125" style="71" customWidth="1"/>
    <col min="10" max="10" width="7.140625" style="99" customWidth="1"/>
    <col min="11" max="11" width="4.28515625" style="100" customWidth="1"/>
    <col min="12" max="12" width="4.28515625" style="94" customWidth="1"/>
    <col min="13" max="13" width="21.42578125" style="71" customWidth="1"/>
    <col min="14" max="14" width="21.42578125" style="71" hidden="1" customWidth="1"/>
    <col min="15" max="15" width="24.42578125" style="71" bestFit="1" customWidth="1"/>
    <col min="16" max="16" width="7.140625" style="99" customWidth="1"/>
    <col min="17" max="17" width="3.42578125" style="100" customWidth="1"/>
    <col min="18" max="18" width="2.5703125" style="100" customWidth="1"/>
    <col min="19" max="19" width="5" style="100" customWidth="1"/>
    <col min="20" max="27" width="10.85546875" style="71" customWidth="1"/>
    <col min="28" max="16384" width="9" style="71"/>
  </cols>
  <sheetData>
    <row r="1" spans="1:27" ht="27" x14ac:dyDescent="0.3">
      <c r="A1" s="30" t="s">
        <v>226</v>
      </c>
      <c r="B1" s="67"/>
      <c r="C1" s="68"/>
      <c r="D1" s="68"/>
      <c r="E1" s="69"/>
      <c r="F1" s="70"/>
      <c r="G1" s="71"/>
      <c r="H1" s="68"/>
      <c r="J1" s="71"/>
      <c r="K1" s="69"/>
      <c r="L1" s="70"/>
      <c r="N1" s="73"/>
      <c r="P1" s="141"/>
    </row>
    <row r="2" spans="1:27" ht="27" x14ac:dyDescent="0.35">
      <c r="A2" s="30"/>
      <c r="B2" s="67"/>
      <c r="C2" s="72" t="s">
        <v>259</v>
      </c>
      <c r="D2" s="68"/>
      <c r="E2" s="69"/>
      <c r="F2" s="70"/>
      <c r="G2" s="73" t="s">
        <v>29</v>
      </c>
      <c r="H2" s="68"/>
      <c r="I2" s="32">
        <f>'Weekly Plan'!H1+5</f>
        <v>46011</v>
      </c>
      <c r="J2" s="32"/>
      <c r="K2" s="69"/>
      <c r="L2" s="70"/>
      <c r="M2" s="73"/>
      <c r="N2" s="73"/>
      <c r="O2" s="32"/>
      <c r="P2" s="141"/>
    </row>
    <row r="3" spans="1:27" s="105" customFormat="1" ht="19.5" customHeight="1" x14ac:dyDescent="0.2">
      <c r="A3" s="209" t="s">
        <v>14</v>
      </c>
      <c r="B3" s="74"/>
      <c r="C3" s="205"/>
      <c r="D3" s="205"/>
      <c r="E3" s="205"/>
      <c r="F3" s="205"/>
      <c r="G3" s="205"/>
      <c r="H3" s="205"/>
      <c r="I3" s="205"/>
      <c r="J3" s="205"/>
      <c r="K3" s="34"/>
      <c r="L3" s="35"/>
      <c r="M3" s="33"/>
      <c r="N3" s="33"/>
      <c r="O3" s="33"/>
      <c r="P3" s="33"/>
      <c r="Q3" s="33"/>
      <c r="R3" s="36"/>
      <c r="S3" s="142"/>
      <c r="T3" s="142"/>
      <c r="U3" s="142"/>
      <c r="V3" s="142"/>
      <c r="W3" s="142"/>
      <c r="X3" s="142"/>
      <c r="Y3" s="142"/>
      <c r="Z3" s="142"/>
      <c r="AA3" s="142"/>
    </row>
    <row r="4" spans="1:27" s="105" customFormat="1" ht="19.5" customHeight="1" thickBot="1" x14ac:dyDescent="0.25">
      <c r="A4" s="210"/>
      <c r="B4" s="74"/>
      <c r="C4" s="205"/>
      <c r="D4" s="205"/>
      <c r="E4" s="205"/>
      <c r="F4" s="205"/>
      <c r="G4" s="205"/>
      <c r="H4" s="205"/>
      <c r="I4" s="205"/>
      <c r="J4" s="205"/>
      <c r="K4" s="34"/>
      <c r="L4" s="35"/>
      <c r="M4" s="33"/>
      <c r="N4" s="33"/>
      <c r="O4" s="33"/>
      <c r="P4" s="33"/>
      <c r="Q4" s="33"/>
      <c r="R4" s="36"/>
      <c r="S4" s="142"/>
      <c r="T4" s="142"/>
      <c r="U4" s="142"/>
      <c r="V4" s="142"/>
      <c r="W4" s="142"/>
      <c r="X4" s="142"/>
      <c r="Y4" s="142"/>
      <c r="Z4" s="142"/>
      <c r="AA4" s="142"/>
    </row>
    <row r="5" spans="1:27" ht="24" customHeight="1" thickBot="1" x14ac:dyDescent="0.25">
      <c r="A5" s="206" t="s">
        <v>215</v>
      </c>
      <c r="B5" s="207"/>
      <c r="C5" s="207"/>
      <c r="D5" s="208"/>
      <c r="E5" s="75"/>
      <c r="F5" s="76"/>
      <c r="G5" s="192" t="s">
        <v>150</v>
      </c>
      <c r="H5" s="193"/>
      <c r="I5" s="194"/>
      <c r="J5" s="195"/>
      <c r="K5" s="75"/>
      <c r="L5" s="76"/>
      <c r="M5" s="143"/>
      <c r="P5" s="144"/>
      <c r="Q5" s="144"/>
      <c r="R5" s="144"/>
      <c r="S5" s="144"/>
      <c r="T5" s="144"/>
      <c r="U5" s="144"/>
      <c r="V5" s="144"/>
    </row>
    <row r="6" spans="1:27" ht="24" customHeight="1" x14ac:dyDescent="0.2">
      <c r="A6" s="56" t="str">
        <f>'Weekly Plan'!F4</f>
        <v>99944 Bezel</v>
      </c>
      <c r="B6" s="49" t="s">
        <v>166</v>
      </c>
      <c r="C6" s="56" t="str">
        <f>'Weekly Plan'!G4</f>
        <v>Bezel</v>
      </c>
      <c r="D6" s="37" t="str">
        <f>IF(INDEX('Weekly Plan'!$F$2:$M$79,MATCH(A6,'Weekly Plan'!$F$2:$F$79,0),MATCH($C$2,'Weekly Plan'!$F$2:$M$2,0))=0,"",INDEX('Weekly Plan'!$F$2:$M$79,MATCH(A6,'Weekly Plan'!$F$2:$F$79,0),MATCH($C$2,'Weekly Plan'!$F$2:$M$2,0)))</f>
        <v/>
      </c>
      <c r="E6" s="38">
        <f>'Weekly Plan'!A4</f>
        <v>2</v>
      </c>
      <c r="F6" s="39">
        <f t="shared" ref="F6:F11" si="0">IFERROR(D6/E6,0)</f>
        <v>0</v>
      </c>
      <c r="G6" s="56" t="str">
        <f>'Weekly Plan'!F16</f>
        <v>VG0240BL0PA</v>
      </c>
      <c r="H6" s="64"/>
      <c r="I6" s="77" t="str">
        <f>'Weekly Plan'!G16</f>
        <v>C223 ACCSRY Spoiler</v>
      </c>
      <c r="J6" s="37" t="str">
        <f>IF(INDEX('Weekly Plan'!$F$2:$M$79,MATCH(G6,'Weekly Plan'!$F$2:$F$79,0),MATCH($C$2,'Weekly Plan'!$F$2:$M$2,0))=0,"",INDEX('Weekly Plan'!$F$2:$M$79,MATCH(G6,'Weekly Plan'!$F$2:$F$79,0),MATCH($C$2,'Weekly Plan'!$F$2:$M$2,0)))</f>
        <v/>
      </c>
      <c r="K6" s="38">
        <f>'Weekly Plan'!A16</f>
        <v>1</v>
      </c>
      <c r="L6" s="39">
        <f>IFERROR(J6/K6,0)</f>
        <v>0</v>
      </c>
      <c r="M6" s="100"/>
      <c r="P6" s="145"/>
      <c r="Q6" s="145"/>
      <c r="R6" s="145"/>
      <c r="S6" s="145"/>
      <c r="T6" s="145"/>
      <c r="U6" s="145"/>
      <c r="V6" s="145"/>
    </row>
    <row r="7" spans="1:27" ht="24" customHeight="1" x14ac:dyDescent="0.2">
      <c r="A7" s="58">
        <f>'Weekly Plan'!F5</f>
        <v>99633</v>
      </c>
      <c r="B7" s="51" t="s">
        <v>166</v>
      </c>
      <c r="C7" s="58" t="str">
        <f>'Weekly Plan'!G5</f>
        <v>IR Cover LH</v>
      </c>
      <c r="D7" s="37" t="str">
        <f>IF(INDEX('Weekly Plan'!$F$2:$M$79,MATCH(A7,'Weekly Plan'!$F$2:$F$79,0),MATCH($C$2,'Weekly Plan'!$F$2:$M$2,0))=0,"",INDEX('Weekly Plan'!$F$2:$M$79,MATCH(A7,'Weekly Plan'!$F$2:$F$79,0),MATCH($C$2,'Weekly Plan'!$F$2:$M$2,0)))</f>
        <v/>
      </c>
      <c r="E7" s="38">
        <f>'Weekly Plan'!A5</f>
        <v>20</v>
      </c>
      <c r="F7" s="39">
        <f t="shared" si="0"/>
        <v>0</v>
      </c>
      <c r="G7" s="58" t="str">
        <f>'Weekly Plan'!F17</f>
        <v>VG0241CM0PB</v>
      </c>
      <c r="H7" s="65"/>
      <c r="I7" s="78" t="str">
        <f>'Weekly Plan'!G17</f>
        <v>Y2XX Stanchion - LH</v>
      </c>
      <c r="J7" s="37" t="str">
        <f>IF(INDEX('Weekly Plan'!$F$2:$M$79,MATCH(G7,'Weekly Plan'!$F$2:$F$79,0),MATCH($C$2,'Weekly Plan'!$F$2:$M$2,0))=0,"",INDEX('Weekly Plan'!$F$2:$M$79,MATCH(G7,'Weekly Plan'!$F$2:$F$79,0),MATCH($C$2,'Weekly Plan'!$F$2:$M$2,0)))</f>
        <v/>
      </c>
      <c r="K7" s="38">
        <f>'Weekly Plan'!A17</f>
        <v>6</v>
      </c>
      <c r="L7" s="39">
        <f>IFERROR(J7/K7,0)</f>
        <v>0</v>
      </c>
      <c r="M7" s="100"/>
      <c r="P7" s="145"/>
      <c r="Q7" s="145"/>
      <c r="R7" s="145"/>
      <c r="S7" s="145"/>
      <c r="T7" s="145"/>
      <c r="U7" s="145"/>
      <c r="V7" s="145"/>
    </row>
    <row r="8" spans="1:27" ht="24" customHeight="1" x14ac:dyDescent="0.2">
      <c r="A8" s="58">
        <f>'Weekly Plan'!F6</f>
        <v>99646</v>
      </c>
      <c r="B8" s="51" t="s">
        <v>166</v>
      </c>
      <c r="C8" s="58" t="str">
        <f>'Weekly Plan'!G6</f>
        <v>IR Cover RH</v>
      </c>
      <c r="D8" s="37" t="str">
        <f>IF(INDEX('Weekly Plan'!$F$2:$M$79,MATCH(A8,'Weekly Plan'!$F$2:$F$79,0),MATCH($C$2,'Weekly Plan'!$F$2:$M$2,0))=0,"",INDEX('Weekly Plan'!$F$2:$M$79,MATCH(A8,'Weekly Plan'!$F$2:$F$79,0),MATCH($C$2,'Weekly Plan'!$F$2:$M$2,0)))</f>
        <v/>
      </c>
      <c r="E8" s="38">
        <f>'Weekly Plan'!A6</f>
        <v>20</v>
      </c>
      <c r="F8" s="39">
        <f t="shared" si="0"/>
        <v>0</v>
      </c>
      <c r="G8" s="58" t="str">
        <f>'Weekly Plan'!F18</f>
        <v>VG0241CM0PD</v>
      </c>
      <c r="H8" s="65"/>
      <c r="I8" s="78" t="str">
        <f>'Weekly Plan'!G18</f>
        <v>Y2XX Stanchion - RH</v>
      </c>
      <c r="J8" s="37" t="str">
        <f>IF(INDEX('Weekly Plan'!$F$2:$M$79,MATCH(G8,'Weekly Plan'!$F$2:$F$79,0),MATCH($C$2,'Weekly Plan'!$F$2:$M$2,0))=0,"",INDEX('Weekly Plan'!$F$2:$M$79,MATCH(G8,'Weekly Plan'!$F$2:$F$79,0),MATCH($C$2,'Weekly Plan'!$F$2:$M$2,0)))</f>
        <v/>
      </c>
      <c r="K8" s="38">
        <f>'Weekly Plan'!A18</f>
        <v>6</v>
      </c>
      <c r="L8" s="39">
        <f>IFERROR(J8/K8,0)</f>
        <v>0</v>
      </c>
      <c r="M8" s="100"/>
      <c r="P8" s="145"/>
      <c r="Q8" s="145"/>
      <c r="R8" s="145"/>
      <c r="S8" s="145"/>
      <c r="T8" s="145"/>
      <c r="U8" s="145"/>
      <c r="V8" s="145"/>
    </row>
    <row r="9" spans="1:27" ht="24" customHeight="1" x14ac:dyDescent="0.2">
      <c r="A9" s="58">
        <f>'Weekly Plan'!F7</f>
        <v>99635</v>
      </c>
      <c r="B9" s="51" t="s">
        <v>166</v>
      </c>
      <c r="C9" s="58" t="str">
        <f>'Weekly Plan'!G7</f>
        <v>Lateral Belt LH</v>
      </c>
      <c r="D9" s="37" t="str">
        <f>IF(INDEX('Weekly Plan'!$F$2:$M$79,MATCH(A9,'Weekly Plan'!$F$2:$F$79,0),MATCH($C$2,'Weekly Plan'!$F$2:$M$2,0))=0,"",INDEX('Weekly Plan'!$F$2:$M$79,MATCH(A9,'Weekly Plan'!$F$2:$F$79,0),MATCH($C$2,'Weekly Plan'!$F$2:$M$2,0)))</f>
        <v/>
      </c>
      <c r="E9" s="38">
        <f>'Weekly Plan'!A7</f>
        <v>6</v>
      </c>
      <c r="F9" s="39">
        <f t="shared" si="0"/>
        <v>0</v>
      </c>
      <c r="G9" s="58" t="str">
        <f>'Weekly Plan'!F19</f>
        <v>VG0241CM0PC</v>
      </c>
      <c r="H9" s="65"/>
      <c r="I9" s="78" t="str">
        <f>'Weekly Plan'!G19</f>
        <v>Y2XX Stanchion - Center</v>
      </c>
      <c r="J9" s="37" t="str">
        <f>IF(INDEX('Weekly Plan'!$F$2:$M$79,MATCH(G9,'Weekly Plan'!$F$2:$F$79,0),MATCH($C$2,'Weekly Plan'!$F$2:$M$2,0))=0,"",INDEX('Weekly Plan'!$F$2:$M$79,MATCH(G9,'Weekly Plan'!$F$2:$F$79,0),MATCH($C$2,'Weekly Plan'!$F$2:$M$2,0)))</f>
        <v/>
      </c>
      <c r="K9" s="38">
        <f>'Weekly Plan'!A19</f>
        <v>6</v>
      </c>
      <c r="L9" s="39">
        <f>IFERROR(J9/K9,0)</f>
        <v>0</v>
      </c>
      <c r="M9" s="146"/>
      <c r="P9" s="145"/>
      <c r="Q9" s="145"/>
      <c r="R9" s="145"/>
      <c r="S9" s="145"/>
      <c r="T9" s="145"/>
      <c r="U9" s="145"/>
      <c r="V9" s="145"/>
    </row>
    <row r="10" spans="1:27" ht="24" customHeight="1" x14ac:dyDescent="0.2">
      <c r="A10" s="58">
        <f>'Weekly Plan'!F8</f>
        <v>99944</v>
      </c>
      <c r="B10" s="51" t="s">
        <v>166</v>
      </c>
      <c r="C10" s="58" t="str">
        <f>'Weekly Plan'!G8</f>
        <v>Lateral Belt RH</v>
      </c>
      <c r="D10" s="37" t="str">
        <f>IF(INDEX('Weekly Plan'!$F$2:$M$79,MATCH(A10,'Weekly Plan'!$F$2:$F$79,0),MATCH($C$2,'Weekly Plan'!$F$2:$M$2,0))=0,"",INDEX('Weekly Plan'!$F$2:$M$79,MATCH(A10,'Weekly Plan'!$F$2:$F$79,0),MATCH($C$2,'Weekly Plan'!$F$2:$M$2,0)))</f>
        <v/>
      </c>
      <c r="E10" s="38">
        <f>'Weekly Plan'!A8</f>
        <v>6</v>
      </c>
      <c r="F10" s="39">
        <f t="shared" si="0"/>
        <v>0</v>
      </c>
      <c r="G10" s="58" t="str">
        <f>'Weekly Plan'!F20</f>
        <v>VG0241CM0PE</v>
      </c>
      <c r="H10" s="65"/>
      <c r="I10" s="78" t="str">
        <f>'Weekly Plan'!G20</f>
        <v>Y2XX Winglet -LH</v>
      </c>
      <c r="J10" s="37" t="str">
        <f>IF(INDEX('Weekly Plan'!$F$2:$M$79,MATCH(G10,'Weekly Plan'!$F$2:$F$79,0),MATCH($C$2,'Weekly Plan'!$F$2:$M$2,0))=0,"",INDEX('Weekly Plan'!$F$2:$M$79,MATCH(G10,'Weekly Plan'!$F$2:$F$79,0),MATCH($C$2,'Weekly Plan'!$F$2:$M$2,0)))</f>
        <v/>
      </c>
      <c r="K10" s="38">
        <f>'Weekly Plan'!A20</f>
        <v>0</v>
      </c>
      <c r="L10" s="39">
        <f>IFERROR(J12/K10,0)</f>
        <v>0</v>
      </c>
      <c r="M10" s="146"/>
      <c r="P10" s="145"/>
      <c r="Q10" s="145"/>
      <c r="R10" s="145"/>
      <c r="S10" s="145"/>
      <c r="T10" s="145"/>
      <c r="U10" s="145"/>
      <c r="V10" s="145"/>
    </row>
    <row r="11" spans="1:27" ht="24" customHeight="1" thickBot="1" x14ac:dyDescent="0.25">
      <c r="A11" s="61">
        <f>'Weekly Plan'!F9</f>
        <v>99636</v>
      </c>
      <c r="B11" s="54" t="s">
        <v>166</v>
      </c>
      <c r="C11" s="61" t="str">
        <f>'Weekly Plan'!G9</f>
        <v>Rear Belt</v>
      </c>
      <c r="D11" s="40" t="str">
        <f>IF(INDEX('Weekly Plan'!$F$2:$M$79,MATCH(A11,'Weekly Plan'!$F$2:$F$79,0),MATCH($C$2,'Weekly Plan'!$F$2:$M$2,0))=0,"",INDEX('Weekly Plan'!$F$2:$M$79,MATCH(A11,'Weekly Plan'!$F$2:$F$79,0),MATCH($C$2,'Weekly Plan'!$F$2:$M$2,0)))</f>
        <v/>
      </c>
      <c r="E11" s="38">
        <f>'Weekly Plan'!A9</f>
        <v>20</v>
      </c>
      <c r="F11" s="39">
        <f t="shared" si="0"/>
        <v>0</v>
      </c>
      <c r="G11" s="58" t="str">
        <f>'Weekly Plan'!F21</f>
        <v>VG0241CM0PF</v>
      </c>
      <c r="H11" s="65"/>
      <c r="I11" s="78" t="str">
        <f>'Weekly Plan'!G21</f>
        <v>Y2XX Winglet -RH</v>
      </c>
      <c r="J11" s="37" t="str">
        <f>IF(INDEX('Weekly Plan'!$F$2:$M$79,MATCH(G11,'Weekly Plan'!$F$2:$F$79,0),MATCH($C$2,'Weekly Plan'!$F$2:$M$2,0))=0,"",INDEX('Weekly Plan'!$F$2:$M$79,MATCH(G11,'Weekly Plan'!$F$2:$F$79,0),MATCH($C$2,'Weekly Plan'!$F$2:$M$2,0)))</f>
        <v/>
      </c>
      <c r="K11" s="38">
        <f>'Weekly Plan'!A21</f>
        <v>0</v>
      </c>
      <c r="L11" s="39">
        <f>IFERROR(J13/K11,0)</f>
        <v>0</v>
      </c>
      <c r="M11" s="146"/>
      <c r="P11" s="145"/>
      <c r="Q11" s="145"/>
      <c r="R11" s="145"/>
      <c r="S11" s="145"/>
      <c r="T11" s="145"/>
      <c r="U11" s="145"/>
      <c r="V11" s="145"/>
    </row>
    <row r="12" spans="1:27" ht="24" customHeight="1" x14ac:dyDescent="0.2">
      <c r="A12" s="79"/>
      <c r="B12" s="79"/>
      <c r="C12" s="27"/>
      <c r="D12" s="80"/>
      <c r="E12" s="75"/>
      <c r="F12" s="76"/>
      <c r="G12" s="58" t="str">
        <f>'Weekly Plan'!F22</f>
        <v>VG0241CM0PG</v>
      </c>
      <c r="H12" s="65"/>
      <c r="I12" s="78" t="str">
        <f>'Weekly Plan'!G22</f>
        <v>Y2XX Screw Cover - LH</v>
      </c>
      <c r="J12" s="37" t="str">
        <f>IF(INDEX('Weekly Plan'!$F$2:$M$79,MATCH(G12,'Weekly Plan'!$F$2:$F$79,0),MATCH($C$2,'Weekly Plan'!$F$2:$M$2,0))=0,"",INDEX('Weekly Plan'!$F$2:$M$79,MATCH(G12,'Weekly Plan'!$F$2:$F$79,0),MATCH($C$2,'Weekly Plan'!$F$2:$M$2,0)))</f>
        <v/>
      </c>
      <c r="K12" s="38">
        <f>'Weekly Plan'!A22</f>
        <v>20</v>
      </c>
      <c r="L12" s="39">
        <f>IFERROR(J14/K12,0)</f>
        <v>0</v>
      </c>
      <c r="M12" s="146"/>
      <c r="P12" s="145"/>
      <c r="Q12" s="145"/>
      <c r="R12" s="145"/>
      <c r="S12" s="145"/>
      <c r="T12" s="145"/>
      <c r="U12" s="145"/>
      <c r="V12" s="145"/>
    </row>
    <row r="13" spans="1:27" ht="24" customHeight="1" thickBot="1" x14ac:dyDescent="0.25">
      <c r="A13" s="79"/>
      <c r="B13" s="79"/>
      <c r="C13" s="27"/>
      <c r="D13" s="80"/>
      <c r="E13" s="75"/>
      <c r="F13" s="76"/>
      <c r="G13" s="61" t="str">
        <f>'Weekly Plan'!F23</f>
        <v>VG0241CM0PH</v>
      </c>
      <c r="H13" s="66"/>
      <c r="I13" s="81" t="str">
        <f>'Weekly Plan'!G23</f>
        <v>Y2XX Screw Cover - RH</v>
      </c>
      <c r="J13" s="40" t="str">
        <f>IF(INDEX('Weekly Plan'!$F$2:$M$79,MATCH(G13,'Weekly Plan'!$F$2:$F$79,0),MATCH($C$2,'Weekly Plan'!$F$2:$M$2,0))=0,"",INDEX('Weekly Plan'!$F$2:$M$79,MATCH(G13,'Weekly Plan'!$F$2:$F$79,0),MATCH($C$2,'Weekly Plan'!$F$2:$M$2,0)))</f>
        <v/>
      </c>
      <c r="K13" s="38">
        <f>'Weekly Plan'!A23</f>
        <v>20</v>
      </c>
      <c r="L13" s="39">
        <f>IFERROR(J15/K13,0)</f>
        <v>0</v>
      </c>
      <c r="M13" s="147"/>
      <c r="P13" s="123"/>
      <c r="Q13" s="123"/>
      <c r="R13" s="123"/>
      <c r="S13" s="123"/>
      <c r="T13" s="123"/>
      <c r="U13" s="123"/>
      <c r="V13" s="123"/>
    </row>
    <row r="14" spans="1:27" ht="24" customHeight="1" thickBot="1" x14ac:dyDescent="0.25">
      <c r="A14" s="82"/>
      <c r="B14" s="82"/>
      <c r="C14" s="82"/>
      <c r="D14" s="80"/>
      <c r="E14" s="75"/>
      <c r="F14" s="76"/>
      <c r="G14" s="82"/>
      <c r="H14" s="82"/>
      <c r="I14" s="82"/>
      <c r="J14" s="83"/>
      <c r="K14" s="75"/>
      <c r="L14" s="76"/>
      <c r="M14" s="100"/>
      <c r="P14" s="71"/>
      <c r="Q14" s="71"/>
      <c r="R14" s="71"/>
      <c r="S14" s="71"/>
    </row>
    <row r="15" spans="1:27" ht="24" customHeight="1" thickBot="1" x14ac:dyDescent="0.25">
      <c r="A15" s="206" t="s">
        <v>214</v>
      </c>
      <c r="B15" s="207"/>
      <c r="C15" s="207"/>
      <c r="D15" s="208"/>
      <c r="E15" s="75"/>
      <c r="F15" s="76"/>
      <c r="G15" s="192" t="s">
        <v>208</v>
      </c>
      <c r="H15" s="193"/>
      <c r="I15" s="194"/>
      <c r="J15" s="195"/>
      <c r="K15" s="75"/>
      <c r="L15" s="76"/>
      <c r="P15" s="71"/>
      <c r="Q15" s="71"/>
      <c r="R15" s="71"/>
      <c r="S15" s="71"/>
    </row>
    <row r="16" spans="1:27" ht="24" customHeight="1" x14ac:dyDescent="0.2">
      <c r="A16" s="56">
        <f>'Weekly Plan'!F11</f>
        <v>99629</v>
      </c>
      <c r="B16" s="42" t="s">
        <v>122</v>
      </c>
      <c r="C16" s="57" t="str">
        <f>'Weekly Plan'!G11</f>
        <v>Main Lower Cover</v>
      </c>
      <c r="D16" s="37" t="str">
        <f>IF(INDEX('Weekly Plan'!$F$2:$M$79,MATCH(A16,'Weekly Plan'!$F$2:$F$79,0),MATCH($C$2,'Weekly Plan'!$F$2:$M$2,0))=0,"",INDEX('Weekly Plan'!$F$2:$M$79,MATCH(A16,'Weekly Plan'!$F$2:$F$79,0),MATCH($C$2,'Weekly Plan'!$F$2:$M$2,0)))</f>
        <v/>
      </c>
      <c r="E16" s="38">
        <f>'Weekly Plan'!A11</f>
        <v>1</v>
      </c>
      <c r="F16" s="39">
        <f>IFERROR(D16/E16,0)</f>
        <v>0</v>
      </c>
      <c r="G16" s="56" t="str">
        <f>'Weekly Plan'!F25</f>
        <v>9405929P</v>
      </c>
      <c r="H16" s="64"/>
      <c r="I16" s="57" t="str">
        <f>'Weekly Plan'!G25</f>
        <v>MX Applique</v>
      </c>
      <c r="J16" s="37" t="str">
        <f>IF(INDEX('Weekly Plan'!$F$2:$M$79,MATCH(G16,'Weekly Plan'!$F$2:$F$79,0),MATCH($C$2,'Weekly Plan'!$F$2:$M$2,0))=0,"",INDEX('Weekly Plan'!$F$2:$M$79,MATCH(G16,'Weekly Plan'!$F$2:$F$79,0),MATCH($C$2,'Weekly Plan'!$F$2:$M$2,0)))</f>
        <v/>
      </c>
      <c r="K16" s="38">
        <f>'Weekly Plan'!A25</f>
        <v>6</v>
      </c>
      <c r="L16" s="39">
        <f>IFERROR(J16/K16,0)</f>
        <v>0</v>
      </c>
      <c r="M16" s="146"/>
      <c r="O16" s="161" t="s">
        <v>279</v>
      </c>
      <c r="P16" s="71"/>
      <c r="Q16" s="71"/>
      <c r="R16" s="71"/>
      <c r="S16" s="71"/>
      <c r="V16" s="145"/>
    </row>
    <row r="17" spans="1:22" ht="24" customHeight="1" x14ac:dyDescent="0.2">
      <c r="A17" s="58">
        <f>'Weekly Plan'!F12</f>
        <v>99631</v>
      </c>
      <c r="B17" s="59" t="s">
        <v>122</v>
      </c>
      <c r="C17" s="60" t="str">
        <f>'Weekly Plan'!G12</f>
        <v>Main Upper Cover</v>
      </c>
      <c r="D17" s="37" t="str">
        <f>IF(INDEX('Weekly Plan'!$F$2:$M$79,MATCH(A17,'Weekly Plan'!$F$2:$F$79,0),MATCH($C$2,'Weekly Plan'!$F$2:$M$2,0))=0,"",INDEX('Weekly Plan'!$F$2:$M$79,MATCH(A17,'Weekly Plan'!$F$2:$F$79,0),MATCH($C$2,'Weekly Plan'!$F$2:$M$2,0)))</f>
        <v/>
      </c>
      <c r="E17" s="38">
        <f>'Weekly Plan'!A12</f>
        <v>1</v>
      </c>
      <c r="F17" s="39">
        <f>IFERROR(D17/E17,0)</f>
        <v>0</v>
      </c>
      <c r="G17" s="58" t="str">
        <f>'Weekly Plan'!F26</f>
        <v>9405930P</v>
      </c>
      <c r="H17" s="65"/>
      <c r="I17" s="60" t="str">
        <f>'Weekly Plan'!G26</f>
        <v>MS Applique</v>
      </c>
      <c r="J17" s="155" t="str">
        <f>IF(INDEX('Weekly Plan'!$F$2:$M$79,MATCH(G17,'Weekly Plan'!$F$2:$F$79,0),MATCH($C$2,'Weekly Plan'!$F$2:$M$2,0))=0,"",INDEX('Weekly Plan'!$F$2:$M$79,MATCH(G17,'Weekly Plan'!$F$2:$F$79,0),MATCH($C$2,'Weekly Plan'!$F$2:$M$2,0)))</f>
        <v/>
      </c>
      <c r="K17" s="38">
        <f>'Weekly Plan'!A26</f>
        <v>6</v>
      </c>
      <c r="L17" s="39">
        <f>IFERROR(J17/K17,0)</f>
        <v>0</v>
      </c>
      <c r="M17" s="146"/>
      <c r="P17" s="71"/>
      <c r="Q17" s="71"/>
      <c r="R17" s="71"/>
      <c r="S17" s="71"/>
      <c r="V17" s="145"/>
    </row>
    <row r="18" spans="1:22" ht="24" customHeight="1" x14ac:dyDescent="0.2">
      <c r="A18" s="58">
        <f>'Weekly Plan'!F13</f>
        <v>99638</v>
      </c>
      <c r="B18" s="59" t="s">
        <v>122</v>
      </c>
      <c r="C18" s="60" t="str">
        <f>'Weekly Plan'!G13</f>
        <v>Rear Plate</v>
      </c>
      <c r="D18" s="37" t="str">
        <f>IF(INDEX('Weekly Plan'!$F$2:$M$79,MATCH(A18,'Weekly Plan'!$F$2:$F$79,0),MATCH($C$2,'Weekly Plan'!$F$2:$M$2,0))=0,"",INDEX('Weekly Plan'!$F$2:$M$79,MATCH(A18,'Weekly Plan'!$F$2:$F$79,0),MATCH($C$2,'Weekly Plan'!$F$2:$M$2,0)))</f>
        <v/>
      </c>
      <c r="E18" s="38">
        <f>'Weekly Plan'!A13</f>
        <v>20</v>
      </c>
      <c r="F18" s="39">
        <f>IFERROR(D18/E18,0)</f>
        <v>0</v>
      </c>
      <c r="G18" s="58" t="str">
        <f>'Weekly Plan'!F27</f>
        <v>9405929P-REW</v>
      </c>
      <c r="H18" s="65"/>
      <c r="I18" s="60" t="str">
        <f>'Weekly Plan'!G27</f>
        <v>MX Applique Rework</v>
      </c>
      <c r="J18" s="37" t="str">
        <f>IF(INDEX('Weekly Plan'!$F$2:$M$79,MATCH(G18,'Weekly Plan'!$F$2:$F$79,0),MATCH($C$2,'Weekly Plan'!$F$2:$M$2,0))=0,"",INDEX('Weekly Plan'!$F$2:$M$79,MATCH(G18,'Weekly Plan'!$F$2:$F$79,0),MATCH($C$2,'Weekly Plan'!$F$2:$M$2,0)))</f>
        <v/>
      </c>
      <c r="K18" s="38">
        <f>'Weekly Plan'!A27</f>
        <v>6</v>
      </c>
      <c r="L18" s="39">
        <f>IFERROR(J18/K18,0)</f>
        <v>0</v>
      </c>
      <c r="M18" s="146"/>
      <c r="P18" s="71"/>
      <c r="Q18" s="71"/>
      <c r="R18" s="71"/>
      <c r="S18" s="71"/>
      <c r="V18" s="145"/>
    </row>
    <row r="19" spans="1:22" ht="24" customHeight="1" thickBot="1" x14ac:dyDescent="0.25">
      <c r="A19" s="61">
        <f>'Weekly Plan'!F14</f>
        <v>99630</v>
      </c>
      <c r="B19" s="62" t="s">
        <v>122</v>
      </c>
      <c r="C19" s="63" t="str">
        <f>'Weekly Plan'!G14</f>
        <v>Vent Cover</v>
      </c>
      <c r="D19" s="40" t="str">
        <f>IF(INDEX('Weekly Plan'!$F$2:$M$79,MATCH(A19,'Weekly Plan'!$F$2:$F$79,0),MATCH($C$2,'Weekly Plan'!$F$2:$M$2,0))=0,"",INDEX('Weekly Plan'!$F$2:$M$79,MATCH(A19,'Weekly Plan'!$F$2:$F$79,0),MATCH($C$2,'Weekly Plan'!$F$2:$M$2,0)))</f>
        <v/>
      </c>
      <c r="E19" s="38">
        <f>'Weekly Plan'!A14</f>
        <v>1</v>
      </c>
      <c r="F19" s="39">
        <f>IFERROR(D19/E19,0)</f>
        <v>0</v>
      </c>
      <c r="G19" s="61" t="str">
        <f>'Weekly Plan'!F28</f>
        <v>9405930P-REW</v>
      </c>
      <c r="H19" s="66"/>
      <c r="I19" s="63" t="str">
        <f>'Weekly Plan'!G28</f>
        <v>MS Applique Rework</v>
      </c>
      <c r="J19" s="40" t="str">
        <f>IF(INDEX('Weekly Plan'!$F$2:$M$79,MATCH(G19,'Weekly Plan'!$F$2:$F$79,0),MATCH($C$2,'Weekly Plan'!$F$2:$M$2,0))=0,"",INDEX('Weekly Plan'!$F$2:$M$79,MATCH(G19,'Weekly Plan'!$F$2:$F$79,0),MATCH($C$2,'Weekly Plan'!$F$2:$M$2,0)))</f>
        <v/>
      </c>
      <c r="K19" s="38">
        <f>'Weekly Plan'!A28</f>
        <v>6</v>
      </c>
      <c r="L19" s="39">
        <f>IFERROR(J19/K19,0)</f>
        <v>0</v>
      </c>
      <c r="M19" s="146"/>
      <c r="P19" s="71"/>
      <c r="Q19" s="71"/>
      <c r="R19" s="71"/>
      <c r="S19" s="71"/>
      <c r="V19" s="145"/>
    </row>
    <row r="20" spans="1:22" ht="24" customHeight="1" thickBot="1" x14ac:dyDescent="0.25">
      <c r="A20" s="84"/>
      <c r="B20" s="84"/>
      <c r="C20" s="84"/>
      <c r="D20" s="80"/>
      <c r="E20" s="75"/>
      <c r="F20" s="76"/>
      <c r="G20" s="85"/>
      <c r="H20" s="85"/>
      <c r="I20" s="85"/>
      <c r="J20" s="86"/>
      <c r="K20" s="75"/>
      <c r="L20" s="76"/>
      <c r="M20" s="100"/>
      <c r="P20" s="71"/>
      <c r="Q20" s="71"/>
      <c r="R20" s="71"/>
      <c r="S20" s="71"/>
    </row>
    <row r="21" spans="1:22" ht="24" customHeight="1" thickBot="1" x14ac:dyDescent="0.25">
      <c r="A21" s="206" t="s">
        <v>244</v>
      </c>
      <c r="B21" s="207"/>
      <c r="C21" s="207"/>
      <c r="D21" s="208"/>
      <c r="E21" s="75"/>
      <c r="F21" s="76"/>
      <c r="G21" s="192" t="s">
        <v>227</v>
      </c>
      <c r="H21" s="193"/>
      <c r="I21" s="194"/>
      <c r="J21" s="195"/>
      <c r="K21" s="75"/>
      <c r="L21" s="76"/>
      <c r="M21" s="85"/>
      <c r="P21" s="71"/>
      <c r="Q21" s="71"/>
      <c r="R21" s="71"/>
      <c r="S21" s="71"/>
    </row>
    <row r="22" spans="1:22" ht="24" customHeight="1" x14ac:dyDescent="0.2">
      <c r="A22" s="41" t="str">
        <f>'Weekly Plan'!F31</f>
        <v>KB2352</v>
      </c>
      <c r="B22" s="42" t="s">
        <v>253</v>
      </c>
      <c r="C22" s="25" t="str">
        <f>'Weekly Plan'!G31</f>
        <v>W12 Roof Top Cover</v>
      </c>
      <c r="D22" s="37" t="str">
        <f>IF(INDEX('Weekly Plan'!$F$2:$M$79,MATCH(A22,'Weekly Plan'!$F$2:$F$79,0),MATCH($C$2,'Weekly Plan'!$F$2:$M$2,0))=0,"",INDEX('Weekly Plan'!$F$2:$M$79,MATCH(A22,'Weekly Plan'!$F$2:$F$79,0),MATCH($C$2,'Weekly Plan'!$F$2:$M$2,0)))</f>
        <v/>
      </c>
      <c r="E22" s="38">
        <f>'Weekly Plan'!A31</f>
        <v>1</v>
      </c>
      <c r="F22" s="39">
        <f>IFERROR(D22/E22,0)</f>
        <v>0</v>
      </c>
      <c r="G22" s="49" t="str">
        <f>'Weekly Plan'!F36</f>
        <v>PART#1</v>
      </c>
      <c r="H22" s="50"/>
      <c r="I22" s="42"/>
      <c r="J22" s="37" t="str">
        <f>IF(INDEX('Weekly Plan'!$F$2:$M$79,MATCH(G22,'Weekly Plan'!$F$2:$F$79,0),MATCH($C$2,'Weekly Plan'!$F$2:$M$2,0))=0,"",INDEX('Weekly Plan'!$F$2:$M$79,MATCH(G22,'Weekly Plan'!$F$2:$F$79,0),MATCH($C$2,'Weekly Plan'!$F$2:$M$2,0)))</f>
        <v/>
      </c>
      <c r="K22" s="38">
        <f>'Weekly Plan'!A36</f>
        <v>0</v>
      </c>
      <c r="L22" s="39">
        <f t="shared" ref="L22:L25" si="1">IFERROR(J22/K22,0)</f>
        <v>0</v>
      </c>
      <c r="P22" s="71"/>
      <c r="Q22" s="71"/>
      <c r="R22" s="71"/>
      <c r="S22" s="71"/>
      <c r="U22" s="145"/>
    </row>
    <row r="23" spans="1:22" ht="24" customHeight="1" x14ac:dyDescent="0.2">
      <c r="A23" s="41" t="str">
        <f>'Weekly Plan'!F32</f>
        <v>KB2369</v>
      </c>
      <c r="B23" s="42" t="s">
        <v>253</v>
      </c>
      <c r="C23" s="25" t="str">
        <f>'Weekly Plan'!G32</f>
        <v>W12 Mech Bezel Pod 1</v>
      </c>
      <c r="D23" s="37" t="str">
        <f>IF(INDEX('Weekly Plan'!$F$2:$M$79,MATCH(A23,'Weekly Plan'!$F$2:$F$79,0),MATCH($C$2,'Weekly Plan'!$F$2:$M$2,0))=0,"",INDEX('Weekly Plan'!$F$2:$M$79,MATCH(A23,'Weekly Plan'!$F$2:$F$79,0),MATCH($C$2,'Weekly Plan'!$F$2:$M$2,0)))</f>
        <v/>
      </c>
      <c r="E23" s="38">
        <f>'Weekly Plan'!A32</f>
        <v>4</v>
      </c>
      <c r="F23" s="39">
        <f>IFERROR(D23/E23,0)</f>
        <v>0</v>
      </c>
      <c r="G23" s="51" t="str">
        <f>'Weekly Plan'!F37</f>
        <v>PART#2</v>
      </c>
      <c r="H23" s="52"/>
      <c r="I23" s="53"/>
      <c r="J23" s="37" t="str">
        <f>IF(INDEX('Weekly Plan'!$F$2:$M$79,MATCH(G23,'Weekly Plan'!$F$2:$F$79,0),MATCH($C$2,'Weekly Plan'!$F$2:$M$2,0))=0,"",INDEX('Weekly Plan'!$F$2:$M$79,MATCH(G23,'Weekly Plan'!$F$2:$F$79,0),MATCH($C$2,'Weekly Plan'!$F$2:$M$2,0)))</f>
        <v/>
      </c>
      <c r="K23" s="38">
        <f>'Weekly Plan'!A37</f>
        <v>0</v>
      </c>
      <c r="L23" s="39">
        <f t="shared" si="1"/>
        <v>0</v>
      </c>
      <c r="P23" s="71"/>
      <c r="Q23" s="71"/>
      <c r="R23" s="71"/>
      <c r="S23" s="71"/>
      <c r="U23" s="145"/>
    </row>
    <row r="24" spans="1:22" ht="24" customHeight="1" x14ac:dyDescent="0.2">
      <c r="A24" s="41" t="str">
        <f>'Weekly Plan'!F33</f>
        <v>KB2370L</v>
      </c>
      <c r="B24" s="42" t="s">
        <v>253</v>
      </c>
      <c r="C24" s="162" t="str">
        <f>'Weekly Plan'!G33</f>
        <v>W12 LH Cover Body Closeout Pod 5</v>
      </c>
      <c r="D24" s="37" t="str">
        <f>IF(INDEX('Weekly Plan'!$F$2:$M$79,MATCH(A24,'Weekly Plan'!$F$2:$F$79,0),MATCH($C$2,'Weekly Plan'!$F$2:$M$2,0))=0,"",INDEX('Weekly Plan'!$F$2:$M$79,MATCH(A24,'Weekly Plan'!$F$2:$F$79,0),MATCH($C$2,'Weekly Plan'!$F$2:$M$2,0)))</f>
        <v/>
      </c>
      <c r="E24" s="38">
        <f>'Weekly Plan'!A33</f>
        <v>4</v>
      </c>
      <c r="F24" s="39">
        <f>IFERROR(D24/E24,0)</f>
        <v>0</v>
      </c>
      <c r="G24" s="51" t="str">
        <f>'Weekly Plan'!F38</f>
        <v>PART#3</v>
      </c>
      <c r="H24" s="52"/>
      <c r="I24" s="23"/>
      <c r="J24" s="37" t="str">
        <f>IF(INDEX('Weekly Plan'!$F$2:$M$79,MATCH(G24,'Weekly Plan'!$F$2:$F$79,0),MATCH($C$2,'Weekly Plan'!$F$2:$M$2,0))=0,"",INDEX('Weekly Plan'!$F$2:$M$79,MATCH(G24,'Weekly Plan'!$F$2:$F$79,0),MATCH($C$2,'Weekly Plan'!$F$2:$M$2,0)))</f>
        <v/>
      </c>
      <c r="K24" s="38">
        <f>'Weekly Plan'!A38</f>
        <v>0</v>
      </c>
      <c r="L24" s="39">
        <f t="shared" si="1"/>
        <v>0</v>
      </c>
      <c r="P24" s="71"/>
      <c r="Q24" s="71"/>
      <c r="R24" s="71"/>
      <c r="S24" s="71"/>
      <c r="U24" s="145"/>
    </row>
    <row r="25" spans="1:22" ht="24" customHeight="1" thickBot="1" x14ac:dyDescent="0.25">
      <c r="A25" s="43" t="str">
        <f>'Weekly Plan'!F34</f>
        <v>KB2370R</v>
      </c>
      <c r="B25" s="44" t="s">
        <v>253</v>
      </c>
      <c r="C25" s="163" t="str">
        <f>'Weekly Plan'!G34</f>
        <v>W12 RH Cover Body Closeout Pod 6</v>
      </c>
      <c r="D25" s="40" t="str">
        <f>IF(INDEX('Weekly Plan'!$F$2:$M$79,MATCH(A25,'Weekly Plan'!$F$2:$F$79,0),MATCH($C$2,'Weekly Plan'!$F$2:$M$2,0))=0,"",INDEX('Weekly Plan'!$F$2:$M$79,MATCH(A25,'Weekly Plan'!$F$2:$F$79,0),MATCH($C$2,'Weekly Plan'!$F$2:$M$2,0)))</f>
        <v/>
      </c>
      <c r="E25" s="38">
        <f>'Weekly Plan'!A34</f>
        <v>4</v>
      </c>
      <c r="F25" s="39">
        <f>IFERROR(D25/E25,0)</f>
        <v>0</v>
      </c>
      <c r="G25" s="54" t="str">
        <f>'Weekly Plan'!F39</f>
        <v>PART#4</v>
      </c>
      <c r="H25" s="55"/>
      <c r="I25" s="24"/>
      <c r="J25" s="40" t="str">
        <f>IF(INDEX('Weekly Plan'!$F$2:$M$79,MATCH(G25,'Weekly Plan'!$F$2:$F$79,0),MATCH($C$2,'Weekly Plan'!$F$2:$M$2,0))=0,"",INDEX('Weekly Plan'!$F$2:$M$79,MATCH(G25,'Weekly Plan'!$F$2:$F$79,0),MATCH($C$2,'Weekly Plan'!$F$2:$M$2,0)))</f>
        <v/>
      </c>
      <c r="K25" s="38">
        <f>'Weekly Plan'!A39</f>
        <v>0</v>
      </c>
      <c r="L25" s="39">
        <f t="shared" si="1"/>
        <v>0</v>
      </c>
      <c r="P25" s="71"/>
      <c r="Q25" s="71"/>
      <c r="R25" s="71"/>
      <c r="S25" s="71"/>
      <c r="U25" s="145"/>
    </row>
    <row r="26" spans="1:22" ht="24" customHeight="1" x14ac:dyDescent="0.2">
      <c r="A26" s="79"/>
      <c r="B26" s="79"/>
      <c r="C26" s="27"/>
      <c r="D26" s="80"/>
      <c r="E26" s="75"/>
      <c r="F26" s="76"/>
      <c r="G26" s="85"/>
      <c r="H26" s="85"/>
      <c r="I26" s="85"/>
      <c r="J26" s="86"/>
      <c r="K26" s="75"/>
      <c r="L26" s="76"/>
      <c r="M26" s="146">
        <v>18</v>
      </c>
      <c r="P26" s="71"/>
      <c r="Q26" s="71"/>
      <c r="R26" s="71"/>
      <c r="S26" s="71"/>
      <c r="V26" s="145"/>
    </row>
    <row r="27" spans="1:22" ht="24" customHeight="1" thickBot="1" x14ac:dyDescent="0.25">
      <c r="A27" s="79"/>
      <c r="B27" s="79"/>
      <c r="C27" s="27"/>
      <c r="D27" s="80"/>
      <c r="E27" s="75"/>
      <c r="F27" s="76"/>
      <c r="G27" s="85"/>
      <c r="H27" s="85"/>
      <c r="I27" s="85"/>
      <c r="J27" s="86"/>
      <c r="K27" s="75"/>
      <c r="L27" s="76"/>
      <c r="M27" s="146"/>
      <c r="P27" s="71"/>
      <c r="Q27" s="71"/>
      <c r="R27" s="71"/>
      <c r="S27" s="71"/>
      <c r="V27" s="145"/>
    </row>
    <row r="28" spans="1:22" ht="24" customHeight="1" thickBot="1" x14ac:dyDescent="0.25">
      <c r="A28" s="202" t="s">
        <v>278</v>
      </c>
      <c r="B28" s="203"/>
      <c r="C28" s="203"/>
      <c r="D28" s="203"/>
      <c r="E28" s="204"/>
      <c r="F28" s="76"/>
      <c r="G28" s="87" t="s">
        <v>15</v>
      </c>
      <c r="H28" s="88"/>
      <c r="I28" s="89" t="s">
        <v>16</v>
      </c>
      <c r="J28" s="86"/>
      <c r="K28" s="75"/>
      <c r="L28" s="76"/>
      <c r="M28" s="100"/>
      <c r="P28" s="71"/>
      <c r="Q28" s="71"/>
      <c r="R28" s="71"/>
      <c r="S28" s="71"/>
    </row>
    <row r="29" spans="1:22" ht="24" customHeight="1" x14ac:dyDescent="0.2">
      <c r="A29" s="196"/>
      <c r="B29" s="197"/>
      <c r="C29" s="197"/>
      <c r="D29" s="197"/>
      <c r="E29" s="198"/>
      <c r="F29" s="90"/>
      <c r="G29" s="45" t="str">
        <f>A5</f>
        <v>Black - Laval</v>
      </c>
      <c r="H29" s="91"/>
      <c r="I29" s="156">
        <f>SUM(F6:F11)</f>
        <v>0</v>
      </c>
      <c r="J29" s="86"/>
      <c r="K29" s="148"/>
      <c r="L29" s="90"/>
      <c r="M29" s="100"/>
      <c r="P29" s="71"/>
      <c r="Q29" s="71"/>
      <c r="R29" s="71"/>
      <c r="S29" s="71"/>
    </row>
    <row r="30" spans="1:22" ht="24" customHeight="1" x14ac:dyDescent="0.2">
      <c r="A30" s="196"/>
      <c r="B30" s="197"/>
      <c r="C30" s="197"/>
      <c r="D30" s="197"/>
      <c r="E30" s="198"/>
      <c r="F30" s="90"/>
      <c r="G30" s="46" t="str">
        <f>A15</f>
        <v>Summit White - Laval</v>
      </c>
      <c r="H30" s="92"/>
      <c r="I30" s="156">
        <f>SUM(F16:F19)</f>
        <v>0</v>
      </c>
      <c r="J30" s="86"/>
      <c r="K30" s="148"/>
      <c r="L30" s="90"/>
      <c r="M30" s="100">
        <v>21</v>
      </c>
      <c r="P30" s="71"/>
      <c r="Q30" s="71"/>
      <c r="R30" s="71"/>
      <c r="S30" s="71"/>
    </row>
    <row r="31" spans="1:22" ht="24" customHeight="1" x14ac:dyDescent="0.2">
      <c r="A31" s="196"/>
      <c r="B31" s="197"/>
      <c r="C31" s="197"/>
      <c r="D31" s="197"/>
      <c r="E31" s="198"/>
      <c r="F31" s="76"/>
      <c r="G31" s="46" t="str">
        <f>G5</f>
        <v>Metelix</v>
      </c>
      <c r="H31" s="92"/>
      <c r="I31" s="156">
        <f>SUM(L6:L13)</f>
        <v>0</v>
      </c>
      <c r="J31" s="86"/>
      <c r="K31" s="75"/>
      <c r="L31" s="76"/>
      <c r="M31" s="146"/>
      <c r="P31" s="71"/>
      <c r="Q31" s="71"/>
      <c r="R31" s="71"/>
      <c r="S31" s="71"/>
      <c r="V31" s="145"/>
    </row>
    <row r="32" spans="1:22" ht="24" customHeight="1" x14ac:dyDescent="0.2">
      <c r="A32" s="196"/>
      <c r="B32" s="197"/>
      <c r="C32" s="197"/>
      <c r="D32" s="197"/>
      <c r="E32" s="198"/>
      <c r="F32" s="76"/>
      <c r="G32" s="47" t="str">
        <f>G15</f>
        <v>Tesla - High Gloss Black</v>
      </c>
      <c r="H32" s="93"/>
      <c r="I32" s="156">
        <f>SUM(L16:L19)</f>
        <v>0</v>
      </c>
      <c r="J32" s="86"/>
      <c r="K32" s="75"/>
      <c r="L32" s="76"/>
      <c r="M32" s="146"/>
      <c r="P32" s="71"/>
      <c r="Q32" s="71"/>
      <c r="R32" s="71"/>
      <c r="S32" s="71"/>
      <c r="V32" s="145"/>
    </row>
    <row r="33" spans="1:28" ht="24" customHeight="1" x14ac:dyDescent="0.2">
      <c r="A33" s="196"/>
      <c r="B33" s="197"/>
      <c r="C33" s="197"/>
      <c r="D33" s="197"/>
      <c r="E33" s="198"/>
      <c r="G33" s="47" t="s">
        <v>253</v>
      </c>
      <c r="H33" s="93"/>
      <c r="I33" s="156">
        <f>SUM(D22:D25)</f>
        <v>0</v>
      </c>
      <c r="J33" s="86"/>
      <c r="M33" s="146"/>
      <c r="P33" s="71"/>
      <c r="Q33" s="71"/>
      <c r="R33" s="71"/>
      <c r="S33" s="71"/>
      <c r="V33" s="145"/>
    </row>
    <row r="34" spans="1:28" ht="24" customHeight="1" x14ac:dyDescent="0.2">
      <c r="A34" s="196"/>
      <c r="B34" s="197"/>
      <c r="C34" s="197"/>
      <c r="D34" s="197"/>
      <c r="E34" s="198"/>
      <c r="G34" s="45" t="str">
        <f>G21</f>
        <v>Miscellaneous</v>
      </c>
      <c r="H34" s="91"/>
      <c r="I34" s="156">
        <f>SUM(L22:L25)</f>
        <v>0</v>
      </c>
      <c r="J34" s="86"/>
      <c r="M34" s="146"/>
      <c r="P34" s="71"/>
      <c r="Q34" s="71"/>
      <c r="R34" s="71"/>
      <c r="S34" s="71"/>
      <c r="V34" s="145"/>
    </row>
    <row r="35" spans="1:28" ht="24" customHeight="1" x14ac:dyDescent="0.2">
      <c r="A35" s="196"/>
      <c r="B35" s="197"/>
      <c r="C35" s="197"/>
      <c r="D35" s="197"/>
      <c r="E35" s="198"/>
      <c r="G35" s="45"/>
      <c r="H35" s="91"/>
      <c r="I35" s="156"/>
      <c r="J35" s="86"/>
      <c r="M35" s="146"/>
      <c r="P35" s="71"/>
      <c r="Q35" s="71"/>
      <c r="R35" s="71"/>
      <c r="S35" s="71"/>
      <c r="V35" s="145"/>
    </row>
    <row r="36" spans="1:28" ht="30.75" customHeight="1" x14ac:dyDescent="0.2">
      <c r="A36" s="196"/>
      <c r="B36" s="197"/>
      <c r="C36" s="197"/>
      <c r="D36" s="197"/>
      <c r="E36" s="198"/>
      <c r="G36" s="48" t="s">
        <v>164</v>
      </c>
      <c r="H36" s="95"/>
      <c r="I36" s="157">
        <f>SUM(I29:I35)</f>
        <v>0</v>
      </c>
      <c r="J36" s="86"/>
      <c r="M36" s="146">
        <v>4</v>
      </c>
      <c r="P36" s="71"/>
      <c r="Q36" s="71"/>
      <c r="R36" s="71"/>
      <c r="S36" s="71"/>
      <c r="V36" s="145"/>
    </row>
    <row r="37" spans="1:28" ht="30.75" customHeight="1" x14ac:dyDescent="0.2">
      <c r="A37" s="196"/>
      <c r="B37" s="197"/>
      <c r="C37" s="197"/>
      <c r="D37" s="197"/>
      <c r="E37" s="198"/>
      <c r="G37" s="48"/>
      <c r="H37" s="95"/>
      <c r="I37" s="158"/>
      <c r="J37" s="86"/>
      <c r="M37" s="146">
        <v>2</v>
      </c>
      <c r="P37" s="71"/>
      <c r="Q37" s="71"/>
      <c r="R37" s="71"/>
      <c r="S37" s="71"/>
      <c r="V37" s="145"/>
    </row>
    <row r="38" spans="1:28" ht="24" customHeight="1" x14ac:dyDescent="0.2">
      <c r="A38" s="196"/>
      <c r="B38" s="197"/>
      <c r="C38" s="197"/>
      <c r="D38" s="197"/>
      <c r="E38" s="198"/>
      <c r="G38" s="45" t="s">
        <v>17</v>
      </c>
      <c r="H38" s="91"/>
      <c r="I38" s="159">
        <f>(COUNTIF(I29:I35, "&gt;0")-1)*(IF(I36&gt;0, 12, 0))</f>
        <v>0</v>
      </c>
      <c r="J38" s="86"/>
      <c r="M38" s="146"/>
      <c r="P38" s="71"/>
      <c r="Q38" s="71"/>
      <c r="R38" s="71"/>
      <c r="S38" s="71"/>
      <c r="V38" s="145"/>
    </row>
    <row r="39" spans="1:28" ht="24" customHeight="1" x14ac:dyDescent="0.2">
      <c r="A39" s="196"/>
      <c r="B39" s="197"/>
      <c r="C39" s="197"/>
      <c r="D39" s="197"/>
      <c r="E39" s="198"/>
      <c r="G39" s="189"/>
      <c r="H39" s="190"/>
      <c r="I39" s="191"/>
      <c r="J39" s="86"/>
      <c r="M39" s="146">
        <v>1</v>
      </c>
      <c r="P39" s="71"/>
      <c r="Q39" s="71"/>
      <c r="R39" s="71"/>
      <c r="S39" s="71"/>
      <c r="V39" s="145"/>
    </row>
    <row r="40" spans="1:28" ht="24" customHeight="1" thickBot="1" x14ac:dyDescent="0.25">
      <c r="A40" s="199"/>
      <c r="B40" s="200"/>
      <c r="C40" s="200"/>
      <c r="D40" s="200"/>
      <c r="E40" s="201"/>
      <c r="G40" s="96" t="s">
        <v>18</v>
      </c>
      <c r="H40" s="97"/>
      <c r="I40" s="160">
        <f>(I36+I38)/60</f>
        <v>0</v>
      </c>
      <c r="J40" s="86"/>
      <c r="K40" s="151"/>
      <c r="L40" s="152"/>
      <c r="M40" s="146"/>
      <c r="P40" s="71"/>
      <c r="Q40" s="71"/>
      <c r="R40" s="71"/>
      <c r="S40" s="71"/>
      <c r="V40" s="145"/>
    </row>
    <row r="41" spans="1:28" ht="24" customHeight="1" x14ac:dyDescent="0.25">
      <c r="G41" s="22"/>
      <c r="H41" s="22"/>
      <c r="I41" s="22"/>
      <c r="J41" s="28"/>
      <c r="M41" s="146">
        <v>4</v>
      </c>
      <c r="P41" s="71"/>
      <c r="Q41" s="71"/>
      <c r="R41" s="71"/>
      <c r="S41" s="71"/>
      <c r="V41" s="145"/>
    </row>
    <row r="42" spans="1:28" ht="24" customHeight="1" x14ac:dyDescent="0.25">
      <c r="G42" s="101"/>
      <c r="H42" s="101"/>
      <c r="I42" s="101"/>
      <c r="J42" s="101"/>
      <c r="M42" s="146">
        <v>2</v>
      </c>
      <c r="P42" s="71"/>
      <c r="Q42" s="71"/>
      <c r="R42" s="71"/>
      <c r="S42" s="71"/>
      <c r="V42" s="145"/>
    </row>
    <row r="43" spans="1:28" ht="24" customHeight="1" x14ac:dyDescent="0.25">
      <c r="G43" s="101"/>
      <c r="H43" s="101"/>
      <c r="I43" s="101"/>
      <c r="J43" s="101"/>
      <c r="M43" s="100">
        <v>1</v>
      </c>
      <c r="P43" s="71"/>
      <c r="Q43" s="71"/>
      <c r="R43" s="71"/>
      <c r="S43" s="71"/>
    </row>
    <row r="44" spans="1:28" ht="24" customHeight="1" x14ac:dyDescent="0.25">
      <c r="G44" s="99"/>
      <c r="H44" s="99"/>
      <c r="I44" s="99"/>
      <c r="M44" s="100">
        <v>1</v>
      </c>
      <c r="P44" s="71"/>
      <c r="Q44" s="71"/>
      <c r="R44" s="71"/>
      <c r="S44" s="71"/>
    </row>
    <row r="45" spans="1:28" ht="24" customHeight="1" x14ac:dyDescent="0.25">
      <c r="G45" s="22"/>
      <c r="H45" s="22"/>
      <c r="I45" s="22"/>
      <c r="J45" s="28"/>
      <c r="M45" s="153"/>
      <c r="N45" s="153"/>
      <c r="O45" s="153"/>
      <c r="P45" s="154"/>
      <c r="R45" s="146"/>
      <c r="S45" s="146"/>
      <c r="AB45" s="145"/>
    </row>
    <row r="46" spans="1:28" ht="15" customHeight="1" x14ac:dyDescent="0.25">
      <c r="G46" s="22"/>
      <c r="H46" s="22"/>
      <c r="I46" s="22"/>
      <c r="J46" s="28"/>
      <c r="S46" s="71"/>
    </row>
    <row r="47" spans="1:28" x14ac:dyDescent="0.25">
      <c r="G47" s="22"/>
      <c r="H47" s="22"/>
      <c r="I47" s="22"/>
      <c r="J47" s="28"/>
    </row>
    <row r="48" spans="1:28" x14ac:dyDescent="0.25">
      <c r="G48" s="26"/>
      <c r="H48" s="26"/>
      <c r="I48" s="26"/>
      <c r="J48" s="29"/>
    </row>
    <row r="49" spans="7:10" x14ac:dyDescent="0.25">
      <c r="G49" s="26"/>
      <c r="H49" s="26"/>
      <c r="I49" s="26"/>
      <c r="J49" s="29"/>
    </row>
  </sheetData>
  <sheetProtection algorithmName="SHA-512" hashValue="PErqhFAkO6nrPQg99euz194KZQsqJLV0T9vj+TRO3AGg+ib2F9AbjuavjjJoPjwxN82cTOIBz1n5Ct8VRkkovg==" saltValue="89EwwQiNUclZWXF4UZbfNA==" spinCount="100000" sheet="1" formatCells="0"/>
  <mergeCells count="11">
    <mergeCell ref="A3:A4"/>
    <mergeCell ref="A5:D5"/>
    <mergeCell ref="G5:J5"/>
    <mergeCell ref="C3:J4"/>
    <mergeCell ref="G39:I39"/>
    <mergeCell ref="A15:D15"/>
    <mergeCell ref="G15:J15"/>
    <mergeCell ref="G21:J21"/>
    <mergeCell ref="A21:D21"/>
    <mergeCell ref="A28:E28"/>
    <mergeCell ref="A29:E40"/>
  </mergeCells>
  <printOptions horizontalCentered="1" verticalCentered="1"/>
  <pageMargins left="0.4" right="0.25" top="0.75" bottom="0.75" header="0.3" footer="0.3"/>
  <pageSetup scale="71" orientation="portrait" cellComments="asDisplayed" r:id="rId1"/>
  <headerFooter>
    <oddFooter>&amp;L8.2.2.1.6 101 Schedule Template.xlsx&amp;RCreated: 10/22/21TG
Revised: 11/4/25BT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O6"/>
  <sheetViews>
    <sheetView workbookViewId="0">
      <selection activeCell="O2" sqref="O2"/>
    </sheetView>
  </sheetViews>
  <sheetFormatPr defaultRowHeight="12.75" x14ac:dyDescent="0.2"/>
  <cols>
    <col min="2" max="2" width="10.85546875" bestFit="1" customWidth="1"/>
    <col min="3" max="3" width="10.5703125" bestFit="1" customWidth="1"/>
    <col min="4" max="15" width="14.28515625" bestFit="1" customWidth="1"/>
  </cols>
  <sheetData>
    <row r="1" spans="1:15" x14ac:dyDescent="0.2">
      <c r="A1" s="1" t="s">
        <v>190</v>
      </c>
      <c r="B1" s="1" t="s">
        <v>54</v>
      </c>
      <c r="C1" s="1" t="s">
        <v>79</v>
      </c>
      <c r="D1" s="1" t="s">
        <v>120</v>
      </c>
      <c r="E1" s="1" t="s">
        <v>12</v>
      </c>
      <c r="F1" s="1" t="s">
        <v>128</v>
      </c>
      <c r="G1" s="1" t="s">
        <v>61</v>
      </c>
      <c r="H1" s="1" t="s">
        <v>107</v>
      </c>
      <c r="I1" s="1" t="s">
        <v>51</v>
      </c>
      <c r="J1" s="1" t="s">
        <v>50</v>
      </c>
      <c r="K1" s="1" t="s">
        <v>149</v>
      </c>
      <c r="L1" t="s">
        <v>30</v>
      </c>
      <c r="M1" s="1" t="s">
        <v>21</v>
      </c>
      <c r="N1" s="1" t="s">
        <v>55</v>
      </c>
      <c r="O1" s="1" t="s">
        <v>56</v>
      </c>
    </row>
    <row r="2" spans="1:15" x14ac:dyDescent="0.2">
      <c r="A2" t="s">
        <v>189</v>
      </c>
      <c r="B2" t="s">
        <v>191</v>
      </c>
      <c r="C2" t="s">
        <v>191</v>
      </c>
      <c r="D2" t="s">
        <v>191</v>
      </c>
      <c r="E2" t="s">
        <v>191</v>
      </c>
      <c r="F2" t="s">
        <v>191</v>
      </c>
      <c r="G2" t="s">
        <v>191</v>
      </c>
      <c r="H2" t="s">
        <v>191</v>
      </c>
      <c r="I2" t="s">
        <v>191</v>
      </c>
      <c r="J2" t="s">
        <v>191</v>
      </c>
      <c r="K2" t="s">
        <v>191</v>
      </c>
      <c r="L2" t="s">
        <v>191</v>
      </c>
      <c r="M2" t="s">
        <v>191</v>
      </c>
      <c r="N2" t="s">
        <v>191</v>
      </c>
      <c r="O2" t="s">
        <v>191</v>
      </c>
    </row>
    <row r="3" spans="1:15" x14ac:dyDescent="0.2">
      <c r="A3">
        <v>1</v>
      </c>
      <c r="B3" t="s">
        <v>192</v>
      </c>
      <c r="C3" t="s">
        <v>192</v>
      </c>
      <c r="D3" t="s">
        <v>192</v>
      </c>
      <c r="E3" t="s">
        <v>192</v>
      </c>
      <c r="F3" t="s">
        <v>192</v>
      </c>
      <c r="G3" t="s">
        <v>192</v>
      </c>
      <c r="H3" t="s">
        <v>192</v>
      </c>
      <c r="I3" t="s">
        <v>192</v>
      </c>
      <c r="J3" t="s">
        <v>192</v>
      </c>
      <c r="K3" t="s">
        <v>192</v>
      </c>
      <c r="L3" t="s">
        <v>192</v>
      </c>
      <c r="M3" t="s">
        <v>192</v>
      </c>
      <c r="N3" t="s">
        <v>192</v>
      </c>
      <c r="O3" t="s">
        <v>192</v>
      </c>
    </row>
    <row r="4" spans="1:15" x14ac:dyDescent="0.2">
      <c r="A4">
        <v>2</v>
      </c>
      <c r="B4" t="s">
        <v>193</v>
      </c>
      <c r="C4" t="s">
        <v>193</v>
      </c>
      <c r="D4" t="s">
        <v>193</v>
      </c>
      <c r="E4" t="s">
        <v>193</v>
      </c>
      <c r="F4" t="s">
        <v>193</v>
      </c>
      <c r="G4" t="s">
        <v>193</v>
      </c>
      <c r="H4" t="s">
        <v>193</v>
      </c>
      <c r="I4" t="s">
        <v>193</v>
      </c>
      <c r="J4" t="s">
        <v>193</v>
      </c>
      <c r="K4" t="s">
        <v>193</v>
      </c>
      <c r="L4" t="s">
        <v>193</v>
      </c>
      <c r="M4" t="s">
        <v>193</v>
      </c>
      <c r="N4" t="s">
        <v>193</v>
      </c>
      <c r="O4" t="s">
        <v>193</v>
      </c>
    </row>
    <row r="5" spans="1:15" x14ac:dyDescent="0.2">
      <c r="A5">
        <v>3</v>
      </c>
      <c r="B5" t="s">
        <v>194</v>
      </c>
      <c r="C5" t="s">
        <v>194</v>
      </c>
      <c r="D5" t="s">
        <v>196</v>
      </c>
      <c r="E5" t="s">
        <v>196</v>
      </c>
      <c r="F5" t="s">
        <v>196</v>
      </c>
      <c r="G5" t="s">
        <v>196</v>
      </c>
      <c r="H5" t="s">
        <v>196</v>
      </c>
      <c r="I5" t="s">
        <v>196</v>
      </c>
      <c r="J5" t="s">
        <v>196</v>
      </c>
      <c r="K5" t="s">
        <v>196</v>
      </c>
      <c r="L5" t="s">
        <v>196</v>
      </c>
      <c r="M5" t="s">
        <v>196</v>
      </c>
      <c r="N5" t="s">
        <v>196</v>
      </c>
      <c r="O5" t="s">
        <v>196</v>
      </c>
    </row>
    <row r="6" spans="1:15" x14ac:dyDescent="0.2">
      <c r="A6">
        <v>4</v>
      </c>
      <c r="B6" t="s">
        <v>195</v>
      </c>
      <c r="C6" t="s">
        <v>195</v>
      </c>
      <c r="D6" t="s">
        <v>197</v>
      </c>
      <c r="E6" t="s">
        <v>197</v>
      </c>
      <c r="F6" t="s">
        <v>197</v>
      </c>
      <c r="G6" t="s">
        <v>197</v>
      </c>
      <c r="H6" t="s">
        <v>197</v>
      </c>
      <c r="I6" t="s">
        <v>197</v>
      </c>
      <c r="J6" t="s">
        <v>197</v>
      </c>
      <c r="K6" t="s">
        <v>197</v>
      </c>
      <c r="L6" t="s">
        <v>197</v>
      </c>
      <c r="M6" t="s">
        <v>197</v>
      </c>
      <c r="N6" t="s">
        <v>197</v>
      </c>
      <c r="O6" t="s">
        <v>197</v>
      </c>
    </row>
  </sheetData>
  <sheetProtection algorithmName="SHA-512" hashValue="7ocS+cTDsVGjOJmzkBeq7keEBczocBD2ExIM5dY2XdvCwrm/r+BLOcZcqB5sH9rPoZZWjRiQWuBdRxF948EHdw==" saltValue="2POgHXND+3Q2bRVvUQXzqg==" spinCount="100000" sheet="1" objects="1" scenario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K52"/>
  <sheetViews>
    <sheetView topLeftCell="A25" workbookViewId="0">
      <selection activeCell="C23" sqref="C23"/>
    </sheetView>
  </sheetViews>
  <sheetFormatPr defaultColWidth="36" defaultRowHeight="12.75" x14ac:dyDescent="0.2"/>
  <cols>
    <col min="1" max="1" width="18" style="2" bestFit="1" customWidth="1"/>
    <col min="2" max="2" width="20.28515625" style="2" bestFit="1" customWidth="1"/>
    <col min="3" max="3" width="27.28515625" style="2" bestFit="1" customWidth="1"/>
    <col min="4" max="4" width="9.5703125" style="2" bestFit="1" customWidth="1"/>
    <col min="5" max="5" width="12.85546875" style="14" customWidth="1"/>
    <col min="6" max="8" width="12.85546875" customWidth="1"/>
    <col min="9" max="10" width="12.85546875" style="2" customWidth="1"/>
    <col min="11" max="11" width="24" bestFit="1" customWidth="1"/>
  </cols>
  <sheetData>
    <row r="1" spans="1:11" x14ac:dyDescent="0.2">
      <c r="A1" s="10" t="s">
        <v>80</v>
      </c>
      <c r="B1" s="10" t="s">
        <v>114</v>
      </c>
      <c r="C1" s="10" t="s">
        <v>115</v>
      </c>
      <c r="D1" s="10" t="s">
        <v>67</v>
      </c>
      <c r="E1" s="10" t="s">
        <v>125</v>
      </c>
      <c r="F1" s="10" t="s">
        <v>126</v>
      </c>
      <c r="I1" s="10" t="s">
        <v>124</v>
      </c>
      <c r="J1" s="10"/>
      <c r="K1" s="10" t="s">
        <v>128</v>
      </c>
    </row>
    <row r="2" spans="1:11" ht="15" x14ac:dyDescent="0.25">
      <c r="A2" s="2">
        <v>708400067</v>
      </c>
      <c r="B2" s="6" t="s">
        <v>101</v>
      </c>
      <c r="C2" s="3" t="s">
        <v>118</v>
      </c>
      <c r="D2" s="3" t="s">
        <v>116</v>
      </c>
      <c r="E2" s="8">
        <v>2</v>
      </c>
      <c r="F2" s="7"/>
      <c r="G2" s="7"/>
      <c r="H2" s="7"/>
      <c r="I2" s="3" t="s">
        <v>118</v>
      </c>
      <c r="J2" s="3"/>
      <c r="K2" s="12" t="s">
        <v>129</v>
      </c>
    </row>
    <row r="3" spans="1:11" ht="15" x14ac:dyDescent="0.25">
      <c r="A3" s="2">
        <v>708400001</v>
      </c>
      <c r="B3" s="6" t="s">
        <v>74</v>
      </c>
      <c r="C3" s="3" t="s">
        <v>118</v>
      </c>
      <c r="D3" s="3" t="s">
        <v>116</v>
      </c>
      <c r="E3" s="8">
        <v>2</v>
      </c>
      <c r="F3" s="7"/>
      <c r="G3" s="7"/>
      <c r="H3" s="7"/>
      <c r="I3" s="3" t="s">
        <v>119</v>
      </c>
      <c r="J3" s="3"/>
      <c r="K3" s="12" t="s">
        <v>130</v>
      </c>
    </row>
    <row r="4" spans="1:11" ht="15" x14ac:dyDescent="0.25">
      <c r="A4" s="2">
        <v>708400069</v>
      </c>
      <c r="B4" s="6" t="s">
        <v>100</v>
      </c>
      <c r="C4" s="3" t="s">
        <v>118</v>
      </c>
      <c r="D4" s="3" t="s">
        <v>116</v>
      </c>
      <c r="E4" s="8">
        <v>2</v>
      </c>
      <c r="F4" s="7"/>
      <c r="G4" s="7"/>
      <c r="H4" s="7"/>
      <c r="I4" s="3" t="s">
        <v>120</v>
      </c>
      <c r="J4" s="3"/>
      <c r="K4" s="12" t="s">
        <v>140</v>
      </c>
    </row>
    <row r="5" spans="1:11" ht="15" x14ac:dyDescent="0.25">
      <c r="A5" s="2">
        <v>708400002</v>
      </c>
      <c r="B5" s="6" t="s">
        <v>75</v>
      </c>
      <c r="C5" s="3" t="s">
        <v>118</v>
      </c>
      <c r="D5" s="3" t="s">
        <v>116</v>
      </c>
      <c r="E5" s="8">
        <v>2</v>
      </c>
      <c r="F5" s="7"/>
      <c r="G5" s="7"/>
      <c r="H5" s="7"/>
      <c r="I5" s="11" t="s">
        <v>54</v>
      </c>
      <c r="J5" s="11"/>
      <c r="K5" s="12" t="s">
        <v>131</v>
      </c>
    </row>
    <row r="6" spans="1:11" ht="15" x14ac:dyDescent="0.25">
      <c r="A6" s="2">
        <v>708001528</v>
      </c>
      <c r="B6" s="6" t="s">
        <v>71</v>
      </c>
      <c r="C6" s="3" t="s">
        <v>118</v>
      </c>
      <c r="D6" s="3" t="s">
        <v>116</v>
      </c>
      <c r="E6" s="8">
        <v>2</v>
      </c>
      <c r="F6" s="7"/>
      <c r="G6" s="7"/>
      <c r="H6" s="7"/>
      <c r="I6" s="11" t="s">
        <v>121</v>
      </c>
      <c r="J6" s="11"/>
      <c r="K6" s="12" t="s">
        <v>133</v>
      </c>
    </row>
    <row r="7" spans="1:11" ht="15" x14ac:dyDescent="0.25">
      <c r="A7" s="2">
        <v>708400287</v>
      </c>
      <c r="B7" s="6" t="s">
        <v>13</v>
      </c>
      <c r="C7" s="3" t="s">
        <v>118</v>
      </c>
      <c r="D7" s="3" t="s">
        <v>116</v>
      </c>
      <c r="E7" s="8">
        <v>2</v>
      </c>
      <c r="F7" s="7"/>
      <c r="G7" s="7"/>
      <c r="H7" s="7"/>
      <c r="I7" s="3" t="s">
        <v>122</v>
      </c>
      <c r="J7" s="3"/>
      <c r="K7" s="12" t="s">
        <v>134</v>
      </c>
    </row>
    <row r="8" spans="1:11" ht="15" x14ac:dyDescent="0.25">
      <c r="A8" s="2">
        <v>708400398</v>
      </c>
      <c r="B8" s="6" t="s">
        <v>78</v>
      </c>
      <c r="C8" s="3" t="s">
        <v>118</v>
      </c>
      <c r="D8" s="3" t="s">
        <v>116</v>
      </c>
      <c r="E8" s="8">
        <v>2</v>
      </c>
      <c r="F8" s="7"/>
      <c r="G8" s="7"/>
      <c r="H8" s="7"/>
      <c r="I8" s="3" t="s">
        <v>123</v>
      </c>
      <c r="J8" s="3"/>
      <c r="K8" s="12" t="s">
        <v>135</v>
      </c>
    </row>
    <row r="9" spans="1:11" ht="15" x14ac:dyDescent="0.25">
      <c r="A9" s="2">
        <v>708302947</v>
      </c>
      <c r="B9" s="5" t="s">
        <v>110</v>
      </c>
      <c r="C9" s="3" t="s">
        <v>119</v>
      </c>
      <c r="D9" s="3" t="s">
        <v>116</v>
      </c>
      <c r="E9" s="8">
        <v>2</v>
      </c>
      <c r="F9" s="7"/>
      <c r="G9" s="7"/>
      <c r="H9" s="7"/>
      <c r="I9"/>
      <c r="J9"/>
      <c r="K9" s="12" t="s">
        <v>141</v>
      </c>
    </row>
    <row r="10" spans="1:11" ht="15" x14ac:dyDescent="0.25">
      <c r="A10" s="2">
        <v>708303799</v>
      </c>
      <c r="B10" s="5" t="s">
        <v>72</v>
      </c>
      <c r="C10" s="3" t="s">
        <v>119</v>
      </c>
      <c r="D10" s="3" t="s">
        <v>116</v>
      </c>
      <c r="E10" s="13"/>
      <c r="F10" s="7"/>
      <c r="G10" s="7"/>
      <c r="H10" s="7"/>
      <c r="I10"/>
      <c r="J10"/>
      <c r="K10" s="12" t="s">
        <v>136</v>
      </c>
    </row>
    <row r="11" spans="1:11" ht="15" x14ac:dyDescent="0.25">
      <c r="A11" s="2">
        <v>705012976</v>
      </c>
      <c r="B11" s="6" t="s">
        <v>57</v>
      </c>
      <c r="C11" s="3" t="s">
        <v>119</v>
      </c>
      <c r="D11" s="3" t="s">
        <v>116</v>
      </c>
      <c r="E11" s="8">
        <v>2</v>
      </c>
      <c r="F11" s="7"/>
      <c r="G11" s="7"/>
      <c r="H11" s="7"/>
      <c r="I11"/>
      <c r="J11"/>
      <c r="K11" s="12" t="s">
        <v>132</v>
      </c>
    </row>
    <row r="12" spans="1:11" ht="15" x14ac:dyDescent="0.25">
      <c r="A12" s="2">
        <v>708200870</v>
      </c>
      <c r="B12" s="6" t="s">
        <v>112</v>
      </c>
      <c r="C12" s="3" t="s">
        <v>119</v>
      </c>
      <c r="D12" s="3" t="s">
        <v>116</v>
      </c>
      <c r="E12" s="8">
        <v>1</v>
      </c>
      <c r="F12" s="7"/>
      <c r="G12" s="7"/>
      <c r="H12" s="7"/>
      <c r="I12"/>
      <c r="J12"/>
      <c r="K12" s="15" t="s">
        <v>137</v>
      </c>
    </row>
    <row r="13" spans="1:11" ht="15" x14ac:dyDescent="0.25">
      <c r="A13" s="2">
        <v>705012348</v>
      </c>
      <c r="B13" s="6" t="s">
        <v>151</v>
      </c>
      <c r="C13" s="3" t="s">
        <v>119</v>
      </c>
      <c r="D13" s="3" t="s">
        <v>116</v>
      </c>
      <c r="E13" s="13"/>
      <c r="F13" s="7"/>
      <c r="G13" s="7"/>
      <c r="H13" s="7"/>
      <c r="I13"/>
      <c r="J13"/>
      <c r="K13" s="15" t="s">
        <v>138</v>
      </c>
    </row>
    <row r="14" spans="1:11" ht="15" x14ac:dyDescent="0.25">
      <c r="A14" s="2">
        <v>708400461</v>
      </c>
      <c r="B14" s="6" t="s">
        <v>59</v>
      </c>
      <c r="C14" s="3" t="s">
        <v>119</v>
      </c>
      <c r="D14" s="3" t="s">
        <v>116</v>
      </c>
      <c r="E14" s="8">
        <v>6</v>
      </c>
      <c r="F14" s="7"/>
      <c r="G14" s="7"/>
      <c r="H14" s="7"/>
      <c r="I14"/>
      <c r="J14"/>
      <c r="K14" s="12"/>
    </row>
    <row r="15" spans="1:11" ht="15" x14ac:dyDescent="0.25">
      <c r="A15" s="2">
        <v>705014100</v>
      </c>
      <c r="B15" s="5" t="s">
        <v>76</v>
      </c>
      <c r="C15" s="3" t="s">
        <v>119</v>
      </c>
      <c r="D15" s="3" t="s">
        <v>116</v>
      </c>
      <c r="E15" s="8">
        <v>2</v>
      </c>
      <c r="F15" s="7"/>
      <c r="G15" s="7"/>
      <c r="H15" s="7"/>
      <c r="I15"/>
      <c r="J15"/>
      <c r="K15" s="12"/>
    </row>
    <row r="16" spans="1:11" ht="15" x14ac:dyDescent="0.25">
      <c r="A16" s="2">
        <v>708200869</v>
      </c>
      <c r="B16" s="5" t="s">
        <v>69</v>
      </c>
      <c r="C16" s="3" t="s">
        <v>119</v>
      </c>
      <c r="D16" s="3" t="s">
        <v>116</v>
      </c>
      <c r="E16" s="8">
        <v>1</v>
      </c>
      <c r="F16" s="7"/>
      <c r="G16" s="7"/>
      <c r="H16" s="7"/>
      <c r="I16"/>
      <c r="J16"/>
      <c r="K16" s="12"/>
    </row>
    <row r="17" spans="1:11" ht="15" x14ac:dyDescent="0.25">
      <c r="A17" s="2">
        <v>708003041</v>
      </c>
      <c r="B17" s="6" t="s">
        <v>68</v>
      </c>
      <c r="C17" s="3" t="s">
        <v>119</v>
      </c>
      <c r="D17" s="3" t="s">
        <v>116</v>
      </c>
      <c r="E17" s="8">
        <v>2</v>
      </c>
      <c r="F17" s="7"/>
      <c r="G17" s="7"/>
      <c r="H17" s="7"/>
      <c r="I17"/>
      <c r="J17"/>
      <c r="K17" s="12"/>
    </row>
    <row r="18" spans="1:11" ht="15" x14ac:dyDescent="0.25">
      <c r="A18" s="2">
        <v>708302948</v>
      </c>
      <c r="B18" s="5" t="s">
        <v>111</v>
      </c>
      <c r="C18" s="3" t="s">
        <v>119</v>
      </c>
      <c r="D18" s="3" t="s">
        <v>116</v>
      </c>
      <c r="E18" s="8">
        <v>2</v>
      </c>
      <c r="I18"/>
      <c r="J18"/>
      <c r="K18" s="12"/>
    </row>
    <row r="19" spans="1:11" ht="15" x14ac:dyDescent="0.25">
      <c r="A19" s="2">
        <v>708303801</v>
      </c>
      <c r="B19" s="5" t="s">
        <v>73</v>
      </c>
      <c r="C19" s="3" t="s">
        <v>119</v>
      </c>
      <c r="D19" s="3" t="s">
        <v>116</v>
      </c>
      <c r="E19" s="8">
        <v>2</v>
      </c>
      <c r="I19"/>
      <c r="J19"/>
      <c r="K19" s="12"/>
    </row>
    <row r="20" spans="1:11" x14ac:dyDescent="0.2">
      <c r="A20" s="2">
        <v>705012868</v>
      </c>
      <c r="B20" s="6" t="s">
        <v>58</v>
      </c>
      <c r="C20" s="3" t="s">
        <v>119</v>
      </c>
      <c r="D20" s="3" t="s">
        <v>116</v>
      </c>
      <c r="E20" s="8">
        <v>2</v>
      </c>
      <c r="I20"/>
      <c r="J20"/>
    </row>
    <row r="21" spans="1:11" x14ac:dyDescent="0.2">
      <c r="A21" s="2">
        <v>708200871</v>
      </c>
      <c r="B21" s="6" t="s">
        <v>113</v>
      </c>
      <c r="C21" s="3" t="s">
        <v>119</v>
      </c>
      <c r="D21" s="3" t="s">
        <v>116</v>
      </c>
      <c r="E21" s="8">
        <v>1</v>
      </c>
      <c r="I21"/>
      <c r="J21"/>
    </row>
    <row r="22" spans="1:11" x14ac:dyDescent="0.2">
      <c r="A22" s="2">
        <v>705012350</v>
      </c>
      <c r="B22" s="6" t="s">
        <v>152</v>
      </c>
      <c r="C22" s="3" t="s">
        <v>119</v>
      </c>
      <c r="D22" s="3" t="s">
        <v>116</v>
      </c>
      <c r="E22" s="13"/>
      <c r="I22"/>
      <c r="J22"/>
    </row>
    <row r="23" spans="1:11" x14ac:dyDescent="0.2">
      <c r="A23" s="2">
        <v>708400463</v>
      </c>
      <c r="B23" s="6" t="s">
        <v>60</v>
      </c>
      <c r="C23" s="3" t="s">
        <v>119</v>
      </c>
      <c r="D23" s="3" t="s">
        <v>116</v>
      </c>
      <c r="E23" s="8">
        <v>6</v>
      </c>
      <c r="I23"/>
      <c r="J23"/>
    </row>
    <row r="24" spans="1:11" x14ac:dyDescent="0.2">
      <c r="A24" s="2">
        <v>705014101</v>
      </c>
      <c r="B24" s="5" t="s">
        <v>77</v>
      </c>
      <c r="C24" s="3" t="s">
        <v>119</v>
      </c>
      <c r="D24" s="3" t="s">
        <v>116</v>
      </c>
      <c r="E24" s="8">
        <v>2</v>
      </c>
      <c r="I24"/>
      <c r="J24"/>
    </row>
    <row r="25" spans="1:11" x14ac:dyDescent="0.2">
      <c r="A25" s="2">
        <v>708301201</v>
      </c>
      <c r="B25" s="6" t="s">
        <v>89</v>
      </c>
      <c r="C25" s="3" t="s">
        <v>120</v>
      </c>
      <c r="D25" s="3" t="s">
        <v>116</v>
      </c>
      <c r="E25" s="8">
        <v>4</v>
      </c>
      <c r="I25"/>
      <c r="J25"/>
    </row>
    <row r="26" spans="1:11" x14ac:dyDescent="0.2">
      <c r="A26" s="2">
        <v>708200698</v>
      </c>
      <c r="B26" s="6" t="s">
        <v>88</v>
      </c>
      <c r="C26" s="3" t="s">
        <v>120</v>
      </c>
      <c r="D26" s="3" t="s">
        <v>116</v>
      </c>
      <c r="E26" s="8">
        <v>1</v>
      </c>
      <c r="I26"/>
      <c r="J26"/>
    </row>
    <row r="27" spans="1:11" x14ac:dyDescent="0.2">
      <c r="A27" s="2">
        <v>708200366</v>
      </c>
      <c r="B27" s="6" t="s">
        <v>85</v>
      </c>
      <c r="C27" s="3" t="s">
        <v>120</v>
      </c>
      <c r="D27" s="3" t="s">
        <v>116</v>
      </c>
      <c r="E27" s="8">
        <v>1</v>
      </c>
      <c r="I27"/>
      <c r="J27"/>
    </row>
    <row r="28" spans="1:11" x14ac:dyDescent="0.2">
      <c r="A28" s="2">
        <v>705010851</v>
      </c>
      <c r="B28" s="6" t="s">
        <v>83</v>
      </c>
      <c r="C28" s="3" t="s">
        <v>120</v>
      </c>
      <c r="D28" s="3" t="s">
        <v>116</v>
      </c>
      <c r="E28" s="8">
        <v>1</v>
      </c>
      <c r="I28"/>
      <c r="J28"/>
    </row>
    <row r="29" spans="1:11" x14ac:dyDescent="0.2">
      <c r="A29" s="2">
        <v>705007790</v>
      </c>
      <c r="B29" s="6" t="s">
        <v>81</v>
      </c>
      <c r="C29" s="3" t="s">
        <v>120</v>
      </c>
      <c r="D29" s="3" t="s">
        <v>116</v>
      </c>
      <c r="E29" s="8">
        <v>4</v>
      </c>
      <c r="I29"/>
      <c r="J29"/>
    </row>
    <row r="30" spans="1:11" x14ac:dyDescent="0.2">
      <c r="A30" s="2">
        <v>708200401</v>
      </c>
      <c r="B30" s="6" t="s">
        <v>86</v>
      </c>
      <c r="C30" s="3" t="s">
        <v>120</v>
      </c>
      <c r="D30" s="3" t="s">
        <v>116</v>
      </c>
      <c r="E30" s="8">
        <v>2</v>
      </c>
      <c r="I30"/>
      <c r="J30"/>
    </row>
    <row r="31" spans="1:11" x14ac:dyDescent="0.2">
      <c r="A31" s="2">
        <v>705010835</v>
      </c>
      <c r="B31" s="6" t="s">
        <v>84</v>
      </c>
      <c r="C31" s="3" t="s">
        <v>120</v>
      </c>
      <c r="D31" s="3" t="s">
        <v>116</v>
      </c>
      <c r="E31" s="8">
        <v>1</v>
      </c>
      <c r="I31"/>
      <c r="J31"/>
    </row>
    <row r="32" spans="1:11" x14ac:dyDescent="0.2">
      <c r="A32" s="2">
        <v>705007791</v>
      </c>
      <c r="B32" s="6" t="s">
        <v>82</v>
      </c>
      <c r="C32" s="3" t="s">
        <v>120</v>
      </c>
      <c r="D32" s="3" t="s">
        <v>116</v>
      </c>
      <c r="E32" s="8">
        <v>4</v>
      </c>
      <c r="I32"/>
      <c r="J32"/>
    </row>
    <row r="33" spans="1:10" x14ac:dyDescent="0.2">
      <c r="A33" s="2">
        <v>708200402</v>
      </c>
      <c r="B33" s="6" t="s">
        <v>87</v>
      </c>
      <c r="C33" s="3" t="s">
        <v>120</v>
      </c>
      <c r="D33" s="3" t="s">
        <v>116</v>
      </c>
      <c r="E33" s="8">
        <v>2</v>
      </c>
      <c r="I33"/>
      <c r="J33"/>
    </row>
    <row r="34" spans="1:10" ht="22.5" x14ac:dyDescent="0.2">
      <c r="A34" s="3">
        <v>500458</v>
      </c>
      <c r="B34" s="9" t="s">
        <v>103</v>
      </c>
      <c r="C34" s="11" t="s">
        <v>54</v>
      </c>
      <c r="D34" s="3" t="s">
        <v>51</v>
      </c>
      <c r="E34" s="13"/>
      <c r="I34"/>
      <c r="J34"/>
    </row>
    <row r="35" spans="1:10" x14ac:dyDescent="0.2">
      <c r="A35" s="3">
        <v>500458</v>
      </c>
      <c r="B35" s="3" t="s">
        <v>104</v>
      </c>
      <c r="C35" s="11" t="s">
        <v>54</v>
      </c>
      <c r="D35" s="3" t="s">
        <v>51</v>
      </c>
      <c r="E35" s="13"/>
      <c r="I35"/>
      <c r="J35"/>
    </row>
    <row r="36" spans="1:10" x14ac:dyDescent="0.2">
      <c r="A36" s="3">
        <v>500458</v>
      </c>
      <c r="B36" s="3" t="s">
        <v>105</v>
      </c>
      <c r="C36" s="11" t="s">
        <v>54</v>
      </c>
      <c r="D36" s="3" t="s">
        <v>51</v>
      </c>
      <c r="E36" s="13"/>
      <c r="I36"/>
      <c r="J36"/>
    </row>
    <row r="37" spans="1:10" x14ac:dyDescent="0.2">
      <c r="A37" s="3">
        <v>42521680</v>
      </c>
      <c r="B37" s="3" t="s">
        <v>26</v>
      </c>
      <c r="C37" s="11" t="s">
        <v>121</v>
      </c>
      <c r="D37" s="3" t="s">
        <v>117</v>
      </c>
      <c r="E37" s="13"/>
      <c r="I37"/>
      <c r="J37"/>
    </row>
    <row r="38" spans="1:10" x14ac:dyDescent="0.2">
      <c r="A38" s="3">
        <v>42521681</v>
      </c>
      <c r="B38" s="3" t="s">
        <v>25</v>
      </c>
      <c r="C38" s="11" t="s">
        <v>121</v>
      </c>
      <c r="D38" s="3" t="s">
        <v>117</v>
      </c>
      <c r="E38" s="13"/>
      <c r="I38"/>
      <c r="J38"/>
    </row>
    <row r="39" spans="1:10" x14ac:dyDescent="0.2">
      <c r="A39" s="3">
        <v>42521682</v>
      </c>
      <c r="B39" s="3" t="s">
        <v>28</v>
      </c>
      <c r="C39" s="11" t="s">
        <v>121</v>
      </c>
      <c r="D39" s="3" t="s">
        <v>117</v>
      </c>
      <c r="E39" s="13"/>
      <c r="I39"/>
      <c r="J39"/>
    </row>
    <row r="40" spans="1:10" x14ac:dyDescent="0.2">
      <c r="A40" s="3">
        <v>42521683</v>
      </c>
      <c r="B40" s="3" t="s">
        <v>27</v>
      </c>
      <c r="C40" s="11" t="s">
        <v>121</v>
      </c>
      <c r="D40" s="3" t="s">
        <v>117</v>
      </c>
      <c r="E40" s="13"/>
      <c r="I40"/>
      <c r="J40"/>
    </row>
    <row r="41" spans="1:10" ht="15" x14ac:dyDescent="0.25">
      <c r="A41" s="12" t="s">
        <v>129</v>
      </c>
      <c r="B41" s="6" t="s">
        <v>139</v>
      </c>
      <c r="C41" s="3" t="str">
        <f>A41</f>
        <v xml:space="preserve"> BLACK</v>
      </c>
      <c r="D41" s="2" t="s">
        <v>150</v>
      </c>
      <c r="E41" s="14">
        <v>2</v>
      </c>
      <c r="I41"/>
      <c r="J41"/>
    </row>
    <row r="42" spans="1:10" ht="15" x14ac:dyDescent="0.25">
      <c r="A42" s="12" t="s">
        <v>130</v>
      </c>
      <c r="B42" s="6" t="s">
        <v>139</v>
      </c>
      <c r="C42" s="3" t="str">
        <f t="shared" ref="C42:C52" si="0">A42</f>
        <v xml:space="preserve"> CHERRY BOMB</v>
      </c>
      <c r="D42" s="2" t="s">
        <v>150</v>
      </c>
      <c r="E42" s="14">
        <v>2</v>
      </c>
      <c r="I42"/>
      <c r="J42"/>
    </row>
    <row r="43" spans="1:10" ht="15" x14ac:dyDescent="0.25">
      <c r="A43" s="12" t="s">
        <v>140</v>
      </c>
      <c r="B43" s="6" t="s">
        <v>139</v>
      </c>
      <c r="C43" s="3" t="str">
        <f t="shared" si="0"/>
        <v xml:space="preserve"> DARK SHADOW</v>
      </c>
      <c r="D43" s="2" t="s">
        <v>150</v>
      </c>
      <c r="E43" s="14">
        <v>2</v>
      </c>
      <c r="I43"/>
      <c r="J43"/>
    </row>
    <row r="44" spans="1:10" ht="15" x14ac:dyDescent="0.25">
      <c r="A44" s="12" t="s">
        <v>131</v>
      </c>
      <c r="B44" s="6" t="s">
        <v>139</v>
      </c>
      <c r="C44" s="3" t="str">
        <f t="shared" si="0"/>
        <v xml:space="preserve"> LG BLACK</v>
      </c>
      <c r="D44" s="2" t="s">
        <v>150</v>
      </c>
      <c r="E44" s="14">
        <v>2</v>
      </c>
      <c r="I44"/>
      <c r="J44"/>
    </row>
    <row r="45" spans="1:10" ht="15" x14ac:dyDescent="0.25">
      <c r="A45" s="12" t="s">
        <v>133</v>
      </c>
      <c r="B45" s="6" t="s">
        <v>139</v>
      </c>
      <c r="C45" s="3" t="str">
        <f t="shared" si="0"/>
        <v xml:space="preserve"> OCONUS MET</v>
      </c>
      <c r="D45" s="2" t="s">
        <v>150</v>
      </c>
      <c r="E45" s="14">
        <v>2</v>
      </c>
      <c r="I45"/>
      <c r="J45"/>
    </row>
    <row r="46" spans="1:10" ht="15" x14ac:dyDescent="0.25">
      <c r="A46" s="12" t="s">
        <v>134</v>
      </c>
      <c r="B46" s="6" t="s">
        <v>139</v>
      </c>
      <c r="C46" s="3" t="str">
        <f t="shared" si="0"/>
        <v xml:space="preserve"> PRIMER</v>
      </c>
      <c r="D46" s="2" t="s">
        <v>150</v>
      </c>
      <c r="E46" s="14">
        <v>2</v>
      </c>
    </row>
    <row r="47" spans="1:10" ht="15" x14ac:dyDescent="0.25">
      <c r="A47" s="12" t="s">
        <v>135</v>
      </c>
      <c r="B47" s="6" t="s">
        <v>139</v>
      </c>
      <c r="C47" s="3" t="str">
        <f t="shared" si="0"/>
        <v xml:space="preserve"> PULL ME OVER RED</v>
      </c>
      <c r="D47" s="2" t="s">
        <v>150</v>
      </c>
      <c r="E47" s="14">
        <v>2</v>
      </c>
    </row>
    <row r="48" spans="1:10" ht="15" x14ac:dyDescent="0.25">
      <c r="A48" s="12" t="s">
        <v>141</v>
      </c>
      <c r="B48" s="6" t="s">
        <v>139</v>
      </c>
      <c r="C48" s="3" t="str">
        <f t="shared" si="0"/>
        <v xml:space="preserve"> SATIN STEEL</v>
      </c>
      <c r="D48" s="2" t="s">
        <v>150</v>
      </c>
      <c r="E48" s="14">
        <v>2</v>
      </c>
    </row>
    <row r="49" spans="1:5" ht="15" x14ac:dyDescent="0.25">
      <c r="A49" s="12" t="s">
        <v>136</v>
      </c>
      <c r="B49" s="6" t="s">
        <v>139</v>
      </c>
      <c r="C49" s="3" t="str">
        <f t="shared" si="0"/>
        <v xml:space="preserve"> SUMMIT WHITE</v>
      </c>
      <c r="D49" s="2" t="s">
        <v>150</v>
      </c>
      <c r="E49" s="14">
        <v>2</v>
      </c>
    </row>
    <row r="50" spans="1:5" ht="15" x14ac:dyDescent="0.25">
      <c r="A50" s="12" t="s">
        <v>132</v>
      </c>
      <c r="B50" s="6" t="s">
        <v>139</v>
      </c>
      <c r="C50" s="3" t="str">
        <f t="shared" si="0"/>
        <v>CARBON FLASH</v>
      </c>
      <c r="D50" s="2" t="s">
        <v>150</v>
      </c>
      <c r="E50" s="14">
        <v>2</v>
      </c>
    </row>
    <row r="51" spans="1:5" ht="15" x14ac:dyDescent="0.25">
      <c r="A51" s="15" t="s">
        <v>137</v>
      </c>
      <c r="B51" s="6" t="s">
        <v>139</v>
      </c>
      <c r="C51" s="3" t="str">
        <f t="shared" si="0"/>
        <v>RAPID</v>
      </c>
      <c r="D51" s="2" t="s">
        <v>150</v>
      </c>
      <c r="E51" s="14">
        <v>2</v>
      </c>
    </row>
    <row r="52" spans="1:5" ht="15" x14ac:dyDescent="0.25">
      <c r="A52" s="15" t="s">
        <v>138</v>
      </c>
      <c r="B52" s="6" t="s">
        <v>139</v>
      </c>
      <c r="C52" s="3" t="str">
        <f t="shared" si="0"/>
        <v>VIVID</v>
      </c>
      <c r="D52" s="2" t="s">
        <v>150</v>
      </c>
      <c r="E52" s="14">
        <v>2</v>
      </c>
    </row>
  </sheetData>
  <sortState xmlns:xlrd2="http://schemas.microsoft.com/office/spreadsheetml/2017/richdata2" ref="K2:K19">
    <sortCondition ref="K2:K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Weekly Plan</vt:lpstr>
      <vt:lpstr>Paint Usage</vt:lpstr>
      <vt:lpstr>Time Matrix</vt:lpstr>
      <vt:lpstr>Mon (101)</vt:lpstr>
      <vt:lpstr>Tue (101)</vt:lpstr>
      <vt:lpstr>Wed (101)</vt:lpstr>
      <vt:lpstr>Thu (101)</vt:lpstr>
      <vt:lpstr>Fri (101)</vt:lpstr>
      <vt:lpstr>Sat (101)</vt:lpstr>
      <vt:lpstr>Painter Matrix</vt:lpstr>
      <vt:lpstr>Part Info</vt:lpstr>
      <vt:lpstr>'Fri (101)'!Print_Area</vt:lpstr>
      <vt:lpstr>'Mon (101)'!Print_Area</vt:lpstr>
      <vt:lpstr>'Sat (101)'!Print_Area</vt:lpstr>
      <vt:lpstr>'Thu (101)'!Print_Area</vt:lpstr>
      <vt:lpstr>'Tue (101)'!Print_Area</vt:lpstr>
      <vt:lpstr>'Wed (101)'!Print_Area</vt:lpstr>
      <vt:lpstr>'Weekly Plan'!Print_Area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Matt Hopper</cp:lastModifiedBy>
  <cp:lastPrinted>2025-11-05T11:25:12Z</cp:lastPrinted>
  <dcterms:created xsi:type="dcterms:W3CDTF">2013-04-05T13:09:26Z</dcterms:created>
  <dcterms:modified xsi:type="dcterms:W3CDTF">2025-12-12T16:27:42Z</dcterms:modified>
</cp:coreProperties>
</file>