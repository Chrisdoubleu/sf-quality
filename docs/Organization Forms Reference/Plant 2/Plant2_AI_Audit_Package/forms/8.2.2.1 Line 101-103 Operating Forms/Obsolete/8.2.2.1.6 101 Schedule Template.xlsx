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8_{93EDBA21-FB4C-49CC-A772-238AD5C45FD6}" xr6:coauthVersionLast="47" xr6:coauthVersionMax="47" xr10:uidLastSave="{00000000-0000-0000-0000-000000000000}"/>
  <bookViews>
    <workbookView xWindow="-110" yWindow="-110" windowWidth="19420" windowHeight="10300" firstSheet="4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3)" sheetId="49" r:id="rId4"/>
    <sheet name="Tues (103)" sheetId="73" r:id="rId5"/>
    <sheet name="Wed (103)" sheetId="74" r:id="rId6"/>
    <sheet name="Thurs (103)" sheetId="75" r:id="rId7"/>
    <sheet name="Fri (103)" sheetId="76" r:id="rId8"/>
    <sheet name="Sat (103)" sheetId="77" r:id="rId9"/>
    <sheet name="Painter Matrix" sheetId="64" state="hidden" r:id="rId10"/>
    <sheet name="Part Info" sheetId="37" state="hidden" r:id="rId11"/>
  </sheets>
  <definedNames>
    <definedName name="_xlnm.Print_Area" localSheetId="7">'Fri (103)'!$A$1:$P$57</definedName>
    <definedName name="_xlnm.Print_Area" localSheetId="3">'Mon (103)'!$A$1:$P$55</definedName>
    <definedName name="_xlnm.Print_Area" localSheetId="8">'Sat (103)'!$A$1:$P$57</definedName>
    <definedName name="_xlnm.Print_Area" localSheetId="6">'Thurs (103)'!$A$1:$P$57</definedName>
    <definedName name="_xlnm.Print_Area" localSheetId="4">'Tues (103)'!$A$1:$P$57</definedName>
    <definedName name="_xlnm.Print_Area" localSheetId="5">'Wed (103)'!$A$1:$P$57</definedName>
    <definedName name="_xlnm.Print_Area" localSheetId="0">'Weekly Plan'!$F$1:$M$102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73" l="1"/>
  <c r="J14" i="77" l="1"/>
  <c r="J15" i="77"/>
  <c r="J16" i="77"/>
  <c r="J13" i="77"/>
  <c r="J6" i="77"/>
  <c r="J7" i="77"/>
  <c r="J8" i="77"/>
  <c r="J9" i="77"/>
  <c r="J10" i="77"/>
  <c r="J5" i="77"/>
  <c r="J14" i="76"/>
  <c r="J15" i="76"/>
  <c r="J16" i="76"/>
  <c r="J13" i="76"/>
  <c r="J6" i="76"/>
  <c r="J7" i="76"/>
  <c r="J8" i="76"/>
  <c r="J9" i="76"/>
  <c r="J10" i="76"/>
  <c r="J5" i="76"/>
  <c r="J14" i="75"/>
  <c r="J15" i="75"/>
  <c r="J16" i="75"/>
  <c r="J13" i="75"/>
  <c r="J6" i="75"/>
  <c r="J7" i="75"/>
  <c r="J8" i="75"/>
  <c r="J9" i="75"/>
  <c r="J10" i="75"/>
  <c r="J5" i="75"/>
  <c r="J14" i="74"/>
  <c r="J15" i="74"/>
  <c r="J16" i="74"/>
  <c r="J13" i="74"/>
  <c r="J6" i="74"/>
  <c r="J7" i="74"/>
  <c r="J8" i="74"/>
  <c r="J9" i="74"/>
  <c r="J10" i="74"/>
  <c r="J5" i="74"/>
  <c r="J14" i="73"/>
  <c r="J15" i="73"/>
  <c r="J16" i="73"/>
  <c r="J13" i="73"/>
  <c r="J7" i="73"/>
  <c r="J8" i="73"/>
  <c r="J9" i="73"/>
  <c r="J10" i="73"/>
  <c r="J5" i="73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1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99" i="56"/>
  <c r="A100" i="56"/>
  <c r="A101" i="56"/>
  <c r="A102" i="56"/>
  <c r="A103" i="56"/>
  <c r="A4" i="56"/>
  <c r="M47" i="77" l="1"/>
  <c r="M47" i="76"/>
  <c r="M47" i="75"/>
  <c r="M47" i="49"/>
  <c r="M47" i="73"/>
  <c r="M47" i="74"/>
  <c r="E46" i="77"/>
  <c r="E47" i="77"/>
  <c r="E48" i="77"/>
  <c r="E49" i="77"/>
  <c r="E50" i="77"/>
  <c r="E51" i="77"/>
  <c r="E52" i="77"/>
  <c r="E53" i="77"/>
  <c r="E54" i="77"/>
  <c r="E55" i="77"/>
  <c r="E56" i="77"/>
  <c r="F56" i="77" s="1"/>
  <c r="E45" i="77"/>
  <c r="E46" i="76"/>
  <c r="E47" i="76"/>
  <c r="E48" i="76"/>
  <c r="E49" i="76"/>
  <c r="E50" i="76"/>
  <c r="E51" i="76"/>
  <c r="E52" i="76"/>
  <c r="E53" i="76"/>
  <c r="E54" i="76"/>
  <c r="E55" i="76"/>
  <c r="E56" i="76"/>
  <c r="F56" i="76" s="1"/>
  <c r="E45" i="76"/>
  <c r="E46" i="75"/>
  <c r="E47" i="75"/>
  <c r="E48" i="75"/>
  <c r="E49" i="75"/>
  <c r="E50" i="75"/>
  <c r="E51" i="75"/>
  <c r="E52" i="75"/>
  <c r="E53" i="75"/>
  <c r="E54" i="75"/>
  <c r="E55" i="75"/>
  <c r="E56" i="75"/>
  <c r="F56" i="75" s="1"/>
  <c r="E45" i="75"/>
  <c r="E46" i="74"/>
  <c r="E47" i="74"/>
  <c r="E48" i="74"/>
  <c r="E49" i="74"/>
  <c r="E50" i="74"/>
  <c r="E51" i="74"/>
  <c r="E52" i="74"/>
  <c r="E53" i="74"/>
  <c r="E54" i="74"/>
  <c r="E55" i="74"/>
  <c r="E56" i="74"/>
  <c r="F56" i="74" s="1"/>
  <c r="E45" i="74"/>
  <c r="E46" i="73"/>
  <c r="E47" i="73"/>
  <c r="E48" i="73"/>
  <c r="E49" i="73"/>
  <c r="E50" i="73"/>
  <c r="E51" i="73"/>
  <c r="E52" i="73"/>
  <c r="E53" i="73"/>
  <c r="E54" i="73"/>
  <c r="E55" i="73"/>
  <c r="E56" i="73"/>
  <c r="F56" i="73" s="1"/>
  <c r="E45" i="73"/>
  <c r="E31" i="77"/>
  <c r="A30" i="77"/>
  <c r="C30" i="77"/>
  <c r="D30" i="77"/>
  <c r="E30" i="77"/>
  <c r="E31" i="76"/>
  <c r="A30" i="76"/>
  <c r="C30" i="76"/>
  <c r="D30" i="76"/>
  <c r="E30" i="76"/>
  <c r="E30" i="74"/>
  <c r="E31" i="74"/>
  <c r="E30" i="73"/>
  <c r="E31" i="73"/>
  <c r="E30" i="75"/>
  <c r="E31" i="75"/>
  <c r="A30" i="75"/>
  <c r="C30" i="75"/>
  <c r="D30" i="75"/>
  <c r="A30" i="74"/>
  <c r="C30" i="74"/>
  <c r="D30" i="74"/>
  <c r="D30" i="49"/>
  <c r="A30" i="73"/>
  <c r="C30" i="73"/>
  <c r="D30" i="73"/>
  <c r="I16" i="77"/>
  <c r="G16" i="77"/>
  <c r="I15" i="77"/>
  <c r="G15" i="77"/>
  <c r="I14" i="77"/>
  <c r="G14" i="77"/>
  <c r="I13" i="77"/>
  <c r="G13" i="77"/>
  <c r="I10" i="77"/>
  <c r="G10" i="77"/>
  <c r="I9" i="77"/>
  <c r="G9" i="77"/>
  <c r="I8" i="77"/>
  <c r="G8" i="77"/>
  <c r="I7" i="77"/>
  <c r="G7" i="77"/>
  <c r="I6" i="77"/>
  <c r="G6" i="77"/>
  <c r="I5" i="77"/>
  <c r="H5" i="77"/>
  <c r="G5" i="77"/>
  <c r="I16" i="76"/>
  <c r="G16" i="76"/>
  <c r="I15" i="76"/>
  <c r="G15" i="76"/>
  <c r="I14" i="76"/>
  <c r="G14" i="76"/>
  <c r="I13" i="76"/>
  <c r="G13" i="76"/>
  <c r="I10" i="76"/>
  <c r="G10" i="76"/>
  <c r="I9" i="76"/>
  <c r="G9" i="76"/>
  <c r="I8" i="76"/>
  <c r="G8" i="76"/>
  <c r="I7" i="76"/>
  <c r="G7" i="76"/>
  <c r="I6" i="76"/>
  <c r="G6" i="76"/>
  <c r="I5" i="76"/>
  <c r="H5" i="76"/>
  <c r="G5" i="76"/>
  <c r="I16" i="75"/>
  <c r="G16" i="75"/>
  <c r="I15" i="75"/>
  <c r="G15" i="75"/>
  <c r="I14" i="75"/>
  <c r="G14" i="75"/>
  <c r="I13" i="75"/>
  <c r="G13" i="75"/>
  <c r="I10" i="75"/>
  <c r="G10" i="75"/>
  <c r="I9" i="75"/>
  <c r="G9" i="75"/>
  <c r="I8" i="75"/>
  <c r="G8" i="75"/>
  <c r="I7" i="75"/>
  <c r="G7" i="75"/>
  <c r="I6" i="75"/>
  <c r="G6" i="75"/>
  <c r="I5" i="75"/>
  <c r="H5" i="75"/>
  <c r="G5" i="75"/>
  <c r="I16" i="74"/>
  <c r="G16" i="74"/>
  <c r="I15" i="74"/>
  <c r="G15" i="74"/>
  <c r="I14" i="74"/>
  <c r="G14" i="74"/>
  <c r="I13" i="74"/>
  <c r="G13" i="74"/>
  <c r="I10" i="74"/>
  <c r="G10" i="74"/>
  <c r="I9" i="74"/>
  <c r="G9" i="74"/>
  <c r="I8" i="74"/>
  <c r="G8" i="74"/>
  <c r="I7" i="74"/>
  <c r="G7" i="74"/>
  <c r="I6" i="74"/>
  <c r="G6" i="74"/>
  <c r="I5" i="74"/>
  <c r="H5" i="74"/>
  <c r="G5" i="74"/>
  <c r="I16" i="73"/>
  <c r="G16" i="73"/>
  <c r="I15" i="73"/>
  <c r="G15" i="73"/>
  <c r="I14" i="73"/>
  <c r="G14" i="73"/>
  <c r="I13" i="73"/>
  <c r="G13" i="73"/>
  <c r="I10" i="73"/>
  <c r="G10" i="73"/>
  <c r="I9" i="73"/>
  <c r="G9" i="73"/>
  <c r="I8" i="73"/>
  <c r="G8" i="73"/>
  <c r="I7" i="73"/>
  <c r="G7" i="73"/>
  <c r="I6" i="73"/>
  <c r="G6" i="73"/>
  <c r="I5" i="73"/>
  <c r="H5" i="73"/>
  <c r="G5" i="73"/>
  <c r="E9" i="49"/>
  <c r="E13" i="49"/>
  <c r="E17" i="49"/>
  <c r="E24" i="49"/>
  <c r="E28" i="49"/>
  <c r="E46" i="49"/>
  <c r="E50" i="49"/>
  <c r="E54" i="49"/>
  <c r="K9" i="49"/>
  <c r="K14" i="49"/>
  <c r="K15" i="49"/>
  <c r="K16" i="49"/>
  <c r="I14" i="49"/>
  <c r="I15" i="49"/>
  <c r="I16" i="49"/>
  <c r="I13" i="49"/>
  <c r="G14" i="49"/>
  <c r="G15" i="49"/>
  <c r="G16" i="49"/>
  <c r="G13" i="49"/>
  <c r="J6" i="49"/>
  <c r="J7" i="49"/>
  <c r="J8" i="49"/>
  <c r="J9" i="49"/>
  <c r="J10" i="49"/>
  <c r="K6" i="49"/>
  <c r="K7" i="49"/>
  <c r="K8" i="49"/>
  <c r="L8" i="49" s="1"/>
  <c r="K10" i="49"/>
  <c r="I6" i="49"/>
  <c r="I7" i="49"/>
  <c r="I8" i="49"/>
  <c r="I9" i="49"/>
  <c r="I10" i="49"/>
  <c r="I5" i="49"/>
  <c r="H5" i="49"/>
  <c r="G6" i="49"/>
  <c r="G7" i="49"/>
  <c r="G8" i="49"/>
  <c r="G9" i="49"/>
  <c r="G10" i="49"/>
  <c r="G5" i="49"/>
  <c r="E47" i="49"/>
  <c r="E48" i="49"/>
  <c r="E49" i="49"/>
  <c r="E51" i="49"/>
  <c r="E52" i="49"/>
  <c r="E53" i="49"/>
  <c r="E55" i="49"/>
  <c r="E56" i="49"/>
  <c r="F56" i="49" s="1"/>
  <c r="E45" i="49"/>
  <c r="E22" i="49"/>
  <c r="E23" i="49"/>
  <c r="E25" i="49"/>
  <c r="E26" i="49"/>
  <c r="E27" i="49"/>
  <c r="E29" i="49"/>
  <c r="E30" i="49"/>
  <c r="F30" i="49" s="1"/>
  <c r="E31" i="49"/>
  <c r="A22" i="49"/>
  <c r="C22" i="49"/>
  <c r="A23" i="49"/>
  <c r="C23" i="49"/>
  <c r="A24" i="49"/>
  <c r="C24" i="49"/>
  <c r="A25" i="49"/>
  <c r="C25" i="49"/>
  <c r="A26" i="49"/>
  <c r="C26" i="49"/>
  <c r="A27" i="49"/>
  <c r="C27" i="49"/>
  <c r="A28" i="49"/>
  <c r="C28" i="49"/>
  <c r="A29" i="49"/>
  <c r="C29" i="49"/>
  <c r="A30" i="49"/>
  <c r="C30" i="49"/>
  <c r="A31" i="49"/>
  <c r="C31" i="49"/>
  <c r="E6" i="49"/>
  <c r="E7" i="49"/>
  <c r="E8" i="49"/>
  <c r="E10" i="49"/>
  <c r="E11" i="49"/>
  <c r="E12" i="49"/>
  <c r="E14" i="49"/>
  <c r="E15" i="49"/>
  <c r="E16" i="49"/>
  <c r="E18" i="49"/>
  <c r="A34" i="49"/>
  <c r="C34" i="49"/>
  <c r="D34" i="49"/>
  <c r="A35" i="49"/>
  <c r="C35" i="49"/>
  <c r="D35" i="49"/>
  <c r="A36" i="49"/>
  <c r="C36" i="49"/>
  <c r="D36" i="49"/>
  <c r="A37" i="49"/>
  <c r="C37" i="49"/>
  <c r="D37" i="49"/>
  <c r="A38" i="49"/>
  <c r="C38" i="49"/>
  <c r="D38" i="49"/>
  <c r="A39" i="49"/>
  <c r="C39" i="49"/>
  <c r="D39" i="49"/>
  <c r="A40" i="49"/>
  <c r="C40" i="49"/>
  <c r="D40" i="49"/>
  <c r="A41" i="49"/>
  <c r="C41" i="49"/>
  <c r="D41" i="49"/>
  <c r="A42" i="49"/>
  <c r="C42" i="49"/>
  <c r="D42" i="49"/>
  <c r="F30" i="75" l="1"/>
  <c r="L10" i="49"/>
  <c r="L7" i="49"/>
  <c r="L6" i="49"/>
  <c r="F30" i="74"/>
  <c r="F30" i="73"/>
  <c r="F30" i="76"/>
  <c r="F30" i="77"/>
  <c r="L9" i="49"/>
  <c r="I1" i="56"/>
  <c r="J1" i="56" s="1"/>
  <c r="K1" i="56" s="1"/>
  <c r="L1" i="56" s="1"/>
  <c r="M1" i="56" s="1"/>
  <c r="O6" i="74" l="1"/>
  <c r="O5" i="74"/>
  <c r="O6" i="73"/>
  <c r="I26" i="75"/>
  <c r="D7" i="73"/>
  <c r="J31" i="76" l="1"/>
  <c r="D11" i="76"/>
  <c r="D12" i="76"/>
  <c r="J29" i="49"/>
  <c r="D15" i="76"/>
  <c r="D8" i="49"/>
  <c r="F8" i="49" s="1"/>
  <c r="J14" i="49"/>
  <c r="L14" i="49" s="1"/>
  <c r="J15" i="49"/>
  <c r="L15" i="49" s="1"/>
  <c r="J16" i="49"/>
  <c r="L16" i="49" s="1"/>
  <c r="N18" i="49"/>
  <c r="M18" i="49"/>
  <c r="O30" i="73" l="1"/>
  <c r="O31" i="73"/>
  <c r="O29" i="73"/>
  <c r="O13" i="49" l="1"/>
  <c r="J31" i="49"/>
  <c r="J30" i="49"/>
  <c r="J28" i="49"/>
  <c r="J27" i="49"/>
  <c r="J26" i="49"/>
  <c r="J25" i="49"/>
  <c r="J24" i="49"/>
  <c r="J23" i="49"/>
  <c r="J21" i="49"/>
  <c r="J20" i="49"/>
  <c r="J19" i="49"/>
  <c r="D18" i="49"/>
  <c r="F18" i="49" s="1"/>
  <c r="D16" i="49"/>
  <c r="F16" i="49" s="1"/>
  <c r="D15" i="49"/>
  <c r="F15" i="49" s="1"/>
  <c r="D14" i="49"/>
  <c r="F14" i="49" s="1"/>
  <c r="D13" i="49"/>
  <c r="F13" i="49" s="1"/>
  <c r="D12" i="49"/>
  <c r="F12" i="49" s="1"/>
  <c r="D11" i="49"/>
  <c r="F11" i="49" s="1"/>
  <c r="D10" i="49"/>
  <c r="F10" i="49" s="1"/>
  <c r="D9" i="49"/>
  <c r="F9" i="49" s="1"/>
  <c r="D7" i="49"/>
  <c r="F7" i="49" s="1"/>
  <c r="D6" i="49"/>
  <c r="F6" i="49" s="1"/>
  <c r="D5" i="49"/>
  <c r="D17" i="49"/>
  <c r="F17" i="49" s="1"/>
  <c r="J19" i="76" l="1"/>
  <c r="J20" i="76"/>
  <c r="M13" i="73" l="1"/>
  <c r="T33" i="56"/>
  <c r="T34" i="56"/>
  <c r="T36" i="56"/>
  <c r="T38" i="56"/>
  <c r="O6" i="49" l="1"/>
  <c r="O7" i="49"/>
  <c r="O5" i="49"/>
  <c r="Z33" i="56"/>
  <c r="Z34" i="56"/>
  <c r="Z36" i="56"/>
  <c r="Z38" i="56"/>
  <c r="Z20" i="56"/>
  <c r="O30" i="77"/>
  <c r="O31" i="77"/>
  <c r="O32" i="77"/>
  <c r="O29" i="77"/>
  <c r="O24" i="77"/>
  <c r="O25" i="77"/>
  <c r="O26" i="77"/>
  <c r="O23" i="77"/>
  <c r="O19" i="77"/>
  <c r="O20" i="77"/>
  <c r="O18" i="77"/>
  <c r="O14" i="77"/>
  <c r="O15" i="77"/>
  <c r="O13" i="77"/>
  <c r="O6" i="77"/>
  <c r="O7" i="77"/>
  <c r="O8" i="77"/>
  <c r="O9" i="77"/>
  <c r="O10" i="77"/>
  <c r="O5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19" i="77"/>
  <c r="D46" i="77"/>
  <c r="D47" i="77"/>
  <c r="F46" i="77" s="1"/>
  <c r="D48" i="77"/>
  <c r="F47" i="77" s="1"/>
  <c r="D49" i="77"/>
  <c r="F48" i="77" s="1"/>
  <c r="D50" i="77"/>
  <c r="F49" i="77" s="1"/>
  <c r="D51" i="77"/>
  <c r="F50" i="77" s="1"/>
  <c r="D52" i="77"/>
  <c r="F51" i="77" s="1"/>
  <c r="D53" i="77"/>
  <c r="F52" i="77" s="1"/>
  <c r="D54" i="77"/>
  <c r="F53" i="77" s="1"/>
  <c r="D55" i="77"/>
  <c r="F54" i="77" s="1"/>
  <c r="D56" i="77"/>
  <c r="F55" i="77" s="1"/>
  <c r="D45" i="77"/>
  <c r="D35" i="77"/>
  <c r="D36" i="77"/>
  <c r="D37" i="77"/>
  <c r="D38" i="77"/>
  <c r="D39" i="77"/>
  <c r="D40" i="77"/>
  <c r="D41" i="77"/>
  <c r="D42" i="77"/>
  <c r="D34" i="77"/>
  <c r="D22" i="77"/>
  <c r="D23" i="77"/>
  <c r="D24" i="77"/>
  <c r="D25" i="77"/>
  <c r="D26" i="77"/>
  <c r="D27" i="77"/>
  <c r="D28" i="77"/>
  <c r="D29" i="77"/>
  <c r="D31" i="77"/>
  <c r="F31" i="77" s="1"/>
  <c r="D21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K79" i="77"/>
  <c r="C56" i="77"/>
  <c r="A56" i="77"/>
  <c r="AS56" i="77"/>
  <c r="C55" i="77"/>
  <c r="A55" i="77"/>
  <c r="AS55" i="77"/>
  <c r="C54" i="77"/>
  <c r="A54" i="77"/>
  <c r="AS54" i="77"/>
  <c r="C53" i="77"/>
  <c r="A53" i="77"/>
  <c r="AS53" i="77"/>
  <c r="C52" i="77"/>
  <c r="A52" i="77"/>
  <c r="C51" i="77"/>
  <c r="A51" i="77"/>
  <c r="AS51" i="77"/>
  <c r="C50" i="77"/>
  <c r="A50" i="77"/>
  <c r="AS50" i="77"/>
  <c r="C49" i="77"/>
  <c r="A49" i="77"/>
  <c r="AS49" i="77"/>
  <c r="C48" i="77"/>
  <c r="A48" i="77"/>
  <c r="AS48" i="77"/>
  <c r="C47" i="77"/>
  <c r="A47" i="77"/>
  <c r="C46" i="77"/>
  <c r="A46" i="77"/>
  <c r="M46" i="77"/>
  <c r="E44" i="77"/>
  <c r="C45" i="77"/>
  <c r="A45" i="77"/>
  <c r="AN45" i="77"/>
  <c r="M45" i="77"/>
  <c r="AS44" i="77"/>
  <c r="AN44" i="77"/>
  <c r="M44" i="77"/>
  <c r="AS43" i="77"/>
  <c r="AN43" i="77"/>
  <c r="M43" i="77"/>
  <c r="E41" i="77"/>
  <c r="C42" i="77"/>
  <c r="A42" i="77"/>
  <c r="AS42" i="77"/>
  <c r="AN42" i="77"/>
  <c r="M42" i="77"/>
  <c r="E40" i="77"/>
  <c r="C41" i="77"/>
  <c r="A41" i="77"/>
  <c r="AS41" i="77"/>
  <c r="M41" i="77"/>
  <c r="E39" i="77"/>
  <c r="C40" i="77"/>
  <c r="A40" i="77"/>
  <c r="M40" i="77"/>
  <c r="E38" i="77"/>
  <c r="C39" i="77"/>
  <c r="A39" i="77"/>
  <c r="AS39" i="77"/>
  <c r="AN39" i="77"/>
  <c r="M39" i="77"/>
  <c r="E37" i="77"/>
  <c r="C38" i="77"/>
  <c r="A38" i="77"/>
  <c r="AS38" i="77"/>
  <c r="AN38" i="77"/>
  <c r="M38" i="77"/>
  <c r="E36" i="77"/>
  <c r="C37" i="77"/>
  <c r="A37" i="77"/>
  <c r="AS37" i="77"/>
  <c r="AN37" i="77"/>
  <c r="M37" i="77"/>
  <c r="E35" i="77"/>
  <c r="C36" i="77"/>
  <c r="A36" i="77"/>
  <c r="AS36" i="77"/>
  <c r="M36" i="77"/>
  <c r="E34" i="77"/>
  <c r="C35" i="77"/>
  <c r="A35" i="77"/>
  <c r="E33" i="77"/>
  <c r="C34" i="77"/>
  <c r="A34" i="77"/>
  <c r="K33" i="77"/>
  <c r="AS32" i="77"/>
  <c r="P32" i="77"/>
  <c r="N32" i="77"/>
  <c r="M32" i="77"/>
  <c r="K32" i="77"/>
  <c r="C31" i="77"/>
  <c r="A31" i="77"/>
  <c r="AS31" i="77"/>
  <c r="P31" i="77"/>
  <c r="N31" i="77"/>
  <c r="M31" i="77"/>
  <c r="K31" i="77"/>
  <c r="I31" i="77"/>
  <c r="G31" i="77"/>
  <c r="E29" i="77"/>
  <c r="C29" i="77"/>
  <c r="A29" i="77"/>
  <c r="AS30" i="77"/>
  <c r="P30" i="77"/>
  <c r="N30" i="77"/>
  <c r="M30" i="77"/>
  <c r="K30" i="77"/>
  <c r="I30" i="77"/>
  <c r="G30" i="77"/>
  <c r="E28" i="77"/>
  <c r="C28" i="77"/>
  <c r="A28" i="77"/>
  <c r="AS29" i="77"/>
  <c r="P29" i="77"/>
  <c r="N29" i="77"/>
  <c r="M29" i="77"/>
  <c r="K29" i="77"/>
  <c r="I29" i="77"/>
  <c r="G29" i="77"/>
  <c r="E27" i="77"/>
  <c r="C27" i="77"/>
  <c r="A27" i="77"/>
  <c r="AS28" i="77"/>
  <c r="P28" i="77"/>
  <c r="K28" i="77"/>
  <c r="I28" i="77"/>
  <c r="G28" i="77"/>
  <c r="E26" i="77"/>
  <c r="C26" i="77"/>
  <c r="A26" i="77"/>
  <c r="AS27" i="77"/>
  <c r="P27" i="77"/>
  <c r="K27" i="77"/>
  <c r="I27" i="77"/>
  <c r="G27" i="77"/>
  <c r="E25" i="77"/>
  <c r="C25" i="77"/>
  <c r="A25" i="77"/>
  <c r="P26" i="77"/>
  <c r="N26" i="77"/>
  <c r="M26" i="77"/>
  <c r="K26" i="77"/>
  <c r="I26" i="77"/>
  <c r="G26" i="77"/>
  <c r="E24" i="77"/>
  <c r="C24" i="77"/>
  <c r="A24" i="77"/>
  <c r="P25" i="77"/>
  <c r="N25" i="77"/>
  <c r="M25" i="77"/>
  <c r="K25" i="77"/>
  <c r="I25" i="77"/>
  <c r="G25" i="77"/>
  <c r="E23" i="77"/>
  <c r="C23" i="77"/>
  <c r="A23" i="77"/>
  <c r="P24" i="77"/>
  <c r="N24" i="77"/>
  <c r="M24" i="77"/>
  <c r="K24" i="77"/>
  <c r="AN24" i="77" s="1"/>
  <c r="I24" i="77"/>
  <c r="G24" i="77"/>
  <c r="E22" i="77"/>
  <c r="C22" i="77"/>
  <c r="A22" i="77"/>
  <c r="P23" i="77"/>
  <c r="N23" i="77"/>
  <c r="M23" i="77"/>
  <c r="K23" i="77"/>
  <c r="I23" i="77"/>
  <c r="G23" i="77"/>
  <c r="E21" i="77"/>
  <c r="C21" i="77"/>
  <c r="A21" i="77"/>
  <c r="AS22" i="77"/>
  <c r="K22" i="77"/>
  <c r="I22" i="77"/>
  <c r="G22" i="77"/>
  <c r="AS21" i="77"/>
  <c r="K21" i="77"/>
  <c r="I21" i="77"/>
  <c r="G21" i="77"/>
  <c r="P20" i="77"/>
  <c r="N20" i="77"/>
  <c r="M20" i="77"/>
  <c r="K20" i="77"/>
  <c r="I20" i="77"/>
  <c r="G20" i="77"/>
  <c r="E18" i="77"/>
  <c r="C18" i="77"/>
  <c r="A18" i="77"/>
  <c r="P19" i="77"/>
  <c r="N19" i="77"/>
  <c r="M19" i="77"/>
  <c r="K19" i="77"/>
  <c r="I19" i="77"/>
  <c r="G19" i="77"/>
  <c r="E17" i="77"/>
  <c r="C17" i="77"/>
  <c r="A17" i="77"/>
  <c r="P18" i="77"/>
  <c r="N18" i="77"/>
  <c r="M18" i="77"/>
  <c r="E16" i="77"/>
  <c r="C16" i="77"/>
  <c r="A16" i="77"/>
  <c r="AS17" i="77"/>
  <c r="E15" i="77"/>
  <c r="C15" i="77"/>
  <c r="A15" i="77"/>
  <c r="AS16" i="77"/>
  <c r="K16" i="77"/>
  <c r="E14" i="77"/>
  <c r="C14" i="77"/>
  <c r="A14" i="77"/>
  <c r="P15" i="77"/>
  <c r="N15" i="77"/>
  <c r="M15" i="77"/>
  <c r="K15" i="77"/>
  <c r="E13" i="77"/>
  <c r="C13" i="77"/>
  <c r="A13" i="77"/>
  <c r="P14" i="77"/>
  <c r="N14" i="77"/>
  <c r="M14" i="77"/>
  <c r="K14" i="77"/>
  <c r="E12" i="77"/>
  <c r="C12" i="77"/>
  <c r="A12" i="77"/>
  <c r="P13" i="77"/>
  <c r="N13" i="77"/>
  <c r="M13" i="77"/>
  <c r="K13" i="77"/>
  <c r="E11" i="77"/>
  <c r="C11" i="77"/>
  <c r="A11" i="77"/>
  <c r="K12" i="77"/>
  <c r="E10" i="77"/>
  <c r="C10" i="77"/>
  <c r="A10" i="77"/>
  <c r="K11" i="77"/>
  <c r="E9" i="77"/>
  <c r="C9" i="77"/>
  <c r="A9" i="77"/>
  <c r="P10" i="77"/>
  <c r="N10" i="77"/>
  <c r="M10" i="77"/>
  <c r="K10" i="77"/>
  <c r="E8" i="77"/>
  <c r="C8" i="77"/>
  <c r="A8" i="77"/>
  <c r="P9" i="77"/>
  <c r="N9" i="77"/>
  <c r="M9" i="77"/>
  <c r="K9" i="77"/>
  <c r="E7" i="77"/>
  <c r="C7" i="77"/>
  <c r="A7" i="77"/>
  <c r="P8" i="77"/>
  <c r="N8" i="77"/>
  <c r="M8" i="77"/>
  <c r="K8" i="77"/>
  <c r="E6" i="77"/>
  <c r="C6" i="77"/>
  <c r="A6" i="77"/>
  <c r="P7" i="77"/>
  <c r="N7" i="77"/>
  <c r="M7" i="77"/>
  <c r="K7" i="77"/>
  <c r="E5" i="77"/>
  <c r="C5" i="77"/>
  <c r="A5" i="77"/>
  <c r="P6" i="77"/>
  <c r="N6" i="77"/>
  <c r="M6" i="77"/>
  <c r="K6" i="77"/>
  <c r="P5" i="77"/>
  <c r="N5" i="77"/>
  <c r="M5" i="77"/>
  <c r="K5" i="77"/>
  <c r="O30" i="76"/>
  <c r="O31" i="76"/>
  <c r="O32" i="76"/>
  <c r="O29" i="76"/>
  <c r="O24" i="76"/>
  <c r="O25" i="76"/>
  <c r="O26" i="76"/>
  <c r="O23" i="76"/>
  <c r="O19" i="76"/>
  <c r="O20" i="76"/>
  <c r="O18" i="76"/>
  <c r="O14" i="76"/>
  <c r="O15" i="76"/>
  <c r="O13" i="76"/>
  <c r="O6" i="76"/>
  <c r="O7" i="76"/>
  <c r="O8" i="76"/>
  <c r="O9" i="76"/>
  <c r="O10" i="76"/>
  <c r="O5" i="76"/>
  <c r="J21" i="76"/>
  <c r="J22" i="76"/>
  <c r="J23" i="76"/>
  <c r="J24" i="76"/>
  <c r="J25" i="76"/>
  <c r="J26" i="76"/>
  <c r="J27" i="76"/>
  <c r="J28" i="76"/>
  <c r="J29" i="76"/>
  <c r="J30" i="76"/>
  <c r="D46" i="76"/>
  <c r="D47" i="76"/>
  <c r="F46" i="76" s="1"/>
  <c r="D48" i="76"/>
  <c r="F47" i="76" s="1"/>
  <c r="D49" i="76"/>
  <c r="F48" i="76" s="1"/>
  <c r="D50" i="76"/>
  <c r="F49" i="76" s="1"/>
  <c r="D51" i="76"/>
  <c r="F50" i="76" s="1"/>
  <c r="D52" i="76"/>
  <c r="F51" i="76" s="1"/>
  <c r="D53" i="76"/>
  <c r="F52" i="76" s="1"/>
  <c r="D54" i="76"/>
  <c r="F53" i="76" s="1"/>
  <c r="D55" i="76"/>
  <c r="F54" i="76" s="1"/>
  <c r="D56" i="76"/>
  <c r="F55" i="76" s="1"/>
  <c r="D45" i="76"/>
  <c r="D35" i="76"/>
  <c r="D36" i="76"/>
  <c r="D37" i="76"/>
  <c r="D38" i="76"/>
  <c r="D39" i="76"/>
  <c r="D40" i="76"/>
  <c r="D41" i="76"/>
  <c r="D42" i="76"/>
  <c r="D34" i="76"/>
  <c r="D22" i="76"/>
  <c r="D23" i="76"/>
  <c r="D24" i="76"/>
  <c r="D25" i="76"/>
  <c r="D26" i="76"/>
  <c r="D27" i="76"/>
  <c r="D28" i="76"/>
  <c r="D29" i="76"/>
  <c r="D31" i="76"/>
  <c r="F31" i="76" s="1"/>
  <c r="D21" i="76"/>
  <c r="D5" i="76"/>
  <c r="D6" i="76"/>
  <c r="D7" i="76"/>
  <c r="D8" i="76"/>
  <c r="D9" i="76"/>
  <c r="D10" i="76"/>
  <c r="D13" i="76"/>
  <c r="D14" i="76"/>
  <c r="D16" i="76"/>
  <c r="D17" i="76"/>
  <c r="D18" i="76"/>
  <c r="V33" i="56"/>
  <c r="X33" i="56"/>
  <c r="V34" i="56"/>
  <c r="X34" i="56"/>
  <c r="V36" i="56"/>
  <c r="X36" i="56"/>
  <c r="V38" i="56"/>
  <c r="X38" i="56"/>
  <c r="X20" i="56"/>
  <c r="K79" i="76"/>
  <c r="C56" i="76"/>
  <c r="A56" i="76"/>
  <c r="C55" i="76"/>
  <c r="A55" i="76"/>
  <c r="C54" i="76"/>
  <c r="A54" i="76"/>
  <c r="C53" i="76"/>
  <c r="A53" i="76"/>
  <c r="C52" i="76"/>
  <c r="A52" i="76"/>
  <c r="C51" i="76"/>
  <c r="A51" i="76"/>
  <c r="C50" i="76"/>
  <c r="A50" i="76"/>
  <c r="C49" i="76"/>
  <c r="A49" i="76"/>
  <c r="C48" i="76"/>
  <c r="A48" i="76"/>
  <c r="C47" i="76"/>
  <c r="A47" i="76"/>
  <c r="C46" i="76"/>
  <c r="A46" i="76"/>
  <c r="M46" i="76"/>
  <c r="E44" i="76"/>
  <c r="C45" i="76"/>
  <c r="A45" i="76"/>
  <c r="M45" i="76"/>
  <c r="M44" i="76"/>
  <c r="M43" i="76"/>
  <c r="E41" i="76"/>
  <c r="C42" i="76"/>
  <c r="A42" i="76"/>
  <c r="M42" i="76"/>
  <c r="E40" i="76"/>
  <c r="C41" i="76"/>
  <c r="A41" i="76"/>
  <c r="M41" i="76"/>
  <c r="E39" i="76"/>
  <c r="C40" i="76"/>
  <c r="A40" i="76"/>
  <c r="M40" i="76"/>
  <c r="E38" i="76"/>
  <c r="C39" i="76"/>
  <c r="A39" i="76"/>
  <c r="M39" i="76"/>
  <c r="E37" i="76"/>
  <c r="C38" i="76"/>
  <c r="A38" i="76"/>
  <c r="M38" i="76"/>
  <c r="E36" i="76"/>
  <c r="C37" i="76"/>
  <c r="A37" i="76"/>
  <c r="M37" i="76"/>
  <c r="E35" i="76"/>
  <c r="C36" i="76"/>
  <c r="A36" i="76"/>
  <c r="M36" i="76"/>
  <c r="E34" i="76"/>
  <c r="C35" i="76"/>
  <c r="A35" i="76"/>
  <c r="E33" i="76"/>
  <c r="C34" i="76"/>
  <c r="A34" i="76"/>
  <c r="K33" i="76"/>
  <c r="P32" i="76"/>
  <c r="N32" i="76"/>
  <c r="M32" i="76"/>
  <c r="K32" i="76"/>
  <c r="C31" i="76"/>
  <c r="A31" i="76"/>
  <c r="P31" i="76"/>
  <c r="N31" i="76"/>
  <c r="M31" i="76"/>
  <c r="K31" i="76"/>
  <c r="I31" i="76"/>
  <c r="G31" i="76"/>
  <c r="E29" i="76"/>
  <c r="C29" i="76"/>
  <c r="A29" i="76"/>
  <c r="P30" i="76"/>
  <c r="N30" i="76"/>
  <c r="M30" i="76"/>
  <c r="K30" i="76"/>
  <c r="I30" i="76"/>
  <c r="G30" i="76"/>
  <c r="E28" i="76"/>
  <c r="C28" i="76"/>
  <c r="A28" i="76"/>
  <c r="P29" i="76"/>
  <c r="N29" i="76"/>
  <c r="M29" i="76"/>
  <c r="K29" i="76"/>
  <c r="I29" i="76"/>
  <c r="G29" i="76"/>
  <c r="E27" i="76"/>
  <c r="C27" i="76"/>
  <c r="A27" i="76"/>
  <c r="P28" i="76"/>
  <c r="K28" i="76"/>
  <c r="I28" i="76"/>
  <c r="G28" i="76"/>
  <c r="E26" i="76"/>
  <c r="C26" i="76"/>
  <c r="A26" i="76"/>
  <c r="P27" i="76"/>
  <c r="K27" i="76"/>
  <c r="I27" i="76"/>
  <c r="G27" i="76"/>
  <c r="E25" i="76"/>
  <c r="C25" i="76"/>
  <c r="A25" i="76"/>
  <c r="P26" i="76"/>
  <c r="N26" i="76"/>
  <c r="M26" i="76"/>
  <c r="K26" i="76"/>
  <c r="I26" i="76"/>
  <c r="G26" i="76"/>
  <c r="E24" i="76"/>
  <c r="C24" i="76"/>
  <c r="A24" i="76"/>
  <c r="P25" i="76"/>
  <c r="N25" i="76"/>
  <c r="M25" i="76"/>
  <c r="K25" i="76"/>
  <c r="I25" i="76"/>
  <c r="G25" i="76"/>
  <c r="E23" i="76"/>
  <c r="C23" i="76"/>
  <c r="A23" i="76"/>
  <c r="P24" i="76"/>
  <c r="N24" i="76"/>
  <c r="M24" i="76"/>
  <c r="K24" i="76"/>
  <c r="I24" i="76"/>
  <c r="G24" i="76"/>
  <c r="E22" i="76"/>
  <c r="C22" i="76"/>
  <c r="A22" i="76"/>
  <c r="P23" i="76"/>
  <c r="N23" i="76"/>
  <c r="M23" i="76"/>
  <c r="K23" i="76"/>
  <c r="I23" i="76"/>
  <c r="G23" i="76"/>
  <c r="E21" i="76"/>
  <c r="C21" i="76"/>
  <c r="A21" i="76"/>
  <c r="K22" i="76"/>
  <c r="I22" i="76"/>
  <c r="G22" i="76"/>
  <c r="K21" i="76"/>
  <c r="I21" i="76"/>
  <c r="G21" i="76"/>
  <c r="P20" i="76"/>
  <c r="N20" i="76"/>
  <c r="M20" i="76"/>
  <c r="K20" i="76"/>
  <c r="I20" i="76"/>
  <c r="G20" i="76"/>
  <c r="E18" i="76"/>
  <c r="C18" i="76"/>
  <c r="A18" i="76"/>
  <c r="P19" i="76"/>
  <c r="N19" i="76"/>
  <c r="M19" i="76"/>
  <c r="K19" i="76"/>
  <c r="I19" i="76"/>
  <c r="G19" i="76"/>
  <c r="E17" i="76"/>
  <c r="C17" i="76"/>
  <c r="A17" i="76"/>
  <c r="P18" i="76"/>
  <c r="N18" i="76"/>
  <c r="M18" i="76"/>
  <c r="E16" i="76"/>
  <c r="C16" i="76"/>
  <c r="A16" i="76"/>
  <c r="E15" i="76"/>
  <c r="C15" i="76"/>
  <c r="A15" i="76"/>
  <c r="K16" i="76"/>
  <c r="E14" i="76"/>
  <c r="C14" i="76"/>
  <c r="A14" i="76"/>
  <c r="P15" i="76"/>
  <c r="N15" i="76"/>
  <c r="M15" i="76"/>
  <c r="K15" i="76"/>
  <c r="E13" i="76"/>
  <c r="C13" i="76"/>
  <c r="A13" i="76"/>
  <c r="P14" i="76"/>
  <c r="N14" i="76"/>
  <c r="M14" i="76"/>
  <c r="K14" i="76"/>
  <c r="E12" i="76"/>
  <c r="C12" i="76"/>
  <c r="A12" i="76"/>
  <c r="P13" i="76"/>
  <c r="N13" i="76"/>
  <c r="M13" i="76"/>
  <c r="K13" i="76"/>
  <c r="E11" i="76"/>
  <c r="C11" i="76"/>
  <c r="A11" i="76"/>
  <c r="K12" i="76"/>
  <c r="E10" i="76"/>
  <c r="C10" i="76"/>
  <c r="A10" i="76"/>
  <c r="K11" i="76"/>
  <c r="E9" i="76"/>
  <c r="C9" i="76"/>
  <c r="A9" i="76"/>
  <c r="P10" i="76"/>
  <c r="N10" i="76"/>
  <c r="M10" i="76"/>
  <c r="K10" i="76"/>
  <c r="E8" i="76"/>
  <c r="C8" i="76"/>
  <c r="A8" i="76"/>
  <c r="P9" i="76"/>
  <c r="N9" i="76"/>
  <c r="M9" i="76"/>
  <c r="K9" i="76"/>
  <c r="E7" i="76"/>
  <c r="C7" i="76"/>
  <c r="A7" i="76"/>
  <c r="P8" i="76"/>
  <c r="N8" i="76"/>
  <c r="M8" i="76"/>
  <c r="K8" i="76"/>
  <c r="E6" i="76"/>
  <c r="C6" i="76"/>
  <c r="A6" i="76"/>
  <c r="P7" i="76"/>
  <c r="N7" i="76"/>
  <c r="M7" i="76"/>
  <c r="K7" i="76"/>
  <c r="E5" i="76"/>
  <c r="C5" i="76"/>
  <c r="A5" i="76"/>
  <c r="P6" i="76"/>
  <c r="N6" i="76"/>
  <c r="M6" i="76"/>
  <c r="K6" i="76"/>
  <c r="P5" i="76"/>
  <c r="N5" i="76"/>
  <c r="M5" i="76"/>
  <c r="K5" i="76"/>
  <c r="O30" i="75"/>
  <c r="O31" i="75"/>
  <c r="O32" i="75"/>
  <c r="O29" i="75"/>
  <c r="O24" i="75"/>
  <c r="O25" i="75"/>
  <c r="O26" i="75"/>
  <c r="O23" i="75"/>
  <c r="O19" i="75"/>
  <c r="O20" i="75"/>
  <c r="O18" i="75"/>
  <c r="O14" i="75"/>
  <c r="O15" i="75"/>
  <c r="O13" i="75"/>
  <c r="O6" i="75"/>
  <c r="O7" i="75"/>
  <c r="O8" i="75"/>
  <c r="O9" i="75"/>
  <c r="O10" i="75"/>
  <c r="O5" i="75"/>
  <c r="J20" i="75"/>
  <c r="J21" i="75"/>
  <c r="J22" i="75"/>
  <c r="J23" i="75"/>
  <c r="J24" i="75"/>
  <c r="J25" i="75"/>
  <c r="J26" i="75"/>
  <c r="J27" i="75"/>
  <c r="J28" i="75"/>
  <c r="J29" i="75"/>
  <c r="J30" i="75"/>
  <c r="J31" i="75"/>
  <c r="J19" i="75"/>
  <c r="D46" i="75"/>
  <c r="D47" i="75"/>
  <c r="F46" i="75" s="1"/>
  <c r="D48" i="75"/>
  <c r="F47" i="75" s="1"/>
  <c r="D49" i="75"/>
  <c r="F48" i="75" s="1"/>
  <c r="D50" i="75"/>
  <c r="F49" i="75" s="1"/>
  <c r="D51" i="75"/>
  <c r="F50" i="75" s="1"/>
  <c r="D52" i="75"/>
  <c r="F51" i="75" s="1"/>
  <c r="D53" i="75"/>
  <c r="F52" i="75" s="1"/>
  <c r="D54" i="75"/>
  <c r="F53" i="75" s="1"/>
  <c r="D55" i="75"/>
  <c r="F54" i="75" s="1"/>
  <c r="D56" i="75"/>
  <c r="F55" i="75" s="1"/>
  <c r="D45" i="75"/>
  <c r="D35" i="75"/>
  <c r="D36" i="75"/>
  <c r="D37" i="75"/>
  <c r="D38" i="75"/>
  <c r="D39" i="75"/>
  <c r="D40" i="75"/>
  <c r="D41" i="75"/>
  <c r="D42" i="75"/>
  <c r="D34" i="75"/>
  <c r="D22" i="75"/>
  <c r="D23" i="75"/>
  <c r="D24" i="75"/>
  <c r="D25" i="75"/>
  <c r="D26" i="75"/>
  <c r="D27" i="75"/>
  <c r="D28" i="75"/>
  <c r="D29" i="75"/>
  <c r="D31" i="75"/>
  <c r="F31" i="75" s="1"/>
  <c r="D21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V20" i="56"/>
  <c r="K79" i="75"/>
  <c r="C56" i="75"/>
  <c r="A56" i="75"/>
  <c r="C55" i="75"/>
  <c r="A55" i="75"/>
  <c r="C54" i="75"/>
  <c r="A54" i="75"/>
  <c r="C53" i="75"/>
  <c r="A53" i="75"/>
  <c r="C52" i="75"/>
  <c r="A52" i="75"/>
  <c r="C51" i="75"/>
  <c r="A51" i="75"/>
  <c r="C50" i="75"/>
  <c r="A50" i="75"/>
  <c r="C49" i="75"/>
  <c r="A49" i="75"/>
  <c r="C48" i="75"/>
  <c r="A48" i="75"/>
  <c r="C47" i="75"/>
  <c r="A47" i="75"/>
  <c r="C46" i="75"/>
  <c r="A46" i="75"/>
  <c r="M46" i="75"/>
  <c r="E44" i="75"/>
  <c r="C45" i="75"/>
  <c r="A45" i="75"/>
  <c r="M45" i="75"/>
  <c r="M44" i="75"/>
  <c r="M43" i="75"/>
  <c r="E41" i="75"/>
  <c r="C42" i="75"/>
  <c r="A42" i="75"/>
  <c r="M42" i="75"/>
  <c r="E40" i="75"/>
  <c r="C41" i="75"/>
  <c r="A41" i="75"/>
  <c r="M41" i="75"/>
  <c r="E39" i="75"/>
  <c r="C40" i="75"/>
  <c r="A40" i="75"/>
  <c r="M40" i="75"/>
  <c r="E38" i="75"/>
  <c r="C39" i="75"/>
  <c r="A39" i="75"/>
  <c r="M39" i="75"/>
  <c r="E37" i="75"/>
  <c r="C38" i="75"/>
  <c r="A38" i="75"/>
  <c r="M38" i="75"/>
  <c r="E36" i="75"/>
  <c r="C37" i="75"/>
  <c r="A37" i="75"/>
  <c r="M37" i="75"/>
  <c r="E35" i="75"/>
  <c r="C36" i="75"/>
  <c r="A36" i="75"/>
  <c r="M36" i="75"/>
  <c r="E34" i="75"/>
  <c r="C35" i="75"/>
  <c r="A35" i="75"/>
  <c r="E33" i="75"/>
  <c r="C34" i="75"/>
  <c r="A34" i="75"/>
  <c r="K33" i="75"/>
  <c r="P32" i="75"/>
  <c r="N32" i="75"/>
  <c r="M32" i="75"/>
  <c r="K32" i="75"/>
  <c r="C31" i="75"/>
  <c r="A31" i="75"/>
  <c r="P31" i="75"/>
  <c r="N31" i="75"/>
  <c r="M31" i="75"/>
  <c r="K31" i="75"/>
  <c r="I31" i="75"/>
  <c r="G31" i="75"/>
  <c r="E29" i="75"/>
  <c r="C29" i="75"/>
  <c r="A29" i="75"/>
  <c r="P30" i="75"/>
  <c r="N30" i="75"/>
  <c r="M30" i="75"/>
  <c r="K30" i="75"/>
  <c r="I30" i="75"/>
  <c r="G30" i="75"/>
  <c r="E28" i="75"/>
  <c r="C28" i="75"/>
  <c r="A28" i="75"/>
  <c r="P29" i="75"/>
  <c r="N29" i="75"/>
  <c r="M29" i="75"/>
  <c r="K29" i="75"/>
  <c r="I29" i="75"/>
  <c r="G29" i="75"/>
  <c r="E27" i="75"/>
  <c r="C27" i="75"/>
  <c r="A27" i="75"/>
  <c r="P28" i="75"/>
  <c r="K28" i="75"/>
  <c r="I28" i="75"/>
  <c r="G28" i="75"/>
  <c r="E26" i="75"/>
  <c r="C26" i="75"/>
  <c r="A26" i="75"/>
  <c r="P27" i="75"/>
  <c r="K27" i="75"/>
  <c r="I27" i="75"/>
  <c r="G27" i="75"/>
  <c r="E25" i="75"/>
  <c r="C25" i="75"/>
  <c r="A25" i="75"/>
  <c r="P26" i="75"/>
  <c r="N26" i="75"/>
  <c r="M26" i="75"/>
  <c r="K26" i="75"/>
  <c r="G26" i="75"/>
  <c r="E24" i="75"/>
  <c r="C24" i="75"/>
  <c r="A24" i="75"/>
  <c r="P25" i="75"/>
  <c r="N25" i="75"/>
  <c r="M25" i="75"/>
  <c r="K25" i="75"/>
  <c r="I25" i="75"/>
  <c r="G25" i="75"/>
  <c r="E23" i="75"/>
  <c r="C23" i="75"/>
  <c r="A23" i="75"/>
  <c r="P24" i="75"/>
  <c r="N24" i="75"/>
  <c r="M24" i="75"/>
  <c r="K24" i="75"/>
  <c r="I24" i="75"/>
  <c r="G24" i="75"/>
  <c r="E22" i="75"/>
  <c r="C22" i="75"/>
  <c r="A22" i="75"/>
  <c r="P23" i="75"/>
  <c r="N23" i="75"/>
  <c r="M23" i="75"/>
  <c r="K23" i="75"/>
  <c r="I23" i="75"/>
  <c r="G23" i="75"/>
  <c r="E21" i="75"/>
  <c r="C21" i="75"/>
  <c r="A21" i="75"/>
  <c r="K22" i="75"/>
  <c r="I22" i="75"/>
  <c r="G22" i="75"/>
  <c r="K21" i="75"/>
  <c r="I21" i="75"/>
  <c r="G21" i="75"/>
  <c r="P20" i="75"/>
  <c r="N20" i="75"/>
  <c r="M20" i="75"/>
  <c r="K20" i="75"/>
  <c r="I20" i="75"/>
  <c r="G20" i="75"/>
  <c r="E18" i="75"/>
  <c r="C18" i="75"/>
  <c r="A18" i="75"/>
  <c r="P19" i="75"/>
  <c r="N19" i="75"/>
  <c r="M19" i="75"/>
  <c r="K19" i="75"/>
  <c r="I19" i="75"/>
  <c r="G19" i="75"/>
  <c r="E17" i="75"/>
  <c r="C17" i="75"/>
  <c r="A17" i="75"/>
  <c r="P18" i="75"/>
  <c r="N18" i="75"/>
  <c r="M18" i="75"/>
  <c r="E16" i="75"/>
  <c r="C16" i="75"/>
  <c r="A16" i="75"/>
  <c r="E15" i="75"/>
  <c r="C15" i="75"/>
  <c r="A15" i="75"/>
  <c r="K16" i="75"/>
  <c r="E14" i="75"/>
  <c r="C14" i="75"/>
  <c r="A14" i="75"/>
  <c r="P15" i="75"/>
  <c r="N15" i="75"/>
  <c r="M15" i="75"/>
  <c r="K15" i="75"/>
  <c r="E13" i="75"/>
  <c r="C13" i="75"/>
  <c r="A13" i="75"/>
  <c r="P14" i="75"/>
  <c r="N14" i="75"/>
  <c r="M14" i="75"/>
  <c r="K14" i="75"/>
  <c r="E12" i="75"/>
  <c r="C12" i="75"/>
  <c r="A12" i="75"/>
  <c r="P13" i="75"/>
  <c r="N13" i="75"/>
  <c r="M13" i="75"/>
  <c r="K13" i="75"/>
  <c r="E11" i="75"/>
  <c r="C11" i="75"/>
  <c r="A11" i="75"/>
  <c r="K12" i="75"/>
  <c r="E10" i="75"/>
  <c r="C10" i="75"/>
  <c r="A10" i="75"/>
  <c r="K11" i="75"/>
  <c r="E9" i="75"/>
  <c r="C9" i="75"/>
  <c r="A9" i="75"/>
  <c r="P10" i="75"/>
  <c r="N10" i="75"/>
  <c r="M10" i="75"/>
  <c r="K10" i="75"/>
  <c r="E8" i="75"/>
  <c r="C8" i="75"/>
  <c r="A8" i="75"/>
  <c r="P9" i="75"/>
  <c r="N9" i="75"/>
  <c r="M9" i="75"/>
  <c r="K9" i="75"/>
  <c r="E7" i="75"/>
  <c r="C7" i="75"/>
  <c r="A7" i="75"/>
  <c r="P8" i="75"/>
  <c r="N8" i="75"/>
  <c r="M8" i="75"/>
  <c r="K8" i="75"/>
  <c r="E6" i="75"/>
  <c r="C6" i="75"/>
  <c r="A6" i="75"/>
  <c r="P7" i="75"/>
  <c r="N7" i="75"/>
  <c r="M7" i="75"/>
  <c r="K7" i="75"/>
  <c r="E5" i="75"/>
  <c r="C5" i="75"/>
  <c r="A5" i="75"/>
  <c r="P6" i="75"/>
  <c r="N6" i="75"/>
  <c r="M6" i="75"/>
  <c r="K6" i="75"/>
  <c r="P5" i="75"/>
  <c r="N5" i="75"/>
  <c r="M5" i="75"/>
  <c r="K5" i="75"/>
  <c r="T20" i="56"/>
  <c r="O30" i="74"/>
  <c r="O31" i="74"/>
  <c r="O32" i="74"/>
  <c r="O29" i="74"/>
  <c r="O24" i="74"/>
  <c r="O25" i="74"/>
  <c r="O26" i="74"/>
  <c r="O23" i="74"/>
  <c r="O19" i="74"/>
  <c r="O20" i="74"/>
  <c r="O18" i="74"/>
  <c r="O14" i="74"/>
  <c r="O15" i="74"/>
  <c r="O13" i="74"/>
  <c r="O7" i="74"/>
  <c r="O8" i="74"/>
  <c r="O9" i="74"/>
  <c r="O10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19" i="74"/>
  <c r="D46" i="74"/>
  <c r="D47" i="74"/>
  <c r="F46" i="74" s="1"/>
  <c r="D48" i="74"/>
  <c r="F47" i="74" s="1"/>
  <c r="D49" i="74"/>
  <c r="F48" i="74" s="1"/>
  <c r="D50" i="74"/>
  <c r="F49" i="74" s="1"/>
  <c r="D51" i="74"/>
  <c r="F50" i="74" s="1"/>
  <c r="D52" i="74"/>
  <c r="F51" i="74" s="1"/>
  <c r="D53" i="74"/>
  <c r="F52" i="74" s="1"/>
  <c r="D54" i="74"/>
  <c r="F53" i="74" s="1"/>
  <c r="D55" i="74"/>
  <c r="F54" i="74" s="1"/>
  <c r="D56" i="74"/>
  <c r="F55" i="74" s="1"/>
  <c r="D45" i="74"/>
  <c r="D35" i="74"/>
  <c r="D39" i="74"/>
  <c r="D40" i="74"/>
  <c r="D41" i="74"/>
  <c r="D34" i="74"/>
  <c r="D22" i="74"/>
  <c r="D23" i="74"/>
  <c r="D24" i="74"/>
  <c r="D25" i="74"/>
  <c r="D26" i="74"/>
  <c r="D27" i="74"/>
  <c r="D28" i="74"/>
  <c r="D29" i="74"/>
  <c r="D31" i="74"/>
  <c r="F31" i="74" s="1"/>
  <c r="D21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K79" i="74"/>
  <c r="C56" i="74"/>
  <c r="A56" i="74"/>
  <c r="C55" i="74"/>
  <c r="A55" i="74"/>
  <c r="C54" i="74"/>
  <c r="A54" i="74"/>
  <c r="C53" i="74"/>
  <c r="A53" i="74"/>
  <c r="C52" i="74"/>
  <c r="A52" i="74"/>
  <c r="C51" i="74"/>
  <c r="A51" i="74"/>
  <c r="C50" i="74"/>
  <c r="A50" i="74"/>
  <c r="C49" i="74"/>
  <c r="A49" i="74"/>
  <c r="C48" i="74"/>
  <c r="A48" i="74"/>
  <c r="C47" i="74"/>
  <c r="A47" i="74"/>
  <c r="C46" i="74"/>
  <c r="A46" i="74"/>
  <c r="M46" i="74"/>
  <c r="E44" i="74"/>
  <c r="C45" i="74"/>
  <c r="A45" i="74"/>
  <c r="M45" i="74"/>
  <c r="M44" i="74"/>
  <c r="M43" i="74"/>
  <c r="E41" i="74"/>
  <c r="C42" i="74"/>
  <c r="A42" i="74"/>
  <c r="M42" i="74"/>
  <c r="E40" i="74"/>
  <c r="C41" i="74"/>
  <c r="A41" i="74"/>
  <c r="M41" i="74"/>
  <c r="E39" i="74"/>
  <c r="C40" i="74"/>
  <c r="A40" i="74"/>
  <c r="M40" i="74"/>
  <c r="E38" i="74"/>
  <c r="C39" i="74"/>
  <c r="A39" i="74"/>
  <c r="M39" i="74"/>
  <c r="E37" i="74"/>
  <c r="C38" i="74"/>
  <c r="A38" i="74"/>
  <c r="M38" i="74"/>
  <c r="E36" i="74"/>
  <c r="C37" i="74"/>
  <c r="A37" i="74"/>
  <c r="M37" i="74"/>
  <c r="E35" i="74"/>
  <c r="C36" i="74"/>
  <c r="A36" i="74"/>
  <c r="M36" i="74"/>
  <c r="E34" i="74"/>
  <c r="C35" i="74"/>
  <c r="A35" i="74"/>
  <c r="E33" i="74"/>
  <c r="C34" i="74"/>
  <c r="A34" i="74"/>
  <c r="K33" i="74"/>
  <c r="P32" i="74"/>
  <c r="N32" i="74"/>
  <c r="M32" i="74"/>
  <c r="K32" i="74"/>
  <c r="C31" i="74"/>
  <c r="A31" i="74"/>
  <c r="P31" i="74"/>
  <c r="N31" i="74"/>
  <c r="M31" i="74"/>
  <c r="K31" i="74"/>
  <c r="I31" i="74"/>
  <c r="G31" i="74"/>
  <c r="E29" i="74"/>
  <c r="C29" i="74"/>
  <c r="A29" i="74"/>
  <c r="P30" i="74"/>
  <c r="N30" i="74"/>
  <c r="M30" i="74"/>
  <c r="K30" i="74"/>
  <c r="I30" i="74"/>
  <c r="G30" i="74"/>
  <c r="E28" i="74"/>
  <c r="C28" i="74"/>
  <c r="A28" i="74"/>
  <c r="P29" i="74"/>
  <c r="N29" i="74"/>
  <c r="M29" i="74"/>
  <c r="K29" i="74"/>
  <c r="I29" i="74"/>
  <c r="G29" i="74"/>
  <c r="E27" i="74"/>
  <c r="C27" i="74"/>
  <c r="A27" i="74"/>
  <c r="P28" i="74"/>
  <c r="K28" i="74"/>
  <c r="I28" i="74"/>
  <c r="G28" i="74"/>
  <c r="E26" i="74"/>
  <c r="C26" i="74"/>
  <c r="A26" i="74"/>
  <c r="P27" i="74"/>
  <c r="K27" i="74"/>
  <c r="I27" i="74"/>
  <c r="G27" i="74"/>
  <c r="E25" i="74"/>
  <c r="C25" i="74"/>
  <c r="A25" i="74"/>
  <c r="P26" i="74"/>
  <c r="N26" i="74"/>
  <c r="M26" i="74"/>
  <c r="K26" i="74"/>
  <c r="I26" i="74"/>
  <c r="G26" i="74"/>
  <c r="E24" i="74"/>
  <c r="C24" i="74"/>
  <c r="A24" i="74"/>
  <c r="P25" i="74"/>
  <c r="N25" i="74"/>
  <c r="M25" i="74"/>
  <c r="K25" i="74"/>
  <c r="I25" i="74"/>
  <c r="G25" i="74"/>
  <c r="E23" i="74"/>
  <c r="C23" i="74"/>
  <c r="A23" i="74"/>
  <c r="P24" i="74"/>
  <c r="N24" i="74"/>
  <c r="M24" i="74"/>
  <c r="K24" i="74"/>
  <c r="I24" i="74"/>
  <c r="G24" i="74"/>
  <c r="E22" i="74"/>
  <c r="C22" i="74"/>
  <c r="A22" i="74"/>
  <c r="P23" i="74"/>
  <c r="N23" i="74"/>
  <c r="M23" i="74"/>
  <c r="K23" i="74"/>
  <c r="I23" i="74"/>
  <c r="G23" i="74"/>
  <c r="E21" i="74"/>
  <c r="C21" i="74"/>
  <c r="A21" i="74"/>
  <c r="K22" i="74"/>
  <c r="I22" i="74"/>
  <c r="G22" i="74"/>
  <c r="K21" i="74"/>
  <c r="I21" i="74"/>
  <c r="G21" i="74"/>
  <c r="P20" i="74"/>
  <c r="N20" i="74"/>
  <c r="M20" i="74"/>
  <c r="K20" i="74"/>
  <c r="I20" i="74"/>
  <c r="G20" i="74"/>
  <c r="E18" i="74"/>
  <c r="C18" i="74"/>
  <c r="A18" i="74"/>
  <c r="P19" i="74"/>
  <c r="N19" i="74"/>
  <c r="M19" i="74"/>
  <c r="K19" i="74"/>
  <c r="I19" i="74"/>
  <c r="G19" i="74"/>
  <c r="E17" i="74"/>
  <c r="C17" i="74"/>
  <c r="A17" i="74"/>
  <c r="P18" i="74"/>
  <c r="N18" i="74"/>
  <c r="M18" i="74"/>
  <c r="E16" i="74"/>
  <c r="C16" i="74"/>
  <c r="A16" i="74"/>
  <c r="E15" i="74"/>
  <c r="C15" i="74"/>
  <c r="A15" i="74"/>
  <c r="K16" i="74"/>
  <c r="E14" i="74"/>
  <c r="C14" i="74"/>
  <c r="A14" i="74"/>
  <c r="P15" i="74"/>
  <c r="N15" i="74"/>
  <c r="M15" i="74"/>
  <c r="K15" i="74"/>
  <c r="E13" i="74"/>
  <c r="C13" i="74"/>
  <c r="A13" i="74"/>
  <c r="P14" i="74"/>
  <c r="N14" i="74"/>
  <c r="M14" i="74"/>
  <c r="K14" i="74"/>
  <c r="E12" i="74"/>
  <c r="C12" i="74"/>
  <c r="A12" i="74"/>
  <c r="P13" i="74"/>
  <c r="N13" i="74"/>
  <c r="M13" i="74"/>
  <c r="K13" i="74"/>
  <c r="E11" i="74"/>
  <c r="C11" i="74"/>
  <c r="A11" i="74"/>
  <c r="K12" i="74"/>
  <c r="E10" i="74"/>
  <c r="C10" i="74"/>
  <c r="A10" i="74"/>
  <c r="K11" i="74"/>
  <c r="E9" i="74"/>
  <c r="C9" i="74"/>
  <c r="A9" i="74"/>
  <c r="P10" i="74"/>
  <c r="N10" i="74"/>
  <c r="M10" i="74"/>
  <c r="K10" i="74"/>
  <c r="E8" i="74"/>
  <c r="C8" i="74"/>
  <c r="A8" i="74"/>
  <c r="P9" i="74"/>
  <c r="N9" i="74"/>
  <c r="M9" i="74"/>
  <c r="K9" i="74"/>
  <c r="E7" i="74"/>
  <c r="C7" i="74"/>
  <c r="A7" i="74"/>
  <c r="P8" i="74"/>
  <c r="N8" i="74"/>
  <c r="M8" i="74"/>
  <c r="K8" i="74"/>
  <c r="E6" i="74"/>
  <c r="C6" i="74"/>
  <c r="A6" i="74"/>
  <c r="P7" i="74"/>
  <c r="N7" i="74"/>
  <c r="M7" i="74"/>
  <c r="K7" i="74"/>
  <c r="E5" i="74"/>
  <c r="C5" i="74"/>
  <c r="A5" i="74"/>
  <c r="P6" i="74"/>
  <c r="N6" i="74"/>
  <c r="M6" i="74"/>
  <c r="K6" i="74"/>
  <c r="P5" i="74"/>
  <c r="N5" i="74"/>
  <c r="M5" i="74"/>
  <c r="K5" i="74"/>
  <c r="R20" i="56"/>
  <c r="O32" i="73"/>
  <c r="O24" i="73"/>
  <c r="O25" i="73"/>
  <c r="O26" i="73"/>
  <c r="O23" i="73"/>
  <c r="O19" i="73"/>
  <c r="O20" i="73"/>
  <c r="O18" i="73"/>
  <c r="O14" i="73"/>
  <c r="O15" i="73"/>
  <c r="O13" i="73"/>
  <c r="O10" i="73"/>
  <c r="O7" i="73"/>
  <c r="O8" i="73"/>
  <c r="O9" i="73"/>
  <c r="J20" i="73"/>
  <c r="J21" i="73"/>
  <c r="J22" i="73"/>
  <c r="J23" i="73"/>
  <c r="J24" i="73"/>
  <c r="J25" i="73"/>
  <c r="J26" i="73"/>
  <c r="J27" i="73"/>
  <c r="J28" i="73"/>
  <c r="J29" i="73"/>
  <c r="J30" i="73"/>
  <c r="J31" i="73"/>
  <c r="J19" i="73"/>
  <c r="D56" i="73"/>
  <c r="F55" i="73" s="1"/>
  <c r="D46" i="73"/>
  <c r="D47" i="73"/>
  <c r="F46" i="73" s="1"/>
  <c r="D48" i="73"/>
  <c r="F47" i="73" s="1"/>
  <c r="D49" i="73"/>
  <c r="F48" i="73" s="1"/>
  <c r="D50" i="73"/>
  <c r="F49" i="73" s="1"/>
  <c r="D51" i="73"/>
  <c r="F50" i="73" s="1"/>
  <c r="D52" i="73"/>
  <c r="F51" i="73" s="1"/>
  <c r="D53" i="73"/>
  <c r="F52" i="73" s="1"/>
  <c r="D54" i="73"/>
  <c r="F53" i="73" s="1"/>
  <c r="D55" i="73"/>
  <c r="F54" i="73" s="1"/>
  <c r="D45" i="73"/>
  <c r="D42" i="73"/>
  <c r="D35" i="73"/>
  <c r="D36" i="73"/>
  <c r="D37" i="73"/>
  <c r="D38" i="73"/>
  <c r="D39" i="73"/>
  <c r="D40" i="73"/>
  <c r="D41" i="73"/>
  <c r="D34" i="73"/>
  <c r="D31" i="73"/>
  <c r="F31" i="73" s="1"/>
  <c r="D22" i="73"/>
  <c r="D23" i="73"/>
  <c r="D24" i="73"/>
  <c r="D25" i="73"/>
  <c r="D26" i="73"/>
  <c r="D27" i="73"/>
  <c r="D28" i="73"/>
  <c r="D29" i="73"/>
  <c r="D21" i="73"/>
  <c r="D18" i="73"/>
  <c r="D5" i="73"/>
  <c r="D6" i="73"/>
  <c r="D8" i="73"/>
  <c r="D9" i="73"/>
  <c r="D10" i="73"/>
  <c r="D11" i="73"/>
  <c r="D12" i="73"/>
  <c r="D13" i="73"/>
  <c r="D14" i="73"/>
  <c r="D15" i="73"/>
  <c r="D16" i="73"/>
  <c r="D17" i="73"/>
  <c r="R33" i="56"/>
  <c r="R34" i="56"/>
  <c r="R36" i="56"/>
  <c r="R38" i="56"/>
  <c r="K79" i="73"/>
  <c r="C56" i="73"/>
  <c r="A56" i="73"/>
  <c r="C55" i="73"/>
  <c r="A55" i="73"/>
  <c r="C54" i="73"/>
  <c r="A54" i="73"/>
  <c r="C53" i="73"/>
  <c r="A53" i="73"/>
  <c r="C52" i="73"/>
  <c r="A52" i="73"/>
  <c r="C51" i="73"/>
  <c r="A51" i="73"/>
  <c r="C50" i="73"/>
  <c r="A50" i="73"/>
  <c r="C49" i="73"/>
  <c r="A49" i="73"/>
  <c r="C48" i="73"/>
  <c r="A48" i="73"/>
  <c r="C47" i="73"/>
  <c r="A47" i="73"/>
  <c r="C46" i="73"/>
  <c r="A46" i="73"/>
  <c r="M46" i="73"/>
  <c r="E44" i="73"/>
  <c r="C45" i="73"/>
  <c r="A45" i="73"/>
  <c r="M45" i="73"/>
  <c r="M44" i="73"/>
  <c r="M43" i="73"/>
  <c r="E41" i="73"/>
  <c r="C42" i="73"/>
  <c r="A42" i="73"/>
  <c r="M42" i="73"/>
  <c r="E40" i="73"/>
  <c r="C41" i="73"/>
  <c r="A41" i="73"/>
  <c r="M41" i="73"/>
  <c r="E39" i="73"/>
  <c r="C40" i="73"/>
  <c r="A40" i="73"/>
  <c r="M40" i="73"/>
  <c r="E38" i="73"/>
  <c r="C39" i="73"/>
  <c r="A39" i="73"/>
  <c r="M39" i="73"/>
  <c r="E37" i="73"/>
  <c r="C38" i="73"/>
  <c r="A38" i="73"/>
  <c r="M38" i="73"/>
  <c r="E36" i="73"/>
  <c r="C37" i="73"/>
  <c r="A37" i="73"/>
  <c r="M37" i="73"/>
  <c r="E35" i="73"/>
  <c r="C36" i="73"/>
  <c r="A36" i="73"/>
  <c r="M36" i="73"/>
  <c r="E34" i="73"/>
  <c r="C35" i="73"/>
  <c r="A35" i="73"/>
  <c r="E33" i="73"/>
  <c r="C34" i="73"/>
  <c r="A34" i="73"/>
  <c r="K33" i="73"/>
  <c r="P32" i="73"/>
  <c r="N32" i="73"/>
  <c r="M32" i="73"/>
  <c r="K32" i="73"/>
  <c r="C31" i="73"/>
  <c r="A31" i="73"/>
  <c r="P31" i="73"/>
  <c r="N31" i="73"/>
  <c r="M31" i="73"/>
  <c r="K31" i="73"/>
  <c r="I31" i="73"/>
  <c r="G31" i="73"/>
  <c r="E29" i="73"/>
  <c r="C29" i="73"/>
  <c r="A29" i="73"/>
  <c r="P30" i="73"/>
  <c r="N30" i="73"/>
  <c r="M30" i="73"/>
  <c r="K30" i="73"/>
  <c r="I30" i="73"/>
  <c r="G30" i="73"/>
  <c r="E28" i="73"/>
  <c r="C28" i="73"/>
  <c r="A28" i="73"/>
  <c r="P29" i="73"/>
  <c r="N29" i="73"/>
  <c r="M29" i="73"/>
  <c r="K29" i="73"/>
  <c r="I29" i="73"/>
  <c r="G29" i="73"/>
  <c r="E27" i="73"/>
  <c r="C27" i="73"/>
  <c r="A27" i="73"/>
  <c r="P28" i="73"/>
  <c r="K28" i="73"/>
  <c r="I28" i="73"/>
  <c r="G28" i="73"/>
  <c r="E26" i="73"/>
  <c r="C26" i="73"/>
  <c r="A26" i="73"/>
  <c r="P27" i="73"/>
  <c r="K27" i="73"/>
  <c r="I27" i="73"/>
  <c r="G27" i="73"/>
  <c r="E25" i="73"/>
  <c r="C25" i="73"/>
  <c r="A25" i="73"/>
  <c r="P26" i="73"/>
  <c r="N26" i="73"/>
  <c r="M26" i="73"/>
  <c r="K26" i="73"/>
  <c r="I26" i="73"/>
  <c r="G26" i="73"/>
  <c r="E24" i="73"/>
  <c r="C24" i="73"/>
  <c r="A24" i="73"/>
  <c r="P25" i="73"/>
  <c r="N25" i="73"/>
  <c r="M25" i="73"/>
  <c r="K25" i="73"/>
  <c r="I25" i="73"/>
  <c r="G25" i="73"/>
  <c r="E23" i="73"/>
  <c r="C23" i="73"/>
  <c r="A23" i="73"/>
  <c r="P24" i="73"/>
  <c r="N24" i="73"/>
  <c r="M24" i="73"/>
  <c r="K24" i="73"/>
  <c r="I24" i="73"/>
  <c r="G24" i="73"/>
  <c r="E22" i="73"/>
  <c r="C22" i="73"/>
  <c r="A22" i="73"/>
  <c r="P23" i="73"/>
  <c r="N23" i="73"/>
  <c r="M23" i="73"/>
  <c r="K23" i="73"/>
  <c r="I23" i="73"/>
  <c r="G23" i="73"/>
  <c r="E21" i="73"/>
  <c r="C21" i="73"/>
  <c r="A21" i="73"/>
  <c r="K22" i="73"/>
  <c r="I22" i="73"/>
  <c r="G22" i="73"/>
  <c r="K21" i="73"/>
  <c r="I21" i="73"/>
  <c r="G21" i="73"/>
  <c r="P20" i="73"/>
  <c r="N20" i="73"/>
  <c r="M20" i="73"/>
  <c r="K20" i="73"/>
  <c r="I20" i="73"/>
  <c r="G20" i="73"/>
  <c r="E18" i="73"/>
  <c r="C18" i="73"/>
  <c r="A18" i="73"/>
  <c r="P19" i="73"/>
  <c r="N19" i="73"/>
  <c r="M19" i="73"/>
  <c r="K19" i="73"/>
  <c r="I19" i="73"/>
  <c r="G19" i="73"/>
  <c r="E17" i="73"/>
  <c r="C17" i="73"/>
  <c r="A17" i="73"/>
  <c r="P18" i="73"/>
  <c r="N18" i="73"/>
  <c r="M18" i="73"/>
  <c r="E16" i="73"/>
  <c r="C16" i="73"/>
  <c r="A16" i="73"/>
  <c r="E15" i="73"/>
  <c r="C15" i="73"/>
  <c r="A15" i="73"/>
  <c r="K16" i="73"/>
  <c r="E14" i="73"/>
  <c r="C14" i="73"/>
  <c r="A14" i="73"/>
  <c r="P15" i="73"/>
  <c r="N15" i="73"/>
  <c r="M15" i="73"/>
  <c r="K15" i="73"/>
  <c r="E13" i="73"/>
  <c r="C13" i="73"/>
  <c r="A13" i="73"/>
  <c r="P14" i="73"/>
  <c r="N14" i="73"/>
  <c r="M14" i="73"/>
  <c r="K14" i="73"/>
  <c r="E12" i="73"/>
  <c r="C12" i="73"/>
  <c r="A12" i="73"/>
  <c r="P13" i="73"/>
  <c r="N13" i="73"/>
  <c r="K13" i="73"/>
  <c r="E11" i="73"/>
  <c r="C11" i="73"/>
  <c r="A11" i="73"/>
  <c r="K12" i="73"/>
  <c r="E10" i="73"/>
  <c r="C10" i="73"/>
  <c r="A10" i="73"/>
  <c r="K11" i="73"/>
  <c r="E9" i="73"/>
  <c r="C9" i="73"/>
  <c r="A9" i="73"/>
  <c r="P10" i="73"/>
  <c r="N10" i="73"/>
  <c r="M10" i="73"/>
  <c r="K10" i="73"/>
  <c r="E8" i="73"/>
  <c r="C8" i="73"/>
  <c r="A8" i="73"/>
  <c r="P9" i="73"/>
  <c r="N9" i="73"/>
  <c r="M9" i="73"/>
  <c r="K9" i="73"/>
  <c r="E7" i="73"/>
  <c r="C7" i="73"/>
  <c r="A7" i="73"/>
  <c r="P8" i="73"/>
  <c r="N8" i="73"/>
  <c r="M8" i="73"/>
  <c r="K8" i="73"/>
  <c r="E6" i="73"/>
  <c r="C6" i="73"/>
  <c r="A6" i="73"/>
  <c r="P7" i="73"/>
  <c r="N7" i="73"/>
  <c r="M7" i="73"/>
  <c r="K7" i="73"/>
  <c r="E5" i="73"/>
  <c r="C5" i="73"/>
  <c r="A5" i="73"/>
  <c r="P6" i="73"/>
  <c r="N6" i="73"/>
  <c r="M6" i="73"/>
  <c r="K6" i="73"/>
  <c r="P5" i="73"/>
  <c r="N5" i="73"/>
  <c r="M5" i="73"/>
  <c r="K5" i="73"/>
  <c r="P32" i="56"/>
  <c r="P33" i="56"/>
  <c r="Q33" i="56"/>
  <c r="P34" i="56"/>
  <c r="Q34" i="56"/>
  <c r="P35" i="56"/>
  <c r="P36" i="56"/>
  <c r="Q36" i="56"/>
  <c r="P37" i="56"/>
  <c r="P38" i="56"/>
  <c r="Q38" i="56"/>
  <c r="P39" i="56"/>
  <c r="M46" i="49"/>
  <c r="P31" i="56" s="1"/>
  <c r="P30" i="49"/>
  <c r="P31" i="49"/>
  <c r="P32" i="49"/>
  <c r="P29" i="49"/>
  <c r="O30" i="49"/>
  <c r="Q30" i="49" s="1"/>
  <c r="O31" i="49"/>
  <c r="O32" i="49"/>
  <c r="O29" i="49"/>
  <c r="Q29" i="49" s="1"/>
  <c r="P27" i="49"/>
  <c r="P28" i="49"/>
  <c r="M30" i="49"/>
  <c r="N30" i="49"/>
  <c r="M31" i="49"/>
  <c r="N31" i="49"/>
  <c r="M32" i="49"/>
  <c r="N32" i="49"/>
  <c r="N29" i="49"/>
  <c r="M29" i="49"/>
  <c r="M1" i="49"/>
  <c r="J22" i="49"/>
  <c r="M45" i="49"/>
  <c r="P30" i="56" s="1"/>
  <c r="M44" i="49"/>
  <c r="P29" i="56" s="1"/>
  <c r="M43" i="49"/>
  <c r="P28" i="56" s="1"/>
  <c r="M42" i="49"/>
  <c r="P27" i="56" s="1"/>
  <c r="M41" i="49"/>
  <c r="P26" i="56" s="1"/>
  <c r="M40" i="49"/>
  <c r="P25" i="56" s="1"/>
  <c r="M39" i="49"/>
  <c r="P24" i="56" s="1"/>
  <c r="M38" i="49"/>
  <c r="P23" i="56" s="1"/>
  <c r="M37" i="49"/>
  <c r="P22" i="56" s="1"/>
  <c r="M36" i="49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P13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19" i="49"/>
  <c r="K13" i="49"/>
  <c r="K5" i="49"/>
  <c r="E44" i="49"/>
  <c r="C46" i="49"/>
  <c r="C47" i="49"/>
  <c r="C48" i="49"/>
  <c r="C49" i="49"/>
  <c r="C50" i="49"/>
  <c r="C51" i="49"/>
  <c r="C52" i="49"/>
  <c r="C53" i="49"/>
  <c r="C54" i="49"/>
  <c r="C55" i="49"/>
  <c r="C56" i="49"/>
  <c r="C45" i="49"/>
  <c r="A46" i="49"/>
  <c r="A47" i="49"/>
  <c r="A48" i="49"/>
  <c r="A49" i="49"/>
  <c r="A50" i="49"/>
  <c r="A51" i="49"/>
  <c r="A52" i="49"/>
  <c r="A53" i="49"/>
  <c r="A54" i="49"/>
  <c r="A55" i="49"/>
  <c r="A56" i="49"/>
  <c r="A45" i="49"/>
  <c r="E34" i="49"/>
  <c r="E35" i="49"/>
  <c r="E36" i="49"/>
  <c r="E37" i="49"/>
  <c r="E38" i="49"/>
  <c r="E39" i="49"/>
  <c r="E40" i="49"/>
  <c r="E41" i="49"/>
  <c r="E33" i="49"/>
  <c r="E21" i="49"/>
  <c r="C21" i="49"/>
  <c r="A21" i="49"/>
  <c r="E5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Q31" i="49" l="1"/>
  <c r="F12" i="77"/>
  <c r="L15" i="73"/>
  <c r="Q10" i="76"/>
  <c r="L29" i="74"/>
  <c r="Q25" i="75"/>
  <c r="AS5" i="77"/>
  <c r="AN15" i="77"/>
  <c r="AN33" i="77"/>
  <c r="F24" i="75"/>
  <c r="Q7" i="74"/>
  <c r="Q32" i="49"/>
  <c r="L7" i="73"/>
  <c r="AN19" i="77"/>
  <c r="Q26" i="77"/>
  <c r="F8" i="77"/>
  <c r="Q32" i="77"/>
  <c r="AI6" i="77"/>
  <c r="Q8" i="77"/>
  <c r="AI56" i="77"/>
  <c r="L11" i="75"/>
  <c r="F12" i="76"/>
  <c r="Q14" i="74"/>
  <c r="Q24" i="75"/>
  <c r="L29" i="75"/>
  <c r="Q26" i="49"/>
  <c r="N45" i="49" s="1"/>
  <c r="AN26" i="77"/>
  <c r="AI39" i="77"/>
  <c r="AI12" i="77"/>
  <c r="Q31" i="75"/>
  <c r="F28" i="75"/>
  <c r="F8" i="76"/>
  <c r="Q31" i="74"/>
  <c r="AI11" i="77"/>
  <c r="F13" i="77"/>
  <c r="F40" i="73"/>
  <c r="L29" i="73"/>
  <c r="F22" i="76"/>
  <c r="F39" i="76"/>
  <c r="L7" i="76"/>
  <c r="Q15" i="74"/>
  <c r="L6" i="77"/>
  <c r="L10" i="77"/>
  <c r="L22" i="76"/>
  <c r="F5" i="77"/>
  <c r="Q14" i="77"/>
  <c r="AN29" i="77"/>
  <c r="AI37" i="77"/>
  <c r="F35" i="76"/>
  <c r="L5" i="75"/>
  <c r="F12" i="75"/>
  <c r="F9" i="77"/>
  <c r="AN14" i="77"/>
  <c r="L8" i="77"/>
  <c r="F26" i="75"/>
  <c r="F26" i="76"/>
  <c r="Q30" i="76"/>
  <c r="F11" i="74"/>
  <c r="Q32" i="75"/>
  <c r="F23" i="75"/>
  <c r="L21" i="75"/>
  <c r="L5" i="76"/>
  <c r="F29" i="76"/>
  <c r="F38" i="76"/>
  <c r="L23" i="76"/>
  <c r="Q5" i="76"/>
  <c r="Q14" i="76"/>
  <c r="Q29" i="76"/>
  <c r="Q10" i="77"/>
  <c r="AS18" i="77"/>
  <c r="F24" i="77"/>
  <c r="AN27" i="77"/>
  <c r="AN31" i="77"/>
  <c r="Q24" i="73"/>
  <c r="L20" i="49"/>
  <c r="L16" i="74"/>
  <c r="L21" i="74"/>
  <c r="F27" i="74"/>
  <c r="F35" i="75"/>
  <c r="Q19" i="75"/>
  <c r="Q6" i="77"/>
  <c r="AN21" i="77"/>
  <c r="L22" i="77"/>
  <c r="AI40" i="77"/>
  <c r="L10" i="73"/>
  <c r="Q6" i="73"/>
  <c r="Q10" i="75"/>
  <c r="L22" i="75"/>
  <c r="AI10" i="77"/>
  <c r="AI14" i="77"/>
  <c r="L6" i="74"/>
  <c r="F13" i="74"/>
  <c r="F10" i="77"/>
  <c r="AI52" i="77"/>
  <c r="AN25" i="77"/>
  <c r="F34" i="73"/>
  <c r="L25" i="75"/>
  <c r="L20" i="75"/>
  <c r="F34" i="76"/>
  <c r="L22" i="49"/>
  <c r="L29" i="49"/>
  <c r="L21" i="49"/>
  <c r="L12" i="74"/>
  <c r="F12" i="74"/>
  <c r="Q20" i="74"/>
  <c r="L25" i="74"/>
  <c r="Q26" i="74"/>
  <c r="F22" i="74"/>
  <c r="L24" i="74"/>
  <c r="L20" i="74"/>
  <c r="Q30" i="74"/>
  <c r="L15" i="75"/>
  <c r="F22" i="75"/>
  <c r="Q30" i="75"/>
  <c r="F40" i="75"/>
  <c r="F29" i="75"/>
  <c r="F25" i="75"/>
  <c r="F34" i="75"/>
  <c r="L6" i="75"/>
  <c r="L27" i="75"/>
  <c r="Q5" i="75"/>
  <c r="Q7" i="75"/>
  <c r="Q29" i="75"/>
  <c r="Q19" i="76"/>
  <c r="L20" i="76"/>
  <c r="Q20" i="73"/>
  <c r="F22" i="73"/>
  <c r="F25" i="73"/>
  <c r="Q19" i="73"/>
  <c r="L22" i="74"/>
  <c r="F25" i="76"/>
  <c r="Q7" i="76"/>
  <c r="F23" i="73"/>
  <c r="Q10" i="74"/>
  <c r="Q13" i="74"/>
  <c r="L33" i="74"/>
  <c r="F41" i="74"/>
  <c r="F17" i="74"/>
  <c r="F5" i="74"/>
  <c r="F38" i="74"/>
  <c r="F34" i="74"/>
  <c r="F45" i="74"/>
  <c r="N39" i="74" s="1"/>
  <c r="AN6" i="77"/>
  <c r="AN10" i="77"/>
  <c r="AI15" i="77"/>
  <c r="AI17" i="77"/>
  <c r="F11" i="77"/>
  <c r="F40" i="77"/>
  <c r="AI57" i="77"/>
  <c r="AI53" i="77"/>
  <c r="AN16" i="77"/>
  <c r="L33" i="77"/>
  <c r="L29" i="77"/>
  <c r="L25" i="77"/>
  <c r="L21" i="77"/>
  <c r="F10" i="75"/>
  <c r="F16" i="75"/>
  <c r="F8" i="74"/>
  <c r="L9" i="73"/>
  <c r="L13" i="73"/>
  <c r="F14" i="74"/>
  <c r="L6" i="76"/>
  <c r="AI55" i="77"/>
  <c r="F18" i="77"/>
  <c r="AI48" i="77"/>
  <c r="L20" i="77"/>
  <c r="Q19" i="77"/>
  <c r="Q5" i="73"/>
  <c r="Q15" i="73"/>
  <c r="Q30" i="73"/>
  <c r="F23" i="74"/>
  <c r="F40" i="74"/>
  <c r="L10" i="75"/>
  <c r="AI30" i="77"/>
  <c r="F28" i="77"/>
  <c r="F5" i="73"/>
  <c r="F9" i="73"/>
  <c r="F6" i="74"/>
  <c r="F8" i="75"/>
  <c r="Q8" i="74"/>
  <c r="Q19" i="74"/>
  <c r="AI29" i="77"/>
  <c r="F36" i="77"/>
  <c r="L12" i="77"/>
  <c r="AN12" i="77"/>
  <c r="L31" i="76"/>
  <c r="AN30" i="77"/>
  <c r="F10" i="73"/>
  <c r="Q31" i="73"/>
  <c r="L32" i="73"/>
  <c r="L31" i="73"/>
  <c r="L27" i="73"/>
  <c r="Q29" i="73"/>
  <c r="L8" i="74"/>
  <c r="F10" i="74"/>
  <c r="L14" i="74"/>
  <c r="F36" i="74"/>
  <c r="L5" i="74"/>
  <c r="L13" i="74"/>
  <c r="L19" i="74"/>
  <c r="L26" i="74"/>
  <c r="Q18" i="74"/>
  <c r="Q15" i="76"/>
  <c r="F41" i="76"/>
  <c r="F37" i="76"/>
  <c r="L9" i="76"/>
  <c r="Q32" i="76"/>
  <c r="AI8" i="77"/>
  <c r="F22" i="77"/>
  <c r="F26" i="77"/>
  <c r="L31" i="77"/>
  <c r="F13" i="73"/>
  <c r="L22" i="73"/>
  <c r="L27" i="74"/>
  <c r="F29" i="74"/>
  <c r="Q8" i="75"/>
  <c r="F11" i="75"/>
  <c r="F7" i="75"/>
  <c r="F21" i="75"/>
  <c r="F27" i="75"/>
  <c r="F21" i="76"/>
  <c r="F27" i="76"/>
  <c r="F40" i="76"/>
  <c r="F36" i="76"/>
  <c r="L29" i="76"/>
  <c r="Q9" i="76"/>
  <c r="Q13" i="76"/>
  <c r="Q20" i="76"/>
  <c r="AS6" i="77"/>
  <c r="L11" i="77"/>
  <c r="F37" i="77"/>
  <c r="L11" i="73"/>
  <c r="M1" i="74"/>
  <c r="M1" i="73"/>
  <c r="F17" i="76"/>
  <c r="Q32" i="74"/>
  <c r="Q8" i="76"/>
  <c r="L15" i="76"/>
  <c r="F24" i="76"/>
  <c r="F16" i="77"/>
  <c r="AI18" i="77"/>
  <c r="L24" i="49"/>
  <c r="M1" i="75"/>
  <c r="F17" i="73"/>
  <c r="F11" i="73"/>
  <c r="F7" i="73"/>
  <c r="F27" i="73"/>
  <c r="F44" i="73"/>
  <c r="L5" i="73"/>
  <c r="L12" i="73"/>
  <c r="L25" i="73"/>
  <c r="L21" i="73"/>
  <c r="Q26" i="73"/>
  <c r="Q32" i="73"/>
  <c r="F37" i="74"/>
  <c r="F11" i="76"/>
  <c r="L12" i="76"/>
  <c r="L8" i="76"/>
  <c r="L21" i="76"/>
  <c r="Q25" i="76"/>
  <c r="Q31" i="76"/>
  <c r="L6" i="73"/>
  <c r="L14" i="73"/>
  <c r="L23" i="73"/>
  <c r="F12" i="73"/>
  <c r="F8" i="73"/>
  <c r="F37" i="73"/>
  <c r="Q23" i="73"/>
  <c r="F16" i="74"/>
  <c r="F24" i="74"/>
  <c r="F44" i="74"/>
  <c r="L9" i="74"/>
  <c r="L12" i="75"/>
  <c r="Q20" i="75"/>
  <c r="L32" i="49"/>
  <c r="L28" i="49"/>
  <c r="F21" i="73"/>
  <c r="F35" i="73"/>
  <c r="L20" i="73"/>
  <c r="Q8" i="73"/>
  <c r="F18" i="74"/>
  <c r="F26" i="74"/>
  <c r="F39" i="74"/>
  <c r="L32" i="74"/>
  <c r="Q24" i="74"/>
  <c r="L14" i="75"/>
  <c r="L31" i="75"/>
  <c r="F23" i="76"/>
  <c r="L25" i="76"/>
  <c r="Q26" i="76"/>
  <c r="F28" i="76"/>
  <c r="F25" i="74"/>
  <c r="L31" i="74"/>
  <c r="L23" i="74"/>
  <c r="Q23" i="74"/>
  <c r="F5" i="75"/>
  <c r="L32" i="75"/>
  <c r="F33" i="75"/>
  <c r="F7" i="77"/>
  <c r="F21" i="77"/>
  <c r="F23" i="77"/>
  <c r="AI49" i="77"/>
  <c r="AS9" i="77"/>
  <c r="Q13" i="77"/>
  <c r="Q20" i="77"/>
  <c r="Q31" i="77"/>
  <c r="Q14" i="75"/>
  <c r="F13" i="75"/>
  <c r="F17" i="75"/>
  <c r="F36" i="75"/>
  <c r="L16" i="75"/>
  <c r="Q9" i="75"/>
  <c r="Q13" i="75"/>
  <c r="L14" i="76"/>
  <c r="L10" i="76"/>
  <c r="L27" i="76"/>
  <c r="AI16" i="77"/>
  <c r="AI41" i="77"/>
  <c r="AN11" i="77"/>
  <c r="AS15" i="77"/>
  <c r="Q24" i="77"/>
  <c r="Q30" i="77"/>
  <c r="F28" i="74"/>
  <c r="F35" i="74"/>
  <c r="F15" i="74"/>
  <c r="F7" i="74"/>
  <c r="F9" i="75"/>
  <c r="F39" i="75"/>
  <c r="Q24" i="76"/>
  <c r="F44" i="76"/>
  <c r="L13" i="76"/>
  <c r="L19" i="76"/>
  <c r="Q6" i="76"/>
  <c r="Q18" i="76"/>
  <c r="AI23" i="77"/>
  <c r="F35" i="77"/>
  <c r="F29" i="77"/>
  <c r="F25" i="77"/>
  <c r="AI35" i="77"/>
  <c r="F34" i="77"/>
  <c r="AI51" i="77"/>
  <c r="AI47" i="77"/>
  <c r="L14" i="77"/>
  <c r="L27" i="77"/>
  <c r="Q5" i="77"/>
  <c r="Q23" i="77"/>
  <c r="Q29" i="77"/>
  <c r="F37" i="75"/>
  <c r="F44" i="75"/>
  <c r="L13" i="75"/>
  <c r="L9" i="75"/>
  <c r="Q26" i="75"/>
  <c r="F18" i="76"/>
  <c r="F10" i="76"/>
  <c r="F6" i="76"/>
  <c r="AI19" i="77"/>
  <c r="Q25" i="77"/>
  <c r="AI32" i="77"/>
  <c r="L32" i="77"/>
  <c r="F44" i="77"/>
  <c r="AI50" i="77"/>
  <c r="L5" i="77"/>
  <c r="L13" i="77"/>
  <c r="L9" i="77"/>
  <c r="AS13" i="77"/>
  <c r="Q9" i="77"/>
  <c r="L23" i="77"/>
  <c r="F41" i="77"/>
  <c r="F33" i="77"/>
  <c r="AS7" i="77"/>
  <c r="Q7" i="77"/>
  <c r="AI7" i="77"/>
  <c r="L7" i="77"/>
  <c r="AN7" i="77"/>
  <c r="AS10" i="77"/>
  <c r="AS14" i="77"/>
  <c r="AS23" i="77"/>
  <c r="AI24" i="77"/>
  <c r="AS25" i="77"/>
  <c r="AI28" i="77"/>
  <c r="AN32" i="77"/>
  <c r="AN34" i="77"/>
  <c r="AI5" i="77"/>
  <c r="AN8" i="77"/>
  <c r="AI13" i="77"/>
  <c r="L15" i="77"/>
  <c r="F17" i="77"/>
  <c r="AI20" i="77"/>
  <c r="L30" i="77"/>
  <c r="AI31" i="77"/>
  <c r="AI38" i="77"/>
  <c r="AI46" i="77"/>
  <c r="AN5" i="77"/>
  <c r="F6" i="77"/>
  <c r="AS8" i="77"/>
  <c r="AN9" i="77"/>
  <c r="AN13" i="77"/>
  <c r="Q15" i="77"/>
  <c r="F14" i="77"/>
  <c r="L16" i="77"/>
  <c r="F15" i="77"/>
  <c r="Q18" i="77"/>
  <c r="L19" i="77"/>
  <c r="AN20" i="77"/>
  <c r="L24" i="77"/>
  <c r="AS24" i="77"/>
  <c r="AI25" i="77"/>
  <c r="L26" i="77"/>
  <c r="AS26" i="77"/>
  <c r="AI27" i="77"/>
  <c r="L28" i="77"/>
  <c r="F27" i="77"/>
  <c r="AI36" i="77"/>
  <c r="F38" i="77"/>
  <c r="F39" i="77"/>
  <c r="AI42" i="77"/>
  <c r="F45" i="77"/>
  <c r="N39" i="77" s="1"/>
  <c r="AI26" i="77"/>
  <c r="AI43" i="77"/>
  <c r="AI9" i="77"/>
  <c r="AI54" i="77"/>
  <c r="F7" i="76"/>
  <c r="F5" i="76"/>
  <c r="F9" i="76"/>
  <c r="L11" i="76"/>
  <c r="F13" i="76"/>
  <c r="F16" i="76"/>
  <c r="L30" i="76"/>
  <c r="L32" i="76"/>
  <c r="F33" i="76"/>
  <c r="F14" i="76"/>
  <c r="L16" i="76"/>
  <c r="F15" i="76"/>
  <c r="Q23" i="76"/>
  <c r="L24" i="76"/>
  <c r="L26" i="76"/>
  <c r="L28" i="76"/>
  <c r="L33" i="76"/>
  <c r="F45" i="76"/>
  <c r="N39" i="76" s="1"/>
  <c r="L23" i="75"/>
  <c r="L7" i="75"/>
  <c r="Q6" i="75"/>
  <c r="L30" i="75"/>
  <c r="F41" i="75"/>
  <c r="F6" i="75"/>
  <c r="L8" i="75"/>
  <c r="Q15" i="75"/>
  <c r="F14" i="75"/>
  <c r="F15" i="75"/>
  <c r="Q18" i="75"/>
  <c r="L19" i="75"/>
  <c r="F18" i="75"/>
  <c r="Q23" i="75"/>
  <c r="L24" i="75"/>
  <c r="L26" i="75"/>
  <c r="L28" i="75"/>
  <c r="L33" i="75"/>
  <c r="F38" i="75"/>
  <c r="F45" i="75"/>
  <c r="N39" i="75" s="1"/>
  <c r="Q29" i="74"/>
  <c r="Q9" i="74"/>
  <c r="Q5" i="74"/>
  <c r="F21" i="74"/>
  <c r="Q6" i="74"/>
  <c r="L7" i="74"/>
  <c r="L10" i="74"/>
  <c r="F9" i="74"/>
  <c r="L11" i="74"/>
  <c r="L15" i="74"/>
  <c r="Q25" i="74"/>
  <c r="L30" i="74"/>
  <c r="F33" i="74"/>
  <c r="L28" i="74"/>
  <c r="Q25" i="73"/>
  <c r="Q14" i="73"/>
  <c r="F28" i="73"/>
  <c r="F24" i="73"/>
  <c r="F16" i="73"/>
  <c r="Q13" i="73"/>
  <c r="Q9" i="73"/>
  <c r="L30" i="73"/>
  <c r="F41" i="73"/>
  <c r="F33" i="73"/>
  <c r="L8" i="73"/>
  <c r="F6" i="73"/>
  <c r="Q7" i="73"/>
  <c r="Q10" i="73"/>
  <c r="F26" i="73"/>
  <c r="F14" i="73"/>
  <c r="L16" i="73"/>
  <c r="F15" i="73"/>
  <c r="Q18" i="73"/>
  <c r="N44" i="73" s="1"/>
  <c r="L19" i="73"/>
  <c r="F18" i="73"/>
  <c r="L24" i="73"/>
  <c r="L26" i="73"/>
  <c r="L28" i="73"/>
  <c r="F29" i="73"/>
  <c r="L33" i="73"/>
  <c r="F36" i="73"/>
  <c r="F38" i="73"/>
  <c r="F39" i="73"/>
  <c r="F45" i="73"/>
  <c r="N39" i="73" s="1"/>
  <c r="L19" i="49"/>
  <c r="L30" i="49"/>
  <c r="L26" i="49"/>
  <c r="L33" i="49"/>
  <c r="L25" i="49"/>
  <c r="Q15" i="49"/>
  <c r="Q20" i="49"/>
  <c r="L23" i="49"/>
  <c r="L27" i="49"/>
  <c r="L31" i="49"/>
  <c r="L5" i="49"/>
  <c r="N40" i="49" s="1"/>
  <c r="Q14" i="49"/>
  <c r="Q19" i="49"/>
  <c r="Q13" i="49"/>
  <c r="Q18" i="49"/>
  <c r="D26" i="49"/>
  <c r="F26" i="49" s="1"/>
  <c r="D27" i="49"/>
  <c r="F27" i="49" s="1"/>
  <c r="D28" i="49"/>
  <c r="F28" i="49" s="1"/>
  <c r="D29" i="49"/>
  <c r="F29" i="49" s="1"/>
  <c r="D31" i="49"/>
  <c r="F31" i="49" s="1"/>
  <c r="P20" i="56"/>
  <c r="Q20" i="56"/>
  <c r="P21" i="56"/>
  <c r="N40" i="75" l="1"/>
  <c r="V25" i="56" s="1"/>
  <c r="N40" i="76"/>
  <c r="N40" i="73"/>
  <c r="R25" i="56" s="1"/>
  <c r="N43" i="49"/>
  <c r="N45" i="73"/>
  <c r="R30" i="56" s="1"/>
  <c r="N47" i="73"/>
  <c r="R32" i="56" s="1"/>
  <c r="N46" i="49"/>
  <c r="Q31" i="56" s="1"/>
  <c r="N38" i="77"/>
  <c r="Z23" i="56" s="1"/>
  <c r="N42" i="73"/>
  <c r="R27" i="56" s="1"/>
  <c r="N37" i="74"/>
  <c r="T22" i="56" s="1"/>
  <c r="N47" i="77"/>
  <c r="Z32" i="56" s="1"/>
  <c r="N47" i="76"/>
  <c r="X32" i="56" s="1"/>
  <c r="N37" i="75"/>
  <c r="V22" i="56" s="1"/>
  <c r="N47" i="74"/>
  <c r="T32" i="56" s="1"/>
  <c r="N37" i="77"/>
  <c r="Z22" i="56" s="1"/>
  <c r="N44" i="49"/>
  <c r="N38" i="76"/>
  <c r="N47" i="75"/>
  <c r="V32" i="56" s="1"/>
  <c r="N40" i="74"/>
  <c r="T25" i="56" s="1"/>
  <c r="N37" i="73"/>
  <c r="R22" i="56" s="1"/>
  <c r="N37" i="76"/>
  <c r="X22" i="56" s="1"/>
  <c r="N46" i="73"/>
  <c r="R31" i="56" s="1"/>
  <c r="N41" i="73"/>
  <c r="R26" i="56" s="1"/>
  <c r="N41" i="49"/>
  <c r="N43" i="74"/>
  <c r="T28" i="56" s="1"/>
  <c r="N43" i="76"/>
  <c r="X28" i="56" s="1"/>
  <c r="N46" i="75"/>
  <c r="V31" i="56" s="1"/>
  <c r="N44" i="74"/>
  <c r="T29" i="56" s="1"/>
  <c r="N46" i="76"/>
  <c r="X31" i="56" s="1"/>
  <c r="X23" i="56"/>
  <c r="N42" i="76"/>
  <c r="X27" i="56" s="1"/>
  <c r="N44" i="76"/>
  <c r="X29" i="56" s="1"/>
  <c r="N45" i="77"/>
  <c r="Z30" i="56" s="1"/>
  <c r="N46" i="77"/>
  <c r="Z31" i="56" s="1"/>
  <c r="R29" i="56"/>
  <c r="N45" i="74"/>
  <c r="T30" i="56" s="1"/>
  <c r="N44" i="77"/>
  <c r="Z29" i="56" s="1"/>
  <c r="N43" i="77"/>
  <c r="Z28" i="56" s="1"/>
  <c r="N45" i="75"/>
  <c r="V30" i="56" s="1"/>
  <c r="N44" i="75"/>
  <c r="V29" i="56" s="1"/>
  <c r="N43" i="73"/>
  <c r="R28" i="56" s="1"/>
  <c r="Q30" i="56"/>
  <c r="Z24" i="56"/>
  <c r="N41" i="76"/>
  <c r="X26" i="56" s="1"/>
  <c r="N36" i="74"/>
  <c r="T21" i="56" s="1"/>
  <c r="N40" i="77"/>
  <c r="Z25" i="56" s="1"/>
  <c r="T24" i="56"/>
  <c r="N46" i="74"/>
  <c r="T31" i="56" s="1"/>
  <c r="N38" i="75"/>
  <c r="V23" i="56" s="1"/>
  <c r="N38" i="74"/>
  <c r="T23" i="56" s="1"/>
  <c r="N42" i="74"/>
  <c r="T27" i="56" s="1"/>
  <c r="N43" i="75"/>
  <c r="V28" i="56" s="1"/>
  <c r="N42" i="75"/>
  <c r="V27" i="56" s="1"/>
  <c r="N45" i="76"/>
  <c r="X30" i="56" s="1"/>
  <c r="N42" i="77"/>
  <c r="Z27" i="56" s="1"/>
  <c r="M1" i="77"/>
  <c r="M1" i="76"/>
  <c r="N36" i="77"/>
  <c r="Z21" i="56" s="1"/>
  <c r="N41" i="77"/>
  <c r="Z26" i="56" s="1"/>
  <c r="X25" i="56"/>
  <c r="X24" i="56"/>
  <c r="N36" i="76"/>
  <c r="X21" i="56" s="1"/>
  <c r="V24" i="56"/>
  <c r="N36" i="75"/>
  <c r="V21" i="56" s="1"/>
  <c r="N41" i="75"/>
  <c r="V26" i="56" s="1"/>
  <c r="N41" i="74"/>
  <c r="T26" i="56" s="1"/>
  <c r="R24" i="56"/>
  <c r="N38" i="73"/>
  <c r="R23" i="56" s="1"/>
  <c r="N36" i="73"/>
  <c r="R21" i="56" s="1"/>
  <c r="Q28" i="56" l="1"/>
  <c r="Q29" i="56"/>
  <c r="N50" i="74"/>
  <c r="N50" i="77"/>
  <c r="Z35" i="56" s="1"/>
  <c r="N50" i="76"/>
  <c r="X35" i="56" s="1"/>
  <c r="N50" i="75"/>
  <c r="V35" i="56" s="1"/>
  <c r="N50" i="73"/>
  <c r="R35" i="56" s="1"/>
  <c r="N52" i="76" l="1"/>
  <c r="X37" i="56" s="1"/>
  <c r="N52" i="74"/>
  <c r="T35" i="56"/>
  <c r="N52" i="75"/>
  <c r="N52" i="77"/>
  <c r="N52" i="73"/>
  <c r="N54" i="73" s="1"/>
  <c r="R39" i="56" s="1"/>
  <c r="O8" i="49"/>
  <c r="O9" i="49"/>
  <c r="O10" i="49"/>
  <c r="J13" i="49"/>
  <c r="D46" i="49"/>
  <c r="D47" i="49"/>
  <c r="F46" i="49" s="1"/>
  <c r="D48" i="49"/>
  <c r="F47" i="49" s="1"/>
  <c r="D49" i="49"/>
  <c r="F48" i="49" s="1"/>
  <c r="D50" i="49"/>
  <c r="F49" i="49" s="1"/>
  <c r="D51" i="49"/>
  <c r="F50" i="49" s="1"/>
  <c r="D52" i="49"/>
  <c r="F51" i="49" s="1"/>
  <c r="D53" i="49"/>
  <c r="F52" i="49" s="1"/>
  <c r="D54" i="49"/>
  <c r="F53" i="49" s="1"/>
  <c r="D55" i="49"/>
  <c r="F54" i="49" s="1"/>
  <c r="D56" i="49"/>
  <c r="F55" i="49" s="1"/>
  <c r="D45" i="49"/>
  <c r="D22" i="49"/>
  <c r="F22" i="49" s="1"/>
  <c r="D23" i="49"/>
  <c r="F23" i="49" s="1"/>
  <c r="D24" i="49"/>
  <c r="F24" i="49" s="1"/>
  <c r="D25" i="49"/>
  <c r="F25" i="49" s="1"/>
  <c r="D21" i="49"/>
  <c r="N54" i="76" l="1"/>
  <c r="X39" i="56" s="1"/>
  <c r="N54" i="74"/>
  <c r="T39" i="56" s="1"/>
  <c r="T37" i="56"/>
  <c r="N54" i="77"/>
  <c r="Z39" i="56" s="1"/>
  <c r="Z37" i="56"/>
  <c r="N54" i="75"/>
  <c r="V39" i="56" s="1"/>
  <c r="V37" i="56"/>
  <c r="R37" i="56"/>
  <c r="Q8" i="49"/>
  <c r="L13" i="49"/>
  <c r="Q5" i="49"/>
  <c r="Q7" i="49"/>
  <c r="Q9" i="49"/>
  <c r="Q10" i="49"/>
  <c r="Q6" i="49"/>
  <c r="F35" i="49"/>
  <c r="F5" i="49"/>
  <c r="F33" i="49"/>
  <c r="F38" i="49"/>
  <c r="F34" i="49"/>
  <c r="F45" i="49"/>
  <c r="N39" i="49" s="1"/>
  <c r="F39" i="49"/>
  <c r="F41" i="49"/>
  <c r="F37" i="49"/>
  <c r="F44" i="49"/>
  <c r="F21" i="49"/>
  <c r="N37" i="49" s="1"/>
  <c r="F40" i="49"/>
  <c r="F36" i="49"/>
  <c r="Q26" i="56" l="1"/>
  <c r="N47" i="49"/>
  <c r="Q32" i="56" s="1"/>
  <c r="N38" i="49"/>
  <c r="N42" i="49"/>
  <c r="N36" i="49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N50" i="49"/>
  <c r="Q35" i="56" l="1"/>
  <c r="N52" i="49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7" i="56" l="1"/>
  <c r="N54" i="49"/>
  <c r="Q39" i="56" l="1"/>
  <c r="R40" i="56" l="1"/>
</calcChain>
</file>

<file path=xl/sharedStrings.xml><?xml version="1.0" encoding="utf-8"?>
<sst xmlns="http://schemas.openxmlformats.org/spreadsheetml/2006/main" count="1512" uniqueCount="275">
  <si>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</si>
  <si>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</si>
  <si>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</si>
  <si>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</si>
  <si>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</si>
  <si>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</si>
  <si>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</si>
  <si>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</si>
  <si>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</si>
  <si>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</si>
  <si>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</si>
  <si>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</si>
  <si>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</si>
  <si>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</si>
  <si>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</si>
  <si>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</si>
  <si>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</si>
  <si>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</si>
  <si>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</si>
  <si>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</si>
  <si>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</si>
  <si>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</si>
  <si>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</si>
  <si>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</si>
  <si>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</si>
  <si>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</si>
  <si>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</si>
  <si>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</si>
  <si>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</si>
  <si>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</si>
  <si>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</si>
  <si>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</si>
  <si>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</si>
  <si>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</si>
  <si>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</si>
  <si>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</si>
  <si>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</si>
  <si>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</si>
  <si>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</si>
  <si>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</si>
  <si>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</si>
  <si>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</si>
  <si>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</si>
  <si>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</si>
  <si>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</si>
  <si>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</si>
  <si>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</si>
  <si>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</si>
  <si>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</si>
  <si>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</si>
  <si>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</si>
  <si>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</si>
  <si>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</si>
  <si>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</si>
  <si>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</si>
  <si>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</si>
  <si>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</si>
  <si>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</si>
  <si>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</si>
  <si>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</si>
  <si>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</si>
  <si>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</si>
  <si>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</si>
  <si>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</si>
  <si>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</si>
  <si>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</si>
  <si>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</si>
  <si>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</si>
  <si>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</si>
  <si>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</si>
  <si>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</si>
  <si>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</si>
  <si>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</si>
  <si>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</si>
  <si>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</si>
  <si>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</si>
  <si>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</si>
  <si>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</si>
  <si>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</si>
  <si>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</si>
  <si>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</si>
  <si>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</si>
  <si>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</si>
  <si>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</si>
  <si>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</si>
  <si>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</si>
  <si>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</si>
  <si>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</si>
  <si>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</si>
  <si>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</si>
  <si>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</si>
  <si>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</si>
  <si>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</si>
  <si>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</si>
  <si>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</si>
  <si>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</si>
  <si>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</si>
  <si>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</si>
  <si>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</si>
  <si>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</si>
  <si>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</si>
  <si>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</si>
  <si>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</si>
  <si>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</si>
  <si>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</si>
  <si>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</si>
  <si>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</si>
  <si>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</si>
  <si>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</si>
  <si>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</si>
  <si>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</si>
  <si>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</si>
  <si>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</si>
  <si>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</si>
  <si>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</si>
  <si>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</si>
  <si>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</si>
  <si>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</si>
  <si>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</si>
  <si>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</si>
  <si>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</si>
  <si>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</si>
  <si>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</si>
  <si>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</si>
  <si>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</si>
  <si>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</si>
  <si>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</si>
  <si>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</si>
  <si>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</si>
  <si>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</si>
  <si>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</si>
  <si>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</si>
  <si>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</si>
  <si>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</si>
  <si>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</si>
  <si>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</si>
  <si>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</si>
  <si>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</si>
  <si>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</si>
  <si>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</si>
  <si>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</si>
  <si>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</si>
  <si>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</si>
  <si>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</si>
  <si>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</si>
  <si>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</si>
  <si>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</si>
  <si>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</si>
  <si>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</si>
  <si>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</si>
  <si>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</si>
  <si>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</si>
  <si>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</si>
  <si>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</si>
  <si>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</si>
  <si>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</si>
  <si>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</si>
  <si>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</si>
  <si>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</si>
  <si>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</si>
  <si>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</si>
  <si>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</si>
  <si>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</si>
  <si>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</si>
  <si>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</si>
  <si>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</si>
  <si>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</si>
  <si>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</si>
  <si>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</si>
  <si>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</si>
  <si>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</si>
  <si>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</si>
  <si>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</si>
  <si>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</si>
  <si>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</si>
  <si>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</si>
  <si>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</si>
  <si>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</si>
  <si>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</si>
  <si>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</si>
  <si>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</si>
  <si>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</si>
  <si>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</si>
  <si>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</si>
  <si>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</si>
  <si>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</si>
  <si>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</si>
  <si>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</si>
  <si>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</si>
  <si>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</si>
  <si>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</si>
  <si>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</si>
  <si>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</si>
  <si>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</si>
  <si>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</si>
  <si>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</si>
  <si>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</si>
  <si>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</si>
  <si>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</si>
  <si>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</si>
  <si>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</si>
  <si>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</si>
  <si>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</si>
  <si>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</si>
  <si>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</si>
  <si>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</si>
  <si>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Nose Fairing</t>
  </si>
  <si>
    <t>Shark Skin</t>
  </si>
  <si>
    <t>Central Cover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</si>
  <si>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</si>
  <si>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</si>
  <si>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</si>
  <si>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</si>
  <si>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</si>
  <si>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</si>
  <si>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</si>
  <si>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</si>
  <si>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</si>
  <si>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</si>
  <si>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</si>
  <si>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</si>
  <si>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</si>
  <si>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</si>
  <si>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</si>
  <si>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Seastar Hyper Silver</t>
  </si>
  <si>
    <t>Falcon Lakeside US Hyper Silver</t>
  </si>
  <si>
    <t>4.5ft</t>
  </si>
  <si>
    <t>Satin Vegas</t>
  </si>
  <si>
    <t>dtm 15*3</t>
  </si>
  <si>
    <t>stm 21*8</t>
  </si>
  <si>
    <t>150 tesla</t>
  </si>
  <si>
    <t>pcs/rack</t>
  </si>
  <si>
    <t>New Tank Cover</t>
  </si>
  <si>
    <t>RH Consol Fairing</t>
  </si>
  <si>
    <t>LH Consol Fairing</t>
  </si>
  <si>
    <t>New LH Console Panel</t>
  </si>
  <si>
    <t>New RH Console Panel</t>
  </si>
  <si>
    <t>New Nose Fairing</t>
  </si>
  <si>
    <t>New Tail Fairing</t>
  </si>
  <si>
    <t>Satin Vegas (Spyder)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</si>
  <si>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</si>
  <si>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</si>
  <si>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</si>
  <si>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</si>
  <si>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</si>
  <si>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</si>
  <si>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</si>
  <si>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</si>
  <si>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</si>
  <si>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</si>
  <si>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</si>
  <si>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</si>
  <si>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</si>
  <si>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</si>
  <si>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</si>
  <si>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</si>
  <si>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</si>
  <si>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</si>
  <si>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</si>
  <si>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</si>
  <si>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</si>
  <si>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</si>
  <si>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1) Deep Black</t>
  </si>
  <si>
    <t>103 Line</t>
  </si>
  <si>
    <t>103 LINE LOAD SHEET</t>
  </si>
  <si>
    <t>Deep Black - Tesla, BRP then Laval</t>
  </si>
  <si>
    <t>1) Deep Black - US Paint, 2) Deep Black - Red Spot</t>
  </si>
  <si>
    <t>1) Deep Black - US Paint - load all Tesla</t>
  </si>
  <si>
    <t>Please leave a 35 hook gap between US Paint parts and Red Spot parts</t>
  </si>
  <si>
    <t>2) Deep Black - Red Spot - load BRP</t>
  </si>
  <si>
    <r>
      <rPr>
        <b/>
        <sz val="12"/>
        <color theme="1"/>
        <rFont val="Arial"/>
        <family val="2"/>
      </rPr>
      <t>Deep Black US Paint  -</t>
    </r>
    <r>
      <rPr>
        <sz val="12"/>
        <color theme="1"/>
        <rFont val="Arial"/>
        <family val="2"/>
      </rPr>
      <t xml:space="preserve">                                     load raw Tesla MX (360pcs) then raw Tesla MS (120pcs)                                                            </t>
    </r>
    <r>
      <rPr>
        <b/>
        <sz val="12"/>
        <color theme="1"/>
        <rFont val="Arial"/>
        <family val="2"/>
      </rPr>
      <t>Deep Black RED SPOT</t>
    </r>
    <r>
      <rPr>
        <sz val="12"/>
        <color theme="1"/>
        <rFont val="Arial"/>
        <family val="2"/>
      </rPr>
      <t xml:space="preserve"> - Load Tesla MS (120pcs) then load all BRP parts                                   </t>
    </r>
  </si>
  <si>
    <t>1) Deep Black - US Paint (Tesla)  2) Deep Black - Red Spot - Tesla parts for trial(see below comments), BRP</t>
  </si>
  <si>
    <t xml:space="preserve">Deep Black US Paint  -                                     load raw Tesla MS (120pcs) then raw Tesla MX (360pcs)                                                            Deep Black RED SPOT - Load Tesla MS (120pcs) then load all BRP parts      </t>
  </si>
  <si>
    <t xml:space="preserve">1) Hyper Silver </t>
  </si>
  <si>
    <t>Hyper Silver - run as many Variosystems parts as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</si>
</sst>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48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57">
    <xf numFmtId="0" fontId="0" fillId="0" borderId="0"/>
    <xf numFmtId="0" fontId="9" fillId="0" borderId="0"/>
    <xf numFmtId="164" fontId="9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4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42" applyNumberFormat="0" applyAlignment="0" applyProtection="0"/>
    <xf numFmtId="0" fontId="22" fillId="17" borderId="43" applyNumberFormat="0" applyAlignment="0" applyProtection="0"/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0" borderId="44" applyNumberFormat="0" applyFill="0" applyAlignment="0" applyProtection="0"/>
    <xf numFmtId="0" fontId="26" fillId="0" borderId="45" applyNumberFormat="0" applyFill="0" applyAlignment="0" applyProtection="0"/>
    <xf numFmtId="0" fontId="27" fillId="0" borderId="46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42" applyNumberFormat="0" applyAlignment="0" applyProtection="0"/>
    <xf numFmtId="0" fontId="29" fillId="0" borderId="47" applyNumberFormat="0" applyFill="0" applyAlignment="0" applyProtection="0"/>
    <xf numFmtId="0" fontId="30" fillId="7" borderId="0" applyNumberFormat="0" applyBorder="0" applyAlignment="0" applyProtection="0"/>
    <xf numFmtId="0" fontId="17" fillId="4" borderId="48" applyNumberFormat="0" applyAlignment="0" applyProtection="0"/>
    <xf numFmtId="0" fontId="31" fillId="16" borderId="49" applyNumberFormat="0" applyAlignment="0" applyProtection="0"/>
    <xf numFmtId="0" fontId="32" fillId="0" borderId="0" applyNumberFormat="0" applyFill="0" applyBorder="0" applyAlignment="0" applyProtection="0"/>
    <xf numFmtId="0" fontId="33" fillId="0" borderId="50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78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65" fontId="9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6" fillId="0" borderId="0" xfId="0" applyFont="1"/>
    <xf numFmtId="0" fontId="9" fillId="0" borderId="1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3" xfId="0" quotePrefix="1" applyFont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8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0" fontId="9" fillId="0" borderId="3" xfId="0" applyFont="1" applyBorder="1" applyAlignment="1">
      <alignment horizontal="center" vertical="center" wrapText="1" shrinkToFit="1"/>
    </xf>
    <xf numFmtId="0" fontId="9" fillId="0" borderId="33" xfId="0" applyFont="1" applyBorder="1" applyAlignment="1">
      <alignment horizontal="center" vertical="center" wrapText="1" shrinkToFit="1"/>
    </xf>
    <xf numFmtId="0" fontId="9" fillId="0" borderId="34" xfId="0" applyFont="1" applyBorder="1" applyAlignment="1">
      <alignment horizontal="center" vertical="center" wrapText="1" shrinkToFit="1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 shrinkToFit="1"/>
    </xf>
    <xf numFmtId="0" fontId="11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shrinkToFit="1"/>
    </xf>
    <xf numFmtId="0" fontId="13" fillId="0" borderId="2" xfId="0" applyFont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 shrinkToFit="1"/>
    </xf>
    <xf numFmtId="0" fontId="9" fillId="0" borderId="1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 shrinkToFit="1"/>
    </xf>
    <xf numFmtId="0" fontId="11" fillId="0" borderId="1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 wrapText="1" shrinkToFit="1"/>
    </xf>
    <xf numFmtId="0" fontId="9" fillId="0" borderId="7" xfId="0" quotePrefix="1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 shrinkToFit="1"/>
    </xf>
    <xf numFmtId="0" fontId="9" fillId="0" borderId="39" xfId="0" quotePrefix="1" applyFont="1" applyBorder="1" applyAlignment="1">
      <alignment horizontal="center" vertical="center" wrapText="1" shrinkToFit="1"/>
    </xf>
    <xf numFmtId="0" fontId="4" fillId="0" borderId="0" xfId="7" applyAlignment="1">
      <alignment horizontal="center"/>
    </xf>
    <xf numFmtId="0" fontId="11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51" xfId="0" applyFont="1" applyBorder="1" applyAlignment="1">
      <alignment horizontal="center" vertical="center" wrapText="1" shrinkToFit="1"/>
    </xf>
    <xf numFmtId="0" fontId="9" fillId="0" borderId="38" xfId="0" applyFont="1" applyBorder="1" applyAlignment="1">
      <alignment horizontal="center" vertical="center" wrapText="1" shrinkToFit="1"/>
    </xf>
    <xf numFmtId="0" fontId="14" fillId="0" borderId="34" xfId="0" applyFont="1" applyBorder="1" applyAlignment="1">
      <alignment horizontal="center" vertical="center" wrapText="1"/>
    </xf>
    <xf numFmtId="0" fontId="4" fillId="0" borderId="0" xfId="9" applyAlignment="1">
      <alignment horizontal="center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9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5" xfId="0" applyFont="1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left"/>
    </xf>
    <xf numFmtId="0" fontId="9" fillId="0" borderId="24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/>
    <xf numFmtId="0" fontId="0" fillId="0" borderId="34" xfId="0" applyBorder="1"/>
    <xf numFmtId="0" fontId="0" fillId="0" borderId="3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3" xfId="0" applyBorder="1"/>
    <xf numFmtId="0" fontId="0" fillId="0" borderId="35" xfId="0" applyBorder="1"/>
    <xf numFmtId="0" fontId="9" fillId="0" borderId="21" xfId="0" applyFont="1" applyBorder="1" applyAlignment="1">
      <alignment horizontal="center"/>
    </xf>
    <xf numFmtId="0" fontId="13" fillId="0" borderId="6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165" fontId="0" fillId="19" borderId="32" xfId="0" applyNumberFormat="1" applyFill="1" applyBorder="1" applyAlignment="1">
      <alignment horizontal="center"/>
    </xf>
    <xf numFmtId="0" fontId="35" fillId="0" borderId="0" xfId="0" applyFont="1" applyAlignment="1" applyProtection="1">
      <alignment vertical="center"/>
      <protection locked="0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5" fontId="36" fillId="0" borderId="0" xfId="0" applyNumberFormat="1" applyFont="1" applyAlignment="1" applyProtection="1">
      <alignment vertical="center"/>
      <protection locked="0"/>
    </xf>
    <xf numFmtId="0" fontId="38" fillId="0" borderId="0" xfId="0" applyFont="1" applyAlignment="1">
      <alignment horizontal="center" vertical="top" wrapText="1"/>
    </xf>
    <xf numFmtId="0" fontId="34" fillId="0" borderId="5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4" fillId="0" borderId="3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/>
    </xf>
    <xf numFmtId="0" fontId="34" fillId="0" borderId="0" xfId="0" applyFont="1"/>
    <xf numFmtId="0" fontId="37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4" fillId="0" borderId="3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/>
    </xf>
    <xf numFmtId="0" fontId="40" fillId="0" borderId="5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 vertical="center" wrapText="1" shrinkToFit="1"/>
    </xf>
    <xf numFmtId="0" fontId="40" fillId="0" borderId="5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/>
    </xf>
    <xf numFmtId="0" fontId="34" fillId="0" borderId="34" xfId="0" applyFont="1" applyBorder="1" applyAlignment="1">
      <alignment horizontal="center"/>
    </xf>
    <xf numFmtId="0" fontId="40" fillId="0" borderId="3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4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3" fillId="0" borderId="0" xfId="0" applyFont="1" applyAlignment="1">
      <alignment horizontal="right" vertical="center"/>
    </xf>
    <xf numFmtId="0" fontId="9" fillId="0" borderId="34" xfId="0" applyFont="1" applyBorder="1"/>
    <xf numFmtId="0" fontId="34" fillId="0" borderId="64" xfId="0" applyFont="1" applyBorder="1" applyAlignment="1">
      <alignment horizontal="center" vertical="center" wrapText="1"/>
    </xf>
    <xf numFmtId="0" fontId="0" fillId="0" borderId="31" xfId="0" applyBorder="1"/>
    <xf numFmtId="2" fontId="0" fillId="0" borderId="2" xfId="0" applyNumberFormat="1" applyBorder="1"/>
    <xf numFmtId="0" fontId="44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center" shrinkToFit="1"/>
    </xf>
    <xf numFmtId="0" fontId="42" fillId="0" borderId="5" xfId="0" applyFont="1" applyBorder="1" applyAlignment="1">
      <alignment horizontal="center" shrinkToFit="1"/>
    </xf>
    <xf numFmtId="0" fontId="42" fillId="0" borderId="5" xfId="0" applyFont="1" applyBorder="1" applyAlignment="1">
      <alignment horizontal="center" vertical="center" shrinkToFit="1"/>
    </xf>
    <xf numFmtId="0" fontId="42" fillId="0" borderId="2" xfId="0" applyFont="1" applyBorder="1" applyAlignment="1">
      <alignment horizontal="center" vertical="center" shrinkToFit="1"/>
    </xf>
    <xf numFmtId="0" fontId="42" fillId="0" borderId="34" xfId="0" applyFont="1" applyBorder="1" applyAlignment="1">
      <alignment horizontal="center" vertical="center" shrinkToFit="1"/>
    </xf>
    <xf numFmtId="0" fontId="42" fillId="0" borderId="35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3" xfId="0" applyFont="1" applyBorder="1" applyAlignment="1">
      <alignment horizontal="center" vertical="center" shrinkToFit="1"/>
    </xf>
    <xf numFmtId="0" fontId="42" fillId="0" borderId="6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42" fillId="0" borderId="64" xfId="0" applyFont="1" applyBorder="1" applyAlignment="1">
      <alignment horizontal="center" vertical="center" shrinkToFit="1"/>
    </xf>
    <xf numFmtId="0" fontId="42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42" fillId="0" borderId="3" xfId="0" applyFont="1" applyBorder="1" applyAlignment="1">
      <alignment horizontal="center" shrinkToFit="1"/>
    </xf>
    <xf numFmtId="0" fontId="42" fillId="0" borderId="6" xfId="0" applyFont="1" applyBorder="1" applyAlignment="1">
      <alignment horizontal="center" shrinkToFit="1"/>
    </xf>
    <xf numFmtId="0" fontId="42" fillId="0" borderId="0" xfId="0" applyFont="1" applyAlignment="1">
      <alignment horizontal="center" vertical="center" shrinkToFit="1"/>
    </xf>
    <xf numFmtId="0" fontId="45" fillId="0" borderId="0" xfId="0" applyFont="1" applyAlignment="1">
      <alignment shrinkToFit="1"/>
    </xf>
    <xf numFmtId="0" fontId="42" fillId="0" borderId="33" xfId="0" applyFont="1" applyBorder="1" applyAlignment="1">
      <alignment horizontal="center" shrinkToFit="1"/>
    </xf>
    <xf numFmtId="0" fontId="42" fillId="0" borderId="34" xfId="0" applyFont="1" applyBorder="1" applyAlignment="1">
      <alignment horizontal="center" shrinkToFit="1"/>
    </xf>
    <xf numFmtId="0" fontId="45" fillId="0" borderId="5" xfId="0" applyFont="1" applyBorder="1" applyAlignment="1">
      <alignment shrinkToFit="1"/>
    </xf>
    <xf numFmtId="0" fontId="45" fillId="0" borderId="5" xfId="0" applyFont="1" applyBorder="1" applyAlignment="1">
      <alignment horizontal="center" shrinkToFit="1"/>
    </xf>
    <xf numFmtId="2" fontId="45" fillId="0" borderId="5" xfId="0" applyNumberFormat="1" applyFont="1" applyBorder="1" applyAlignment="1">
      <alignment horizontal="center" shrinkToFit="1"/>
    </xf>
    <xf numFmtId="0" fontId="45" fillId="0" borderId="0" xfId="0" applyFont="1" applyAlignment="1">
      <alignment vertical="center" shrinkToFit="1"/>
    </xf>
    <xf numFmtId="0" fontId="45" fillId="0" borderId="5" xfId="0" applyFont="1" applyBorder="1" applyAlignment="1">
      <alignment horizontal="left" shrinkToFit="1"/>
    </xf>
    <xf numFmtId="0" fontId="8" fillId="0" borderId="5" xfId="0" applyFont="1" applyBorder="1" applyAlignment="1">
      <alignment horizontal="right" shrinkToFit="1"/>
    </xf>
    <xf numFmtId="2" fontId="8" fillId="0" borderId="5" xfId="0" applyNumberFormat="1" applyFont="1" applyBorder="1" applyAlignment="1">
      <alignment horizontal="center" shrinkToFit="1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shrinkToFit="1"/>
    </xf>
    <xf numFmtId="165" fontId="45" fillId="0" borderId="5" xfId="0" applyNumberFormat="1" applyFont="1" applyBorder="1" applyAlignment="1">
      <alignment horizontal="center" shrinkToFit="1"/>
    </xf>
    <xf numFmtId="0" fontId="9" fillId="0" borderId="3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0" fontId="37" fillId="0" borderId="27" xfId="0" applyFont="1" applyBorder="1" applyAlignment="1" applyProtection="1">
      <alignment vertical="center" wrapText="1" shrinkToFit="1"/>
      <protection locked="0"/>
    </xf>
    <xf numFmtId="0" fontId="37" fillId="0" borderId="0" xfId="0" applyFont="1" applyAlignment="1" applyProtection="1">
      <alignment vertical="center" wrapText="1" shrinkToFit="1"/>
      <protection locked="0"/>
    </xf>
    <xf numFmtId="0" fontId="37" fillId="0" borderId="28" xfId="0" applyFont="1" applyBorder="1" applyAlignment="1" applyProtection="1">
      <alignment vertical="center" wrapText="1" shrinkToFit="1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1" fillId="0" borderId="0" xfId="0" applyFont="1" applyAlignment="1">
      <alignment horizontal="center" vertical="center" shrinkToFit="1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1" fillId="0" borderId="61" xfId="0" applyFont="1" applyBorder="1" applyAlignment="1">
      <alignment horizontal="center" vertical="center" wrapText="1" shrinkToFit="1"/>
    </xf>
    <xf numFmtId="0" fontId="11" fillId="0" borderId="62" xfId="0" applyFont="1" applyBorder="1" applyAlignment="1">
      <alignment horizontal="center" vertical="center" wrapText="1" shrinkToFit="1"/>
    </xf>
    <xf numFmtId="0" fontId="11" fillId="0" borderId="36" xfId="0" applyFont="1" applyBorder="1" applyAlignment="1">
      <alignment horizontal="center" vertical="center" wrapText="1" shrinkToFi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9" borderId="31" xfId="0" applyFont="1" applyFill="1" applyBorder="1" applyAlignment="1">
      <alignment horizontal="right"/>
    </xf>
    <xf numFmtId="0" fontId="9" fillId="19" borderId="20" xfId="0" applyFont="1" applyFill="1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37" fillId="0" borderId="8" xfId="0" applyFont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 shrinkToFit="1"/>
    </xf>
    <xf numFmtId="0" fontId="37" fillId="0" borderId="10" xfId="0" applyFont="1" applyBorder="1" applyAlignment="1">
      <alignment horizontal="center" vertical="center" shrinkToFit="1"/>
    </xf>
    <xf numFmtId="15" fontId="36" fillId="0" borderId="0" xfId="0" applyNumberFormat="1" applyFont="1" applyAlignment="1">
      <alignment horizontal="center" vertical="center"/>
    </xf>
    <xf numFmtId="0" fontId="37" fillId="0" borderId="0" xfId="0" applyFont="1" applyAlignment="1" applyProtection="1">
      <alignment horizontal="center" vertical="center" wrapText="1"/>
      <protection locked="0"/>
    </xf>
    <xf numFmtId="0" fontId="37" fillId="0" borderId="14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15" xfId="0" applyFont="1" applyBorder="1" applyAlignment="1">
      <alignment horizontal="center" vertical="center" shrinkToFit="1"/>
    </xf>
    <xf numFmtId="0" fontId="37" fillId="0" borderId="16" xfId="0" applyFont="1" applyBorder="1" applyAlignment="1">
      <alignment horizontal="center" vertical="center" shrinkToFit="1"/>
    </xf>
    <xf numFmtId="0" fontId="37" fillId="0" borderId="17" xfId="0" applyFont="1" applyBorder="1" applyAlignment="1">
      <alignment horizontal="center" vertical="center" shrinkToFit="1"/>
    </xf>
    <xf numFmtId="0" fontId="37" fillId="0" borderId="18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 vertical="top" wrapText="1"/>
    </xf>
    <xf numFmtId="0" fontId="38" fillId="0" borderId="26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11" xfId="0" applyFont="1" applyBorder="1" applyAlignment="1">
      <alignment horizontal="center" vertical="center" shrinkToFit="1"/>
    </xf>
    <xf numFmtId="0" fontId="37" fillId="0" borderId="60" xfId="0" applyFont="1" applyBorder="1" applyAlignment="1">
      <alignment horizontal="center" vertical="center" shrinkToFit="1"/>
    </xf>
    <xf numFmtId="0" fontId="37" fillId="0" borderId="16" xfId="0" applyFont="1" applyBorder="1" applyAlignment="1">
      <alignment horizontal="center" vertical="top" shrinkToFit="1"/>
    </xf>
    <xf numFmtId="0" fontId="37" fillId="0" borderId="17" xfId="0" applyFont="1" applyBorder="1" applyAlignment="1">
      <alignment horizontal="center" vertical="top" shrinkToFit="1"/>
    </xf>
    <xf numFmtId="0" fontId="37" fillId="0" borderId="18" xfId="0" applyFont="1" applyBorder="1" applyAlignment="1">
      <alignment horizontal="center" vertical="top" shrinkToFit="1"/>
    </xf>
    <xf numFmtId="0" fontId="1" fillId="0" borderId="65" xfId="0" applyFont="1" applyBorder="1" applyAlignment="1" applyProtection="1">
      <alignment horizontal="center" vertical="center" wrapText="1" shrinkToFit="1"/>
      <protection locked="0"/>
    </xf>
    <xf numFmtId="0" fontId="1" fillId="0" borderId="66" xfId="0" applyFont="1" applyBorder="1" applyAlignment="1" applyProtection="1">
      <alignment horizontal="center" vertical="center" wrapText="1" shrinkToFit="1"/>
      <protection locked="0"/>
    </xf>
    <xf numFmtId="0" fontId="1" fillId="0" borderId="67" xfId="0" applyFont="1" applyBorder="1" applyAlignment="1" applyProtection="1">
      <alignment horizontal="center" vertical="center" wrapText="1" shrinkToFit="1"/>
      <protection locked="0"/>
    </xf>
    <xf numFmtId="0" fontId="1" fillId="0" borderId="27" xfId="0" applyFont="1" applyBorder="1" applyAlignment="1" applyProtection="1">
      <alignment horizontal="center" vertical="center" wrapText="1" shrinkToFit="1"/>
      <protection locked="0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1" fillId="0" borderId="28" xfId="0" applyFont="1" applyBorder="1" applyAlignment="1" applyProtection="1">
      <alignment horizontal="center" vertical="center" wrapText="1" shrinkToFit="1"/>
      <protection locked="0"/>
    </xf>
    <xf numFmtId="0" fontId="1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0" xfId="0" applyFont="1" applyAlignment="1" applyProtection="1">
      <alignment horizontal="left" vertical="top" wrapText="1" shrinkToFit="1"/>
      <protection locked="0"/>
    </xf>
    <xf numFmtId="0" fontId="42" fillId="0" borderId="28" xfId="0" applyFont="1" applyBorder="1" applyAlignment="1" applyProtection="1">
      <alignment horizontal="left" vertical="top" wrapText="1" shrinkToFit="1"/>
      <protection locked="0"/>
    </xf>
    <xf numFmtId="0" fontId="42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59" xfId="0" applyFont="1" applyBorder="1" applyAlignment="1" applyProtection="1">
      <alignment horizontal="left" vertical="top" wrapText="1" shrinkToFit="1"/>
      <protection locked="0"/>
    </xf>
    <xf numFmtId="0" fontId="42" fillId="0" borderId="55" xfId="0" applyFont="1" applyBorder="1" applyAlignment="1" applyProtection="1">
      <alignment horizontal="left" vertical="top" wrapText="1" shrinkToFit="1"/>
      <protection locked="0"/>
    </xf>
    <xf numFmtId="0" fontId="42" fillId="0" borderId="57" xfId="0" applyFont="1" applyBorder="1" applyAlignment="1" applyProtection="1">
      <alignment horizontal="left" vertical="top" wrapText="1" shrinkToFit="1"/>
      <protection locked="0"/>
    </xf>
    <xf numFmtId="0" fontId="45" fillId="0" borderId="13" xfId="0" applyFont="1" applyBorder="1" applyAlignment="1">
      <alignment horizontal="center" shrinkToFit="1"/>
    </xf>
    <xf numFmtId="0" fontId="45" fillId="0" borderId="7" xfId="0" applyFont="1" applyBorder="1" applyAlignment="1">
      <alignment horizontal="center" shrinkToFit="1"/>
    </xf>
    <xf numFmtId="0" fontId="37" fillId="0" borderId="27" xfId="0" applyFont="1" applyBorder="1" applyAlignment="1" applyProtection="1">
      <alignment horizontal="left" vertical="center" wrapText="1" shrinkToFit="1"/>
      <protection locked="0"/>
    </xf>
    <xf numFmtId="0" fontId="37" fillId="0" borderId="0" xfId="0" applyFont="1" applyAlignment="1" applyProtection="1">
      <alignment horizontal="left" vertical="center" wrapText="1" shrinkToFit="1"/>
      <protection locked="0"/>
    </xf>
    <xf numFmtId="0" fontId="37" fillId="0" borderId="28" xfId="0" applyFont="1" applyBorder="1" applyAlignment="1" applyProtection="1">
      <alignment horizontal="left" vertical="center" wrapText="1" shrinkToFit="1"/>
      <protection locked="0"/>
    </xf>
    <xf numFmtId="0" fontId="37" fillId="0" borderId="65" xfId="0" applyFont="1" applyBorder="1" applyAlignment="1" applyProtection="1">
      <alignment horizontal="left" vertical="center" wrapText="1" shrinkToFit="1"/>
      <protection locked="0"/>
    </xf>
    <xf numFmtId="0" fontId="37" fillId="0" borderId="66" xfId="0" applyFont="1" applyBorder="1" applyAlignment="1" applyProtection="1">
      <alignment horizontal="left" vertical="center" wrapText="1" shrinkToFit="1"/>
      <protection locked="0"/>
    </xf>
    <xf numFmtId="0" fontId="37" fillId="0" borderId="67" xfId="0" applyFont="1" applyBorder="1" applyAlignment="1" applyProtection="1">
      <alignment horizontal="left" vertical="center" wrapText="1" shrinkToFit="1"/>
      <protection locked="0"/>
    </xf>
    <xf numFmtId="0" fontId="37" fillId="0" borderId="27" xfId="0" applyFont="1" applyBorder="1" applyAlignment="1" applyProtection="1">
      <alignment horizontal="left" vertical="top" wrapText="1" shrinkToFit="1"/>
      <protection locked="0"/>
    </xf>
    <xf numFmtId="0" fontId="37" fillId="0" borderId="0" xfId="0" applyFont="1" applyAlignment="1" applyProtection="1">
      <alignment horizontal="left" vertical="top" wrapText="1" shrinkToFit="1"/>
      <protection locked="0"/>
    </xf>
    <xf numFmtId="0" fontId="37" fillId="0" borderId="28" xfId="0" applyFont="1" applyBorder="1" applyAlignment="1" applyProtection="1">
      <alignment horizontal="left" vertical="top" wrapText="1" shrinkToFit="1"/>
      <protection locked="0"/>
    </xf>
    <xf numFmtId="0" fontId="37" fillId="0" borderId="59" xfId="0" applyFont="1" applyBorder="1" applyAlignment="1" applyProtection="1">
      <alignment horizontal="left" vertical="top" wrapText="1" shrinkToFit="1"/>
      <protection locked="0"/>
    </xf>
    <xf numFmtId="0" fontId="37" fillId="0" borderId="55" xfId="0" applyFont="1" applyBorder="1" applyAlignment="1" applyProtection="1">
      <alignment horizontal="left" vertical="top" wrapText="1" shrinkToFit="1"/>
      <protection locked="0"/>
    </xf>
    <xf numFmtId="0" fontId="37" fillId="0" borderId="57" xfId="0" applyFont="1" applyBorder="1" applyAlignment="1" applyProtection="1">
      <alignment horizontal="left" vertical="top" wrapText="1" shrinkToFit="1"/>
      <protection locked="0"/>
    </xf>
    <xf numFmtId="0" fontId="37" fillId="0" borderId="65" xfId="0" applyFont="1" applyBorder="1" applyAlignment="1" applyProtection="1">
      <alignment horizontal="center" vertical="center" wrapText="1" shrinkToFit="1"/>
      <protection locked="0"/>
    </xf>
    <xf numFmtId="0" fontId="37" fillId="0" borderId="66" xfId="0" applyFont="1" applyBorder="1" applyAlignment="1" applyProtection="1">
      <alignment horizontal="center" vertical="center" wrapText="1" shrinkToFit="1"/>
      <protection locked="0"/>
    </xf>
    <xf numFmtId="0" fontId="37" fillId="0" borderId="67" xfId="0" applyFont="1" applyBorder="1" applyAlignment="1" applyProtection="1">
      <alignment horizontal="center" vertical="center" wrapText="1" shrinkToFit="1"/>
      <protection locked="0"/>
    </xf>
    <xf numFmtId="0" fontId="37" fillId="0" borderId="27" xfId="0" applyFont="1" applyBorder="1" applyAlignment="1" applyProtection="1">
      <alignment horizontal="center" vertical="center" wrapText="1" shrinkToFit="1"/>
      <protection locked="0"/>
    </xf>
    <xf numFmtId="0" fontId="37" fillId="0" borderId="0" xfId="0" applyFont="1" applyAlignment="1" applyProtection="1">
      <alignment horizontal="center" vertical="center" wrapText="1" shrinkToFit="1"/>
      <protection locked="0"/>
    </xf>
    <xf numFmtId="0" fontId="37" fillId="0" borderId="28" xfId="0" applyFont="1" applyBorder="1" applyAlignment="1" applyProtection="1">
      <alignment horizontal="center" vertical="center" wrapText="1" shrinkToFit="1"/>
      <protection locked="0"/>
    </xf>
    <xf numFmtId="0" fontId="46" fillId="0" borderId="65" xfId="0" applyFont="1" applyBorder="1" applyAlignment="1" applyProtection="1">
      <alignment horizontal="center" vertical="center" wrapText="1" shrinkToFit="1"/>
      <protection locked="0"/>
    </xf>
    <xf numFmtId="0" fontId="46" fillId="0" borderId="66" xfId="0" applyFont="1" applyBorder="1" applyAlignment="1" applyProtection="1">
      <alignment horizontal="center" vertical="center" wrapText="1" shrinkToFit="1"/>
      <protection locked="0"/>
    </xf>
    <xf numFmtId="0" fontId="46" fillId="0" borderId="67" xfId="0" applyFont="1" applyBorder="1" applyAlignment="1" applyProtection="1">
      <alignment horizontal="center" vertical="center" wrapText="1" shrinkToFit="1"/>
      <protection locked="0"/>
    </xf>
    <xf numFmtId="0" fontId="46" fillId="0" borderId="27" xfId="0" applyFont="1" applyBorder="1" applyAlignment="1" applyProtection="1">
      <alignment horizontal="center" vertical="center" wrapText="1" shrinkToFit="1"/>
      <protection locked="0"/>
    </xf>
    <xf numFmtId="0" fontId="46" fillId="0" borderId="0" xfId="0" applyFont="1" applyAlignment="1" applyProtection="1">
      <alignment horizontal="center" vertical="center" wrapText="1" shrinkToFit="1"/>
      <protection locked="0"/>
    </xf>
    <xf numFmtId="0" fontId="46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0" xfId="0" applyFont="1" applyAlignment="1" applyProtection="1">
      <alignment horizontal="center" vertical="center" wrapText="1" shrinkToFit="1"/>
      <protection locked="0"/>
    </xf>
    <xf numFmtId="0" fontId="42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27" xfId="0" applyFont="1" applyBorder="1" applyAlignment="1" applyProtection="1">
      <alignment horizontal="center" vertical="center" wrapText="1" shrinkToFit="1"/>
      <protection locked="0"/>
    </xf>
    <xf numFmtId="0" fontId="11" fillId="0" borderId="2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42" fillId="0" borderId="27" xfId="0" applyFont="1" applyBorder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28" xfId="0" applyFont="1" applyBorder="1" applyAlignment="1" applyProtection="1">
      <alignment horizontal="left" vertical="top" wrapText="1"/>
      <protection locked="0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6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32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42" fillId="0" borderId="59" xfId="0" applyFont="1" applyBorder="1" applyAlignment="1" applyProtection="1">
      <alignment horizontal="left" vertical="top" wrapText="1"/>
      <protection locked="0"/>
    </xf>
    <xf numFmtId="0" fontId="42" fillId="0" borderId="55" xfId="0" applyFont="1" applyBorder="1" applyAlignment="1" applyProtection="1">
      <alignment horizontal="left" vertical="top" wrapText="1"/>
      <protection locked="0"/>
    </xf>
    <xf numFmtId="0" fontId="42" fillId="0" borderId="57" xfId="0" applyFont="1" applyBorder="1" applyAlignment="1" applyProtection="1">
      <alignment horizontal="left" vertical="top" wrapText="1"/>
      <protection locked="0"/>
    </xf>
    <xf numFmtId="0" fontId="11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 applyProtection="1">
      <alignment horizontal="left" vertical="top" wrapText="1"/>
      <protection locked="0"/>
    </xf>
    <xf numFmtId="0" fontId="16" fillId="0" borderId="31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32" xfId="0" applyFont="1" applyBorder="1" applyAlignment="1">
      <alignment horizontal="center" vertical="center" wrapText="1" shrinkToFit="1"/>
    </xf>
    <xf numFmtId="0" fontId="11" fillId="0" borderId="57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39" fillId="0" borderId="8" xfId="0" applyFont="1" applyBorder="1" applyAlignment="1">
      <alignment horizontal="center" vertical="center" wrapText="1" shrinkToFit="1"/>
    </xf>
    <xf numFmtId="0" fontId="39" fillId="0" borderId="9" xfId="0" applyFont="1" applyBorder="1" applyAlignment="1">
      <alignment horizontal="center" vertical="center" wrapText="1" shrinkToFit="1"/>
    </xf>
    <xf numFmtId="0" fontId="39" fillId="0" borderId="10" xfId="0" applyFont="1" applyBorder="1" applyAlignment="1">
      <alignment horizontal="center" vertical="center" wrapText="1" shrinkToFit="1"/>
    </xf>
    <xf numFmtId="0" fontId="16" fillId="0" borderId="1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 shrinkToFi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top" wrapText="1"/>
    </xf>
    <xf numFmtId="0" fontId="39" fillId="0" borderId="17" xfId="0" applyFont="1" applyBorder="1" applyAlignment="1">
      <alignment horizontal="center" vertical="top" wrapText="1"/>
    </xf>
    <xf numFmtId="0" fontId="39" fillId="0" borderId="18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 shrinkToFit="1"/>
    </xf>
    <xf numFmtId="0" fontId="16" fillId="0" borderId="12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0" fontId="39" fillId="0" borderId="8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3"/>
  <sheetViews>
    <sheetView tabSelected="1" zoomScale="85" zoomScaleNormal="85" workbookViewId="0">
      <pane ySplit="2" topLeftCell="A34" activePane="bottomLeft" state="frozen"/>
      <selection pane="bottomLeft" activeCell="Q58" sqref="Q58"/>
    </sheetView>
  </sheetViews>
  <sheetFormatPr defaultColWidth="4" defaultRowHeight="13.9" customHeight="1" x14ac:dyDescent="0.25"/>
  <cols>
    <col min="1" max="1" width="5.453125" hidden="1" customWidth="1"/>
    <col min="2" max="2" width="4.26953125" hidden="1" customWidth="1"/>
    <col min="3" max="3" width="3.26953125" hidden="1" customWidth="1"/>
    <col min="4" max="4" width="4" hidden="1" customWidth="1"/>
    <col min="5" max="5" width="4.453125" hidden="1" customWidth="1"/>
    <col min="6" max="6" width="10.7265625" bestFit="1" customWidth="1"/>
    <col min="7" max="7" width="24.54296875" bestFit="1" customWidth="1"/>
    <col min="8" max="13" width="10" style="80" customWidth="1"/>
    <col min="16" max="16" width="22" bestFit="1" customWidth="1"/>
    <col min="17" max="17" width="10.7265625" customWidth="1"/>
    <col min="18" max="27" width="5.54296875" customWidth="1"/>
  </cols>
  <sheetData>
    <row r="1" spans="1:13" ht="13.9" customHeight="1" x14ac:dyDescent="0.3">
      <c r="A1" s="229"/>
      <c r="G1" s="3" t="s">
        <v>263</v>
      </c>
      <c r="H1" s="159">
        <v>45299</v>
      </c>
      <c r="I1" s="158">
        <f>H1+1</f>
        <v>45300</v>
      </c>
      <c r="J1" s="158">
        <f t="shared" ref="J1:M1" si="0">I1+1</f>
        <v>45301</v>
      </c>
      <c r="K1" s="158">
        <f t="shared" si="0"/>
        <v>45302</v>
      </c>
      <c r="L1" s="158">
        <f t="shared" si="0"/>
        <v>45303</v>
      </c>
      <c r="M1" s="158">
        <f t="shared" si="0"/>
        <v>45304</v>
      </c>
    </row>
    <row r="2" spans="1:13" ht="13.9" customHeight="1" thickBot="1" x14ac:dyDescent="0.3">
      <c r="A2" s="229"/>
      <c r="B2" s="1" t="s">
        <v>226</v>
      </c>
      <c r="C2" s="1" t="s">
        <v>215</v>
      </c>
      <c r="D2">
        <v>5.75</v>
      </c>
      <c r="E2" s="1" t="s">
        <v>231</v>
      </c>
      <c r="F2" s="105" t="s">
        <v>177</v>
      </c>
      <c r="G2" s="106" t="s">
        <v>178</v>
      </c>
      <c r="H2" s="105" t="s">
        <v>179</v>
      </c>
      <c r="I2" s="105" t="s">
        <v>180</v>
      </c>
      <c r="J2" s="105" t="s">
        <v>181</v>
      </c>
      <c r="K2" s="105" t="s">
        <v>182</v>
      </c>
      <c r="L2" s="105" t="s">
        <v>183</v>
      </c>
      <c r="M2" s="105" t="s">
        <v>184</v>
      </c>
    </row>
    <row r="3" spans="1:13" ht="13.9" customHeight="1" thickBot="1" x14ac:dyDescent="0.3">
      <c r="A3" s="207">
        <v>4</v>
      </c>
      <c r="F3" s="216" t="s">
        <v>107</v>
      </c>
      <c r="G3" s="217"/>
      <c r="H3" s="217"/>
      <c r="I3" s="217"/>
      <c r="J3" s="217"/>
      <c r="K3" s="217"/>
      <c r="L3" s="217"/>
      <c r="M3" s="218"/>
    </row>
    <row r="4" spans="1:13" ht="13.9" customHeight="1" x14ac:dyDescent="0.25">
      <c r="A4">
        <f>(E4*4)/$A$3</f>
        <v>2</v>
      </c>
      <c r="E4">
        <v>2</v>
      </c>
      <c r="F4" s="199">
        <v>705014100</v>
      </c>
      <c r="G4" s="100" t="s">
        <v>76</v>
      </c>
      <c r="H4" s="109"/>
      <c r="I4" s="109"/>
      <c r="J4" s="109"/>
      <c r="K4" s="109"/>
      <c r="L4" s="109"/>
      <c r="M4" s="110"/>
    </row>
    <row r="5" spans="1:13" ht="13.9" customHeight="1" x14ac:dyDescent="0.25">
      <c r="A5">
        <f t="shared" ref="A5:A68" si="1">(E5*4)/$A$3</f>
        <v>2</v>
      </c>
      <c r="E5">
        <v>2</v>
      </c>
      <c r="F5" s="199">
        <v>705014101</v>
      </c>
      <c r="G5" s="100" t="s">
        <v>77</v>
      </c>
      <c r="H5" s="109"/>
      <c r="I5" s="109"/>
      <c r="J5" s="109"/>
      <c r="K5" s="109"/>
      <c r="L5" s="109"/>
      <c r="M5" s="110"/>
    </row>
    <row r="6" spans="1:13" ht="13.9" customHeight="1" x14ac:dyDescent="0.25">
      <c r="A6">
        <f t="shared" si="1"/>
        <v>2</v>
      </c>
      <c r="E6">
        <v>2</v>
      </c>
      <c r="F6" s="199">
        <v>705012976</v>
      </c>
      <c r="G6" s="100" t="s">
        <v>57</v>
      </c>
      <c r="H6" s="109"/>
      <c r="I6" s="109"/>
      <c r="J6" s="109"/>
      <c r="K6" s="109"/>
      <c r="L6" s="109"/>
      <c r="M6" s="110"/>
    </row>
    <row r="7" spans="1:13" ht="13.9" customHeight="1" x14ac:dyDescent="0.25">
      <c r="A7">
        <f t="shared" si="1"/>
        <v>2</v>
      </c>
      <c r="E7">
        <v>2</v>
      </c>
      <c r="F7" s="199">
        <v>705012868</v>
      </c>
      <c r="G7" s="100" t="s">
        <v>58</v>
      </c>
      <c r="H7" s="109"/>
      <c r="I7" s="109"/>
      <c r="J7" s="109"/>
      <c r="K7" s="109"/>
      <c r="L7" s="109"/>
      <c r="M7" s="110"/>
    </row>
    <row r="8" spans="1:13" ht="13.9" customHeight="1" x14ac:dyDescent="0.25">
      <c r="A8">
        <f t="shared" si="1"/>
        <v>2</v>
      </c>
      <c r="E8">
        <v>2</v>
      </c>
      <c r="F8" s="199">
        <v>708003041</v>
      </c>
      <c r="G8" s="100" t="s">
        <v>68</v>
      </c>
      <c r="H8" s="109"/>
      <c r="I8" s="109"/>
      <c r="J8" s="109"/>
      <c r="K8" s="109"/>
      <c r="L8" s="109"/>
      <c r="M8" s="110"/>
    </row>
    <row r="9" spans="1:13" ht="13.9" customHeight="1" x14ac:dyDescent="0.25">
      <c r="A9">
        <f t="shared" si="1"/>
        <v>1</v>
      </c>
      <c r="E9">
        <v>1</v>
      </c>
      <c r="F9" s="199">
        <v>708200870</v>
      </c>
      <c r="G9" s="100" t="s">
        <v>113</v>
      </c>
      <c r="H9" s="109"/>
      <c r="I9" s="109"/>
      <c r="J9" s="109"/>
      <c r="K9" s="109"/>
      <c r="L9" s="109"/>
      <c r="M9" s="110"/>
    </row>
    <row r="10" spans="1:13" ht="13.9" customHeight="1" x14ac:dyDescent="0.25">
      <c r="A10">
        <f t="shared" si="1"/>
        <v>1</v>
      </c>
      <c r="E10">
        <v>1</v>
      </c>
      <c r="F10" s="199">
        <v>708200871</v>
      </c>
      <c r="G10" s="100" t="s">
        <v>114</v>
      </c>
      <c r="H10" s="109"/>
      <c r="I10" s="109"/>
      <c r="J10" s="109"/>
      <c r="K10" s="109"/>
      <c r="L10" s="109"/>
      <c r="M10" s="110"/>
    </row>
    <row r="11" spans="1:13" ht="13.9" customHeight="1" x14ac:dyDescent="0.25">
      <c r="A11">
        <f t="shared" si="1"/>
        <v>1</v>
      </c>
      <c r="E11">
        <v>1</v>
      </c>
      <c r="F11" s="199">
        <v>708200869</v>
      </c>
      <c r="G11" s="100" t="s">
        <v>69</v>
      </c>
      <c r="H11" s="109"/>
      <c r="I11" s="109"/>
      <c r="J11" s="109"/>
      <c r="K11" s="109"/>
      <c r="L11" s="109"/>
      <c r="M11" s="110"/>
    </row>
    <row r="12" spans="1:13" ht="13.9" customHeight="1" x14ac:dyDescent="0.25">
      <c r="A12">
        <f t="shared" si="1"/>
        <v>2</v>
      </c>
      <c r="E12">
        <v>2</v>
      </c>
      <c r="F12" s="199">
        <v>708302947</v>
      </c>
      <c r="G12" s="100" t="s">
        <v>111</v>
      </c>
      <c r="H12" s="109"/>
      <c r="I12" s="109"/>
      <c r="J12" s="109"/>
      <c r="K12" s="109"/>
      <c r="L12" s="109"/>
      <c r="M12" s="110"/>
    </row>
    <row r="13" spans="1:13" ht="13.9" customHeight="1" x14ac:dyDescent="0.25">
      <c r="A13">
        <f t="shared" si="1"/>
        <v>2</v>
      </c>
      <c r="E13">
        <v>2</v>
      </c>
      <c r="F13" s="199">
        <v>708302948</v>
      </c>
      <c r="G13" s="100" t="s">
        <v>112</v>
      </c>
      <c r="H13" s="109"/>
      <c r="I13" s="109"/>
      <c r="J13" s="109"/>
      <c r="K13" s="109"/>
      <c r="L13" s="109"/>
      <c r="M13" s="110"/>
    </row>
    <row r="14" spans="1:13" ht="13.9" customHeight="1" x14ac:dyDescent="0.25">
      <c r="A14">
        <f t="shared" si="1"/>
        <v>4</v>
      </c>
      <c r="E14">
        <v>4</v>
      </c>
      <c r="F14" s="199">
        <v>708303800</v>
      </c>
      <c r="G14" s="100" t="s">
        <v>72</v>
      </c>
      <c r="H14" s="109"/>
      <c r="I14" s="109"/>
      <c r="J14" s="109"/>
      <c r="K14" s="109"/>
      <c r="L14" s="109"/>
      <c r="M14" s="110"/>
    </row>
    <row r="15" spans="1:13" ht="13.9" customHeight="1" x14ac:dyDescent="0.25">
      <c r="A15">
        <f t="shared" si="1"/>
        <v>4</v>
      </c>
      <c r="E15">
        <v>4</v>
      </c>
      <c r="F15" s="199">
        <v>708303801</v>
      </c>
      <c r="G15" s="100" t="s">
        <v>73</v>
      </c>
      <c r="H15" s="109"/>
      <c r="I15" s="109"/>
      <c r="J15" s="109"/>
      <c r="K15" s="109"/>
      <c r="L15" s="109"/>
      <c r="M15" s="110"/>
    </row>
    <row r="16" spans="1:13" ht="13.9" customHeight="1" x14ac:dyDescent="0.25">
      <c r="A16">
        <f t="shared" si="1"/>
        <v>6</v>
      </c>
      <c r="E16">
        <v>6</v>
      </c>
      <c r="F16" s="100">
        <v>708400461</v>
      </c>
      <c r="G16" s="100" t="s">
        <v>59</v>
      </c>
      <c r="H16" s="109"/>
      <c r="I16" s="109"/>
      <c r="J16" s="109"/>
      <c r="K16" s="109"/>
      <c r="L16" s="109"/>
      <c r="M16" s="110"/>
    </row>
    <row r="17" spans="1:27" ht="13.9" customHeight="1" thickBot="1" x14ac:dyDescent="0.3">
      <c r="A17">
        <f t="shared" si="1"/>
        <v>6</v>
      </c>
      <c r="E17">
        <v>6</v>
      </c>
      <c r="F17" s="107">
        <v>708400463</v>
      </c>
      <c r="G17" s="107" t="s">
        <v>60</v>
      </c>
      <c r="H17" s="109"/>
      <c r="I17" s="109"/>
      <c r="J17" s="109"/>
      <c r="K17" s="109"/>
      <c r="L17" s="109"/>
      <c r="M17" s="111"/>
    </row>
    <row r="18" spans="1:27" ht="13.9" customHeight="1" thickBot="1" x14ac:dyDescent="0.4">
      <c r="A18">
        <f t="shared" si="1"/>
        <v>0</v>
      </c>
      <c r="E18">
        <v>0</v>
      </c>
      <c r="F18" s="216" t="s">
        <v>239</v>
      </c>
      <c r="G18" s="217"/>
      <c r="H18" s="217"/>
      <c r="I18" s="217"/>
      <c r="J18" s="217"/>
      <c r="K18" s="217"/>
      <c r="L18" s="217"/>
      <c r="M18" s="218"/>
      <c r="P18" s="226" t="s">
        <v>199</v>
      </c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8"/>
    </row>
    <row r="19" spans="1:27" ht="13.9" customHeight="1" thickBot="1" x14ac:dyDescent="0.3">
      <c r="A19">
        <f t="shared" si="1"/>
        <v>2</v>
      </c>
      <c r="E19">
        <v>2</v>
      </c>
      <c r="F19" s="199">
        <v>705012976</v>
      </c>
      <c r="G19" s="100" t="s">
        <v>57</v>
      </c>
      <c r="H19" s="109"/>
      <c r="I19" s="109"/>
      <c r="J19" s="109"/>
      <c r="K19" s="109"/>
      <c r="L19" s="109"/>
      <c r="M19" s="110"/>
      <c r="P19" s="165"/>
      <c r="Q19" s="165" t="s">
        <v>201</v>
      </c>
      <c r="R19" s="224" t="s">
        <v>202</v>
      </c>
      <c r="S19" s="225"/>
      <c r="T19" s="224" t="s">
        <v>203</v>
      </c>
      <c r="U19" s="225"/>
      <c r="V19" s="224" t="s">
        <v>204</v>
      </c>
      <c r="W19" s="225"/>
      <c r="X19" s="224" t="s">
        <v>183</v>
      </c>
      <c r="Y19" s="225"/>
      <c r="Z19" s="224" t="s">
        <v>205</v>
      </c>
      <c r="AA19" s="225"/>
    </row>
    <row r="20" spans="1:27" ht="13.9" customHeight="1" x14ac:dyDescent="0.25">
      <c r="A20">
        <f t="shared" si="1"/>
        <v>2</v>
      </c>
      <c r="E20">
        <v>2</v>
      </c>
      <c r="F20" s="199">
        <v>705012868</v>
      </c>
      <c r="G20" s="100" t="s">
        <v>58</v>
      </c>
      <c r="H20" s="109"/>
      <c r="I20" s="109"/>
      <c r="J20" s="109"/>
      <c r="K20" s="109"/>
      <c r="L20" s="109"/>
      <c r="M20" s="110"/>
      <c r="P20" s="112" t="str">
        <f>'Mon (103)'!M35</f>
        <v>Colour</v>
      </c>
      <c r="Q20" s="113" t="str">
        <f>'Mon (103)'!N35</f>
        <v>Time (mins)</v>
      </c>
      <c r="R20" s="211" t="str">
        <f>'Tues (103)'!N35</f>
        <v>Time (mins)</v>
      </c>
      <c r="S20" s="212"/>
      <c r="T20" s="211" t="str">
        <f>'Mon (103)'!N35</f>
        <v>Time (mins)</v>
      </c>
      <c r="U20" s="212"/>
      <c r="V20" s="211" t="str">
        <f>'Thurs (103)'!N35</f>
        <v>Time (mins)</v>
      </c>
      <c r="W20" s="212"/>
      <c r="X20" s="211" t="str">
        <f>'Fri (103)'!N35</f>
        <v>Time (mins)</v>
      </c>
      <c r="Y20" s="212"/>
      <c r="Z20" s="211" t="str">
        <f>'Sat (103)'!N35</f>
        <v>Time (mins)</v>
      </c>
      <c r="AA20" s="212"/>
    </row>
    <row r="21" spans="1:27" ht="13.9" customHeight="1" x14ac:dyDescent="0.25">
      <c r="A21">
        <f t="shared" si="1"/>
        <v>2</v>
      </c>
      <c r="E21">
        <v>2</v>
      </c>
      <c r="F21" s="199">
        <v>705014100</v>
      </c>
      <c r="G21" s="100" t="s">
        <v>76</v>
      </c>
      <c r="H21" s="109"/>
      <c r="I21" s="109"/>
      <c r="J21" s="109"/>
      <c r="K21" s="109"/>
      <c r="L21" s="109"/>
      <c r="M21" s="110"/>
      <c r="P21" s="103" t="str">
        <f>'Mon (103)'!M36</f>
        <v>Hyper Silver</v>
      </c>
      <c r="Q21" s="166">
        <f>'Mon (103)'!N36</f>
        <v>0</v>
      </c>
      <c r="R21" s="209">
        <f>'Tues (103)'!N36</f>
        <v>0</v>
      </c>
      <c r="S21" s="210"/>
      <c r="T21" s="209">
        <f>'Wed (103)'!N36</f>
        <v>0</v>
      </c>
      <c r="U21" s="210"/>
      <c r="V21" s="209">
        <f>'Thurs (103)'!N36</f>
        <v>0</v>
      </c>
      <c r="W21" s="210"/>
      <c r="X21" s="209">
        <f>'Fri (103)'!N36</f>
        <v>0</v>
      </c>
      <c r="Y21" s="210"/>
      <c r="Z21" s="211">
        <f>'Sat (103)'!N36</f>
        <v>0</v>
      </c>
      <c r="AA21" s="212"/>
    </row>
    <row r="22" spans="1:27" ht="13.9" customHeight="1" x14ac:dyDescent="0.25">
      <c r="A22">
        <f t="shared" si="1"/>
        <v>2</v>
      </c>
      <c r="E22">
        <v>2</v>
      </c>
      <c r="F22" s="199">
        <v>705014101</v>
      </c>
      <c r="G22" s="100" t="s">
        <v>77</v>
      </c>
      <c r="H22" s="109"/>
      <c r="I22" s="109"/>
      <c r="J22" s="109"/>
      <c r="K22" s="109"/>
      <c r="L22" s="109"/>
      <c r="M22" s="110"/>
      <c r="P22" s="103" t="str">
        <f>'Mon (103)'!M37</f>
        <v>Deep Black</v>
      </c>
      <c r="Q22" s="166">
        <f>'Mon (103)'!N37</f>
        <v>0</v>
      </c>
      <c r="R22" s="209">
        <f>'Tues (103)'!N37</f>
        <v>125</v>
      </c>
      <c r="S22" s="210"/>
      <c r="T22" s="209">
        <f>'Wed (103)'!N37</f>
        <v>125</v>
      </c>
      <c r="U22" s="210"/>
      <c r="V22" s="209">
        <f>'Thurs (103)'!N37</f>
        <v>81</v>
      </c>
      <c r="W22" s="210"/>
      <c r="X22" s="209">
        <f>'Fri (103)'!N37</f>
        <v>79</v>
      </c>
      <c r="Y22" s="210"/>
      <c r="Z22" s="211">
        <f>'Sat (103)'!N37</f>
        <v>0</v>
      </c>
      <c r="AA22" s="212"/>
    </row>
    <row r="23" spans="1:27" ht="13.9" customHeight="1" x14ac:dyDescent="0.25">
      <c r="A23">
        <f t="shared" si="1"/>
        <v>2</v>
      </c>
      <c r="E23">
        <v>2</v>
      </c>
      <c r="F23" s="199">
        <v>708003041</v>
      </c>
      <c r="G23" s="100" t="s">
        <v>68</v>
      </c>
      <c r="H23" s="109"/>
      <c r="I23" s="109"/>
      <c r="J23" s="109"/>
      <c r="K23" s="109"/>
      <c r="L23" s="109"/>
      <c r="M23" s="110"/>
      <c r="P23" s="103">
        <f>'Mon (103)'!M38</f>
        <v>0</v>
      </c>
      <c r="Q23" s="166">
        <f>'Mon (103)'!N38</f>
        <v>0</v>
      </c>
      <c r="R23" s="209">
        <f>'Tues (103)'!N38</f>
        <v>0</v>
      </c>
      <c r="S23" s="210"/>
      <c r="T23" s="209">
        <f>'Wed (103)'!N38</f>
        <v>0</v>
      </c>
      <c r="U23" s="210"/>
      <c r="V23" s="209">
        <f>'Thurs (103)'!N38</f>
        <v>0</v>
      </c>
      <c r="W23" s="210"/>
      <c r="X23" s="209">
        <f>'Fri (103)'!N38</f>
        <v>0</v>
      </c>
      <c r="Y23" s="210"/>
      <c r="Z23" s="211">
        <f>'Sat (103)'!N38</f>
        <v>0</v>
      </c>
      <c r="AA23" s="212"/>
    </row>
    <row r="24" spans="1:27" ht="13.5" customHeight="1" x14ac:dyDescent="0.25">
      <c r="A24">
        <f t="shared" si="1"/>
        <v>1</v>
      </c>
      <c r="E24">
        <v>1</v>
      </c>
      <c r="F24" s="199">
        <v>708200870</v>
      </c>
      <c r="G24" s="31" t="s">
        <v>113</v>
      </c>
      <c r="H24" s="109"/>
      <c r="I24" s="109"/>
      <c r="J24" s="109"/>
      <c r="K24" s="109"/>
      <c r="L24" s="109"/>
      <c r="M24" s="110"/>
      <c r="P24" s="103" t="str">
        <f>'Mon (103)'!M39</f>
        <v>Vegas White</v>
      </c>
      <c r="Q24" s="166">
        <f>'Mon (103)'!N39</f>
        <v>0</v>
      </c>
      <c r="R24" s="209">
        <f>'Tues (103)'!N39</f>
        <v>0</v>
      </c>
      <c r="S24" s="210"/>
      <c r="T24" s="209">
        <f>'Wed (103)'!N39</f>
        <v>0</v>
      </c>
      <c r="U24" s="210"/>
      <c r="V24" s="209">
        <f>'Thurs (103)'!N39</f>
        <v>0</v>
      </c>
      <c r="W24" s="210"/>
      <c r="X24" s="209">
        <f>'Fri (103)'!N39</f>
        <v>0</v>
      </c>
      <c r="Y24" s="210"/>
      <c r="Z24" s="211">
        <f>'Sat (103)'!N39</f>
        <v>0</v>
      </c>
      <c r="AA24" s="212"/>
    </row>
    <row r="25" spans="1:27" ht="13.9" customHeight="1" x14ac:dyDescent="0.25">
      <c r="A25">
        <f t="shared" si="1"/>
        <v>1</v>
      </c>
      <c r="E25">
        <v>1</v>
      </c>
      <c r="F25" s="199">
        <v>708200871</v>
      </c>
      <c r="G25" s="100" t="s">
        <v>114</v>
      </c>
      <c r="H25" s="109"/>
      <c r="I25" s="109"/>
      <c r="J25" s="109"/>
      <c r="K25" s="109"/>
      <c r="L25" s="109"/>
      <c r="M25" s="110"/>
      <c r="P25" s="103" t="str">
        <f>'Mon (103)'!M40</f>
        <v>Black - Laval</v>
      </c>
      <c r="Q25" s="166">
        <f>'Mon (103)'!N40</f>
        <v>0</v>
      </c>
      <c r="R25" s="209">
        <f>'Tues (103)'!N40</f>
        <v>19</v>
      </c>
      <c r="S25" s="210"/>
      <c r="T25" s="209">
        <f>'Wed (103)'!N40</f>
        <v>0</v>
      </c>
      <c r="U25" s="210"/>
      <c r="V25" s="209">
        <f>'Thurs (103)'!N40</f>
        <v>0</v>
      </c>
      <c r="W25" s="210"/>
      <c r="X25" s="209">
        <f>'Fri (103)'!N40</f>
        <v>0</v>
      </c>
      <c r="Y25" s="210"/>
      <c r="Z25" s="211">
        <f>'Sat (103)'!N40</f>
        <v>0</v>
      </c>
      <c r="AA25" s="212"/>
    </row>
    <row r="26" spans="1:27" ht="13.9" customHeight="1" x14ac:dyDescent="0.25">
      <c r="A26">
        <f t="shared" si="1"/>
        <v>1</v>
      </c>
      <c r="E26">
        <v>1</v>
      </c>
      <c r="F26" s="199">
        <v>708200869</v>
      </c>
      <c r="G26" s="100" t="s">
        <v>69</v>
      </c>
      <c r="H26" s="109"/>
      <c r="I26" s="109"/>
      <c r="J26" s="109"/>
      <c r="K26" s="109"/>
      <c r="L26" s="109"/>
      <c r="M26" s="110"/>
      <c r="P26" s="103" t="str">
        <f>'Mon (103)'!M41</f>
        <v>Satin Vegas</v>
      </c>
      <c r="Q26" s="166">
        <f>'Mon (103)'!N41</f>
        <v>0</v>
      </c>
      <c r="R26" s="209">
        <f>'Tues (103)'!N41</f>
        <v>0</v>
      </c>
      <c r="S26" s="210"/>
      <c r="T26" s="209">
        <f>'Wed (103)'!N41</f>
        <v>0</v>
      </c>
      <c r="U26" s="210"/>
      <c r="V26" s="209">
        <f>'Thurs (103)'!N41</f>
        <v>0</v>
      </c>
      <c r="W26" s="210"/>
      <c r="X26" s="209">
        <f>'Fri (103)'!N41</f>
        <v>0</v>
      </c>
      <c r="Y26" s="210"/>
      <c r="Z26" s="211">
        <f>'Sat (103)'!N41</f>
        <v>0</v>
      </c>
      <c r="AA26" s="212"/>
    </row>
    <row r="27" spans="1:27" ht="13.9" customHeight="1" x14ac:dyDescent="0.25">
      <c r="A27">
        <f t="shared" si="1"/>
        <v>1</v>
      </c>
      <c r="E27">
        <v>1</v>
      </c>
      <c r="F27" s="199">
        <v>708303582</v>
      </c>
      <c r="G27" s="100" t="s">
        <v>208</v>
      </c>
      <c r="H27" s="109"/>
      <c r="I27" s="109"/>
      <c r="J27" s="109"/>
      <c r="K27" s="109"/>
      <c r="L27" s="109"/>
      <c r="M27" s="110"/>
      <c r="P27" s="103" t="str">
        <f>'Mon (103)'!M42</f>
        <v>Mitchell Plastics</v>
      </c>
      <c r="Q27" s="166">
        <f>'Mon (103)'!N42</f>
        <v>0</v>
      </c>
      <c r="R27" s="209">
        <f>'Tues (103)'!N42</f>
        <v>0</v>
      </c>
      <c r="S27" s="210"/>
      <c r="T27" s="209">
        <f>'Wed (103)'!N42</f>
        <v>0</v>
      </c>
      <c r="U27" s="210"/>
      <c r="V27" s="209">
        <f>'Thurs (103)'!N42</f>
        <v>0</v>
      </c>
      <c r="W27" s="210"/>
      <c r="X27" s="209">
        <f>'Fri (103)'!N42</f>
        <v>0</v>
      </c>
      <c r="Y27" s="210"/>
      <c r="Z27" s="211">
        <f>'Sat (103)'!N42</f>
        <v>0</v>
      </c>
      <c r="AA27" s="212"/>
    </row>
    <row r="28" spans="1:27" ht="13.9" customHeight="1" x14ac:dyDescent="0.25">
      <c r="A28">
        <f t="shared" si="1"/>
        <v>4</v>
      </c>
      <c r="E28">
        <v>4</v>
      </c>
      <c r="F28" s="199">
        <v>708303800</v>
      </c>
      <c r="G28" s="100" t="s">
        <v>72</v>
      </c>
      <c r="H28" s="109"/>
      <c r="I28" s="109"/>
      <c r="J28" s="109"/>
      <c r="K28" s="109"/>
      <c r="L28" s="109"/>
      <c r="M28" s="110"/>
      <c r="P28" s="103" t="str">
        <f>'Mon (103)'!M43</f>
        <v>Seastar</v>
      </c>
      <c r="Q28" s="166">
        <f>'Mon (103)'!N43</f>
        <v>0</v>
      </c>
      <c r="R28" s="209">
        <f>'Tues (103)'!N43</f>
        <v>0</v>
      </c>
      <c r="S28" s="210"/>
      <c r="T28" s="209">
        <f>'Wed (103)'!N43</f>
        <v>0</v>
      </c>
      <c r="U28" s="210"/>
      <c r="V28" s="209">
        <f>'Thurs (103)'!N43</f>
        <v>0</v>
      </c>
      <c r="W28" s="210"/>
      <c r="X28" s="209">
        <f>'Fri (103)'!N43</f>
        <v>0</v>
      </c>
      <c r="Y28" s="210"/>
      <c r="Z28" s="211">
        <f>'Sat (103)'!N43</f>
        <v>0</v>
      </c>
      <c r="AA28" s="212"/>
    </row>
    <row r="29" spans="1:27" ht="13.9" customHeight="1" x14ac:dyDescent="0.25">
      <c r="A29">
        <f t="shared" si="1"/>
        <v>4</v>
      </c>
      <c r="E29">
        <v>4</v>
      </c>
      <c r="F29" s="199">
        <v>708303801</v>
      </c>
      <c r="G29" s="100" t="s">
        <v>73</v>
      </c>
      <c r="H29" s="109"/>
      <c r="I29" s="109"/>
      <c r="J29" s="109"/>
      <c r="K29" s="109"/>
      <c r="L29" s="109"/>
      <c r="M29" s="110"/>
      <c r="P29" s="103" t="str">
        <f>'Mon (103)'!M44</f>
        <v>Manterra - Hyper Silver</v>
      </c>
      <c r="Q29" s="166">
        <f>'Mon (103)'!N44</f>
        <v>0</v>
      </c>
      <c r="R29" s="209">
        <f>'Tues (103)'!N44</f>
        <v>0</v>
      </c>
      <c r="S29" s="210"/>
      <c r="T29" s="209">
        <f>'Wed (103)'!N44</f>
        <v>0</v>
      </c>
      <c r="U29" s="210"/>
      <c r="V29" s="209">
        <f>'Thurs (103)'!N44</f>
        <v>0</v>
      </c>
      <c r="W29" s="210"/>
      <c r="X29" s="209">
        <f>'Fri (103)'!N44</f>
        <v>0</v>
      </c>
      <c r="Y29" s="210"/>
      <c r="Z29" s="211">
        <f>'Sat (103)'!N44</f>
        <v>0</v>
      </c>
      <c r="AA29" s="212"/>
    </row>
    <row r="30" spans="1:27" ht="13.9" customHeight="1" x14ac:dyDescent="0.25">
      <c r="A30">
        <f t="shared" si="1"/>
        <v>2</v>
      </c>
      <c r="E30">
        <v>2</v>
      </c>
      <c r="F30" s="199">
        <v>708302947</v>
      </c>
      <c r="G30" s="100" t="s">
        <v>111</v>
      </c>
      <c r="H30" s="109"/>
      <c r="I30" s="109"/>
      <c r="J30" s="109"/>
      <c r="K30" s="109"/>
      <c r="L30" s="109"/>
      <c r="M30" s="110"/>
      <c r="P30" s="103" t="str">
        <f>'Mon (103)'!M45</f>
        <v>Falcon Lakeside Hyper Silver</v>
      </c>
      <c r="Q30" s="166">
        <f>'Mon (103)'!N45</f>
        <v>0</v>
      </c>
      <c r="R30" s="209">
        <f>'Tues (103)'!N45</f>
        <v>0</v>
      </c>
      <c r="S30" s="210"/>
      <c r="T30" s="209">
        <f>'Wed (103)'!N45</f>
        <v>0</v>
      </c>
      <c r="U30" s="210"/>
      <c r="V30" s="209">
        <f>'Thurs (103)'!N45</f>
        <v>0</v>
      </c>
      <c r="W30" s="210"/>
      <c r="X30" s="209">
        <f>'Fri (103)'!N45</f>
        <v>0</v>
      </c>
      <c r="Y30" s="210"/>
      <c r="Z30" s="211">
        <f>'Sat (103)'!N45</f>
        <v>0</v>
      </c>
      <c r="AA30" s="212"/>
    </row>
    <row r="31" spans="1:27" ht="13.9" customHeight="1" thickBot="1" x14ac:dyDescent="0.3">
      <c r="A31">
        <f t="shared" si="1"/>
        <v>2</v>
      </c>
      <c r="E31">
        <v>2</v>
      </c>
      <c r="F31" s="199">
        <v>708302948</v>
      </c>
      <c r="G31" s="100" t="s">
        <v>112</v>
      </c>
      <c r="H31" s="109"/>
      <c r="I31" s="109"/>
      <c r="J31" s="109"/>
      <c r="K31" s="109"/>
      <c r="L31" s="109"/>
      <c r="M31" s="110"/>
      <c r="P31" s="103" t="str">
        <f>'Mon (103)'!M46</f>
        <v>Tesla - High Gloss Black</v>
      </c>
      <c r="Q31" s="166">
        <f>'Mon (103)'!N46</f>
        <v>0</v>
      </c>
      <c r="R31" s="209">
        <f>'Tues (103)'!N46</f>
        <v>60</v>
      </c>
      <c r="S31" s="210"/>
      <c r="T31" s="209">
        <f>'Wed (103)'!N46</f>
        <v>120</v>
      </c>
      <c r="U31" s="210"/>
      <c r="V31" s="209">
        <f>'Thurs (103)'!N46</f>
        <v>100</v>
      </c>
      <c r="W31" s="210"/>
      <c r="X31" s="209">
        <f>'Fri (103)'!N46</f>
        <v>100</v>
      </c>
      <c r="Y31" s="210"/>
      <c r="Z31" s="211">
        <f>'Sat (103)'!N46</f>
        <v>0</v>
      </c>
      <c r="AA31" s="212"/>
    </row>
    <row r="32" spans="1:27" ht="13.9" customHeight="1" thickBot="1" x14ac:dyDescent="0.3">
      <c r="A32">
        <f t="shared" si="1"/>
        <v>0</v>
      </c>
      <c r="E32">
        <v>0</v>
      </c>
      <c r="F32" s="216" t="s">
        <v>70</v>
      </c>
      <c r="G32" s="217"/>
      <c r="H32" s="217"/>
      <c r="I32" s="217"/>
      <c r="J32" s="217"/>
      <c r="K32" s="217"/>
      <c r="L32" s="217"/>
      <c r="M32" s="218"/>
      <c r="P32" s="103" t="str">
        <f>'Mon (103)'!M47</f>
        <v>Summit White - Laval</v>
      </c>
      <c r="Q32" s="166">
        <f>'Mon (103)'!N47</f>
        <v>0</v>
      </c>
      <c r="R32" s="209">
        <f>'Tues (103)'!N47</f>
        <v>0</v>
      </c>
      <c r="S32" s="210"/>
      <c r="T32" s="209">
        <f>'Wed (103)'!N47</f>
        <v>0</v>
      </c>
      <c r="U32" s="210"/>
      <c r="V32" s="209">
        <f>'Thurs (103)'!N47</f>
        <v>0</v>
      </c>
      <c r="W32" s="210"/>
      <c r="X32" s="209">
        <f>'Fri (103)'!N47</f>
        <v>0</v>
      </c>
      <c r="Y32" s="210"/>
      <c r="Z32" s="211">
        <f>'Sat (103)'!N47</f>
        <v>0</v>
      </c>
      <c r="AA32" s="212"/>
    </row>
    <row r="33" spans="1:27" ht="13.9" customHeight="1" x14ac:dyDescent="0.25">
      <c r="A33">
        <f t="shared" si="1"/>
        <v>2</v>
      </c>
      <c r="E33">
        <v>2</v>
      </c>
      <c r="F33" s="43">
        <v>708400287</v>
      </c>
      <c r="G33" s="108" t="s">
        <v>13</v>
      </c>
      <c r="H33" s="109"/>
      <c r="I33" s="109"/>
      <c r="J33" s="109"/>
      <c r="K33" s="109"/>
      <c r="L33" s="109"/>
      <c r="M33" s="109"/>
      <c r="P33" s="103">
        <f>'Mon (103)'!M48</f>
        <v>0</v>
      </c>
      <c r="Q33" s="166">
        <f>'Mon (103)'!N48</f>
        <v>0</v>
      </c>
      <c r="R33" s="209">
        <f>'Tues (103)'!N48</f>
        <v>0</v>
      </c>
      <c r="S33" s="210"/>
      <c r="T33" s="209">
        <f>'Wed (103)'!N48</f>
        <v>0</v>
      </c>
      <c r="U33" s="210"/>
      <c r="V33" s="209">
        <f>'Thurs (103)'!N48</f>
        <v>0</v>
      </c>
      <c r="W33" s="210"/>
      <c r="X33" s="209">
        <f>'Fri (103)'!N48</f>
        <v>0</v>
      </c>
      <c r="Y33" s="210"/>
      <c r="Z33" s="211">
        <f>'Sat (103)'!N48</f>
        <v>0</v>
      </c>
      <c r="AA33" s="212"/>
    </row>
    <row r="34" spans="1:27" ht="13.9" customHeight="1" x14ac:dyDescent="0.25">
      <c r="A34">
        <f t="shared" si="1"/>
        <v>2</v>
      </c>
      <c r="E34">
        <v>2</v>
      </c>
      <c r="F34" s="44">
        <v>705019189</v>
      </c>
      <c r="G34" s="100" t="s">
        <v>232</v>
      </c>
      <c r="H34" s="109"/>
      <c r="I34" s="109">
        <v>60</v>
      </c>
      <c r="J34" s="109">
        <v>60</v>
      </c>
      <c r="K34" s="109">
        <v>40</v>
      </c>
      <c r="L34" s="109">
        <v>60</v>
      </c>
      <c r="M34" s="110"/>
      <c r="P34" s="103">
        <f>'Mon (103)'!M49</f>
        <v>0</v>
      </c>
      <c r="Q34" s="166">
        <f>'Mon (103)'!N49</f>
        <v>0</v>
      </c>
      <c r="R34" s="209">
        <f>'Tues (103)'!N49</f>
        <v>0</v>
      </c>
      <c r="S34" s="210"/>
      <c r="T34" s="209">
        <f>'Wed (103)'!N49</f>
        <v>0</v>
      </c>
      <c r="U34" s="210"/>
      <c r="V34" s="209">
        <f>'Thurs (103)'!N49</f>
        <v>0</v>
      </c>
      <c r="W34" s="210"/>
      <c r="X34" s="209">
        <f>'Fri (103)'!N49</f>
        <v>0</v>
      </c>
      <c r="Y34" s="210"/>
      <c r="Z34" s="211">
        <f>'Sat (103)'!N49</f>
        <v>0</v>
      </c>
      <c r="AA34" s="212"/>
    </row>
    <row r="35" spans="1:27" ht="13.9" customHeight="1" x14ac:dyDescent="0.25">
      <c r="A35">
        <f t="shared" si="1"/>
        <v>2</v>
      </c>
      <c r="E35">
        <v>2</v>
      </c>
      <c r="F35" s="44">
        <v>708001528</v>
      </c>
      <c r="G35" s="100" t="s">
        <v>71</v>
      </c>
      <c r="H35" s="109"/>
      <c r="I35" s="109">
        <v>42</v>
      </c>
      <c r="J35" s="109">
        <v>42</v>
      </c>
      <c r="K35" s="109">
        <v>42</v>
      </c>
      <c r="L35" s="109">
        <v>42</v>
      </c>
      <c r="M35" s="110"/>
      <c r="P35" s="103" t="str">
        <f>'Mon (103)'!M50</f>
        <v>Total:</v>
      </c>
      <c r="Q35" s="166">
        <f>'Mon (103)'!N50</f>
        <v>0</v>
      </c>
      <c r="R35" s="209">
        <f>'Tues (103)'!N50</f>
        <v>204</v>
      </c>
      <c r="S35" s="210"/>
      <c r="T35" s="209">
        <f>'Wed (103)'!N50</f>
        <v>245</v>
      </c>
      <c r="U35" s="210"/>
      <c r="V35" s="209">
        <f>'Thurs (103)'!N50</f>
        <v>181</v>
      </c>
      <c r="W35" s="210"/>
      <c r="X35" s="209">
        <f>'Fri (103)'!N50</f>
        <v>179</v>
      </c>
      <c r="Y35" s="210"/>
      <c r="Z35" s="211">
        <f>'Sat (103)'!N50</f>
        <v>0</v>
      </c>
      <c r="AA35" s="212"/>
    </row>
    <row r="36" spans="1:27" ht="13.9" customHeight="1" x14ac:dyDescent="0.25">
      <c r="A36">
        <f t="shared" si="1"/>
        <v>2</v>
      </c>
      <c r="E36">
        <v>2</v>
      </c>
      <c r="F36" s="44">
        <v>708400069</v>
      </c>
      <c r="G36" s="100" t="s">
        <v>233</v>
      </c>
      <c r="H36" s="109"/>
      <c r="I36" s="109">
        <v>40</v>
      </c>
      <c r="J36" s="109">
        <v>40</v>
      </c>
      <c r="K36" s="109">
        <v>30</v>
      </c>
      <c r="L36" s="109"/>
      <c r="M36" s="110"/>
      <c r="P36" s="103">
        <f>'Mon (103)'!M51</f>
        <v>0</v>
      </c>
      <c r="Q36" s="166">
        <f>'Mon (103)'!N51</f>
        <v>0</v>
      </c>
      <c r="R36" s="209">
        <f>'Tues (103)'!N51</f>
        <v>0</v>
      </c>
      <c r="S36" s="210"/>
      <c r="T36" s="209">
        <f>'Wed (103)'!N51</f>
        <v>0</v>
      </c>
      <c r="U36" s="210"/>
      <c r="V36" s="209">
        <f>'Thurs (103)'!N51</f>
        <v>0</v>
      </c>
      <c r="W36" s="210"/>
      <c r="X36" s="209">
        <f>'Fri (103)'!N51</f>
        <v>0</v>
      </c>
      <c r="Y36" s="210"/>
      <c r="Z36" s="211">
        <f>'Sat (103)'!N51</f>
        <v>0</v>
      </c>
      <c r="AA36" s="212"/>
    </row>
    <row r="37" spans="1:27" ht="13.9" customHeight="1" x14ac:dyDescent="0.25">
      <c r="A37">
        <f t="shared" si="1"/>
        <v>2</v>
      </c>
      <c r="E37">
        <v>2</v>
      </c>
      <c r="F37" s="44">
        <v>708400067</v>
      </c>
      <c r="G37" s="100" t="s">
        <v>234</v>
      </c>
      <c r="H37" s="109"/>
      <c r="I37" s="109">
        <v>40</v>
      </c>
      <c r="J37" s="109">
        <v>40</v>
      </c>
      <c r="K37" s="109">
        <v>30</v>
      </c>
      <c r="L37" s="109">
        <v>20</v>
      </c>
      <c r="M37" s="110"/>
      <c r="P37" s="103" t="str">
        <f>'Mon (103)'!M52</f>
        <v>Gaps</v>
      </c>
      <c r="Q37" s="104">
        <f>'Mon (103)'!N52</f>
        <v>0</v>
      </c>
      <c r="R37" s="211">
        <f>'Tues (103)'!N52</f>
        <v>24</v>
      </c>
      <c r="S37" s="212"/>
      <c r="T37" s="211">
        <f>'Wed (103)'!N52</f>
        <v>12</v>
      </c>
      <c r="U37" s="212"/>
      <c r="V37" s="211">
        <f>'Thurs (103)'!N52</f>
        <v>12</v>
      </c>
      <c r="W37" s="212"/>
      <c r="X37" s="211">
        <f>'Fri (103)'!N52</f>
        <v>12</v>
      </c>
      <c r="Y37" s="212"/>
      <c r="Z37" s="211">
        <f>'Sat (103)'!N52</f>
        <v>0</v>
      </c>
      <c r="AA37" s="212"/>
    </row>
    <row r="38" spans="1:27" ht="13.9" customHeight="1" x14ac:dyDescent="0.25">
      <c r="A38">
        <f t="shared" si="1"/>
        <v>2</v>
      </c>
      <c r="E38">
        <v>2</v>
      </c>
      <c r="F38" s="44">
        <v>708400717</v>
      </c>
      <c r="G38" s="100" t="s">
        <v>235</v>
      </c>
      <c r="H38" s="109"/>
      <c r="I38" s="109"/>
      <c r="J38" s="109"/>
      <c r="K38" s="109"/>
      <c r="L38" s="109"/>
      <c r="M38" s="110"/>
      <c r="P38" s="103">
        <f>'Mon (103)'!M53</f>
        <v>0</v>
      </c>
      <c r="Q38" s="104">
        <f>'Mon (103)'!N53</f>
        <v>0</v>
      </c>
      <c r="R38" s="211">
        <f>'Tues (103)'!N53</f>
        <v>0</v>
      </c>
      <c r="S38" s="212"/>
      <c r="T38" s="211">
        <f>'Wed (103)'!N53</f>
        <v>0</v>
      </c>
      <c r="U38" s="212"/>
      <c r="V38" s="211">
        <f>'Thurs (103)'!N53</f>
        <v>0</v>
      </c>
      <c r="W38" s="212"/>
      <c r="X38" s="211">
        <f>'Fri (103)'!N53</f>
        <v>0</v>
      </c>
      <c r="Y38" s="212"/>
      <c r="Z38" s="211">
        <f>'Sat (103)'!N53</f>
        <v>0</v>
      </c>
      <c r="AA38" s="212"/>
    </row>
    <row r="39" spans="1:27" ht="13.9" customHeight="1" thickBot="1" x14ac:dyDescent="0.3">
      <c r="A39">
        <f t="shared" si="1"/>
        <v>2</v>
      </c>
      <c r="E39">
        <v>2</v>
      </c>
      <c r="F39" s="114">
        <v>708400718</v>
      </c>
      <c r="G39" s="107" t="s">
        <v>236</v>
      </c>
      <c r="H39" s="109"/>
      <c r="I39" s="109"/>
      <c r="J39" s="109"/>
      <c r="K39" s="109"/>
      <c r="L39" s="109"/>
      <c r="M39" s="111"/>
      <c r="P39" s="103" t="str">
        <f>'Mon (103)'!M54</f>
        <v>Total Time (hrs)</v>
      </c>
      <c r="Q39" s="166">
        <f>'Mon (103)'!N54</f>
        <v>0</v>
      </c>
      <c r="R39" s="209">
        <f>'Tues (103)'!N54</f>
        <v>3.8</v>
      </c>
      <c r="S39" s="210"/>
      <c r="T39" s="209">
        <f>'Wed (103)'!N54</f>
        <v>4.2833333333333332</v>
      </c>
      <c r="U39" s="210"/>
      <c r="V39" s="209">
        <f>'Thurs (103)'!N54</f>
        <v>3.2166666666666668</v>
      </c>
      <c r="W39" s="210"/>
      <c r="X39" s="209">
        <f>'Fri (103)'!N54</f>
        <v>3.1833333333333331</v>
      </c>
      <c r="Y39" s="210"/>
      <c r="Z39" s="211">
        <f>'Sat (103)'!N54</f>
        <v>0</v>
      </c>
      <c r="AA39" s="212"/>
    </row>
    <row r="40" spans="1:27" ht="13.9" customHeight="1" thickBot="1" x14ac:dyDescent="0.3">
      <c r="A40">
        <f t="shared" si="1"/>
        <v>2</v>
      </c>
      <c r="E40">
        <v>2</v>
      </c>
      <c r="F40" s="114">
        <v>708400722</v>
      </c>
      <c r="G40" s="100" t="s">
        <v>237</v>
      </c>
      <c r="H40" s="109"/>
      <c r="I40" s="109">
        <v>40</v>
      </c>
      <c r="J40" s="109">
        <v>40</v>
      </c>
      <c r="K40" s="109">
        <v>20</v>
      </c>
      <c r="L40" s="109">
        <v>20</v>
      </c>
      <c r="M40" s="111"/>
      <c r="P40" s="222" t="s">
        <v>200</v>
      </c>
      <c r="Q40" s="223"/>
      <c r="R40" s="121">
        <f>SUM(Q39:AA39)</f>
        <v>14.483333333333333</v>
      </c>
    </row>
    <row r="41" spans="1:27" ht="13.9" customHeight="1" x14ac:dyDescent="0.25">
      <c r="A41">
        <f t="shared" si="1"/>
        <v>8</v>
      </c>
      <c r="E41">
        <v>8</v>
      </c>
      <c r="F41" s="44">
        <v>708400721</v>
      </c>
      <c r="G41" s="107" t="s">
        <v>238</v>
      </c>
      <c r="H41" s="109"/>
      <c r="I41" s="109">
        <v>64</v>
      </c>
      <c r="J41" s="109">
        <v>64</v>
      </c>
      <c r="K41" s="109"/>
      <c r="L41" s="109">
        <v>64</v>
      </c>
      <c r="M41" s="111"/>
    </row>
    <row r="42" spans="1:27" ht="13.9" customHeight="1" x14ac:dyDescent="0.25">
      <c r="A42">
        <f t="shared" si="1"/>
        <v>6</v>
      </c>
      <c r="E42">
        <v>6</v>
      </c>
      <c r="F42" s="114">
        <v>708400462</v>
      </c>
      <c r="G42" s="107" t="s">
        <v>59</v>
      </c>
      <c r="H42" s="109"/>
      <c r="I42" s="109"/>
      <c r="J42" s="109"/>
      <c r="K42" s="109"/>
      <c r="L42" s="109"/>
      <c r="M42" s="111"/>
      <c r="T42" t="s">
        <v>230</v>
      </c>
      <c r="V42">
        <v>-12</v>
      </c>
    </row>
    <row r="43" spans="1:27" ht="13.9" customHeight="1" thickBot="1" x14ac:dyDescent="0.3">
      <c r="A43">
        <f t="shared" si="1"/>
        <v>6</v>
      </c>
      <c r="E43">
        <v>6</v>
      </c>
      <c r="F43" s="45">
        <v>708400464</v>
      </c>
      <c r="G43" s="107" t="s">
        <v>60</v>
      </c>
      <c r="H43" s="109"/>
      <c r="I43" s="109">
        <v>36</v>
      </c>
      <c r="J43" s="109">
        <v>36</v>
      </c>
      <c r="K43" s="109"/>
      <c r="L43" s="109"/>
      <c r="M43" s="111"/>
      <c r="T43" t="s">
        <v>228</v>
      </c>
    </row>
    <row r="44" spans="1:27" ht="13.9" hidden="1" customHeight="1" thickBot="1" x14ac:dyDescent="0.3">
      <c r="A44">
        <f t="shared" si="1"/>
        <v>0</v>
      </c>
      <c r="E44">
        <v>0</v>
      </c>
      <c r="F44" s="230"/>
      <c r="G44" s="231"/>
      <c r="H44" s="231"/>
      <c r="I44" s="231"/>
      <c r="J44" s="231"/>
      <c r="K44" s="231"/>
      <c r="L44" s="231"/>
      <c r="M44" s="232"/>
      <c r="T44" t="s">
        <v>229</v>
      </c>
    </row>
    <row r="45" spans="1:27" ht="13.9" hidden="1" customHeight="1" x14ac:dyDescent="0.25">
      <c r="A45">
        <f t="shared" si="1"/>
        <v>3.4285745454545458</v>
      </c>
      <c r="E45">
        <v>3.4285745454545458</v>
      </c>
      <c r="F45" s="200"/>
      <c r="G45" s="108"/>
      <c r="H45" s="109"/>
      <c r="I45" s="109"/>
      <c r="J45" s="109"/>
      <c r="K45" s="109"/>
      <c r="L45" s="109"/>
      <c r="M45" s="109"/>
    </row>
    <row r="46" spans="1:27" ht="13.9" hidden="1" customHeight="1" x14ac:dyDescent="0.25">
      <c r="A46">
        <f t="shared" si="1"/>
        <v>3.4285745454545458</v>
      </c>
      <c r="E46">
        <v>3.4285745454545458</v>
      </c>
      <c r="F46" s="199"/>
      <c r="G46" s="100"/>
      <c r="H46" s="110"/>
      <c r="I46" s="110"/>
      <c r="J46" s="110"/>
      <c r="K46" s="110"/>
      <c r="L46" s="110"/>
      <c r="M46" s="110"/>
    </row>
    <row r="47" spans="1:27" ht="13.9" hidden="1" customHeight="1" x14ac:dyDescent="0.25">
      <c r="A47">
        <f t="shared" si="1"/>
        <v>1.2000000000000002</v>
      </c>
      <c r="E47">
        <v>1.2000000000000002</v>
      </c>
      <c r="F47" s="199"/>
      <c r="G47" s="100"/>
      <c r="H47" s="110"/>
      <c r="I47" s="110"/>
      <c r="J47" s="110"/>
      <c r="K47" s="110"/>
      <c r="L47" s="110"/>
      <c r="M47" s="110"/>
    </row>
    <row r="48" spans="1:27" ht="13.9" hidden="1" customHeight="1" x14ac:dyDescent="0.25">
      <c r="A48">
        <f t="shared" si="1"/>
        <v>1.2000000000000002</v>
      </c>
      <c r="E48">
        <v>1.2000000000000002</v>
      </c>
      <c r="F48" s="100"/>
      <c r="G48" s="100"/>
      <c r="H48" s="110"/>
      <c r="I48" s="110"/>
      <c r="J48" s="110"/>
      <c r="K48" s="110"/>
      <c r="L48" s="110"/>
      <c r="M48" s="110"/>
    </row>
    <row r="49" spans="1:13" ht="13.9" hidden="1" customHeight="1" x14ac:dyDescent="0.25">
      <c r="A49">
        <f t="shared" si="1"/>
        <v>1.2000000000000002</v>
      </c>
      <c r="E49">
        <v>1.2000000000000002</v>
      </c>
      <c r="F49" s="100"/>
      <c r="G49" s="100"/>
      <c r="H49" s="110"/>
      <c r="I49" s="110"/>
      <c r="J49" s="110"/>
      <c r="K49" s="110"/>
      <c r="L49" s="110"/>
      <c r="M49" s="110"/>
    </row>
    <row r="50" spans="1:13" ht="13.9" hidden="1" customHeight="1" x14ac:dyDescent="0.25">
      <c r="A50">
        <f t="shared" si="1"/>
        <v>2.4000000000000004</v>
      </c>
      <c r="E50">
        <v>2.4000000000000004</v>
      </c>
      <c r="F50" s="100"/>
      <c r="G50" s="100"/>
      <c r="H50" s="110"/>
      <c r="I50" s="110"/>
      <c r="J50" s="110"/>
      <c r="K50" s="110"/>
      <c r="L50" s="110"/>
      <c r="M50" s="110"/>
    </row>
    <row r="51" spans="1:13" ht="13.9" hidden="1" customHeight="1" x14ac:dyDescent="0.25">
      <c r="A51">
        <f t="shared" si="1"/>
        <v>2.4000000000000004</v>
      </c>
      <c r="E51">
        <v>2.4000000000000004</v>
      </c>
      <c r="F51" s="100"/>
      <c r="G51" s="100"/>
      <c r="H51" s="110"/>
      <c r="I51" s="110"/>
      <c r="J51" s="110"/>
      <c r="K51" s="110"/>
      <c r="L51" s="110"/>
      <c r="M51" s="110"/>
    </row>
    <row r="52" spans="1:13" ht="13.9" hidden="1" customHeight="1" x14ac:dyDescent="0.25">
      <c r="A52">
        <f t="shared" si="1"/>
        <v>1.2000000000000002</v>
      </c>
      <c r="E52">
        <v>1.2000000000000002</v>
      </c>
      <c r="F52" s="100"/>
      <c r="G52" s="100"/>
      <c r="H52" s="110"/>
      <c r="I52" s="110"/>
      <c r="J52" s="110"/>
      <c r="K52" s="110"/>
      <c r="L52" s="110"/>
      <c r="M52" s="110"/>
    </row>
    <row r="53" spans="1:13" ht="13.9" hidden="1" customHeight="1" thickBot="1" x14ac:dyDescent="0.3">
      <c r="A53">
        <f t="shared" si="1"/>
        <v>3.4285745454545458</v>
      </c>
      <c r="E53">
        <v>3.4285745454545458</v>
      </c>
      <c r="F53" s="107"/>
      <c r="G53" s="107"/>
      <c r="H53" s="111"/>
      <c r="I53" s="111"/>
      <c r="J53" s="111"/>
      <c r="K53" s="111"/>
      <c r="L53" s="111"/>
      <c r="M53" s="111"/>
    </row>
    <row r="54" spans="1:13" ht="13.5" customHeight="1" thickBot="1" x14ac:dyDescent="0.3">
      <c r="A54">
        <f t="shared" si="1"/>
        <v>0</v>
      </c>
      <c r="E54">
        <v>0</v>
      </c>
      <c r="F54" s="216" t="s">
        <v>47</v>
      </c>
      <c r="G54" s="217"/>
      <c r="H54" s="217"/>
      <c r="I54" s="217"/>
      <c r="J54" s="217"/>
      <c r="K54" s="217"/>
      <c r="L54" s="217"/>
      <c r="M54" s="218"/>
    </row>
    <row r="55" spans="1:13" ht="12.5" x14ac:dyDescent="0.25">
      <c r="A55">
        <f t="shared" si="1"/>
        <v>2</v>
      </c>
      <c r="E55">
        <v>2</v>
      </c>
      <c r="F55" s="108">
        <v>705009213</v>
      </c>
      <c r="G55" s="206" t="s">
        <v>240</v>
      </c>
      <c r="H55" s="109"/>
      <c r="I55" s="109"/>
      <c r="J55" s="109"/>
      <c r="K55" s="109"/>
      <c r="L55" s="110"/>
      <c r="M55" s="109"/>
    </row>
    <row r="56" spans="1:13" ht="13.9" customHeight="1" x14ac:dyDescent="0.25">
      <c r="A56">
        <f t="shared" si="1"/>
        <v>2</v>
      </c>
      <c r="E56">
        <v>2</v>
      </c>
      <c r="F56" s="100">
        <v>705009214</v>
      </c>
      <c r="G56" s="206" t="s">
        <v>241</v>
      </c>
      <c r="H56" s="110"/>
      <c r="I56" s="110"/>
      <c r="J56" s="110"/>
      <c r="K56" s="110"/>
      <c r="L56" s="110"/>
      <c r="M56" s="110"/>
    </row>
    <row r="57" spans="1:13" ht="13.9" customHeight="1" x14ac:dyDescent="0.25">
      <c r="A57">
        <f t="shared" si="1"/>
        <v>1</v>
      </c>
      <c r="E57">
        <v>1</v>
      </c>
      <c r="F57" s="100">
        <v>705010835</v>
      </c>
      <c r="G57" s="206" t="s">
        <v>242</v>
      </c>
      <c r="H57" s="110"/>
      <c r="I57" s="110"/>
      <c r="J57" s="110"/>
      <c r="K57" s="110"/>
      <c r="L57" s="110"/>
      <c r="M57" s="110"/>
    </row>
    <row r="58" spans="1:13" ht="13.9" customHeight="1" x14ac:dyDescent="0.25">
      <c r="A58">
        <f t="shared" si="1"/>
        <v>1</v>
      </c>
      <c r="E58">
        <v>1</v>
      </c>
      <c r="F58" s="100">
        <v>705010851</v>
      </c>
      <c r="G58" s="206" t="s">
        <v>243</v>
      </c>
      <c r="H58" s="110"/>
      <c r="I58" s="110"/>
      <c r="J58" s="110"/>
      <c r="K58" s="110"/>
      <c r="L58" s="110"/>
      <c r="M58" s="110"/>
    </row>
    <row r="59" spans="1:13" ht="13.9" customHeight="1" x14ac:dyDescent="0.25">
      <c r="A59">
        <f t="shared" si="1"/>
        <v>2</v>
      </c>
      <c r="E59">
        <v>2</v>
      </c>
      <c r="F59" s="100">
        <v>705012976</v>
      </c>
      <c r="G59" s="206" t="s">
        <v>57</v>
      </c>
      <c r="H59" s="110"/>
      <c r="I59" s="110"/>
      <c r="J59" s="201"/>
      <c r="K59" s="110"/>
      <c r="L59" s="110"/>
      <c r="M59" s="110"/>
    </row>
    <row r="60" spans="1:13" ht="13.9" customHeight="1" x14ac:dyDescent="0.25">
      <c r="A60">
        <f t="shared" si="1"/>
        <v>2</v>
      </c>
      <c r="E60">
        <v>2</v>
      </c>
      <c r="F60" s="100">
        <v>705012868</v>
      </c>
      <c r="G60" s="206" t="s">
        <v>58</v>
      </c>
      <c r="H60" s="110"/>
      <c r="I60" s="110"/>
      <c r="J60" s="201"/>
      <c r="K60" s="110"/>
      <c r="L60" s="110"/>
      <c r="M60" s="110"/>
    </row>
    <row r="61" spans="1:13" ht="13.9" customHeight="1" x14ac:dyDescent="0.25">
      <c r="A61">
        <f t="shared" si="1"/>
        <v>1</v>
      </c>
      <c r="E61">
        <v>1</v>
      </c>
      <c r="F61" s="100">
        <v>708200366</v>
      </c>
      <c r="G61" s="206" t="s">
        <v>244</v>
      </c>
      <c r="H61" s="110"/>
      <c r="I61" s="110"/>
      <c r="J61" s="110"/>
      <c r="K61" s="110"/>
      <c r="L61" s="110"/>
      <c r="M61" s="110"/>
    </row>
    <row r="62" spans="1:13" ht="13.9" customHeight="1" x14ac:dyDescent="0.25">
      <c r="A62">
        <f t="shared" si="1"/>
        <v>2</v>
      </c>
      <c r="E62">
        <v>2</v>
      </c>
      <c r="F62" s="100">
        <v>708200401</v>
      </c>
      <c r="G62" s="206" t="s">
        <v>245</v>
      </c>
      <c r="H62" s="110"/>
      <c r="I62" s="110"/>
      <c r="J62" s="110"/>
      <c r="K62" s="110"/>
      <c r="L62" s="110"/>
      <c r="M62" s="110"/>
    </row>
    <row r="63" spans="1:13" ht="13.9" customHeight="1" x14ac:dyDescent="0.25">
      <c r="A63">
        <f t="shared" si="1"/>
        <v>2</v>
      </c>
      <c r="E63">
        <v>2</v>
      </c>
      <c r="F63" s="100">
        <v>708200402</v>
      </c>
      <c r="G63" s="206" t="s">
        <v>246</v>
      </c>
      <c r="H63" s="110"/>
      <c r="I63" s="110"/>
      <c r="J63" s="110"/>
      <c r="K63" s="110"/>
      <c r="L63" s="110"/>
      <c r="M63" s="110"/>
    </row>
    <row r="64" spans="1:13" ht="13.9" customHeight="1" x14ac:dyDescent="0.25">
      <c r="A64">
        <f t="shared" si="1"/>
        <v>1</v>
      </c>
      <c r="E64">
        <v>1</v>
      </c>
      <c r="F64" s="100">
        <v>708200698</v>
      </c>
      <c r="G64" s="206" t="s">
        <v>247</v>
      </c>
      <c r="H64" s="110"/>
      <c r="I64" s="110"/>
      <c r="J64" s="110"/>
      <c r="K64" s="110"/>
      <c r="L64" s="110"/>
      <c r="M64" s="110"/>
    </row>
    <row r="65" spans="1:13" ht="13.9" customHeight="1" x14ac:dyDescent="0.25">
      <c r="A65">
        <f t="shared" si="1"/>
        <v>1</v>
      </c>
      <c r="E65">
        <v>1</v>
      </c>
      <c r="F65" s="100">
        <v>708301214</v>
      </c>
      <c r="G65" s="206" t="s">
        <v>248</v>
      </c>
      <c r="H65" s="110"/>
      <c r="I65" s="110"/>
      <c r="J65" s="201"/>
      <c r="K65" s="110"/>
      <c r="L65" s="110"/>
      <c r="M65" s="110"/>
    </row>
    <row r="66" spans="1:13" ht="13.9" customHeight="1" thickBot="1" x14ac:dyDescent="0.3">
      <c r="A66">
        <f t="shared" si="1"/>
        <v>1</v>
      </c>
      <c r="E66">
        <v>1</v>
      </c>
      <c r="F66" s="107">
        <v>708301215</v>
      </c>
      <c r="G66" s="206" t="s">
        <v>249</v>
      </c>
      <c r="H66" s="111"/>
      <c r="I66" s="111"/>
      <c r="J66" s="202"/>
      <c r="K66" s="111"/>
      <c r="L66" s="110"/>
      <c r="M66" s="111"/>
    </row>
    <row r="67" spans="1:13" ht="13.9" customHeight="1" thickBot="1" x14ac:dyDescent="0.3">
      <c r="A67">
        <f t="shared" si="1"/>
        <v>0</v>
      </c>
      <c r="E67">
        <v>0</v>
      </c>
      <c r="F67" s="219" t="s">
        <v>252</v>
      </c>
      <c r="G67" s="220"/>
      <c r="H67" s="220"/>
      <c r="I67" s="220"/>
      <c r="J67" s="220"/>
      <c r="K67" s="220"/>
      <c r="L67" s="220"/>
      <c r="M67" s="221"/>
    </row>
    <row r="68" spans="1:13" ht="13.9" customHeight="1" x14ac:dyDescent="0.25">
      <c r="A68">
        <f t="shared" si="1"/>
        <v>2</v>
      </c>
      <c r="E68">
        <v>2</v>
      </c>
      <c r="F68" s="108">
        <v>99944</v>
      </c>
      <c r="G68" s="108" t="s">
        <v>253</v>
      </c>
      <c r="H68" s="109"/>
      <c r="I68" s="109">
        <v>20</v>
      </c>
      <c r="J68" s="109"/>
      <c r="K68" s="109"/>
      <c r="L68" s="109"/>
      <c r="M68" s="109"/>
    </row>
    <row r="69" spans="1:13" ht="13.9" customHeight="1" x14ac:dyDescent="0.25">
      <c r="A69">
        <f t="shared" ref="A69:A103" si="2">(E69*4)/$A$3</f>
        <v>20</v>
      </c>
      <c r="E69">
        <v>20</v>
      </c>
      <c r="F69" s="100">
        <v>99633</v>
      </c>
      <c r="G69" s="100" t="s">
        <v>254</v>
      </c>
      <c r="H69" s="110"/>
      <c r="I69" s="110">
        <v>20</v>
      </c>
      <c r="J69" s="110"/>
      <c r="K69" s="110"/>
      <c r="L69" s="110"/>
      <c r="M69" s="110"/>
    </row>
    <row r="70" spans="1:13" ht="13.9" customHeight="1" x14ac:dyDescent="0.25">
      <c r="A70">
        <f t="shared" si="2"/>
        <v>20</v>
      </c>
      <c r="E70">
        <v>20</v>
      </c>
      <c r="F70" s="100">
        <v>99646</v>
      </c>
      <c r="G70" s="100" t="s">
        <v>255</v>
      </c>
      <c r="H70" s="110"/>
      <c r="I70" s="110">
        <v>20</v>
      </c>
      <c r="J70" s="110"/>
      <c r="K70" s="110"/>
      <c r="L70" s="110"/>
      <c r="M70" s="110"/>
    </row>
    <row r="71" spans="1:13" ht="13.9" customHeight="1" x14ac:dyDescent="0.25">
      <c r="A71">
        <f t="shared" si="2"/>
        <v>6</v>
      </c>
      <c r="E71">
        <v>6</v>
      </c>
      <c r="F71" s="100">
        <v>99635</v>
      </c>
      <c r="G71" s="100" t="s">
        <v>256</v>
      </c>
      <c r="H71" s="110"/>
      <c r="I71" s="110">
        <v>18</v>
      </c>
      <c r="J71" s="110"/>
      <c r="K71" s="110"/>
      <c r="L71" s="110"/>
      <c r="M71" s="110"/>
    </row>
    <row r="72" spans="1:13" ht="13.9" customHeight="1" x14ac:dyDescent="0.25">
      <c r="A72">
        <f t="shared" si="2"/>
        <v>6</v>
      </c>
      <c r="E72">
        <v>6</v>
      </c>
      <c r="F72" s="100">
        <v>99944</v>
      </c>
      <c r="G72" s="100" t="s">
        <v>257</v>
      </c>
      <c r="H72" s="110"/>
      <c r="I72" s="110">
        <v>18</v>
      </c>
      <c r="J72" s="110"/>
      <c r="K72" s="110"/>
      <c r="L72" s="110"/>
      <c r="M72" s="110"/>
    </row>
    <row r="73" spans="1:13" ht="13.9" customHeight="1" thickBot="1" x14ac:dyDescent="0.3">
      <c r="A73">
        <f t="shared" si="2"/>
        <v>20</v>
      </c>
      <c r="E73">
        <v>20</v>
      </c>
      <c r="F73" s="100">
        <v>99636</v>
      </c>
      <c r="G73" s="100" t="s">
        <v>258</v>
      </c>
      <c r="H73" s="110"/>
      <c r="I73" s="110">
        <v>20</v>
      </c>
      <c r="J73" s="110"/>
      <c r="K73" s="110"/>
      <c r="L73" s="110"/>
      <c r="M73" s="110"/>
    </row>
    <row r="74" spans="1:13" ht="13.9" customHeight="1" thickBot="1" x14ac:dyDescent="0.3">
      <c r="A74">
        <f t="shared" si="2"/>
        <v>0</v>
      </c>
      <c r="F74" s="219" t="s">
        <v>251</v>
      </c>
      <c r="G74" s="220"/>
      <c r="H74" s="220"/>
      <c r="I74" s="220"/>
      <c r="J74" s="220"/>
      <c r="K74" s="220"/>
      <c r="L74" s="220"/>
      <c r="M74" s="221"/>
    </row>
    <row r="75" spans="1:13" ht="13.9" customHeight="1" x14ac:dyDescent="0.25">
      <c r="A75">
        <f t="shared" si="2"/>
        <v>1</v>
      </c>
      <c r="E75">
        <v>1</v>
      </c>
      <c r="F75" s="100">
        <v>99629</v>
      </c>
      <c r="G75" s="31" t="s">
        <v>109</v>
      </c>
      <c r="H75" s="110"/>
      <c r="I75" s="110"/>
      <c r="J75" s="110"/>
      <c r="K75" s="110"/>
      <c r="L75" s="110"/>
      <c r="M75" s="110"/>
    </row>
    <row r="76" spans="1:13" ht="13.9" customHeight="1" x14ac:dyDescent="0.25">
      <c r="A76">
        <f t="shared" si="2"/>
        <v>1</v>
      </c>
      <c r="E76">
        <v>1</v>
      </c>
      <c r="F76" s="100">
        <v>99631</v>
      </c>
      <c r="G76" s="100" t="s">
        <v>259</v>
      </c>
      <c r="H76" s="110"/>
      <c r="I76" s="110"/>
      <c r="J76" s="110"/>
      <c r="K76" s="110"/>
      <c r="L76" s="110"/>
      <c r="M76" s="110"/>
    </row>
    <row r="77" spans="1:13" ht="13.9" customHeight="1" x14ac:dyDescent="0.25">
      <c r="A77">
        <f t="shared" si="2"/>
        <v>20</v>
      </c>
      <c r="E77">
        <v>20</v>
      </c>
      <c r="F77" s="100">
        <v>99638</v>
      </c>
      <c r="G77" s="31" t="s">
        <v>260</v>
      </c>
      <c r="H77" s="110"/>
      <c r="I77" s="110"/>
      <c r="J77" s="110"/>
      <c r="K77" s="110"/>
      <c r="L77" s="110"/>
      <c r="M77" s="110"/>
    </row>
    <row r="78" spans="1:13" ht="13.9" customHeight="1" thickBot="1" x14ac:dyDescent="0.3">
      <c r="A78">
        <f t="shared" si="2"/>
        <v>1</v>
      </c>
      <c r="E78">
        <v>1</v>
      </c>
      <c r="F78" s="107">
        <v>99630</v>
      </c>
      <c r="G78" s="107" t="s">
        <v>261</v>
      </c>
      <c r="H78" s="111"/>
      <c r="I78" s="111"/>
      <c r="J78" s="111"/>
      <c r="K78" s="111"/>
      <c r="L78" s="111"/>
      <c r="M78" s="111"/>
    </row>
    <row r="79" spans="1:13" ht="13.9" customHeight="1" thickBot="1" x14ac:dyDescent="0.3">
      <c r="A79">
        <f t="shared" si="2"/>
        <v>0</v>
      </c>
      <c r="F79" s="233" t="s">
        <v>216</v>
      </c>
      <c r="G79" s="234"/>
      <c r="H79" s="234"/>
      <c r="I79" s="234"/>
      <c r="J79" s="234"/>
      <c r="K79" s="234"/>
      <c r="L79" s="234"/>
      <c r="M79" s="235"/>
    </row>
    <row r="80" spans="1:13" ht="13.9" customHeight="1" x14ac:dyDescent="0.25">
      <c r="A80">
        <f t="shared" si="2"/>
        <v>18</v>
      </c>
      <c r="E80">
        <v>18</v>
      </c>
      <c r="F80" s="108"/>
      <c r="G80" s="108" t="s">
        <v>217</v>
      </c>
      <c r="H80" s="109"/>
      <c r="I80" s="109"/>
      <c r="J80" s="109"/>
      <c r="K80" s="109"/>
      <c r="L80" s="109"/>
      <c r="M80" s="109"/>
    </row>
    <row r="81" spans="1:13" ht="13.9" customHeight="1" x14ac:dyDescent="0.25">
      <c r="A81">
        <f t="shared" si="2"/>
        <v>0</v>
      </c>
      <c r="E81">
        <v>0</v>
      </c>
      <c r="F81" s="100"/>
      <c r="G81" s="100"/>
      <c r="H81" s="110"/>
      <c r="I81" s="110"/>
      <c r="J81" s="110"/>
      <c r="K81" s="110"/>
      <c r="L81" s="110"/>
      <c r="M81" s="110"/>
    </row>
    <row r="82" spans="1:13" ht="13.9" customHeight="1" thickBot="1" x14ac:dyDescent="0.3">
      <c r="A82">
        <f t="shared" si="2"/>
        <v>0</v>
      </c>
      <c r="E82">
        <v>0</v>
      </c>
      <c r="F82" s="107"/>
      <c r="G82" s="107"/>
      <c r="H82" s="111"/>
      <c r="I82" s="111"/>
      <c r="J82" s="111"/>
      <c r="K82" s="111"/>
      <c r="L82" s="111"/>
      <c r="M82" s="111"/>
    </row>
    <row r="83" spans="1:13" ht="13.9" customHeight="1" thickBot="1" x14ac:dyDescent="0.3">
      <c r="A83">
        <f t="shared" si="2"/>
        <v>0</v>
      </c>
      <c r="E83">
        <v>0</v>
      </c>
      <c r="F83" s="213" t="s">
        <v>103</v>
      </c>
      <c r="G83" s="214"/>
      <c r="H83" s="214"/>
      <c r="I83" s="214"/>
      <c r="J83" s="214"/>
      <c r="K83" s="214"/>
      <c r="L83" s="214"/>
      <c r="M83" s="215"/>
    </row>
    <row r="84" spans="1:13" ht="13.9" customHeight="1" x14ac:dyDescent="0.25">
      <c r="A84">
        <f t="shared" si="2"/>
        <v>6</v>
      </c>
      <c r="E84">
        <v>6</v>
      </c>
      <c r="F84" s="108"/>
      <c r="G84" s="108" t="s">
        <v>250</v>
      </c>
      <c r="H84" s="109"/>
      <c r="I84" s="109"/>
      <c r="J84" s="109"/>
      <c r="K84" s="109"/>
      <c r="L84" s="109"/>
      <c r="M84" s="109"/>
    </row>
    <row r="85" spans="1:13" ht="13.9" customHeight="1" x14ac:dyDescent="0.25">
      <c r="A85">
        <f t="shared" si="2"/>
        <v>16</v>
      </c>
      <c r="E85">
        <v>16</v>
      </c>
      <c r="F85" s="100">
        <v>500458</v>
      </c>
      <c r="G85" s="100" t="s">
        <v>105</v>
      </c>
      <c r="H85" s="110"/>
      <c r="I85" s="110"/>
      <c r="J85" s="110"/>
      <c r="K85" s="110"/>
      <c r="L85" s="110"/>
      <c r="M85" s="110"/>
    </row>
    <row r="86" spans="1:13" ht="13.9" customHeight="1" thickBot="1" x14ac:dyDescent="0.3">
      <c r="A86">
        <f t="shared" si="2"/>
        <v>16</v>
      </c>
      <c r="E86">
        <v>16</v>
      </c>
      <c r="F86" s="107">
        <v>500458</v>
      </c>
      <c r="G86" s="107" t="s">
        <v>106</v>
      </c>
      <c r="H86" s="111"/>
      <c r="I86" s="111"/>
      <c r="J86" s="111"/>
      <c r="K86" s="111"/>
      <c r="L86" s="111"/>
      <c r="M86" s="111"/>
    </row>
    <row r="87" spans="1:13" ht="13.9" customHeight="1" thickBot="1" x14ac:dyDescent="0.3">
      <c r="A87">
        <f t="shared" si="2"/>
        <v>0</v>
      </c>
      <c r="E87">
        <v>0</v>
      </c>
      <c r="F87" s="213" t="s">
        <v>220</v>
      </c>
      <c r="G87" s="214"/>
      <c r="H87" s="214"/>
      <c r="I87" s="214"/>
      <c r="J87" s="214"/>
      <c r="K87" s="214"/>
      <c r="L87" s="214"/>
      <c r="M87" s="215"/>
    </row>
    <row r="88" spans="1:13" ht="13.9" customHeight="1" x14ac:dyDescent="0.25">
      <c r="A88">
        <f t="shared" si="2"/>
        <v>6</v>
      </c>
      <c r="E88">
        <v>6</v>
      </c>
      <c r="F88" s="108">
        <v>2650</v>
      </c>
      <c r="G88" s="198" t="s">
        <v>221</v>
      </c>
      <c r="H88" s="109"/>
      <c r="I88" s="109"/>
      <c r="J88" s="109"/>
      <c r="K88" s="109"/>
      <c r="L88" s="109"/>
      <c r="M88" s="109"/>
    </row>
    <row r="89" spans="1:13" ht="13.9" customHeight="1" x14ac:dyDescent="0.25">
      <c r="A89">
        <f t="shared" si="2"/>
        <v>6</v>
      </c>
      <c r="E89">
        <v>6</v>
      </c>
      <c r="F89" s="100">
        <v>2651</v>
      </c>
      <c r="G89" s="31" t="s">
        <v>222</v>
      </c>
      <c r="H89" s="110"/>
      <c r="I89" s="110"/>
      <c r="J89" s="110"/>
      <c r="K89" s="110"/>
      <c r="L89" s="110"/>
      <c r="M89" s="110"/>
    </row>
    <row r="90" spans="1:13" ht="13.9" customHeight="1" x14ac:dyDescent="0.25">
      <c r="A90">
        <f t="shared" si="2"/>
        <v>6</v>
      </c>
      <c r="E90">
        <v>6</v>
      </c>
      <c r="F90" s="100">
        <v>2647</v>
      </c>
      <c r="G90" s="100" t="s">
        <v>223</v>
      </c>
      <c r="H90" s="110"/>
      <c r="I90" s="110"/>
      <c r="J90" s="110"/>
      <c r="K90" s="110"/>
      <c r="L90" s="110"/>
      <c r="M90" s="110"/>
    </row>
    <row r="91" spans="1:13" ht="13.9" customHeight="1" thickBot="1" x14ac:dyDescent="0.3">
      <c r="A91">
        <f t="shared" si="2"/>
        <v>0</v>
      </c>
      <c r="E91">
        <v>0</v>
      </c>
      <c r="F91" s="107"/>
      <c r="G91" s="107"/>
      <c r="H91" s="111"/>
      <c r="I91" s="111"/>
      <c r="J91" s="111"/>
      <c r="K91" s="111"/>
      <c r="L91" s="111"/>
      <c r="M91" s="111"/>
    </row>
    <row r="92" spans="1:13" ht="13.9" customHeight="1" thickBot="1" x14ac:dyDescent="0.3">
      <c r="A92">
        <f t="shared" si="2"/>
        <v>0</v>
      </c>
      <c r="E92">
        <v>0</v>
      </c>
      <c r="F92" s="213" t="s">
        <v>143</v>
      </c>
      <c r="G92" s="214"/>
      <c r="H92" s="214"/>
      <c r="I92" s="214"/>
      <c r="J92" s="214"/>
      <c r="K92" s="214"/>
      <c r="L92" s="214"/>
      <c r="M92" s="215"/>
    </row>
    <row r="93" spans="1:13" ht="13.9" customHeight="1" x14ac:dyDescent="0.25">
      <c r="A93">
        <f t="shared" si="2"/>
        <v>2</v>
      </c>
      <c r="E93">
        <v>2</v>
      </c>
      <c r="F93" s="108">
        <v>80931</v>
      </c>
      <c r="G93" s="108" t="s">
        <v>145</v>
      </c>
      <c r="H93" s="109"/>
      <c r="I93" s="109"/>
      <c r="J93" s="109"/>
      <c r="K93" s="109"/>
      <c r="L93" s="109"/>
      <c r="M93" s="109"/>
    </row>
    <row r="94" spans="1:13" ht="13.9" customHeight="1" x14ac:dyDescent="0.25">
      <c r="A94">
        <f t="shared" si="2"/>
        <v>2</v>
      </c>
      <c r="E94">
        <v>2</v>
      </c>
      <c r="F94" s="100">
        <v>80930</v>
      </c>
      <c r="G94" s="100" t="s">
        <v>144</v>
      </c>
      <c r="H94" s="110"/>
      <c r="I94" s="110"/>
      <c r="J94" s="110"/>
      <c r="K94" s="110"/>
      <c r="L94" s="110"/>
      <c r="M94" s="110"/>
    </row>
    <row r="95" spans="1:13" ht="13.9" customHeight="1" x14ac:dyDescent="0.25">
      <c r="A95">
        <f t="shared" si="2"/>
        <v>2</v>
      </c>
      <c r="E95">
        <v>2</v>
      </c>
      <c r="F95" s="100">
        <v>80933</v>
      </c>
      <c r="G95" s="100" t="s">
        <v>147</v>
      </c>
      <c r="H95" s="110"/>
      <c r="I95" s="110"/>
      <c r="J95" s="110"/>
      <c r="K95" s="110"/>
      <c r="L95" s="110"/>
      <c r="M95" s="110"/>
    </row>
    <row r="96" spans="1:13" ht="13.9" customHeight="1" x14ac:dyDescent="0.25">
      <c r="A96">
        <f t="shared" si="2"/>
        <v>2</v>
      </c>
      <c r="E96">
        <v>2</v>
      </c>
      <c r="F96" s="100">
        <v>80932</v>
      </c>
      <c r="G96" s="100" t="s">
        <v>146</v>
      </c>
      <c r="H96" s="110"/>
      <c r="I96" s="110"/>
      <c r="J96" s="110"/>
      <c r="K96" s="110"/>
      <c r="L96" s="110"/>
      <c r="M96" s="110"/>
    </row>
    <row r="97" spans="1:13" ht="13.9" customHeight="1" x14ac:dyDescent="0.25">
      <c r="A97">
        <f t="shared" si="2"/>
        <v>2</v>
      </c>
      <c r="E97">
        <v>2</v>
      </c>
      <c r="F97" s="100" t="s">
        <v>148</v>
      </c>
      <c r="G97" s="100" t="s">
        <v>213</v>
      </c>
      <c r="H97" s="110"/>
      <c r="I97" s="110"/>
      <c r="J97" s="110"/>
      <c r="K97" s="110"/>
      <c r="L97" s="110"/>
      <c r="M97" s="110"/>
    </row>
    <row r="98" spans="1:13" ht="13.9" customHeight="1" thickBot="1" x14ac:dyDescent="0.3">
      <c r="A98">
        <f t="shared" si="2"/>
        <v>2</v>
      </c>
      <c r="E98">
        <v>2</v>
      </c>
      <c r="F98" s="107" t="s">
        <v>148</v>
      </c>
      <c r="G98" s="107" t="s">
        <v>214</v>
      </c>
      <c r="H98" s="111"/>
      <c r="I98" s="111"/>
      <c r="J98" s="111"/>
      <c r="K98" s="111"/>
      <c r="L98" s="111"/>
      <c r="M98" s="111"/>
    </row>
    <row r="99" spans="1:13" ht="13.9" customHeight="1" thickBot="1" x14ac:dyDescent="0.3">
      <c r="A99">
        <f t="shared" si="2"/>
        <v>0</v>
      </c>
      <c r="E99">
        <v>0</v>
      </c>
      <c r="F99" s="213" t="s">
        <v>209</v>
      </c>
      <c r="G99" s="214"/>
      <c r="H99" s="214"/>
      <c r="I99" s="214"/>
      <c r="J99" s="214"/>
      <c r="K99" s="214"/>
      <c r="L99" s="214"/>
      <c r="M99" s="215"/>
    </row>
    <row r="100" spans="1:13" ht="13.9" customHeight="1" x14ac:dyDescent="0.25">
      <c r="A100">
        <f t="shared" si="2"/>
        <v>6</v>
      </c>
      <c r="E100">
        <v>6</v>
      </c>
      <c r="F100" s="108"/>
      <c r="G100" s="163" t="s">
        <v>211</v>
      </c>
      <c r="H100" s="109"/>
      <c r="I100" s="109"/>
      <c r="J100" s="109">
        <v>360</v>
      </c>
      <c r="K100" s="109">
        <v>240</v>
      </c>
      <c r="L100" s="109">
        <v>240</v>
      </c>
      <c r="M100" s="109"/>
    </row>
    <row r="101" spans="1:13" ht="13.9" customHeight="1" x14ac:dyDescent="0.25">
      <c r="A101">
        <f t="shared" si="2"/>
        <v>6</v>
      </c>
      <c r="E101">
        <v>6</v>
      </c>
      <c r="F101" s="100"/>
      <c r="G101" s="31" t="s">
        <v>210</v>
      </c>
      <c r="H101" s="110"/>
      <c r="I101" s="110">
        <v>360</v>
      </c>
      <c r="J101" s="110">
        <v>360</v>
      </c>
      <c r="K101" s="110">
        <v>360</v>
      </c>
      <c r="L101" s="110">
        <v>360</v>
      </c>
      <c r="M101" s="110"/>
    </row>
    <row r="102" spans="1:13" ht="13.9" customHeight="1" x14ac:dyDescent="0.25">
      <c r="A102">
        <f t="shared" si="2"/>
        <v>6</v>
      </c>
      <c r="E102">
        <v>6</v>
      </c>
      <c r="F102" s="100"/>
      <c r="G102" s="100" t="s">
        <v>218</v>
      </c>
      <c r="H102" s="110"/>
      <c r="I102" s="110"/>
      <c r="J102" s="110"/>
      <c r="K102" s="110"/>
      <c r="L102" s="110"/>
      <c r="M102" s="110"/>
    </row>
    <row r="103" spans="1:13" ht="13.9" customHeight="1" x14ac:dyDescent="0.25">
      <c r="A103">
        <f t="shared" si="2"/>
        <v>6</v>
      </c>
      <c r="E103">
        <v>6</v>
      </c>
      <c r="F103" s="100"/>
      <c r="G103" s="100" t="s">
        <v>219</v>
      </c>
      <c r="H103" s="110"/>
      <c r="I103" s="110"/>
      <c r="J103" s="110"/>
      <c r="K103" s="110"/>
      <c r="L103" s="110"/>
      <c r="M103" s="110"/>
    </row>
  </sheetData>
  <mergeCells count="120">
    <mergeCell ref="A1:A2"/>
    <mergeCell ref="F99:M99"/>
    <mergeCell ref="R35:S35"/>
    <mergeCell ref="R36:S36"/>
    <mergeCell ref="T35:U35"/>
    <mergeCell ref="T36:U36"/>
    <mergeCell ref="V35:W35"/>
    <mergeCell ref="V36:W36"/>
    <mergeCell ref="X35:Y35"/>
    <mergeCell ref="X36:Y36"/>
    <mergeCell ref="X38:Y38"/>
    <mergeCell ref="V37:W37"/>
    <mergeCell ref="V38:W38"/>
    <mergeCell ref="V39:W39"/>
    <mergeCell ref="T37:U37"/>
    <mergeCell ref="T38:U38"/>
    <mergeCell ref="T39:U39"/>
    <mergeCell ref="X39:Y39"/>
    <mergeCell ref="F3:M3"/>
    <mergeCell ref="F32:M32"/>
    <mergeCell ref="F44:M44"/>
    <mergeCell ref="F79:M79"/>
    <mergeCell ref="F83:M83"/>
    <mergeCell ref="F87:M87"/>
    <mergeCell ref="F18:M18"/>
    <mergeCell ref="R19:S19"/>
    <mergeCell ref="R30:S30"/>
    <mergeCell ref="R31:S31"/>
    <mergeCell ref="R32:S32"/>
    <mergeCell ref="R33:S33"/>
    <mergeCell ref="T19:U19"/>
    <mergeCell ref="V19:W19"/>
    <mergeCell ref="P18:AA18"/>
    <mergeCell ref="Z19:AA19"/>
    <mergeCell ref="Z20:AA20"/>
    <mergeCell ref="T24:U24"/>
    <mergeCell ref="T33:U33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X19:Y19"/>
    <mergeCell ref="R20:S20"/>
    <mergeCell ref="R21:S21"/>
    <mergeCell ref="X20:Y20"/>
    <mergeCell ref="V20:W20"/>
    <mergeCell ref="T20:U20"/>
    <mergeCell ref="R34:S34"/>
    <mergeCell ref="R37:S37"/>
    <mergeCell ref="R38:S38"/>
    <mergeCell ref="R29:S29"/>
    <mergeCell ref="T23:U23"/>
    <mergeCell ref="T22:U22"/>
    <mergeCell ref="T21:U21"/>
    <mergeCell ref="T25:U25"/>
    <mergeCell ref="R22:S22"/>
    <mergeCell ref="R28:S28"/>
    <mergeCell ref="T28:U28"/>
    <mergeCell ref="V26:W26"/>
    <mergeCell ref="V25:W25"/>
    <mergeCell ref="V24:W24"/>
    <mergeCell ref="V34:W34"/>
    <mergeCell ref="V33:W33"/>
    <mergeCell ref="V32:W32"/>
    <mergeCell ref="V31:W31"/>
    <mergeCell ref="F92:M92"/>
    <mergeCell ref="F54:M54"/>
    <mergeCell ref="F67:M67"/>
    <mergeCell ref="R23:S23"/>
    <mergeCell ref="R24:S24"/>
    <mergeCell ref="R25:S25"/>
    <mergeCell ref="R26:S26"/>
    <mergeCell ref="R27:S27"/>
    <mergeCell ref="R39:S39"/>
    <mergeCell ref="P40:Q40"/>
    <mergeCell ref="F74:M74"/>
    <mergeCell ref="Z37:AA37"/>
    <mergeCell ref="Z38:AA38"/>
    <mergeCell ref="Z39:AA39"/>
    <mergeCell ref="Z33:AA33"/>
    <mergeCell ref="Z32:AA32"/>
    <mergeCell ref="X28:Y28"/>
    <mergeCell ref="Z28:AA28"/>
    <mergeCell ref="Z35:AA35"/>
    <mergeCell ref="Z36:AA36"/>
    <mergeCell ref="X37:Y37"/>
    <mergeCell ref="Z25:AA25"/>
    <mergeCell ref="Z24:AA24"/>
    <mergeCell ref="Z31:AA31"/>
    <mergeCell ref="Z30:AA30"/>
    <mergeCell ref="Z29:AA29"/>
    <mergeCell ref="Z27:AA27"/>
    <mergeCell ref="Z26:AA26"/>
    <mergeCell ref="Z34:AA34"/>
    <mergeCell ref="X34:Y34"/>
    <mergeCell ref="X33:Y33"/>
    <mergeCell ref="X32:Y32"/>
    <mergeCell ref="X31:Y31"/>
    <mergeCell ref="X30:Y30"/>
    <mergeCell ref="X29:Y29"/>
    <mergeCell ref="X27:Y27"/>
    <mergeCell ref="X26:Y26"/>
    <mergeCell ref="X25:Y25"/>
    <mergeCell ref="X24:Y24"/>
    <mergeCell ref="V30:W30"/>
    <mergeCell ref="V28:W28"/>
    <mergeCell ref="T34:U34"/>
    <mergeCell ref="T32:U32"/>
    <mergeCell ref="T31:U31"/>
    <mergeCell ref="T30:U30"/>
    <mergeCell ref="T29:U29"/>
    <mergeCell ref="T27:U27"/>
    <mergeCell ref="T26:U26"/>
  </mergeCells>
  <printOptions horizontalCentered="1" verticalCentered="1"/>
  <pageMargins left="0.25" right="0.25" top="0.25" bottom="0.25" header="0" footer="0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5" x14ac:dyDescent="0.25"/>
  <cols>
    <col min="1" max="1" width="10" bestFit="1" customWidth="1"/>
    <col min="2" max="2" width="24.54296875" bestFit="1" customWidth="1"/>
    <col min="3" max="3" width="8.54296875" bestFit="1" customWidth="1"/>
    <col min="4" max="4" width="4" bestFit="1" customWidth="1"/>
    <col min="5" max="5" width="4.81640625" bestFit="1" customWidth="1"/>
    <col min="6" max="6" width="4.54296875" bestFit="1" customWidth="1"/>
    <col min="7" max="7" width="6" bestFit="1" customWidth="1"/>
    <col min="8" max="8" width="3.81640625" bestFit="1" customWidth="1"/>
  </cols>
  <sheetData>
    <row r="1" spans="1:8" x14ac:dyDescent="0.25">
      <c r="A1" s="80" t="s">
        <v>177</v>
      </c>
      <c r="B1" s="10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ht="13" x14ac:dyDescent="0.25">
      <c r="A2" s="238" t="s">
        <v>107</v>
      </c>
      <c r="B2" s="239"/>
      <c r="C2" s="239"/>
      <c r="D2" s="239"/>
      <c r="E2" s="239"/>
      <c r="F2" s="239"/>
      <c r="G2" s="239"/>
      <c r="H2" s="239"/>
    </row>
    <row r="3" spans="1:8" x14ac:dyDescent="0.25">
      <c r="A3" s="80">
        <v>705012348</v>
      </c>
      <c r="B3" t="s">
        <v>152</v>
      </c>
      <c r="C3" t="e">
        <f>(('Time Matrix'!B3*#REF!)*'Mon (103)'!#REF!) + (('Time Matrix'!B3*#REF!)*'Mon (103)'!#REF!) + (('Time Matrix'!B3*#REF!)*'Mon (103)'!#REF!) + (('Time Matrix'!B3*#REF!)*'Mon (103)'!#REF!)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5">
      <c r="A4" s="80">
        <v>705012350</v>
      </c>
      <c r="B4" t="s">
        <v>153</v>
      </c>
      <c r="C4" t="e">
        <f>(('Time Matrix'!B4*#REF!)*'Mon (103)'!#REF!) + (('Time Matrix'!B4*#REF!)*'Mon (103)'!#REF!) + (('Time Matrix'!B4*#REF!)*'Mon (103)'!#REF!) + (('Time Matrix'!B4*#REF!)*'Mon (103)'!#REF!)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5">
      <c r="A5" s="80">
        <v>705012868</v>
      </c>
      <c r="B5" t="s">
        <v>58</v>
      </c>
      <c r="C5" t="e">
        <f>(('Time Matrix'!B5*#REF!)*'Mon (103)'!#REF!) + (('Time Matrix'!B5*#REF!)*'Mon (103)'!#REF!) + (('Time Matrix'!B5*#REF!)*'Mon (103)'!#REF!) + (('Time Matrix'!B5*#REF!)*'Mon (103)'!#REF!)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5">
      <c r="A6" s="80">
        <v>705012976</v>
      </c>
      <c r="B6" t="s">
        <v>57</v>
      </c>
      <c r="C6" t="e">
        <f>(('Time Matrix'!B6*#REF!)*'Mon (103)'!#REF!) + (('Time Matrix'!B6*#REF!)*'Mon (103)'!#REF!) + (('Time Matrix'!B6*#REF!)*'Mon (103)'!#REF!) + (('Time Matrix'!B6*#REF!)*'Mon (103)'!#REF!)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5">
      <c r="A7" s="80">
        <v>705014100</v>
      </c>
      <c r="B7" t="s">
        <v>76</v>
      </c>
      <c r="C7" t="e">
        <f>(('Time Matrix'!B7*#REF!)*'Mon (103)'!#REF!) + (('Time Matrix'!B7*#REF!)*'Mon (103)'!#REF!) + (('Time Matrix'!B7*#REF!)*'Mon (103)'!#REF!) + (('Time Matrix'!B7*#REF!)*'Mon (103)'!#REF!)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5">
      <c r="A8" s="80">
        <v>705014101</v>
      </c>
      <c r="B8" t="s">
        <v>77</v>
      </c>
      <c r="C8" t="e">
        <f>(('Time Matrix'!B8*#REF!)*'Mon (103)'!#REF!) + (('Time Matrix'!B8*#REF!)*'Mon (103)'!#REF!) + (('Time Matrix'!B8*#REF!)*'Mon (103)'!#REF!) + (('Time Matrix'!B8*#REF!)*'Mon (103)'!#REF!)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5">
      <c r="A9" s="80">
        <v>708003041</v>
      </c>
      <c r="B9" t="s">
        <v>68</v>
      </c>
      <c r="C9" t="e">
        <f>(('Time Matrix'!B9*#REF!)*'Mon (103)'!#REF!) + (('Time Matrix'!B9*#REF!)*'Mon (103)'!#REF!) + (('Time Matrix'!B9*#REF!)*'Mon (103)'!#REF!) + (('Time Matrix'!B9*#REF!)*'Mon (103)'!#REF!)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5">
      <c r="A10" s="80">
        <v>708200869</v>
      </c>
      <c r="B10" t="s">
        <v>69</v>
      </c>
      <c r="C10" t="e">
        <f>(('Time Matrix'!B10*#REF!)*'Mon (103)'!#REF!) + (('Time Matrix'!B10*#REF!)*'Mon (103)'!#REF!) + (('Time Matrix'!B10*#REF!)*'Mon (103)'!#REF!) + (('Time Matrix'!B10*#REF!)*'Mon (103)'!#REF!)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5">
      <c r="A11" s="80">
        <v>708200870</v>
      </c>
      <c r="B11" t="s">
        <v>113</v>
      </c>
      <c r="C11" t="e">
        <f>(('Time Matrix'!B11*#REF!)*'Mon (103)'!#REF!) + (('Time Matrix'!B11*#REF!)*'Mon (103)'!#REF!) + (('Time Matrix'!B11*#REF!)*'Mon (103)'!#REF!) + (('Time Matrix'!B11*#REF!)*'Mon (103)'!#REF!)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5">
      <c r="A12" s="80">
        <v>708200871</v>
      </c>
      <c r="B12" t="s">
        <v>114</v>
      </c>
      <c r="C12" t="e">
        <f>(('Time Matrix'!B12*#REF!)*'Mon (103)'!#REF!) + (('Time Matrix'!B12*#REF!)*'Mon (103)'!#REF!) + (('Time Matrix'!B12*#REF!)*'Mon (103)'!#REF!) + (('Time Matrix'!B12*#REF!)*'Mon (103)'!#REF!)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5">
      <c r="A13" s="80">
        <v>708302947</v>
      </c>
      <c r="B13" t="s">
        <v>111</v>
      </c>
      <c r="C13" t="e">
        <f>(('Time Matrix'!B13*#REF!)*'Mon (103)'!#REF!) + (('Time Matrix'!B13*#REF!)*'Mon (103)'!#REF!) + (('Time Matrix'!B13*#REF!)*'Mon (103)'!#REF!) + (('Time Matrix'!B13*#REF!)*'Mon (103)'!#REF!)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5">
      <c r="A14" s="80">
        <v>708302948</v>
      </c>
      <c r="B14" t="s">
        <v>112</v>
      </c>
      <c r="C14" t="e">
        <f>(('Time Matrix'!B14*#REF!)*'Mon (103)'!#REF!) + (('Time Matrix'!B14*#REF!)*'Mon (103)'!#REF!) + (('Time Matrix'!B14*#REF!)*'Mon (103)'!#REF!) + (('Time Matrix'!B14*#REF!)*'Mon (103)'!#REF!)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5">
      <c r="A15" s="80">
        <v>708303799</v>
      </c>
      <c r="B15" t="s">
        <v>72</v>
      </c>
      <c r="C15" t="e">
        <f>(('Time Matrix'!B15*#REF!)*'Mon (103)'!#REF!) + (('Time Matrix'!B15*#REF!)*'Mon (103)'!#REF!) + (('Time Matrix'!B15*#REF!)*'Mon (103)'!#REF!) + (('Time Matrix'!B15*#REF!)*'Mon (103)'!#REF!)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5">
      <c r="A16" s="80">
        <v>708303801</v>
      </c>
      <c r="B16" t="s">
        <v>73</v>
      </c>
      <c r="C16" t="e">
        <f>(('Time Matrix'!B16*#REF!)*'Mon (103)'!#REF!) + (('Time Matrix'!B16*#REF!)*'Mon (103)'!#REF!) + (('Time Matrix'!B16*#REF!)*'Mon (103)'!#REF!) + (('Time Matrix'!B16*#REF!)*'Mon (103)'!#REF!)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5">
      <c r="A17">
        <v>708400461</v>
      </c>
      <c r="B17" t="s">
        <v>59</v>
      </c>
      <c r="C17" t="e">
        <f>(('Time Matrix'!B17*#REF!)*'Mon (103)'!#REF!) + (('Time Matrix'!B17*#REF!)*'Mon (103)'!#REF!) + (('Time Matrix'!B17*#REF!)*'Mon (103)'!#REF!) + (('Time Matrix'!B17*#REF!)*'Mon (103)'!#REF!)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5">
      <c r="A18">
        <v>708400463</v>
      </c>
      <c r="B18" t="s">
        <v>60</v>
      </c>
      <c r="C18" t="e">
        <f>(('Time Matrix'!B18*#REF!)*'Mon (103)'!#REF!) + (('Time Matrix'!B18*#REF!)*'Mon (103)'!#REF!) + (('Time Matrix'!B18*#REF!)*'Mon (103)'!#REF!) + (('Time Matrix'!B18*#REF!)*'Mon (103)'!#REF!)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5">
      <c r="A19" s="236" t="s">
        <v>165</v>
      </c>
      <c r="B19" s="237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ht="13" x14ac:dyDescent="0.25">
      <c r="A20" s="238" t="s">
        <v>70</v>
      </c>
      <c r="B20" s="239"/>
      <c r="C20" s="239"/>
      <c r="D20" s="239"/>
      <c r="E20" s="239"/>
      <c r="F20" s="239"/>
      <c r="G20" s="239"/>
      <c r="H20" s="239"/>
    </row>
    <row r="21" spans="1:8" x14ac:dyDescent="0.25">
      <c r="A21" s="80">
        <v>708001528</v>
      </c>
      <c r="B21" t="s">
        <v>71</v>
      </c>
      <c r="C21" t="e">
        <f>(('Time Matrix'!C19*#REF!)*'Mon (103)'!#REF!) + (('Time Matrix'!C19*#REF!)*'Mon (103)'!#REF!) + (('Time Matrix'!C19*#REF!)*'Mon (103)'!#REF!) + (('Time Matrix'!C19*#REF!)*'Mon (103)'!#REF!)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5">
      <c r="A22" s="80">
        <v>708400001</v>
      </c>
      <c r="B22" t="s">
        <v>154</v>
      </c>
      <c r="C22" t="e">
        <f>(('Time Matrix'!C20*#REF!)*'Mon (103)'!#REF!) + (('Time Matrix'!C20*#REF!)*'Mon (103)'!#REF!) + (('Time Matrix'!C20*#REF!)*'Mon (103)'!#REF!) + (('Time Matrix'!C20*#REF!)*'Mon (103)'!#REF!)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5">
      <c r="A23" s="80">
        <v>708400002</v>
      </c>
      <c r="B23" t="s">
        <v>155</v>
      </c>
      <c r="C23" t="e">
        <f>(('Time Matrix'!C21*#REF!)*'Mon (103)'!#REF!) + (('Time Matrix'!C21*#REF!)*'Mon (103)'!#REF!) + (('Time Matrix'!C21*#REF!)*'Mon (103)'!#REF!) + (('Time Matrix'!C21*#REF!)*'Mon (103)'!#REF!)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5">
      <c r="A24" s="80">
        <v>708400067</v>
      </c>
      <c r="B24" t="s">
        <v>156</v>
      </c>
      <c r="C24" t="e">
        <f>(('Time Matrix'!C22*#REF!)*'Mon (103)'!#REF!) + (('Time Matrix'!C22*#REF!)*'Mon (103)'!#REF!) + (('Time Matrix'!C22*#REF!)*'Mon (103)'!#REF!) + (('Time Matrix'!C22*#REF!)*'Mon (103)'!#REF!)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5">
      <c r="A25" s="80">
        <v>708400069</v>
      </c>
      <c r="B25" t="s">
        <v>157</v>
      </c>
      <c r="C25" t="e">
        <f>(('Time Matrix'!C23*#REF!)*'Mon (103)'!#REF!) + (('Time Matrix'!C23*#REF!)*'Mon (103)'!#REF!) + (('Time Matrix'!C23*#REF!)*'Mon (103)'!#REF!) + (('Time Matrix'!C23*#REF!)*'Mon (103)'!#REF!)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5">
      <c r="A26" s="80">
        <v>708400287</v>
      </c>
      <c r="B26" t="s">
        <v>13</v>
      </c>
      <c r="C26" t="e">
        <f>(('Time Matrix'!C24*#REF!)*'Mon (103)'!#REF!) + (('Time Matrix'!C24*#REF!)*'Mon (103)'!#REF!) + (('Time Matrix'!C24*#REF!)*'Mon (103)'!#REF!) + (('Time Matrix'!C24*#REF!)*'Mon (103)'!#REF!)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5">
      <c r="A27" s="80">
        <v>708400398</v>
      </c>
      <c r="B27" t="s">
        <v>78</v>
      </c>
      <c r="C27" t="e">
        <f>(('Time Matrix'!C25*#REF!)*'Mon (103)'!#REF!) + (('Time Matrix'!C25*#REF!)*'Mon (103)'!#REF!) + (('Time Matrix'!C25*#REF!)*'Mon (103)'!#REF!) + (('Time Matrix'!C25*#REF!)*'Mon (103)'!#REF!)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5">
      <c r="A28" s="236" t="s">
        <v>165</v>
      </c>
      <c r="B28" s="237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ht="13" x14ac:dyDescent="0.25">
      <c r="A29" s="238" t="s">
        <v>110</v>
      </c>
      <c r="B29" s="239"/>
      <c r="C29" s="239"/>
      <c r="D29" s="239"/>
      <c r="E29" s="239"/>
      <c r="F29" s="239"/>
      <c r="G29" s="239"/>
      <c r="H29" s="239"/>
    </row>
    <row r="30" spans="1:8" x14ac:dyDescent="0.25">
      <c r="A30" s="80">
        <v>705007790</v>
      </c>
      <c r="B30" t="s">
        <v>82</v>
      </c>
      <c r="C30" t="e">
        <f>(('Time Matrix'!D26*#REF!)*'Mon (103)'!#REF!) + (('Time Matrix'!D26*#REF!)*'Mon (103)'!#REF!) + (('Time Matrix'!D26*#REF!)*'Mon (103)'!#REF!) + (('Time Matrix'!D26*#REF!)*'Mon (103)'!#REF!)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5">
      <c r="A31" s="80">
        <v>705007791</v>
      </c>
      <c r="B31" t="s">
        <v>83</v>
      </c>
      <c r="C31" t="e">
        <f>(('Time Matrix'!D27*#REF!)*'Mon (103)'!#REF!) + (('Time Matrix'!D27*#REF!)*'Mon (103)'!#REF!) + (('Time Matrix'!D27*#REF!)*'Mon (103)'!#REF!) + (('Time Matrix'!D27*#REF!)*'Mon (103)'!#REF!)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5">
      <c r="A32" s="80">
        <v>705010835</v>
      </c>
      <c r="B32" t="s">
        <v>85</v>
      </c>
      <c r="C32" t="e">
        <f>(('Time Matrix'!D28*#REF!)*'Mon (103)'!#REF!) + (('Time Matrix'!D28*#REF!)*'Mon (103)'!#REF!) + (('Time Matrix'!D28*#REF!)*'Mon (103)'!#REF!) + (('Time Matrix'!D28*#REF!)*'Mon (103)'!#REF!)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5">
      <c r="A33">
        <v>705010851</v>
      </c>
      <c r="B33" t="s">
        <v>84</v>
      </c>
      <c r="C33" t="e">
        <f>(('Time Matrix'!D29*#REF!)*'Mon (103)'!#REF!) + (('Time Matrix'!D29*#REF!)*'Mon (103)'!#REF!) + (('Time Matrix'!D29*#REF!)*'Mon (103)'!#REF!) + (('Time Matrix'!D29*#REF!)*'Mon (103)'!#REF!)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5">
      <c r="A34">
        <v>708200366</v>
      </c>
      <c r="B34" t="s">
        <v>86</v>
      </c>
      <c r="C34" t="e">
        <f>(('Time Matrix'!D30*#REF!)*'Mon (103)'!#REF!) + (('Time Matrix'!D30*#REF!)*'Mon (103)'!#REF!) + (('Time Matrix'!D30*#REF!)*'Mon (103)'!#REF!) + (('Time Matrix'!D30*#REF!)*'Mon (103)'!#REF!)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5">
      <c r="A35">
        <v>708200401</v>
      </c>
      <c r="B35" t="s">
        <v>87</v>
      </c>
      <c r="C35" t="e">
        <f>(('Time Matrix'!D31*#REF!)*'Mon (103)'!#REF!) + (('Time Matrix'!D31*#REF!)*'Mon (103)'!#REF!) + (('Time Matrix'!D31*#REF!)*'Mon (103)'!#REF!) + (('Time Matrix'!D31*#REF!)*'Mon (103)'!#REF!)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5">
      <c r="A36">
        <v>708200402</v>
      </c>
      <c r="B36" t="s">
        <v>88</v>
      </c>
      <c r="C36" t="e">
        <f>(('Time Matrix'!D32*#REF!)*'Mon (103)'!#REF!) + (('Time Matrix'!D32*#REF!)*'Mon (103)'!#REF!) + (('Time Matrix'!D32*#REF!)*'Mon (103)'!#REF!) + (('Time Matrix'!D32*#REF!)*'Mon (103)'!#REF!)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5">
      <c r="A37">
        <v>708200698</v>
      </c>
      <c r="B37" t="s">
        <v>89</v>
      </c>
      <c r="C37" t="e">
        <f>(('Time Matrix'!D33*#REF!)*'Mon (103)'!#REF!) + (('Time Matrix'!D33*#REF!)*'Mon (103)'!#REF!) + (('Time Matrix'!D33*#REF!)*'Mon (103)'!#REF!) + (('Time Matrix'!D33*#REF!)*'Mon (103)'!#REF!)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5">
      <c r="A38">
        <v>708301201</v>
      </c>
      <c r="B38" t="s">
        <v>90</v>
      </c>
      <c r="C38" t="e">
        <f>(('Time Matrix'!D34*#REF!)*'Mon (103)'!#REF!) + (('Time Matrix'!D34*#REF!)*'Mon (103)'!#REF!) + (('Time Matrix'!D34*#REF!)*'Mon (103)'!#REF!) + (('Time Matrix'!D34*#REF!)*'Mon (103)'!#REF!)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5">
      <c r="A39" s="236" t="s">
        <v>165</v>
      </c>
      <c r="B39" s="237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ht="13" x14ac:dyDescent="0.25">
      <c r="A40" s="238" t="s">
        <v>47</v>
      </c>
      <c r="B40" s="239"/>
      <c r="C40" s="239"/>
      <c r="D40" s="239"/>
      <c r="E40" s="239"/>
      <c r="F40" s="239"/>
      <c r="G40" s="239"/>
      <c r="H40" s="239"/>
    </row>
    <row r="41" spans="1:8" x14ac:dyDescent="0.25">
      <c r="A41">
        <v>705009213</v>
      </c>
      <c r="B41" t="s">
        <v>158</v>
      </c>
      <c r="C41" t="e">
        <f>(('Time Matrix'!E35*#REF!)*'Mon (103)'!#REF!) + (('Time Matrix'!E35*#REF!)*'Mon (103)'!#REF!) + (('Time Matrix'!E35*#REF!)*'Mon (103)'!#REF!) + (('Time Matrix'!E35*#REF!)*'Mon (103)'!#REF!)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5">
      <c r="A42">
        <v>705009214</v>
      </c>
      <c r="B42" t="s">
        <v>159</v>
      </c>
      <c r="C42" t="e">
        <f>(('Time Matrix'!E36*#REF!)*'Mon (103)'!#REF!) + (('Time Matrix'!E36*#REF!)*'Mon (103)'!#REF!) + (('Time Matrix'!E36*#REF!)*'Mon (103)'!#REF!) + (('Time Matrix'!E36*#REF!)*'Mon (103)'!#REF!)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5">
      <c r="A43">
        <v>705010835</v>
      </c>
      <c r="B43" t="s">
        <v>85</v>
      </c>
      <c r="C43" t="e">
        <f>(('Time Matrix'!E37*#REF!)*'Mon (103)'!#REF!) + (('Time Matrix'!E37*#REF!)*'Mon (103)'!#REF!) + (('Time Matrix'!E37*#REF!)*'Mon (103)'!#REF!) + (('Time Matrix'!E37*#REF!)*'Mon (103)'!#REF!)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5">
      <c r="A44">
        <v>705010851</v>
      </c>
      <c r="B44" t="s">
        <v>84</v>
      </c>
      <c r="C44" t="e">
        <f>(('Time Matrix'!E38*#REF!)*'Mon (103)'!#REF!) + (('Time Matrix'!E38*#REF!)*'Mon (103)'!#REF!) + (('Time Matrix'!E38*#REF!)*'Mon (103)'!#REF!) + (('Time Matrix'!E38*#REF!)*'Mon (103)'!#REF!)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5">
      <c r="A45">
        <v>705012868</v>
      </c>
      <c r="B45" t="s">
        <v>160</v>
      </c>
      <c r="C45" t="e">
        <f>(('Time Matrix'!E39*#REF!)*'Mon (103)'!#REF!) + (('Time Matrix'!E39*#REF!)*'Mon (103)'!#REF!) + (('Time Matrix'!E39*#REF!)*'Mon (103)'!#REF!) + (('Time Matrix'!E39*#REF!)*'Mon (103)'!#REF!)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5">
      <c r="A46">
        <v>705012976</v>
      </c>
      <c r="B46" t="s">
        <v>161</v>
      </c>
      <c r="C46" t="e">
        <f>(('Time Matrix'!E40*#REF!)*'Mon (103)'!#REF!) + (('Time Matrix'!E40*#REF!)*'Mon (103)'!#REF!) + (('Time Matrix'!E40*#REF!)*'Mon (103)'!#REF!) + (('Time Matrix'!E40*#REF!)*'Mon (103)'!#REF!)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5">
      <c r="A47">
        <v>708200366</v>
      </c>
      <c r="B47" t="s">
        <v>86</v>
      </c>
      <c r="C47" t="e">
        <f>(('Time Matrix'!E41*#REF!)*'Mon (103)'!#REF!) + (('Time Matrix'!E41*#REF!)*'Mon (103)'!#REF!) + (('Time Matrix'!E41*#REF!)*'Mon (103)'!#REF!) + (('Time Matrix'!E41*#REF!)*'Mon (103)'!#REF!)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5">
      <c r="A48">
        <v>708200401</v>
      </c>
      <c r="B48" t="s">
        <v>87</v>
      </c>
      <c r="C48" t="e">
        <f>(('Time Matrix'!E42*#REF!)*'Mon (103)'!#REF!) + (('Time Matrix'!E42*#REF!)*'Mon (103)'!#REF!) + (('Time Matrix'!E42*#REF!)*'Mon (103)'!#REF!) + (('Time Matrix'!E42*#REF!)*'Mon (103)'!#REF!)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5">
      <c r="A49">
        <v>708200402</v>
      </c>
      <c r="B49" t="s">
        <v>162</v>
      </c>
      <c r="C49" t="e">
        <f>(('Time Matrix'!E43*#REF!)*'Mon (103)'!#REF!) + (('Time Matrix'!E43*#REF!)*'Mon (103)'!#REF!) + (('Time Matrix'!E43*#REF!)*'Mon (103)'!#REF!) + (('Time Matrix'!E43*#REF!)*'Mon (103)'!#REF!)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5">
      <c r="A50">
        <v>708200698</v>
      </c>
      <c r="B50" t="s">
        <v>89</v>
      </c>
      <c r="C50" t="e">
        <f>(('Time Matrix'!E44*#REF!)*'Mon (103)'!#REF!) + (('Time Matrix'!E44*#REF!)*'Mon (103)'!#REF!) + (('Time Matrix'!E44*#REF!)*'Mon (103)'!#REF!) + (('Time Matrix'!E44*#REF!)*'Mon (103)'!#REF!)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5">
      <c r="A51">
        <v>708301988</v>
      </c>
      <c r="B51" t="s">
        <v>163</v>
      </c>
      <c r="C51" t="e">
        <f>(('Time Matrix'!E45*#REF!)*'Mon (103)'!#REF!) + (('Time Matrix'!E45*#REF!)*'Mon (103)'!#REF!) + (('Time Matrix'!E45*#REF!)*'Mon (103)'!#REF!) + (('Time Matrix'!E45*#REF!)*'Mon (103)'!#REF!)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5">
      <c r="A52">
        <v>708301990</v>
      </c>
      <c r="B52" t="s">
        <v>164</v>
      </c>
      <c r="C52" t="e">
        <f>(('Time Matrix'!E46*#REF!)*'Mon (103)'!#REF!) + (('Time Matrix'!E46*#REF!)*'Mon (103)'!#REF!) + (('Time Matrix'!E46*#REF!)*'Mon (103)'!#REF!) + (('Time Matrix'!E46*#REF!)*'Mon (103)'!#REF!)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5">
      <c r="A53" s="236" t="s">
        <v>165</v>
      </c>
      <c r="B53" s="237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ht="13" x14ac:dyDescent="0.25">
      <c r="A54" s="240" t="s">
        <v>149</v>
      </c>
      <c r="B54" s="241"/>
      <c r="C54" s="241"/>
      <c r="D54" s="241"/>
      <c r="E54" s="241"/>
      <c r="F54" s="241"/>
      <c r="G54" s="241"/>
      <c r="H54" s="241"/>
    </row>
    <row r="55" spans="1:8" x14ac:dyDescent="0.25">
      <c r="B55" t="s">
        <v>166</v>
      </c>
      <c r="C55" t="e">
        <f>(('Time Matrix'!F47*#REF!)*'Mon (103)'!#REF!) + (('Time Matrix'!F47*#REF!)*'Mon (103)'!#REF!) + (('Time Matrix'!F47*#REF!)*'Mon (103)'!#REF!) + (('Time Matrix'!F47*#REF!)*'Mon (103)'!#REF!)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5">
      <c r="B56" t="s">
        <v>167</v>
      </c>
      <c r="C56" t="e">
        <f>(('Time Matrix'!F48*#REF!)*'Mon (103)'!#REF!) + (('Time Matrix'!F48*#REF!)*'Mon (103)'!#REF!) + (('Time Matrix'!F48*#REF!)*'Mon (103)'!#REF!) + (('Time Matrix'!F48*#REF!)*'Mon (103)'!#REF!)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5">
      <c r="B57" t="s">
        <v>168</v>
      </c>
      <c r="C57" t="e">
        <f>(('Time Matrix'!F49*#REF!)*'Mon (103)'!#REF!) + (('Time Matrix'!F49*#REF!)*'Mon (103)'!#REF!) + (('Time Matrix'!F49*#REF!)*'Mon (103)'!#REF!) + (('Time Matrix'!F49*#REF!)*'Mon (103)'!#REF!)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5">
      <c r="B58" t="s">
        <v>169</v>
      </c>
      <c r="C58" t="e">
        <f>(('Time Matrix'!F50*#REF!)*'Mon (103)'!#REF!) + (('Time Matrix'!F50*#REF!)*'Mon (103)'!#REF!) + (('Time Matrix'!F50*#REF!)*'Mon (103)'!#REF!) + (('Time Matrix'!F50*#REF!)*'Mon (103)'!#REF!)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5">
      <c r="B59" t="s">
        <v>170</v>
      </c>
      <c r="C59" t="e">
        <f>(('Time Matrix'!F51*#REF!)*'Mon (103)'!#REF!) + (('Time Matrix'!F51*#REF!)*'Mon (103)'!#REF!) + (('Time Matrix'!F51*#REF!)*'Mon (103)'!#REF!) + (('Time Matrix'!F51*#REF!)*'Mon (103)'!#REF!)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5">
      <c r="B60" t="s">
        <v>171</v>
      </c>
      <c r="C60" t="e">
        <f>(('Time Matrix'!F52*#REF!)*'Mon (103)'!#REF!) + (('Time Matrix'!F52*#REF!)*'Mon (103)'!#REF!) + (('Time Matrix'!F52*#REF!)*'Mon (103)'!#REF!) + (('Time Matrix'!F52*#REF!)*'Mon (103)'!#REF!)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5">
      <c r="B61" t="s">
        <v>172</v>
      </c>
      <c r="C61" t="e">
        <f>(('Time Matrix'!F53*#REF!)*'Mon (103)'!#REF!) + (('Time Matrix'!F53*#REF!)*'Mon (103)'!#REF!) + (('Time Matrix'!F53*#REF!)*'Mon (103)'!#REF!) + (('Time Matrix'!F53*#REF!)*'Mon (103)'!#REF!)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5">
      <c r="B62" t="s">
        <v>173</v>
      </c>
      <c r="C62" t="e">
        <f>(('Time Matrix'!F54*#REF!)*'Mon (103)'!#REF!) + (('Time Matrix'!F54*#REF!)*'Mon (103)'!#REF!) + (('Time Matrix'!F54*#REF!)*'Mon (103)'!#REF!) + (('Time Matrix'!F54*#REF!)*'Mon (103)'!#REF!)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5">
      <c r="B63" t="s">
        <v>174</v>
      </c>
      <c r="C63" t="e">
        <f>(('Time Matrix'!F55*#REF!)*'Mon (103)'!#REF!) + (('Time Matrix'!F55*#REF!)*'Mon (103)'!#REF!) + (('Time Matrix'!F55*#REF!)*'Mon (103)'!#REF!) + (('Time Matrix'!F55*#REF!)*'Mon (103)'!#REF!)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5">
      <c r="B64" t="s">
        <v>175</v>
      </c>
      <c r="C64" t="e">
        <f>(('Time Matrix'!F56*#REF!)*'Mon (103)'!#REF!) + (('Time Matrix'!F56*#REF!)*'Mon (103)'!#REF!) + (('Time Matrix'!F56*#REF!)*'Mon (103)'!#REF!) + (('Time Matrix'!F56*#REF!)*'Mon (103)'!#REF!)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5">
      <c r="B65" t="s">
        <v>176</v>
      </c>
      <c r="C65" t="e">
        <f>(('Time Matrix'!F57*#REF!)*'Mon (103)'!#REF!) + (('Time Matrix'!F57*#REF!)*'Mon (103)'!#REF!) + (('Time Matrix'!F57*#REF!)*'Mon (103)'!#REF!) + (('Time Matrix'!F57*#REF!)*'Mon (103)'!#REF!)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5">
      <c r="B66" t="s">
        <v>123</v>
      </c>
      <c r="C66" t="e">
        <f>(('Time Matrix'!F58*#REF!)*'Mon (103)'!#REF!) + (('Time Matrix'!F58*#REF!)*'Mon (103)'!#REF!) + (('Time Matrix'!F58*#REF!)*'Mon (103)'!#REF!) + (('Time Matrix'!F58*#REF!)*'Mon (103)'!#REF!)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5">
      <c r="A67" s="236" t="s">
        <v>165</v>
      </c>
      <c r="B67" s="237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ht="13" x14ac:dyDescent="0.25">
      <c r="A68" s="242" t="s">
        <v>66</v>
      </c>
      <c r="B68" s="243"/>
      <c r="C68" s="243"/>
      <c r="D68" s="243"/>
      <c r="E68" s="243"/>
      <c r="F68" s="243"/>
      <c r="G68" s="243"/>
      <c r="H68" s="243"/>
    </row>
    <row r="69" spans="1:8" x14ac:dyDescent="0.25">
      <c r="A69">
        <v>5011</v>
      </c>
      <c r="B69" t="s">
        <v>63</v>
      </c>
      <c r="C69" t="e">
        <f>(('Time Matrix'!G59*#REF!)*'Mon (103)'!#REF!) + (('Time Matrix'!G59*#REF!)*'Mon (103)'!#REF!) + (('Time Matrix'!G59*#REF!)*'Mon (103)'!#REF!) + (('Time Matrix'!G59*#REF!)*'Mon (103)'!#REF!)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5">
      <c r="A70">
        <v>1408</v>
      </c>
      <c r="B70" t="s">
        <v>64</v>
      </c>
      <c r="C70" t="e">
        <f>(('Time Matrix'!G60*#REF!)*'Mon (103)'!#REF!) + (('Time Matrix'!G60*#REF!)*'Mon (103)'!#REF!) + (('Time Matrix'!G60*#REF!)*'Mon (103)'!#REF!) + (('Time Matrix'!G60*#REF!)*'Mon (103)'!#REF!)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5">
      <c r="A71">
        <v>5007</v>
      </c>
      <c r="B71" t="s">
        <v>65</v>
      </c>
      <c r="C71" t="e">
        <f>(('Time Matrix'!G61*#REF!)*'Mon (103)'!#REF!) + (('Time Matrix'!G61*#REF!)*'Mon (103)'!#REF!) + (('Time Matrix'!G61*#REF!)*'Mon (103)'!#REF!) + (('Time Matrix'!G61*#REF!)*'Mon (103)'!#REF!)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5">
      <c r="A72" s="236" t="s">
        <v>165</v>
      </c>
      <c r="B72" s="237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ht="13" x14ac:dyDescent="0.25">
      <c r="A73" s="244" t="s">
        <v>94</v>
      </c>
      <c r="B73" s="245"/>
      <c r="C73" s="245"/>
      <c r="D73" s="245"/>
      <c r="E73" s="245"/>
      <c r="F73" s="245"/>
      <c r="G73" s="245"/>
      <c r="H73" s="245"/>
    </row>
    <row r="74" spans="1:8" x14ac:dyDescent="0.25">
      <c r="B74" t="s">
        <v>109</v>
      </c>
      <c r="C74" t="e">
        <f>(('Time Matrix'!H62*#REF!)*'Mon (103)'!#REF!) + (('Time Matrix'!H62*#REF!)*'Mon (103)'!#REF!) + (('Time Matrix'!H62*#REF!)*'Mon (103)'!#REF!) + (('Time Matrix'!H62*#REF!)*'Mon (103)'!#REF!)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5">
      <c r="B75" t="s">
        <v>91</v>
      </c>
      <c r="C75" t="e">
        <f>(('Time Matrix'!H63*#REF!)*'Mon (103)'!#REF!) + (('Time Matrix'!H63*#REF!)*'Mon (103)'!#REF!) + (('Time Matrix'!H63*#REF!)*'Mon (103)'!#REF!) + (('Time Matrix'!H63*#REF!)*'Mon (103)'!#REF!)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5">
      <c r="B76" t="s">
        <v>92</v>
      </c>
      <c r="C76" t="e">
        <f>(('Time Matrix'!H64*#REF!)*'Mon (103)'!#REF!) + (('Time Matrix'!H64*#REF!)*'Mon (103)'!#REF!) + (('Time Matrix'!H64*#REF!)*'Mon (103)'!#REF!) + (('Time Matrix'!H64*#REF!)*'Mon (103)'!#REF!)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5">
      <c r="A77">
        <v>7092</v>
      </c>
      <c r="B77" t="s">
        <v>93</v>
      </c>
      <c r="C77" t="e">
        <f>(('Time Matrix'!H65*#REF!)*'Mon (103)'!#REF!) + (('Time Matrix'!H65*#REF!)*'Mon (103)'!#REF!) + (('Time Matrix'!H65*#REF!)*'Mon (103)'!#REF!) + (('Time Matrix'!H65*#REF!)*'Mon (103)'!#REF!)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5">
      <c r="A78" s="236" t="s">
        <v>165</v>
      </c>
      <c r="B78" s="237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ht="13" x14ac:dyDescent="0.25">
      <c r="A79" s="244" t="s">
        <v>128</v>
      </c>
      <c r="B79" s="245"/>
      <c r="C79" s="245"/>
      <c r="D79" s="245"/>
      <c r="E79" s="245"/>
      <c r="F79" s="245"/>
      <c r="G79" s="245"/>
      <c r="H79" s="245"/>
    </row>
    <row r="80" spans="1:8" x14ac:dyDescent="0.25">
      <c r="B80" t="s">
        <v>95</v>
      </c>
      <c r="C80" t="e">
        <f>(('Time Matrix'!I66*#REF!)*'Mon (103)'!#REF!) + (('Time Matrix'!I66*#REF!)*'Mon (103)'!#REF!) + (('Time Matrix'!I66*#REF!)*'Mon (103)'!#REF!) + (('Time Matrix'!I66*#REF!)*'Mon (103)'!#REF!)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5">
      <c r="B81" t="s">
        <v>96</v>
      </c>
      <c r="C81" t="e">
        <f>(('Time Matrix'!I67*#REF!)*'Mon (103)'!#REF!) + (('Time Matrix'!I67*#REF!)*'Mon (103)'!#REF!) + (('Time Matrix'!I67*#REF!)*'Mon (103)'!#REF!) + (('Time Matrix'!I67*#REF!)*'Mon (103)'!#REF!)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5">
      <c r="B82" t="s">
        <v>98</v>
      </c>
      <c r="C82" t="e">
        <f>(('Time Matrix'!I68*#REF!)*'Mon (103)'!#REF!) + (('Time Matrix'!I68*#REF!)*'Mon (103)'!#REF!) + (('Time Matrix'!I68*#REF!)*'Mon (103)'!#REF!) + (('Time Matrix'!I68*#REF!)*'Mon (103)'!#REF!)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5">
      <c r="B83" t="s">
        <v>97</v>
      </c>
      <c r="C83" t="e">
        <f>(('Time Matrix'!I69*#REF!)*'Mon (103)'!#REF!) + (('Time Matrix'!I69*#REF!)*'Mon (103)'!#REF!) + (('Time Matrix'!I69*#REF!)*'Mon (103)'!#REF!) + (('Time Matrix'!I69*#REF!)*'Mon (103)'!#REF!)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5">
      <c r="B84" t="s">
        <v>99</v>
      </c>
      <c r="C84" t="e">
        <f>(('Time Matrix'!I70*#REF!)*'Mon (103)'!#REF!) + (('Time Matrix'!I70*#REF!)*'Mon (103)'!#REF!) + (('Time Matrix'!I70*#REF!)*'Mon (103)'!#REF!) + (('Time Matrix'!I70*#REF!)*'Mon (103)'!#REF!)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5">
      <c r="B85" t="s">
        <v>100</v>
      </c>
      <c r="C85" t="e">
        <f>(('Time Matrix'!I71*#REF!)*'Mon (103)'!#REF!) + (('Time Matrix'!I71*#REF!)*'Mon (103)'!#REF!) + (('Time Matrix'!I71*#REF!)*'Mon (103)'!#REF!) + (('Time Matrix'!I71*#REF!)*'Mon (103)'!#REF!)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5">
      <c r="A86" s="236" t="s">
        <v>165</v>
      </c>
      <c r="B86" s="237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ht="13" x14ac:dyDescent="0.25">
      <c r="A87" s="244" t="s">
        <v>103</v>
      </c>
      <c r="B87" s="245"/>
      <c r="C87" s="245"/>
      <c r="D87" s="245"/>
      <c r="E87" s="245"/>
      <c r="F87" s="245"/>
      <c r="G87" s="245"/>
      <c r="H87" s="245"/>
    </row>
    <row r="88" spans="1:8" x14ac:dyDescent="0.25">
      <c r="A88">
        <v>500458</v>
      </c>
      <c r="B88" t="s">
        <v>104</v>
      </c>
      <c r="C88" t="e">
        <f>(('Time Matrix'!J72*#REF!)*'Mon (103)'!#REF!) + (('Time Matrix'!J72*#REF!)*'Mon (103)'!#REF!) + (('Time Matrix'!J72*#REF!)*'Mon (103)'!#REF!) + (('Time Matrix'!J72*#REF!)*'Mon (103)'!#REF!)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5">
      <c r="A89">
        <v>500458</v>
      </c>
      <c r="B89" t="s">
        <v>105</v>
      </c>
      <c r="C89" t="e">
        <f>(('Time Matrix'!J73*#REF!)*'Mon (103)'!#REF!) + (('Time Matrix'!J73*#REF!)*'Mon (103)'!#REF!) + (('Time Matrix'!J73*#REF!)*'Mon (103)'!#REF!) + (('Time Matrix'!J73*#REF!)*'Mon (103)'!#REF!)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5">
      <c r="A90">
        <v>500458</v>
      </c>
      <c r="B90" t="s">
        <v>106</v>
      </c>
      <c r="C90" t="e">
        <f>(('Time Matrix'!J74*#REF!)*'Mon (103)'!#REF!) + (('Time Matrix'!J74*#REF!)*'Mon (103)'!#REF!) + (('Time Matrix'!J74*#REF!)*'Mon (103)'!#REF!) + (('Time Matrix'!J74*#REF!)*'Mon (103)'!#REF!)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5">
      <c r="A91" s="236" t="s">
        <v>165</v>
      </c>
      <c r="B91" s="237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ht="13" x14ac:dyDescent="0.25">
      <c r="A92" s="244" t="s">
        <v>46</v>
      </c>
      <c r="B92" s="245"/>
      <c r="C92" s="245"/>
      <c r="D92" s="245"/>
      <c r="E92" s="245"/>
      <c r="F92" s="245"/>
      <c r="G92" s="245"/>
      <c r="H92" s="245"/>
    </row>
    <row r="93" spans="1:8" x14ac:dyDescent="0.25">
      <c r="A93">
        <v>42521681</v>
      </c>
      <c r="B93" t="s">
        <v>25</v>
      </c>
      <c r="C93" t="e">
        <f>(('Time Matrix'!K75*#REF!)*'Mon (103)'!#REF!) + (('Time Matrix'!K75*#REF!)*'Mon (103)'!#REF!) + (('Time Matrix'!K75*#REF!)*'Mon (103)'!#REF!) + (('Time Matrix'!K75*#REF!)*'Mon (103)'!#REF!)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5">
      <c r="A94">
        <v>42521680</v>
      </c>
      <c r="B94" t="s">
        <v>26</v>
      </c>
      <c r="C94" t="e">
        <f>(('Time Matrix'!K76*#REF!)*'Mon (103)'!#REF!) + (('Time Matrix'!K76*#REF!)*'Mon (103)'!#REF!) + (('Time Matrix'!K76*#REF!)*'Mon (103)'!#REF!) + (('Time Matrix'!K76*#REF!)*'Mon (103)'!#REF!)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5">
      <c r="A95">
        <v>42521683</v>
      </c>
      <c r="B95" t="s">
        <v>27</v>
      </c>
      <c r="C95" t="e">
        <f>(('Time Matrix'!K77*#REF!)*'Mon (103)'!#REF!) + (('Time Matrix'!K77*#REF!)*'Mon (103)'!#REF!) + (('Time Matrix'!K77*#REF!)*'Mon (103)'!#REF!) + (('Time Matrix'!K77*#REF!)*'Mon (103)'!#REF!)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5">
      <c r="A96">
        <v>42521682</v>
      </c>
      <c r="B96" t="s">
        <v>28</v>
      </c>
      <c r="C96" t="e">
        <f>(('Time Matrix'!K78*#REF!)*'Mon (103)'!#REF!) + (('Time Matrix'!K78*#REF!)*'Mon (103)'!#REF!) + (('Time Matrix'!K78*#REF!)*'Mon (103)'!#REF!) + (('Time Matrix'!K78*#REF!)*'Mon (103)'!#REF!)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5">
      <c r="A97" s="236" t="s">
        <v>165</v>
      </c>
      <c r="B97" s="237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ht="13" x14ac:dyDescent="0.25">
      <c r="A98" s="244" t="s">
        <v>143</v>
      </c>
      <c r="B98" s="245"/>
      <c r="C98" s="245"/>
      <c r="D98" s="245"/>
      <c r="E98" s="245"/>
      <c r="F98" s="245"/>
      <c r="G98" s="245"/>
      <c r="H98" s="245"/>
    </row>
    <row r="99" spans="1:8" x14ac:dyDescent="0.25">
      <c r="A99">
        <v>80931</v>
      </c>
      <c r="B99" t="s">
        <v>145</v>
      </c>
      <c r="C99" t="e">
        <f>(('Time Matrix'!L79*#REF!)*'Mon (103)'!#REF!) + (('Time Matrix'!L79*#REF!)*'Mon (103)'!#REF!) + (('Time Matrix'!L79*#REF!)*'Mon (103)'!#REF!) + (('Time Matrix'!L79*#REF!)*'Mon (103)'!#REF!)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5">
      <c r="A100">
        <v>80930</v>
      </c>
      <c r="B100" t="s">
        <v>144</v>
      </c>
      <c r="C100" t="e">
        <f>(('Time Matrix'!L80*#REF!)*'Mon (103)'!#REF!) + (('Time Matrix'!L80*#REF!)*'Mon (103)'!#REF!) + (('Time Matrix'!L80*#REF!)*'Mon (103)'!#REF!) + (('Time Matrix'!L80*#REF!)*'Mon (103)'!#REF!)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5">
      <c r="A101">
        <v>80933</v>
      </c>
      <c r="B101" t="s">
        <v>147</v>
      </c>
      <c r="C101" t="e">
        <f>(('Time Matrix'!L81*#REF!)*'Mon (103)'!#REF!) + (('Time Matrix'!L81*#REF!)*'Mon (103)'!#REF!) + (('Time Matrix'!L81*#REF!)*'Mon (103)'!#REF!) + (('Time Matrix'!L81*#REF!)*'Mon (103)'!#REF!)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5">
      <c r="A102">
        <v>80932</v>
      </c>
      <c r="B102" t="s">
        <v>146</v>
      </c>
      <c r="C102" t="e">
        <f>(('Time Matrix'!L82*#REF!)*'Mon (103)'!#REF!) + (('Time Matrix'!L82*#REF!)*'Mon (103)'!#REF!) + (('Time Matrix'!L82*#REF!)*'Mon (103)'!#REF!) + (('Time Matrix'!L82*#REF!)*'Mon (103)'!#REF!)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5">
      <c r="A103" t="s">
        <v>148</v>
      </c>
      <c r="C103" t="e">
        <f>(('Time Matrix'!L83*#REF!)*'Mon (103)'!#REF!) + (('Time Matrix'!L83*#REF!)*'Mon (103)'!#REF!) + (('Time Matrix'!L83*#REF!)*'Mon (103)'!#REF!) + (('Time Matrix'!L83*#REF!)*'Mon (103)'!#REF!)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5">
      <c r="A104" t="s">
        <v>148</v>
      </c>
      <c r="C104" t="e">
        <f>(('Time Matrix'!L84*#REF!)*'Mon (103)'!#REF!) + (('Time Matrix'!L84*#REF!)*'Mon (103)'!#REF!) + (('Time Matrix'!L84*#REF!)*'Mon (103)'!#REF!) + (('Time Matrix'!L84*#REF!)*'Mon (103)'!#REF!)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5">
      <c r="A105" s="236" t="s">
        <v>165</v>
      </c>
      <c r="B105" s="237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ht="13" x14ac:dyDescent="0.25">
      <c r="A106" s="238" t="s">
        <v>30</v>
      </c>
      <c r="B106" s="239"/>
      <c r="C106" s="239"/>
      <c r="D106" s="239"/>
      <c r="E106" s="239"/>
      <c r="F106" s="239"/>
      <c r="G106" s="239"/>
      <c r="H106" s="239"/>
    </row>
    <row r="107" spans="1:8" x14ac:dyDescent="0.25">
      <c r="A107" t="s">
        <v>31</v>
      </c>
      <c r="B107" t="s">
        <v>2</v>
      </c>
      <c r="C107" t="e">
        <f>(('Time Matrix'!M85*#REF!)*'Mon (103)'!#REF!) + (('Time Matrix'!M85*#REF!)*'Mon (103)'!#REF!) + (('Time Matrix'!M85*#REF!)*'Mon (103)'!#REF!) + (('Time Matrix'!M85*#REF!)*'Mon (103)'!#REF!)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5">
      <c r="A108" t="s">
        <v>32</v>
      </c>
      <c r="B108" t="s">
        <v>0</v>
      </c>
      <c r="C108" t="e">
        <f>(('Time Matrix'!M86*#REF!)*'Mon (103)'!#REF!) + (('Time Matrix'!M86*#REF!)*'Mon (103)'!#REF!) + (('Time Matrix'!M86*#REF!)*'Mon (103)'!#REF!) + (('Time Matrix'!M86*#REF!)*'Mon (103)'!#REF!)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5">
      <c r="A109" t="s">
        <v>33</v>
      </c>
      <c r="B109" t="s">
        <v>3</v>
      </c>
      <c r="C109" t="e">
        <f>(('Time Matrix'!M87*#REF!)*'Mon (103)'!#REF!) + (('Time Matrix'!M87*#REF!)*'Mon (103)'!#REF!) + (('Time Matrix'!M87*#REF!)*'Mon (103)'!#REF!) + (('Time Matrix'!M87*#REF!)*'Mon (103)'!#REF!)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5">
      <c r="A110" t="s">
        <v>34</v>
      </c>
      <c r="B110" t="s">
        <v>4</v>
      </c>
      <c r="C110" t="e">
        <f>(('Time Matrix'!M88*#REF!)*'Mon (103)'!#REF!) + (('Time Matrix'!M88*#REF!)*'Mon (103)'!#REF!) + (('Time Matrix'!M88*#REF!)*'Mon (103)'!#REF!) + (('Time Matrix'!M88*#REF!)*'Mon (103)'!#REF!)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5">
      <c r="A111" t="s">
        <v>35</v>
      </c>
      <c r="B111" t="s">
        <v>5</v>
      </c>
      <c r="C111" t="e">
        <f>(('Time Matrix'!M89*#REF!)*'Mon (103)'!#REF!) + (('Time Matrix'!M89*#REF!)*'Mon (103)'!#REF!) + (('Time Matrix'!M89*#REF!)*'Mon (103)'!#REF!) + (('Time Matrix'!M89*#REF!)*'Mon (103)'!#REF!)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5">
      <c r="A112" t="s">
        <v>36</v>
      </c>
      <c r="B112" t="s">
        <v>1</v>
      </c>
      <c r="C112" t="e">
        <f>(('Time Matrix'!M90*#REF!)*'Mon (103)'!#REF!) + (('Time Matrix'!M90*#REF!)*'Mon (103)'!#REF!) + (('Time Matrix'!M90*#REF!)*'Mon (103)'!#REF!) + (('Time Matrix'!M90*#REF!)*'Mon (103)'!#REF!)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5">
      <c r="A113" s="236" t="s">
        <v>165</v>
      </c>
      <c r="B113" s="237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ht="13" x14ac:dyDescent="0.25">
      <c r="A114" s="238" t="s">
        <v>24</v>
      </c>
      <c r="B114" s="239"/>
      <c r="C114" s="239"/>
      <c r="D114" s="239"/>
      <c r="E114" s="239"/>
      <c r="F114" s="239"/>
      <c r="G114" s="239"/>
      <c r="H114" s="239"/>
    </row>
    <row r="115" spans="1:8" x14ac:dyDescent="0.25">
      <c r="A115" t="s">
        <v>31</v>
      </c>
      <c r="B115" t="s">
        <v>2</v>
      </c>
      <c r="C115" t="e">
        <f>(('Time Matrix'!N91*#REF!)*'Mon (103)'!#REF!) + (('Time Matrix'!N91*#REF!)*'Mon (103)'!#REF!) + (('Time Matrix'!N91*#REF!)*'Mon (103)'!#REF!) + (('Time Matrix'!N91*#REF!)*'Mon (103)'!#REF!)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5">
      <c r="A116" t="s">
        <v>32</v>
      </c>
      <c r="B116" t="s">
        <v>0</v>
      </c>
      <c r="C116" t="e">
        <f>(('Time Matrix'!N92*#REF!)*'Mon (103)'!#REF!) + (('Time Matrix'!N92*#REF!)*'Mon (103)'!#REF!) + (('Time Matrix'!N92*#REF!)*'Mon (103)'!#REF!) + (('Time Matrix'!N92*#REF!)*'Mon (103)'!#REF!)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5">
      <c r="A117" t="s">
        <v>33</v>
      </c>
      <c r="B117" t="s">
        <v>3</v>
      </c>
      <c r="C117" t="e">
        <f>(('Time Matrix'!N93*#REF!)*'Mon (103)'!#REF!) + (('Time Matrix'!N93*#REF!)*'Mon (103)'!#REF!) + (('Time Matrix'!N93*#REF!)*'Mon (103)'!#REF!) + (('Time Matrix'!N93*#REF!)*'Mon (103)'!#REF!)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5">
      <c r="A118" t="s">
        <v>34</v>
      </c>
      <c r="B118" t="s">
        <v>4</v>
      </c>
      <c r="C118" t="e">
        <f>(('Time Matrix'!N94*#REF!)*'Mon (103)'!#REF!) + (('Time Matrix'!N94*#REF!)*'Mon (103)'!#REF!) + (('Time Matrix'!N94*#REF!)*'Mon (103)'!#REF!) + (('Time Matrix'!N94*#REF!)*'Mon (103)'!#REF!)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5">
      <c r="A119" t="s">
        <v>35</v>
      </c>
      <c r="B119" t="s">
        <v>5</v>
      </c>
      <c r="C119" t="e">
        <f>(('Time Matrix'!N95*#REF!)*'Mon (103)'!#REF!) + (('Time Matrix'!N95*#REF!)*'Mon (103)'!#REF!) + (('Time Matrix'!N95*#REF!)*'Mon (103)'!#REF!) + (('Time Matrix'!N95*#REF!)*'Mon (103)'!#REF!)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5">
      <c r="A120" t="s">
        <v>36</v>
      </c>
      <c r="B120" t="s">
        <v>1</v>
      </c>
      <c r="C120" t="e">
        <f>(('Time Matrix'!N96*#REF!)*'Mon (103)'!#REF!) + (('Time Matrix'!N96*#REF!)*'Mon (103)'!#REF!) + (('Time Matrix'!N96*#REF!)*'Mon (103)'!#REF!) + (('Time Matrix'!N96*#REF!)*'Mon (103)'!#REF!)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5">
      <c r="A121" t="s">
        <v>40</v>
      </c>
      <c r="B121" t="s">
        <v>6</v>
      </c>
      <c r="C121" t="e">
        <f>(('Time Matrix'!N97*#REF!)*'Mon (103)'!#REF!) + (('Time Matrix'!N97*#REF!)*'Mon (103)'!#REF!) + (('Time Matrix'!N97*#REF!)*'Mon (103)'!#REF!) + (('Time Matrix'!N97*#REF!)*'Mon (103)'!#REF!)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5">
      <c r="A122" t="s">
        <v>41</v>
      </c>
      <c r="B122" t="s">
        <v>7</v>
      </c>
      <c r="C122" t="e">
        <f>(('Time Matrix'!N98*#REF!)*'Mon (103)'!#REF!) + (('Time Matrix'!N98*#REF!)*'Mon (103)'!#REF!) + (('Time Matrix'!N98*#REF!)*'Mon (103)'!#REF!) + (('Time Matrix'!N98*#REF!)*'Mon (103)'!#REF!)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5">
      <c r="A123" t="s">
        <v>37</v>
      </c>
      <c r="B123" t="s">
        <v>8</v>
      </c>
      <c r="C123" t="e">
        <f>(('Time Matrix'!N99*#REF!)*'Mon (103)'!#REF!) + (('Time Matrix'!N99*#REF!)*'Mon (103)'!#REF!) + (('Time Matrix'!N99*#REF!)*'Mon (103)'!#REF!) + (('Time Matrix'!N99*#REF!)*'Mon (103)'!#REF!)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5">
      <c r="A124" t="s">
        <v>38</v>
      </c>
      <c r="B124" t="s">
        <v>9</v>
      </c>
      <c r="C124" t="e">
        <f>(('Time Matrix'!N100*#REF!)*'Mon (103)'!#REF!) + (('Time Matrix'!N100*#REF!)*'Mon (103)'!#REF!) + (('Time Matrix'!N100*#REF!)*'Mon (103)'!#REF!) + (('Time Matrix'!N100*#REF!)*'Mon (103)'!#REF!)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5">
      <c r="A125" t="s">
        <v>39</v>
      </c>
      <c r="B125" t="s">
        <v>10</v>
      </c>
      <c r="C125" t="e">
        <f>(('Time Matrix'!N101*#REF!)*'Mon (103)'!#REF!) + (('Time Matrix'!N101*#REF!)*'Mon (103)'!#REF!) + (('Time Matrix'!N101*#REF!)*'Mon (103)'!#REF!) + (('Time Matrix'!N101*#REF!)*'Mon (103)'!#REF!)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5">
      <c r="A126" t="s">
        <v>42</v>
      </c>
      <c r="B126" t="s">
        <v>11</v>
      </c>
      <c r="C126" t="e">
        <f>(('Time Matrix'!N102*#REF!)*'Mon (103)'!#REF!) + (('Time Matrix'!N102*#REF!)*'Mon (103)'!#REF!) + (('Time Matrix'!N102*#REF!)*'Mon (103)'!#REF!) + (('Time Matrix'!N102*#REF!)*'Mon (103)'!#REF!)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5">
      <c r="A127" s="236" t="s">
        <v>165</v>
      </c>
      <c r="B127" s="237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ht="13" x14ac:dyDescent="0.25">
      <c r="A128" s="238" t="s">
        <v>52</v>
      </c>
      <c r="B128" s="239"/>
      <c r="C128" s="239"/>
      <c r="D128" s="239"/>
      <c r="E128" s="239"/>
      <c r="F128" s="239"/>
      <c r="G128" s="239"/>
      <c r="H128" s="239"/>
    </row>
    <row r="129" spans="1:8" ht="13" x14ac:dyDescent="0.25">
      <c r="A129" s="238" t="s">
        <v>48</v>
      </c>
      <c r="B129" s="239"/>
      <c r="C129" s="239"/>
      <c r="D129" s="239"/>
      <c r="E129" s="239"/>
      <c r="F129" s="239"/>
      <c r="G129" s="239"/>
      <c r="H129" s="239"/>
    </row>
    <row r="130" spans="1:8" x14ac:dyDescent="0.25">
      <c r="A130" t="s">
        <v>43</v>
      </c>
      <c r="B130" t="s">
        <v>22</v>
      </c>
      <c r="C130" t="e">
        <f>(('Time Matrix'!O103*#REF!)*'Mon (103)'!#REF!) + (('Time Matrix'!O103*#REF!)*'Mon (103)'!#REF!) + (('Time Matrix'!O103*#REF!)*'Mon (103)'!#REF!) + (('Time Matrix'!O103*#REF!)*'Mon (103)'!#REF!)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5">
      <c r="A131" t="s">
        <v>44</v>
      </c>
      <c r="B131" t="s">
        <v>19</v>
      </c>
      <c r="C131" t="e">
        <f>(('Time Matrix'!O104*#REF!)*'Mon (103)'!#REF!) + (('Time Matrix'!O104*#REF!)*'Mon (103)'!#REF!) + (('Time Matrix'!O104*#REF!)*'Mon (103)'!#REF!) + (('Time Matrix'!O104*#REF!)*'Mon (103)'!#REF!)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5">
      <c r="A132" t="s">
        <v>62</v>
      </c>
      <c r="B132" t="s">
        <v>20</v>
      </c>
      <c r="C132" t="e">
        <f>(('Time Matrix'!O105*#REF!)*'Mon (103)'!#REF!) + (('Time Matrix'!O105*#REF!)*'Mon (103)'!#REF!) + (('Time Matrix'!O105*#REF!)*'Mon (103)'!#REF!) + (('Time Matrix'!O105*#REF!)*'Mon (103)'!#REF!)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5">
      <c r="A133" t="s">
        <v>45</v>
      </c>
      <c r="B133" t="s">
        <v>23</v>
      </c>
      <c r="C133" t="e">
        <f>(('Time Matrix'!O106*#REF!)*'Mon (103)'!#REF!) + (('Time Matrix'!O106*#REF!)*'Mon (103)'!#REF!) + (('Time Matrix'!O106*#REF!)*'Mon (103)'!#REF!) + (('Time Matrix'!O106*#REF!)*'Mon (103)'!#REF!)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5">
      <c r="A134" s="236" t="s">
        <v>165</v>
      </c>
      <c r="B134" s="237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ht="13" x14ac:dyDescent="0.25">
      <c r="A135" s="238" t="s">
        <v>49</v>
      </c>
      <c r="B135" s="239"/>
      <c r="C135" s="239"/>
      <c r="D135" s="239"/>
      <c r="E135" s="239"/>
      <c r="F135" s="239"/>
      <c r="G135" s="239"/>
      <c r="H135" s="239"/>
    </row>
    <row r="136" spans="1:8" x14ac:dyDescent="0.25">
      <c r="A136">
        <v>6285</v>
      </c>
      <c r="B136" t="s">
        <v>22</v>
      </c>
      <c r="C136" t="e">
        <f>(('Time Matrix'!P103*#REF!)*'Mon (103)'!#REF!) + (('Time Matrix'!P103*#REF!)*'Mon (103)'!#REF!) + (('Time Matrix'!P103*#REF!)*'Mon (103)'!#REF!) + (('Time Matrix'!P103*#REF!)*'Mon (103)'!#REF!)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5">
      <c r="A137">
        <v>6284</v>
      </c>
      <c r="B137" t="s">
        <v>19</v>
      </c>
      <c r="C137" t="e">
        <f>(('Time Matrix'!P104*#REF!)*'Mon (103)'!#REF!) + (('Time Matrix'!P104*#REF!)*'Mon (103)'!#REF!) + (('Time Matrix'!P104*#REF!)*'Mon (103)'!#REF!) + (('Time Matrix'!P104*#REF!)*'Mon (103)'!#REF!)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5">
      <c r="A138">
        <v>6282</v>
      </c>
      <c r="B138" t="s">
        <v>20</v>
      </c>
      <c r="C138" t="e">
        <f>(('Time Matrix'!P105*#REF!)*'Mon (103)'!#REF!) + (('Time Matrix'!P105*#REF!)*'Mon (103)'!#REF!) + (('Time Matrix'!P105*#REF!)*'Mon (103)'!#REF!) + (('Time Matrix'!P105*#REF!)*'Mon (103)'!#REF!)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5">
      <c r="A139">
        <v>6283</v>
      </c>
      <c r="B139" t="s">
        <v>23</v>
      </c>
      <c r="C139" t="e">
        <f>(('Time Matrix'!P106*#REF!)*'Mon (103)'!#REF!) + (('Time Matrix'!P106*#REF!)*'Mon (103)'!#REF!) + (('Time Matrix'!P106*#REF!)*'Mon (103)'!#REF!) + (('Time Matrix'!P106*#REF!)*'Mon (103)'!#REF!)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5">
      <c r="A140" s="236" t="s">
        <v>165</v>
      </c>
      <c r="B140" s="237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ht="13" x14ac:dyDescent="0.25">
      <c r="A141" s="238" t="s">
        <v>53</v>
      </c>
      <c r="B141" s="239"/>
      <c r="C141" s="239"/>
      <c r="D141" s="239"/>
      <c r="E141" s="239"/>
      <c r="F141" s="239"/>
      <c r="G141" s="239"/>
      <c r="H141" s="239"/>
    </row>
    <row r="142" spans="1:8" ht="13" x14ac:dyDescent="0.25">
      <c r="A142" s="238" t="s">
        <v>48</v>
      </c>
      <c r="B142" s="239"/>
      <c r="C142" s="239"/>
      <c r="D142" s="239"/>
      <c r="E142" s="239"/>
      <c r="F142" s="239"/>
      <c r="G142" s="239"/>
      <c r="H142" s="239"/>
    </row>
    <row r="143" spans="1:8" x14ac:dyDescent="0.25">
      <c r="A143" t="s">
        <v>43</v>
      </c>
      <c r="B143" t="s">
        <v>22</v>
      </c>
      <c r="C143" t="e">
        <f>(('Time Matrix'!Q103*#REF!)*'Mon (103)'!#REF!) + (('Time Matrix'!Q103*#REF!)*'Mon (103)'!#REF!) + (('Time Matrix'!Q103*#REF!)*'Mon (103)'!#REF!) + (('Time Matrix'!Q103*#REF!)*'Mon (103)'!#REF!)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5">
      <c r="A144" t="s">
        <v>44</v>
      </c>
      <c r="B144" t="s">
        <v>19</v>
      </c>
      <c r="C144" t="e">
        <f>(('Time Matrix'!Q104*#REF!)*'Mon (103)'!#REF!) + (('Time Matrix'!Q104*#REF!)*'Mon (103)'!#REF!) + (('Time Matrix'!Q104*#REF!)*'Mon (103)'!#REF!) + (('Time Matrix'!Q104*#REF!)*'Mon (103)'!#REF!)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5">
      <c r="A145" t="s">
        <v>62</v>
      </c>
      <c r="B145" t="s">
        <v>20</v>
      </c>
      <c r="C145" t="e">
        <f>(('Time Matrix'!Q105*#REF!)*'Mon (103)'!#REF!) + (('Time Matrix'!Q105*#REF!)*'Mon (103)'!#REF!) + (('Time Matrix'!Q105*#REF!)*'Mon (103)'!#REF!) + (('Time Matrix'!Q105*#REF!)*'Mon (103)'!#REF!)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5">
      <c r="A146" t="s">
        <v>45</v>
      </c>
      <c r="B146" t="s">
        <v>23</v>
      </c>
      <c r="C146" t="e">
        <f>(('Time Matrix'!Q106*#REF!)*'Mon (103)'!#REF!) + (('Time Matrix'!Q106*#REF!)*'Mon (103)'!#REF!) + (('Time Matrix'!Q106*#REF!)*'Mon (103)'!#REF!) + (('Time Matrix'!Q106*#REF!)*'Mon (103)'!#REF!)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5">
      <c r="A147" s="236" t="s">
        <v>165</v>
      </c>
      <c r="B147" s="237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ht="13" x14ac:dyDescent="0.25">
      <c r="A148" s="238" t="s">
        <v>49</v>
      </c>
      <c r="B148" s="239"/>
      <c r="C148" s="239"/>
      <c r="D148" s="239"/>
      <c r="E148" s="239"/>
      <c r="F148" s="239"/>
      <c r="G148" s="239"/>
      <c r="H148" s="239"/>
    </row>
    <row r="149" spans="1:8" x14ac:dyDescent="0.25">
      <c r="A149">
        <v>6285</v>
      </c>
      <c r="B149" t="s">
        <v>22</v>
      </c>
      <c r="C149" t="e">
        <f>(('Time Matrix'!R103*#REF!)*'Mon (103)'!#REF!) + (('Time Matrix'!R103*#REF!)*'Mon (103)'!#REF!) + (('Time Matrix'!R103*#REF!)*'Mon (103)'!#REF!) + (('Time Matrix'!R103*#REF!)*'Mon (103)'!#REF!)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5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5">
      <c r="A151">
        <v>6282</v>
      </c>
      <c r="B151" t="s">
        <v>20</v>
      </c>
      <c r="C151" t="e">
        <f>(('Time Matrix'!R105*#REF!)*'Mon (103)'!#REF!) + (('Time Matrix'!R105*#REF!)*'Mon (103)'!#REF!) + (('Time Matrix'!R105*#REF!)*'Mon (103)'!#REF!) + (('Time Matrix'!R105*#REF!)*'Mon (103)'!#REF!)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5">
      <c r="A152">
        <v>6283</v>
      </c>
      <c r="B152" t="s">
        <v>23</v>
      </c>
      <c r="C152" t="e">
        <f>(('Time Matrix'!R106*#REF!)*'Mon (103)'!#REF!) + (('Time Matrix'!R106*#REF!)*'Mon (103)'!#REF!) + (('Time Matrix'!R106*#REF!)*'Mon (103)'!#REF!) + (('Time Matrix'!R106*#REF!)*'Mon (103)'!#REF!)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5">
      <c r="A153" s="236" t="s">
        <v>165</v>
      </c>
      <c r="B153" s="237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5" x14ac:dyDescent="0.25"/>
  <cols>
    <col min="1" max="1" width="18.54296875" bestFit="1" customWidth="1"/>
    <col min="2" max="2" width="18.81640625" bestFit="1" customWidth="1"/>
    <col min="3" max="3" width="18.26953125" bestFit="1" customWidth="1"/>
    <col min="4" max="4" width="27.26953125" bestFit="1" customWidth="1"/>
    <col min="5" max="5" width="19.54296875" bestFit="1" customWidth="1"/>
    <col min="6" max="6" width="15.54296875" bestFit="1" customWidth="1"/>
    <col min="7" max="7" width="17" bestFit="1" customWidth="1"/>
    <col min="8" max="8" width="18.26953125" bestFit="1" customWidth="1"/>
    <col min="9" max="9" width="17.81640625" bestFit="1" customWidth="1"/>
    <col min="10" max="10" width="20" bestFit="1" customWidth="1"/>
    <col min="11" max="11" width="26.81640625" bestFit="1" customWidth="1"/>
    <col min="12" max="12" width="14.81640625" bestFit="1" customWidth="1"/>
    <col min="13" max="13" width="13.54296875" bestFit="1" customWidth="1"/>
    <col min="14" max="14" width="20.26953125" bestFit="1" customWidth="1"/>
    <col min="15" max="15" width="14" bestFit="1" customWidth="1"/>
    <col min="16" max="16" width="15.54296875" bestFit="1" customWidth="1"/>
    <col min="17" max="17" width="16" bestFit="1" customWidth="1"/>
    <col min="18" max="18" width="17.54296875" bestFit="1" customWidth="1"/>
  </cols>
  <sheetData>
    <row r="1" spans="1:18" x14ac:dyDescent="0.25">
      <c r="A1" t="s">
        <v>185</v>
      </c>
    </row>
    <row r="2" spans="1:18" x14ac:dyDescent="0.25">
      <c r="A2" s="31" t="s">
        <v>178</v>
      </c>
      <c r="B2" s="100" t="s">
        <v>107</v>
      </c>
      <c r="C2" s="100" t="s">
        <v>70</v>
      </c>
      <c r="D2" s="100" t="s">
        <v>110</v>
      </c>
      <c r="E2" s="100" t="s">
        <v>47</v>
      </c>
      <c r="F2" s="100" t="s">
        <v>149</v>
      </c>
      <c r="G2" s="100" t="s">
        <v>66</v>
      </c>
      <c r="H2" s="100" t="s">
        <v>94</v>
      </c>
      <c r="I2" s="100" t="s">
        <v>128</v>
      </c>
      <c r="J2" s="100" t="s">
        <v>103</v>
      </c>
      <c r="K2" s="100" t="s">
        <v>46</v>
      </c>
      <c r="L2" s="100" t="s">
        <v>143</v>
      </c>
      <c r="M2" s="100" t="s">
        <v>30</v>
      </c>
      <c r="N2" s="100" t="s">
        <v>24</v>
      </c>
      <c r="O2" s="31" t="s">
        <v>186</v>
      </c>
      <c r="P2" s="31" t="s">
        <v>187</v>
      </c>
      <c r="Q2" s="31" t="s">
        <v>188</v>
      </c>
      <c r="R2" s="31" t="s">
        <v>189</v>
      </c>
    </row>
    <row r="3" spans="1:18" x14ac:dyDescent="0.25">
      <c r="A3" s="100" t="s">
        <v>152</v>
      </c>
      <c r="B3" s="31">
        <v>6.6666666666666666E-2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x14ac:dyDescent="0.25">
      <c r="A4" s="100" t="s">
        <v>153</v>
      </c>
      <c r="B4" s="31">
        <v>6.6666666666666666E-2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x14ac:dyDescent="0.25">
      <c r="A5" s="100" t="s">
        <v>58</v>
      </c>
      <c r="B5" s="31">
        <v>6.6666666666666666E-2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x14ac:dyDescent="0.25">
      <c r="A6" s="100" t="s">
        <v>57</v>
      </c>
      <c r="B6" s="31">
        <v>6.6666666666666666E-2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x14ac:dyDescent="0.25">
      <c r="A7" s="100" t="s">
        <v>76</v>
      </c>
      <c r="B7" s="31">
        <v>6.6666666666666666E-2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1:18" x14ac:dyDescent="0.25">
      <c r="A8" s="100" t="s">
        <v>77</v>
      </c>
      <c r="B8" s="31">
        <v>6.6666666666666666E-2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1:18" x14ac:dyDescent="0.25">
      <c r="A9" s="100" t="s">
        <v>68</v>
      </c>
      <c r="B9" s="31">
        <v>6.6666666666666666E-2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</row>
    <row r="10" spans="1:18" x14ac:dyDescent="0.25">
      <c r="A10" s="100" t="s">
        <v>69</v>
      </c>
      <c r="B10" s="31">
        <v>6.6666666666666666E-2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 spans="1:18" x14ac:dyDescent="0.25">
      <c r="A11" s="100" t="s">
        <v>113</v>
      </c>
      <c r="B11" s="31">
        <v>6.6666666666666666E-2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</row>
    <row r="12" spans="1:18" x14ac:dyDescent="0.25">
      <c r="A12" s="100" t="s">
        <v>114</v>
      </c>
      <c r="B12" s="31">
        <v>6.6666666666666666E-2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</row>
    <row r="13" spans="1:18" x14ac:dyDescent="0.25">
      <c r="A13" s="100" t="s">
        <v>111</v>
      </c>
      <c r="B13" s="31">
        <v>6.6666666666666666E-2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</row>
    <row r="14" spans="1:18" x14ac:dyDescent="0.25">
      <c r="A14" s="100" t="s">
        <v>112</v>
      </c>
      <c r="B14" s="31">
        <v>6.6666666666666666E-2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</row>
    <row r="15" spans="1:18" x14ac:dyDescent="0.25">
      <c r="A15" s="100" t="s">
        <v>72</v>
      </c>
      <c r="B15" s="31">
        <v>6.6666666666666666E-2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</row>
    <row r="16" spans="1:18" x14ac:dyDescent="0.25">
      <c r="A16" s="100" t="s">
        <v>73</v>
      </c>
      <c r="B16" s="31">
        <v>6.6666666666666666E-2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</row>
    <row r="17" spans="1:18" x14ac:dyDescent="0.25">
      <c r="A17" s="100" t="s">
        <v>59</v>
      </c>
      <c r="B17" s="31">
        <v>6.6666666666666666E-2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</row>
    <row r="18" spans="1:18" x14ac:dyDescent="0.25">
      <c r="A18" s="100" t="s">
        <v>60</v>
      </c>
      <c r="B18" s="31">
        <v>6.6666666666666666E-2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</row>
    <row r="19" spans="1:18" x14ac:dyDescent="0.25">
      <c r="A19" s="100" t="s">
        <v>71</v>
      </c>
      <c r="B19" s="100"/>
      <c r="C19" s="31">
        <v>6.6666666666666666E-2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</row>
    <row r="20" spans="1:18" x14ac:dyDescent="0.25">
      <c r="A20" s="100" t="s">
        <v>154</v>
      </c>
      <c r="B20" s="100"/>
      <c r="C20" s="31">
        <v>6.6666666666666666E-2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</row>
    <row r="21" spans="1:18" x14ac:dyDescent="0.25">
      <c r="A21" s="100" t="s">
        <v>155</v>
      </c>
      <c r="B21" s="100"/>
      <c r="C21" s="31">
        <v>6.6666666666666666E-2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</row>
    <row r="22" spans="1:18" x14ac:dyDescent="0.25">
      <c r="A22" s="100" t="s">
        <v>156</v>
      </c>
      <c r="B22" s="100"/>
      <c r="C22" s="31">
        <v>6.6666666666666666E-2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</row>
    <row r="23" spans="1:18" x14ac:dyDescent="0.25">
      <c r="A23" s="100" t="s">
        <v>157</v>
      </c>
      <c r="B23" s="100"/>
      <c r="C23" s="31">
        <v>6.6666666666666666E-2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</row>
    <row r="24" spans="1:18" x14ac:dyDescent="0.25">
      <c r="A24" s="100" t="s">
        <v>13</v>
      </c>
      <c r="B24" s="100"/>
      <c r="C24" s="31">
        <v>6.6666666666666666E-2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</row>
    <row r="25" spans="1:18" x14ac:dyDescent="0.25">
      <c r="A25" s="100" t="s">
        <v>78</v>
      </c>
      <c r="B25" s="100"/>
      <c r="C25" s="31">
        <v>6.6666666666666666E-2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</row>
    <row r="26" spans="1:18" x14ac:dyDescent="0.25">
      <c r="A26" s="100" t="s">
        <v>82</v>
      </c>
      <c r="B26" s="100"/>
      <c r="C26" s="100"/>
      <c r="D26" s="31">
        <v>6.6666666666666666E-2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</row>
    <row r="27" spans="1:18" x14ac:dyDescent="0.25">
      <c r="A27" s="100" t="s">
        <v>83</v>
      </c>
      <c r="B27" s="100"/>
      <c r="C27" s="100"/>
      <c r="D27" s="31">
        <v>6.6666666666666666E-2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spans="1:18" x14ac:dyDescent="0.25">
      <c r="A28" s="100" t="s">
        <v>85</v>
      </c>
      <c r="B28" s="100"/>
      <c r="C28" s="100"/>
      <c r="D28" s="31">
        <v>6.6666666666666666E-2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</row>
    <row r="29" spans="1:18" x14ac:dyDescent="0.25">
      <c r="A29" s="100" t="s">
        <v>84</v>
      </c>
      <c r="B29" s="100"/>
      <c r="C29" s="100"/>
      <c r="D29" s="31">
        <v>6.6666666666666666E-2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</row>
    <row r="30" spans="1:18" x14ac:dyDescent="0.25">
      <c r="A30" s="100" t="s">
        <v>86</v>
      </c>
      <c r="B30" s="100"/>
      <c r="C30" s="100"/>
      <c r="D30" s="31">
        <v>6.6666666666666666E-2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</row>
    <row r="31" spans="1:18" x14ac:dyDescent="0.25">
      <c r="A31" s="100" t="s">
        <v>87</v>
      </c>
      <c r="B31" s="100"/>
      <c r="C31" s="100"/>
      <c r="D31" s="31">
        <v>6.6666666666666666E-2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</row>
    <row r="32" spans="1:18" x14ac:dyDescent="0.25">
      <c r="A32" s="100" t="s">
        <v>88</v>
      </c>
      <c r="B32" s="100"/>
      <c r="C32" s="100"/>
      <c r="D32" s="31">
        <v>6.6666666666666666E-2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  <row r="33" spans="1:18" x14ac:dyDescent="0.25">
      <c r="A33" s="100" t="s">
        <v>89</v>
      </c>
      <c r="B33" s="100"/>
      <c r="C33" s="100"/>
      <c r="D33" s="31">
        <v>6.6666666666666666E-2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</row>
    <row r="34" spans="1:18" x14ac:dyDescent="0.25">
      <c r="A34" s="100" t="s">
        <v>90</v>
      </c>
      <c r="B34" s="100"/>
      <c r="C34" s="100"/>
      <c r="D34" s="31">
        <v>6.6666666666666666E-2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</row>
    <row r="35" spans="1:18" x14ac:dyDescent="0.25">
      <c r="A35" s="100" t="s">
        <v>158</v>
      </c>
      <c r="B35" s="100"/>
      <c r="C35" s="100"/>
      <c r="D35" s="100"/>
      <c r="E35" s="31">
        <v>6.6666666666666666E-2</v>
      </c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</row>
    <row r="36" spans="1:18" x14ac:dyDescent="0.25">
      <c r="A36" s="100" t="s">
        <v>159</v>
      </c>
      <c r="B36" s="100"/>
      <c r="C36" s="100"/>
      <c r="D36" s="100"/>
      <c r="E36" s="31">
        <v>6.6666666666666666E-2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1:18" x14ac:dyDescent="0.25">
      <c r="A37" s="100" t="s">
        <v>85</v>
      </c>
      <c r="B37" s="100"/>
      <c r="C37" s="100"/>
      <c r="D37" s="100"/>
      <c r="E37" s="31">
        <v>6.6666666666666666E-2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</row>
    <row r="38" spans="1:18" x14ac:dyDescent="0.25">
      <c r="A38" s="100" t="s">
        <v>84</v>
      </c>
      <c r="B38" s="100"/>
      <c r="C38" s="100"/>
      <c r="D38" s="100"/>
      <c r="E38" s="31">
        <v>6.6666666666666666E-2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</row>
    <row r="39" spans="1:18" x14ac:dyDescent="0.25">
      <c r="A39" s="100" t="s">
        <v>160</v>
      </c>
      <c r="B39" s="100"/>
      <c r="C39" s="100"/>
      <c r="D39" s="100"/>
      <c r="E39" s="31">
        <v>6.6666666666666666E-2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</row>
    <row r="40" spans="1:18" x14ac:dyDescent="0.25">
      <c r="A40" s="100" t="s">
        <v>161</v>
      </c>
      <c r="B40" s="100"/>
      <c r="C40" s="100"/>
      <c r="D40" s="100"/>
      <c r="E40" s="31">
        <v>6.6666666666666666E-2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</row>
    <row r="41" spans="1:18" x14ac:dyDescent="0.25">
      <c r="A41" s="100" t="s">
        <v>86</v>
      </c>
      <c r="B41" s="100"/>
      <c r="C41" s="100"/>
      <c r="D41" s="100"/>
      <c r="E41" s="31">
        <v>6.6666666666666666E-2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</row>
    <row r="42" spans="1:18" x14ac:dyDescent="0.25">
      <c r="A42" s="100" t="s">
        <v>87</v>
      </c>
      <c r="B42" s="100"/>
      <c r="C42" s="100"/>
      <c r="D42" s="100"/>
      <c r="E42" s="31">
        <v>6.6666666666666666E-2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</row>
    <row r="43" spans="1:18" x14ac:dyDescent="0.25">
      <c r="A43" s="100" t="s">
        <v>162</v>
      </c>
      <c r="B43" s="100"/>
      <c r="C43" s="100"/>
      <c r="D43" s="100"/>
      <c r="E43" s="31">
        <v>6.6666666666666666E-2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</row>
    <row r="44" spans="1:18" x14ac:dyDescent="0.25">
      <c r="A44" s="100" t="s">
        <v>89</v>
      </c>
      <c r="B44" s="100"/>
      <c r="C44" s="100"/>
      <c r="D44" s="100"/>
      <c r="E44" s="31">
        <v>6.6666666666666666E-2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</row>
    <row r="45" spans="1:18" x14ac:dyDescent="0.25">
      <c r="A45" s="100" t="s">
        <v>163</v>
      </c>
      <c r="B45" s="100"/>
      <c r="C45" s="100"/>
      <c r="D45" s="100"/>
      <c r="E45" s="31">
        <v>6.6666666666666666E-2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</row>
    <row r="46" spans="1:18" x14ac:dyDescent="0.25">
      <c r="A46" s="100" t="s">
        <v>164</v>
      </c>
      <c r="B46" s="100"/>
      <c r="C46" s="100"/>
      <c r="D46" s="100"/>
      <c r="E46" s="31">
        <v>6.6666666666666666E-2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</row>
    <row r="47" spans="1:18" x14ac:dyDescent="0.25">
      <c r="A47" s="100" t="s">
        <v>166</v>
      </c>
      <c r="B47" s="100"/>
      <c r="C47" s="100"/>
      <c r="D47" s="100"/>
      <c r="E47" s="100"/>
      <c r="F47" s="31">
        <v>1.2866666666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</row>
    <row r="48" spans="1:18" x14ac:dyDescent="0.25">
      <c r="A48" s="100" t="s">
        <v>167</v>
      </c>
      <c r="B48" s="100"/>
      <c r="C48" s="100"/>
      <c r="D48" s="100"/>
      <c r="E48" s="100"/>
      <c r="F48" s="31">
        <v>1.2866666666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</row>
    <row r="49" spans="1:18" x14ac:dyDescent="0.25">
      <c r="A49" s="100" t="s">
        <v>168</v>
      </c>
      <c r="B49" s="100"/>
      <c r="C49" s="100"/>
      <c r="D49" s="100"/>
      <c r="E49" s="100"/>
      <c r="F49" s="31">
        <v>1.2866666666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</row>
    <row r="50" spans="1:18" x14ac:dyDescent="0.25">
      <c r="A50" s="100" t="s">
        <v>169</v>
      </c>
      <c r="B50" s="100"/>
      <c r="C50" s="100"/>
      <c r="D50" s="100"/>
      <c r="E50" s="100"/>
      <c r="F50" s="31">
        <v>1.2866666666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</row>
    <row r="51" spans="1:18" x14ac:dyDescent="0.25">
      <c r="A51" s="100" t="s">
        <v>170</v>
      </c>
      <c r="B51" s="100"/>
      <c r="C51" s="100"/>
      <c r="D51" s="100"/>
      <c r="E51" s="100"/>
      <c r="F51" s="31">
        <v>1.2866666666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</row>
    <row r="52" spans="1:18" x14ac:dyDescent="0.25">
      <c r="A52" s="100" t="s">
        <v>171</v>
      </c>
      <c r="B52" s="100"/>
      <c r="C52" s="100"/>
      <c r="D52" s="100"/>
      <c r="E52" s="100"/>
      <c r="F52" s="31">
        <v>1.2866666666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</row>
    <row r="53" spans="1:18" x14ac:dyDescent="0.25">
      <c r="A53" s="100" t="s">
        <v>172</v>
      </c>
      <c r="B53" s="100"/>
      <c r="C53" s="100"/>
      <c r="D53" s="100"/>
      <c r="E53" s="100"/>
      <c r="F53" s="31">
        <v>1.2866666666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</row>
    <row r="54" spans="1:18" x14ac:dyDescent="0.25">
      <c r="A54" s="100" t="s">
        <v>173</v>
      </c>
      <c r="B54" s="100"/>
      <c r="C54" s="100"/>
      <c r="D54" s="100"/>
      <c r="E54" s="100"/>
      <c r="F54" s="31">
        <v>1.2866666666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</row>
    <row r="55" spans="1:18" x14ac:dyDescent="0.25">
      <c r="A55" s="100" t="s">
        <v>174</v>
      </c>
      <c r="B55" s="100"/>
      <c r="C55" s="100"/>
      <c r="D55" s="100"/>
      <c r="E55" s="100"/>
      <c r="F55" s="31">
        <v>1.2866666666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</row>
    <row r="56" spans="1:18" x14ac:dyDescent="0.25">
      <c r="A56" s="100" t="s">
        <v>175</v>
      </c>
      <c r="B56" s="100"/>
      <c r="C56" s="100"/>
      <c r="D56" s="100"/>
      <c r="E56" s="100"/>
      <c r="F56" s="31">
        <v>1.2866666666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</row>
    <row r="57" spans="1:18" x14ac:dyDescent="0.25">
      <c r="A57" s="100" t="s">
        <v>176</v>
      </c>
      <c r="B57" s="100"/>
      <c r="C57" s="100"/>
      <c r="D57" s="100"/>
      <c r="E57" s="100"/>
      <c r="F57" s="31">
        <v>1.2866666666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</row>
    <row r="58" spans="1:18" x14ac:dyDescent="0.25">
      <c r="A58" s="100" t="s">
        <v>123</v>
      </c>
      <c r="B58" s="100"/>
      <c r="C58" s="100"/>
      <c r="D58" s="100"/>
      <c r="E58" s="100"/>
      <c r="F58" s="31">
        <v>1.2866666666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</row>
    <row r="59" spans="1:18" x14ac:dyDescent="0.25">
      <c r="A59" s="100" t="s">
        <v>63</v>
      </c>
      <c r="B59" s="100"/>
      <c r="C59" s="100"/>
      <c r="D59" s="100"/>
      <c r="E59" s="100"/>
      <c r="F59" s="100"/>
      <c r="G59" s="31">
        <v>6.6666666666666666E-2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</row>
    <row r="60" spans="1:18" x14ac:dyDescent="0.25">
      <c r="A60" s="100" t="s">
        <v>64</v>
      </c>
      <c r="B60" s="100"/>
      <c r="C60" s="100"/>
      <c r="D60" s="100"/>
      <c r="E60" s="100"/>
      <c r="F60" s="100"/>
      <c r="G60" s="31">
        <v>6.6666666666666666E-2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</row>
    <row r="61" spans="1:18" x14ac:dyDescent="0.25">
      <c r="A61" s="100" t="s">
        <v>65</v>
      </c>
      <c r="B61" s="100"/>
      <c r="C61" s="100"/>
      <c r="D61" s="100"/>
      <c r="E61" s="100"/>
      <c r="F61" s="100"/>
      <c r="G61" s="31">
        <v>6.6666666666666666E-2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</row>
    <row r="62" spans="1:18" x14ac:dyDescent="0.25">
      <c r="A62" s="100" t="s">
        <v>109</v>
      </c>
      <c r="B62" s="100"/>
      <c r="C62" s="100"/>
      <c r="D62" s="100"/>
      <c r="E62" s="100"/>
      <c r="F62" s="100"/>
      <c r="G62" s="100"/>
      <c r="H62" s="31">
        <v>6.6666666666666666E-2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0"/>
    </row>
    <row r="63" spans="1:18" x14ac:dyDescent="0.25">
      <c r="A63" s="100" t="s">
        <v>91</v>
      </c>
      <c r="B63" s="100"/>
      <c r="C63" s="100"/>
      <c r="D63" s="100"/>
      <c r="E63" s="100"/>
      <c r="F63" s="100"/>
      <c r="G63" s="100"/>
      <c r="H63" s="31">
        <v>6.6666666666666666E-2</v>
      </c>
      <c r="I63" s="100"/>
      <c r="J63" s="100"/>
      <c r="K63" s="100"/>
      <c r="L63" s="100"/>
      <c r="M63" s="100"/>
      <c r="N63" s="100"/>
      <c r="O63" s="100"/>
      <c r="P63" s="100"/>
      <c r="Q63" s="100"/>
      <c r="R63" s="100"/>
    </row>
    <row r="64" spans="1:18" x14ac:dyDescent="0.25">
      <c r="A64" s="100" t="s">
        <v>92</v>
      </c>
      <c r="B64" s="100"/>
      <c r="C64" s="100"/>
      <c r="D64" s="100"/>
      <c r="E64" s="100"/>
      <c r="F64" s="100"/>
      <c r="G64" s="100"/>
      <c r="H64" s="31">
        <v>6.6666666666666666E-2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</row>
    <row r="65" spans="1:18" x14ac:dyDescent="0.25">
      <c r="A65" s="100" t="s">
        <v>93</v>
      </c>
      <c r="B65" s="100"/>
      <c r="C65" s="100"/>
      <c r="D65" s="100"/>
      <c r="E65" s="100"/>
      <c r="F65" s="100"/>
      <c r="G65" s="100"/>
      <c r="H65" s="31">
        <v>6.6666666666666666E-2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1:18" x14ac:dyDescent="0.25">
      <c r="A66" s="100" t="s">
        <v>95</v>
      </c>
      <c r="B66" s="100"/>
      <c r="C66" s="100"/>
      <c r="D66" s="100"/>
      <c r="E66" s="100"/>
      <c r="F66" s="100"/>
      <c r="G66" s="100"/>
      <c r="H66" s="100"/>
      <c r="I66" s="31">
        <v>6.6666666666666666E-2</v>
      </c>
      <c r="J66" s="100"/>
      <c r="K66" s="100"/>
      <c r="L66" s="100"/>
      <c r="M66" s="100"/>
      <c r="N66" s="100"/>
      <c r="O66" s="100"/>
      <c r="P66" s="100"/>
      <c r="Q66" s="100"/>
      <c r="R66" s="100"/>
    </row>
    <row r="67" spans="1:18" x14ac:dyDescent="0.25">
      <c r="A67" s="100" t="s">
        <v>96</v>
      </c>
      <c r="B67" s="100"/>
      <c r="C67" s="100"/>
      <c r="D67" s="100"/>
      <c r="E67" s="100"/>
      <c r="F67" s="100"/>
      <c r="G67" s="100"/>
      <c r="H67" s="100"/>
      <c r="I67" s="31">
        <v>6.6666666666666666E-2</v>
      </c>
      <c r="J67" s="100"/>
      <c r="K67" s="100"/>
      <c r="L67" s="100"/>
      <c r="M67" s="100"/>
      <c r="N67" s="100"/>
      <c r="O67" s="100"/>
      <c r="P67" s="100"/>
      <c r="Q67" s="100"/>
      <c r="R67" s="100"/>
    </row>
    <row r="68" spans="1:18" x14ac:dyDescent="0.25">
      <c r="A68" s="100" t="s">
        <v>98</v>
      </c>
      <c r="B68" s="100"/>
      <c r="C68" s="100"/>
      <c r="D68" s="100"/>
      <c r="E68" s="100"/>
      <c r="F68" s="100"/>
      <c r="G68" s="100"/>
      <c r="H68" s="100"/>
      <c r="I68" s="31">
        <v>6.6666666666666666E-2</v>
      </c>
      <c r="J68" s="100"/>
      <c r="K68" s="100"/>
      <c r="L68" s="100"/>
      <c r="M68" s="100"/>
      <c r="N68" s="100"/>
      <c r="O68" s="100"/>
      <c r="P68" s="100"/>
      <c r="Q68" s="100"/>
      <c r="R68" s="100"/>
    </row>
    <row r="69" spans="1:18" x14ac:dyDescent="0.25">
      <c r="A69" s="100" t="s">
        <v>97</v>
      </c>
      <c r="B69" s="100"/>
      <c r="C69" s="100"/>
      <c r="D69" s="100"/>
      <c r="E69" s="100"/>
      <c r="F69" s="100"/>
      <c r="G69" s="100"/>
      <c r="H69" s="100"/>
      <c r="I69" s="31">
        <v>6.6666666666666666E-2</v>
      </c>
      <c r="J69" s="100"/>
      <c r="K69" s="100"/>
      <c r="L69" s="100"/>
      <c r="M69" s="100"/>
      <c r="N69" s="100"/>
      <c r="O69" s="100"/>
      <c r="P69" s="100"/>
      <c r="Q69" s="100"/>
      <c r="R69" s="100"/>
    </row>
    <row r="70" spans="1:18" x14ac:dyDescent="0.25">
      <c r="A70" s="100" t="s">
        <v>99</v>
      </c>
      <c r="B70" s="100"/>
      <c r="C70" s="100"/>
      <c r="D70" s="100"/>
      <c r="E70" s="100"/>
      <c r="F70" s="100"/>
      <c r="G70" s="100"/>
      <c r="H70" s="100"/>
      <c r="I70" s="31">
        <v>6.6666666666666666E-2</v>
      </c>
      <c r="J70" s="100"/>
      <c r="K70" s="100"/>
      <c r="L70" s="100"/>
      <c r="M70" s="100"/>
      <c r="N70" s="100"/>
      <c r="O70" s="100"/>
      <c r="P70" s="100"/>
      <c r="Q70" s="100"/>
      <c r="R70" s="100"/>
    </row>
    <row r="71" spans="1:18" x14ac:dyDescent="0.25">
      <c r="A71" s="100" t="s">
        <v>100</v>
      </c>
      <c r="B71" s="100"/>
      <c r="C71" s="100"/>
      <c r="D71" s="100"/>
      <c r="E71" s="100"/>
      <c r="F71" s="100"/>
      <c r="G71" s="100"/>
      <c r="H71" s="100"/>
      <c r="I71" s="31">
        <v>6.6666666666666666E-2</v>
      </c>
      <c r="J71" s="100"/>
      <c r="K71" s="100"/>
      <c r="L71" s="100"/>
      <c r="M71" s="100"/>
      <c r="N71" s="100"/>
      <c r="O71" s="100"/>
      <c r="P71" s="100"/>
      <c r="Q71" s="100"/>
      <c r="R71" s="100"/>
    </row>
    <row r="72" spans="1:18" x14ac:dyDescent="0.25">
      <c r="A72" s="100" t="s">
        <v>104</v>
      </c>
      <c r="B72" s="100"/>
      <c r="C72" s="100"/>
      <c r="D72" s="100"/>
      <c r="E72" s="100"/>
      <c r="F72" s="100"/>
      <c r="G72" s="100"/>
      <c r="H72" s="100"/>
      <c r="I72" s="100"/>
      <c r="J72" s="31">
        <v>6.6666666666666666E-2</v>
      </c>
      <c r="K72" s="100"/>
      <c r="L72" s="100"/>
      <c r="M72" s="100"/>
      <c r="N72" s="100"/>
      <c r="O72" s="100"/>
      <c r="P72" s="100"/>
      <c r="Q72" s="100"/>
      <c r="R72" s="100"/>
    </row>
    <row r="73" spans="1:18" x14ac:dyDescent="0.25">
      <c r="A73" s="100" t="s">
        <v>105</v>
      </c>
      <c r="B73" s="100"/>
      <c r="C73" s="100"/>
      <c r="D73" s="100"/>
      <c r="E73" s="100"/>
      <c r="F73" s="100"/>
      <c r="G73" s="100"/>
      <c r="H73" s="100"/>
      <c r="I73" s="100"/>
      <c r="J73" s="31">
        <v>6.6666666666666666E-2</v>
      </c>
      <c r="K73" s="100"/>
      <c r="L73" s="100"/>
      <c r="M73" s="100"/>
      <c r="N73" s="100"/>
      <c r="O73" s="100"/>
      <c r="P73" s="100"/>
      <c r="Q73" s="100"/>
      <c r="R73" s="100"/>
    </row>
    <row r="74" spans="1:18" x14ac:dyDescent="0.25">
      <c r="A74" s="100" t="s">
        <v>106</v>
      </c>
      <c r="B74" s="100"/>
      <c r="C74" s="100"/>
      <c r="D74" s="100"/>
      <c r="E74" s="100"/>
      <c r="F74" s="100"/>
      <c r="G74" s="100"/>
      <c r="H74" s="100"/>
      <c r="I74" s="100"/>
      <c r="J74" s="31">
        <v>6.6666666666666666E-2</v>
      </c>
      <c r="K74" s="100"/>
      <c r="L74" s="100"/>
      <c r="M74" s="100"/>
      <c r="N74" s="100"/>
      <c r="O74" s="100"/>
      <c r="P74" s="100"/>
      <c r="Q74" s="100"/>
      <c r="R74" s="100"/>
    </row>
    <row r="75" spans="1:18" x14ac:dyDescent="0.25">
      <c r="A75" s="100" t="s">
        <v>25</v>
      </c>
      <c r="B75" s="100"/>
      <c r="C75" s="100"/>
      <c r="D75" s="100"/>
      <c r="E75" s="100"/>
      <c r="F75" s="100"/>
      <c r="G75" s="100"/>
      <c r="H75" s="100"/>
      <c r="I75" s="100"/>
      <c r="J75" s="100"/>
      <c r="K75" s="31">
        <v>6.6666666666666666E-2</v>
      </c>
      <c r="L75" s="100"/>
      <c r="M75" s="100"/>
      <c r="N75" s="100"/>
      <c r="O75" s="100"/>
      <c r="P75" s="100"/>
      <c r="Q75" s="100"/>
      <c r="R75" s="100"/>
    </row>
    <row r="76" spans="1:18" x14ac:dyDescent="0.25">
      <c r="A76" s="100" t="s">
        <v>26</v>
      </c>
      <c r="B76" s="100"/>
      <c r="C76" s="100"/>
      <c r="D76" s="100"/>
      <c r="E76" s="100"/>
      <c r="F76" s="100"/>
      <c r="G76" s="100"/>
      <c r="H76" s="100"/>
      <c r="I76" s="100"/>
      <c r="J76" s="100"/>
      <c r="K76" s="31">
        <v>6.6666666666666666E-2</v>
      </c>
      <c r="L76" s="100"/>
      <c r="M76" s="100"/>
      <c r="N76" s="100"/>
      <c r="O76" s="100"/>
      <c r="P76" s="100"/>
      <c r="Q76" s="100"/>
      <c r="R76" s="100"/>
    </row>
    <row r="77" spans="1:18" x14ac:dyDescent="0.25">
      <c r="A77" s="100" t="s">
        <v>27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31">
        <v>6.6666666666666666E-2</v>
      </c>
      <c r="L77" s="100"/>
      <c r="M77" s="100"/>
      <c r="N77" s="100"/>
      <c r="O77" s="100"/>
      <c r="P77" s="100"/>
      <c r="Q77" s="100"/>
      <c r="R77" s="100"/>
    </row>
    <row r="78" spans="1:18" x14ac:dyDescent="0.25">
      <c r="A78" s="100" t="s">
        <v>28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31">
        <v>6.6666666666666666E-2</v>
      </c>
      <c r="L78" s="100"/>
      <c r="M78" s="100"/>
      <c r="N78" s="100"/>
      <c r="O78" s="100"/>
      <c r="P78" s="100"/>
      <c r="Q78" s="100"/>
      <c r="R78" s="100"/>
    </row>
    <row r="79" spans="1:18" x14ac:dyDescent="0.25">
      <c r="A79" s="100" t="s">
        <v>145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31">
        <v>6.6666666666666666E-2</v>
      </c>
      <c r="M79" s="100"/>
      <c r="N79" s="100"/>
      <c r="O79" s="100"/>
      <c r="P79" s="100"/>
      <c r="Q79" s="100"/>
      <c r="R79" s="100"/>
    </row>
    <row r="80" spans="1:18" x14ac:dyDescent="0.25">
      <c r="A80" s="100" t="s">
        <v>144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31">
        <v>6.6666666666666666E-2</v>
      </c>
      <c r="M80" s="100"/>
      <c r="N80" s="100"/>
      <c r="O80" s="100"/>
      <c r="P80" s="100"/>
      <c r="Q80" s="100"/>
      <c r="R80" s="100"/>
    </row>
    <row r="81" spans="1:18" x14ac:dyDescent="0.25">
      <c r="A81" s="100" t="s">
        <v>147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31">
        <v>6.6666666666666666E-2</v>
      </c>
      <c r="M81" s="100"/>
      <c r="N81" s="100"/>
      <c r="O81" s="100"/>
      <c r="P81" s="100"/>
      <c r="Q81" s="100"/>
      <c r="R81" s="100"/>
    </row>
    <row r="82" spans="1:18" x14ac:dyDescent="0.25">
      <c r="A82" s="100" t="s">
        <v>146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31">
        <v>6.6666666666666666E-2</v>
      </c>
      <c r="M82" s="100"/>
      <c r="N82" s="100"/>
      <c r="O82" s="100"/>
      <c r="P82" s="100"/>
      <c r="Q82" s="100"/>
      <c r="R82" s="100"/>
    </row>
    <row r="83" spans="1:18" x14ac:dyDescent="0.25">
      <c r="A83" s="100" t="s">
        <v>148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31">
        <v>6.6666666666666666E-2</v>
      </c>
      <c r="M83" s="100"/>
      <c r="N83" s="100"/>
      <c r="O83" s="100"/>
      <c r="P83" s="100"/>
      <c r="Q83" s="100"/>
      <c r="R83" s="100"/>
    </row>
    <row r="84" spans="1:18" x14ac:dyDescent="0.25">
      <c r="A84" s="100" t="s">
        <v>148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31">
        <v>6.6666666666666666E-2</v>
      </c>
      <c r="M84" s="100"/>
      <c r="N84" s="100"/>
      <c r="O84" s="100"/>
      <c r="P84" s="100"/>
      <c r="Q84" s="100"/>
      <c r="R84" s="100"/>
    </row>
    <row r="85" spans="1:18" x14ac:dyDescent="0.25">
      <c r="A85" s="100" t="s">
        <v>2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31">
        <v>6.6666666666666666E-2</v>
      </c>
      <c r="N85" s="100"/>
      <c r="O85" s="100"/>
      <c r="P85" s="100"/>
      <c r="Q85" s="100"/>
      <c r="R85" s="100"/>
    </row>
    <row r="86" spans="1:18" x14ac:dyDescent="0.25">
      <c r="A86" s="100" t="s">
        <v>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1">
        <v>6.6666666666666666E-2</v>
      </c>
      <c r="N86" s="100"/>
      <c r="O86" s="100"/>
      <c r="P86" s="100"/>
      <c r="Q86" s="100"/>
      <c r="R86" s="100"/>
    </row>
    <row r="87" spans="1:18" x14ac:dyDescent="0.25">
      <c r="A87" s="100" t="s">
        <v>3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1">
        <v>6.6666666666666666E-2</v>
      </c>
      <c r="N87" s="100"/>
      <c r="O87" s="100"/>
      <c r="P87" s="100"/>
      <c r="Q87" s="100"/>
      <c r="R87" s="100"/>
    </row>
    <row r="88" spans="1:18" x14ac:dyDescent="0.25">
      <c r="A88" s="100" t="s">
        <v>4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1">
        <v>6.6666666666666666E-2</v>
      </c>
      <c r="N88" s="100"/>
      <c r="O88" s="100"/>
      <c r="P88" s="100"/>
      <c r="Q88" s="100"/>
      <c r="R88" s="100"/>
    </row>
    <row r="89" spans="1:18" x14ac:dyDescent="0.25">
      <c r="A89" s="100" t="s">
        <v>5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1">
        <v>6.6666666666666666E-2</v>
      </c>
      <c r="N89" s="100"/>
      <c r="O89" s="100"/>
      <c r="P89" s="100"/>
      <c r="Q89" s="100"/>
      <c r="R89" s="100"/>
    </row>
    <row r="90" spans="1:18" x14ac:dyDescent="0.25">
      <c r="A90" s="100" t="s">
        <v>1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1">
        <v>6.6666666666666666E-2</v>
      </c>
      <c r="N90" s="100"/>
      <c r="O90" s="100"/>
      <c r="P90" s="100"/>
      <c r="Q90" s="100"/>
      <c r="R90" s="100"/>
    </row>
    <row r="91" spans="1:18" x14ac:dyDescent="0.25">
      <c r="A91" s="100" t="s">
        <v>2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31">
        <v>6.6666666666666666E-2</v>
      </c>
      <c r="O91" s="100"/>
      <c r="P91" s="100"/>
      <c r="Q91" s="100"/>
      <c r="R91" s="100"/>
    </row>
    <row r="92" spans="1:18" x14ac:dyDescent="0.25">
      <c r="A92" s="100" t="s">
        <v>0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31">
        <v>6.6666666666666666E-2</v>
      </c>
      <c r="O92" s="100"/>
      <c r="P92" s="100"/>
      <c r="Q92" s="100"/>
      <c r="R92" s="100"/>
    </row>
    <row r="93" spans="1:18" x14ac:dyDescent="0.25">
      <c r="A93" s="100" t="s">
        <v>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31">
        <v>6.6666666666666666E-2</v>
      </c>
      <c r="O93" s="100"/>
      <c r="P93" s="100"/>
      <c r="Q93" s="100"/>
      <c r="R93" s="100"/>
    </row>
    <row r="94" spans="1:18" x14ac:dyDescent="0.25">
      <c r="A94" s="100" t="s">
        <v>4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31">
        <v>6.6666666666666666E-2</v>
      </c>
      <c r="O94" s="100"/>
      <c r="P94" s="100"/>
      <c r="Q94" s="100"/>
      <c r="R94" s="100"/>
    </row>
    <row r="95" spans="1:18" x14ac:dyDescent="0.25">
      <c r="A95" s="100" t="s">
        <v>5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31">
        <v>6.6666666666666666E-2</v>
      </c>
      <c r="O95" s="100"/>
      <c r="P95" s="100"/>
      <c r="Q95" s="100"/>
      <c r="R95" s="100"/>
    </row>
    <row r="96" spans="1:18" x14ac:dyDescent="0.25">
      <c r="A96" s="100" t="s">
        <v>1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31">
        <v>6.6666666666666666E-2</v>
      </c>
      <c r="O96" s="100"/>
      <c r="P96" s="100"/>
      <c r="Q96" s="100"/>
      <c r="R96" s="100"/>
    </row>
    <row r="97" spans="1:18" x14ac:dyDescent="0.25">
      <c r="A97" s="100" t="s">
        <v>6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31">
        <v>6.6666666666666666E-2</v>
      </c>
      <c r="O97" s="100"/>
      <c r="P97" s="100"/>
      <c r="Q97" s="100"/>
      <c r="R97" s="100"/>
    </row>
    <row r="98" spans="1:18" x14ac:dyDescent="0.25">
      <c r="A98" s="100" t="s">
        <v>7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31">
        <v>6.6666666666666666E-2</v>
      </c>
      <c r="O98" s="100"/>
      <c r="P98" s="100"/>
      <c r="Q98" s="100"/>
      <c r="R98" s="100"/>
    </row>
    <row r="99" spans="1:18" x14ac:dyDescent="0.25">
      <c r="A99" s="100" t="s">
        <v>8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31">
        <v>6.6666666666666666E-2</v>
      </c>
      <c r="O99" s="100"/>
      <c r="P99" s="100"/>
      <c r="Q99" s="100"/>
      <c r="R99" s="100"/>
    </row>
    <row r="100" spans="1:18" x14ac:dyDescent="0.25">
      <c r="A100" s="100" t="s">
        <v>9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31">
        <v>6.6666666666666666E-2</v>
      </c>
      <c r="O100" s="100"/>
      <c r="P100" s="100"/>
      <c r="Q100" s="100"/>
      <c r="R100" s="100"/>
    </row>
    <row r="101" spans="1:18" x14ac:dyDescent="0.25">
      <c r="A101" s="100" t="s">
        <v>10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31">
        <v>6.6666666666666666E-2</v>
      </c>
      <c r="O101" s="100"/>
      <c r="P101" s="100"/>
      <c r="Q101" s="100"/>
      <c r="R101" s="100"/>
    </row>
    <row r="102" spans="1:18" x14ac:dyDescent="0.25">
      <c r="A102" s="100" t="s">
        <v>11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31">
        <v>6.6666666666666666E-2</v>
      </c>
      <c r="O102" s="100"/>
      <c r="P102" s="100"/>
      <c r="Q102" s="100"/>
      <c r="R102" s="100"/>
    </row>
    <row r="103" spans="1:18" x14ac:dyDescent="0.25">
      <c r="A103" s="100" t="s">
        <v>22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31">
        <v>6.6666666666666666E-2</v>
      </c>
      <c r="P103" s="31">
        <v>6.6666666666666666E-2</v>
      </c>
      <c r="Q103" s="31">
        <v>6.6666666666666666E-2</v>
      </c>
      <c r="R103" s="31">
        <v>6.6666666666666666E-2</v>
      </c>
    </row>
    <row r="104" spans="1:18" x14ac:dyDescent="0.25">
      <c r="A104" s="100" t="s">
        <v>19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31">
        <v>6.6666666666666666E-2</v>
      </c>
      <c r="P104" s="31">
        <v>6.6666666666666666E-2</v>
      </c>
      <c r="Q104" s="31">
        <v>6.6666666666666666E-2</v>
      </c>
      <c r="R104" s="31">
        <v>6.6666666666666666E-2</v>
      </c>
    </row>
    <row r="105" spans="1:18" x14ac:dyDescent="0.25">
      <c r="A105" s="100" t="s">
        <v>20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31">
        <v>6.6666666666666666E-2</v>
      </c>
      <c r="P105" s="31">
        <v>6.6666666666666666E-2</v>
      </c>
      <c r="Q105" s="31">
        <v>6.6666666666666666E-2</v>
      </c>
      <c r="R105" s="31">
        <v>6.6666666666666666E-2</v>
      </c>
    </row>
    <row r="106" spans="1:18" x14ac:dyDescent="0.25">
      <c r="A106" s="100" t="s">
        <v>23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31">
        <v>6.6666666666666666E-2</v>
      </c>
      <c r="P106" s="31">
        <v>6.6666666666666666E-2</v>
      </c>
      <c r="Q106" s="31">
        <v>6.6666666666666666E-2</v>
      </c>
      <c r="R106" s="31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tabSelected="1" topLeftCell="A13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6953125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2" width="1.7265625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16384" width="9" style="1"/>
  </cols>
  <sheetData>
    <row r="1" spans="1:29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Plan'!H1</f>
        <v>45299</v>
      </c>
      <c r="N1" s="249"/>
      <c r="O1" s="249"/>
      <c r="T1" s="23"/>
    </row>
    <row r="2" spans="1:29" s="3" customFormat="1" ht="14.25" customHeight="1" x14ac:dyDescent="0.3">
      <c r="A2" s="257" t="s">
        <v>14</v>
      </c>
      <c r="B2" s="126"/>
      <c r="C2" s="250" t="s">
        <v>273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5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167"/>
      <c r="L4" s="167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3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Plan'!H4=0,"",'Weekly Plan'!H4)</f>
        <v/>
      </c>
      <c r="E5" s="167">
        <f>'Weekly Plan'!A4</f>
        <v>2</v>
      </c>
      <c r="F5" s="167">
        <f t="shared" ref="F5:F18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Plan'!H68=0,"",'Weekly Plan'!H68)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Plan'!H93=0,"",'Weekly Plan'!H93)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3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Plan'!H5=0,"",'Weekly Plan'!H5)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Plan'!H69=0,"",'Weekly Plan'!H69)</f>
        <v/>
      </c>
      <c r="K6" s="167">
        <f>'Weekly Plan'!A69</f>
        <v>20</v>
      </c>
      <c r="L6" s="167">
        <f t="shared" ref="L6:L10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Plan'!H94=0,"",'Weekly Plan'!H94)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3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Plan'!H6=0,"",'Weekly Plan'!H6)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Plan'!H70=0,"",'Weekly Plan'!H70)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Plan'!H95=0,"",'Weekly Plan'!H95)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3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Plan'!H7=0,"",'Weekly Plan'!H7)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Plan'!H71=0,"",'Weekly Plan'!H71)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Plan'!H96=0,"",'Weekly Plan'!H96)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3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Plan'!H8=0,"",'Weekly Plan'!H8)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Plan'!H72=0,"",'Weekly Plan'!H72)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Plan'!H97=0,"",'Weekly Plan'!H97)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3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Plan'!H9=0,"",'Weekly Plan'!H9)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Plan'!H73=0,"",'Weekly Plan'!H73)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Plan'!H98=0,"",'Weekly Plan'!H98)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3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Plan'!H10=0,"",'Weekly Plan'!H10)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/>
      <c r="L11" s="167"/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3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Plan'!H11=0,"",'Weekly Plan'!H11)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/>
      <c r="L12" s="167"/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3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Plan'!H12=0,"",'Weekly Plan'!H12)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Plan'!H75=0,"",'Weekly Plan'!H75)</f>
        <v/>
      </c>
      <c r="K13" s="167">
        <f>'Weekly Plan'!A75</f>
        <v>1</v>
      </c>
      <c r="L13" s="167">
        <f t="shared" ref="L13:L31" si="3">IFERROR(J13/K13,0)</f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Plan'!H80=0,"",'Weekly Plan'!H80)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3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Plan'!H13=0,"",'Weekly Plan'!H13)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Plan'!H76=0,"",'Weekly Plan'!H76)</f>
        <v/>
      </c>
      <c r="K14" s="167">
        <f>'Weekly Plan'!A76</f>
        <v>1</v>
      </c>
      <c r="L14" s="167">
        <f t="shared" ref="L14:L16" si="4">IFERROR(J14/K14,0)</f>
        <v>0</v>
      </c>
      <c r="M14" s="174">
        <f>'Weekly Plan'!F81</f>
        <v>0</v>
      </c>
      <c r="N14" s="170">
        <f>'Weekly Plan'!G81</f>
        <v>0</v>
      </c>
      <c r="O14" s="171" t="str">
        <f>IF('Weekly Plan'!H81=0,"",'Weekly Plan'!H81)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3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Plan'!H14=0,"",'Weekly Plan'!H14)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Plan'!H77=0,"",'Weekly Plan'!H77)</f>
        <v/>
      </c>
      <c r="K15" s="167">
        <f>'Weekly Plan'!A77</f>
        <v>20</v>
      </c>
      <c r="L15" s="167">
        <f t="shared" si="4"/>
        <v>0</v>
      </c>
      <c r="M15" s="175">
        <f>'Weekly Plan'!F82</f>
        <v>0</v>
      </c>
      <c r="N15" s="176">
        <f>'Weekly Plan'!G82</f>
        <v>0</v>
      </c>
      <c r="O15" s="177" t="str">
        <f>IF('Weekly Plan'!H82=0,"",'Weekly Plan'!H82)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3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Plan'!H15=0,"",'Weekly Plan'!H15)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Plan'!H78=0,"",'Weekly Plan'!H78)</f>
        <v/>
      </c>
      <c r="K16" s="167">
        <f>'Weekly Plan'!A78</f>
        <v>1</v>
      </c>
      <c r="L16" s="167">
        <f t="shared" si="4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3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Plan'!H16=0,"",'Weekly Plan'!H16)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3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Plan'!H17=0,"",'Weekly Plan'!H17)</f>
        <v/>
      </c>
      <c r="E18" s="167">
        <f>'Weekly Plan'!A17</f>
        <v>6</v>
      </c>
      <c r="F18" s="167">
        <f t="shared" si="0"/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Plan'!H84=0,"",'Weekly Plan'!H84)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3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Plan'!H19=0,"",'Weekly Plan'!H19)</f>
        <v/>
      </c>
      <c r="K19" s="167">
        <f>'Weekly Plan'!A19</f>
        <v>2</v>
      </c>
      <c r="L19" s="167">
        <f t="shared" si="3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Plan'!H85=0,"",'Weekly Plan'!H85)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3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Plan'!H20=0,"",'Weekly Plan'!H20)</f>
        <v/>
      </c>
      <c r="K20" s="167">
        <f>'Weekly Plan'!A20</f>
        <v>2</v>
      </c>
      <c r="L20" s="167">
        <f t="shared" si="3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Plan'!H86=0,"",'Weekly Plan'!H86)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3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Plan'!H33=0,"",'Weekly Plan'!H33)</f>
        <v/>
      </c>
      <c r="E21" s="167">
        <f>'Weekly Plan'!A33</f>
        <v>2</v>
      </c>
      <c r="F21" s="167">
        <f t="shared" ref="F21" si="5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Plan'!H21=0,"",'Weekly Plan'!H21)</f>
        <v/>
      </c>
      <c r="K21" s="167">
        <f>'Weekly Plan'!A21</f>
        <v>2</v>
      </c>
      <c r="L21" s="167">
        <f t="shared" si="3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3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Plan'!H34=0,"",'Weekly Plan'!H34)</f>
        <v/>
      </c>
      <c r="E22" s="167">
        <f>'Weekly Plan'!A34</f>
        <v>2</v>
      </c>
      <c r="F22" s="167">
        <f t="shared" ref="F22:F31" si="6">IFERROR(D22/E22,0)</f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Plan'!H22=0,"",'Weekly Plan'!H22)</f>
        <v/>
      </c>
      <c r="K22" s="167">
        <f>'Weekly Plan'!A22</f>
        <v>2</v>
      </c>
      <c r="L22" s="167">
        <f t="shared" si="3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3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Plan'!H35=0,"",'Weekly Plan'!H35)</f>
        <v/>
      </c>
      <c r="E23" s="167">
        <f>'Weekly Plan'!A35</f>
        <v>2</v>
      </c>
      <c r="F23" s="167">
        <f t="shared" si="6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Plan'!H23=0,"",'Weekly Plan'!H23)</f>
        <v/>
      </c>
      <c r="K23" s="167">
        <f>'Weekly Plan'!A23</f>
        <v>2</v>
      </c>
      <c r="L23" s="167">
        <f t="shared" si="3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Plan'!H88=0,"",'Weekly Plan'!H88)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3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Plan'!H36=0,"",'Weekly Plan'!H36)</f>
        <v/>
      </c>
      <c r="E24" s="167">
        <f>'Weekly Plan'!A36</f>
        <v>2</v>
      </c>
      <c r="F24" s="167">
        <f t="shared" si="6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Plan'!H24=0,"",'Weekly Plan'!H24)</f>
        <v/>
      </c>
      <c r="K24" s="167">
        <f>'Weekly Plan'!A24</f>
        <v>1</v>
      </c>
      <c r="L24" s="167">
        <f t="shared" si="3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Plan'!H89=0,"",'Weekly Plan'!H89)</f>
        <v/>
      </c>
      <c r="P24" s="4">
        <f>'Weekly Plan'!A89</f>
        <v>6</v>
      </c>
      <c r="Q24" s="4">
        <f t="shared" ref="Q24:Q32" si="7">IFERROR(O24/P24,0)</f>
        <v>0</v>
      </c>
      <c r="R24" s="4"/>
      <c r="AC24" s="4">
        <v>2</v>
      </c>
    </row>
    <row r="25" spans="1:29" ht="15" customHeight="1" x14ac:dyDescent="0.3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Plan'!H37=0,"",'Weekly Plan'!H37)</f>
        <v/>
      </c>
      <c r="E25" s="167">
        <f>'Weekly Plan'!A37</f>
        <v>2</v>
      </c>
      <c r="F25" s="167">
        <f t="shared" si="6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Plan'!H25=0,"",'Weekly Plan'!H25)</f>
        <v/>
      </c>
      <c r="K25" s="167">
        <f>'Weekly Plan'!A25</f>
        <v>1</v>
      </c>
      <c r="L25" s="167">
        <f t="shared" si="3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Plan'!H90=0,"",'Weekly Plan'!H90)</f>
        <v/>
      </c>
      <c r="P25" s="4">
        <f>'Weekly Plan'!A90</f>
        <v>6</v>
      </c>
      <c r="Q25" s="4">
        <f t="shared" si="7"/>
        <v>0</v>
      </c>
      <c r="R25" s="4">
        <v>18</v>
      </c>
      <c r="AC25" s="4">
        <v>1</v>
      </c>
    </row>
    <row r="26" spans="1:29" ht="15" customHeight="1" thickBot="1" x14ac:dyDescent="0.3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Plan'!H38=0,"",'Weekly Plan'!H38)</f>
        <v/>
      </c>
      <c r="E26" s="167">
        <f>'Weekly Plan'!A38</f>
        <v>2</v>
      </c>
      <c r="F26" s="167">
        <f t="shared" si="6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Plan'!H26=0,"",'Weekly Plan'!H26)</f>
        <v/>
      </c>
      <c r="K26" s="167">
        <f>'Weekly Plan'!A26</f>
        <v>1</v>
      </c>
      <c r="L26" s="167">
        <f t="shared" si="3"/>
        <v>0</v>
      </c>
      <c r="M26" s="175">
        <f>'Weekly Plan'!F91</f>
        <v>0</v>
      </c>
      <c r="N26" s="176">
        <f>'Weekly Plan'!G91</f>
        <v>0</v>
      </c>
      <c r="O26" s="177" t="str">
        <f>IF('Weekly Plan'!H91=0,"",'Weekly Plan'!H91)</f>
        <v/>
      </c>
      <c r="P26" s="4">
        <f>'Weekly Plan'!A91</f>
        <v>0</v>
      </c>
      <c r="Q26" s="4">
        <f t="shared" si="7"/>
        <v>0</v>
      </c>
      <c r="R26" s="4"/>
      <c r="AC26" s="4">
        <v>1</v>
      </c>
    </row>
    <row r="27" spans="1:29" ht="15" customHeight="1" thickBot="1" x14ac:dyDescent="0.3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Plan'!H39=0,"",'Weekly Plan'!H39)</f>
        <v/>
      </c>
      <c r="E27" s="167">
        <f>'Weekly Plan'!A39</f>
        <v>2</v>
      </c>
      <c r="F27" s="167">
        <f t="shared" si="6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Plan'!H27=0,"",'Weekly Plan'!H27)</f>
        <v/>
      </c>
      <c r="K27" s="167">
        <f>'Weekly Plan'!A27</f>
        <v>1</v>
      </c>
      <c r="L27" s="167">
        <f t="shared" si="3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3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Plan'!H40=0,"",'Weekly Plan'!H40)</f>
        <v/>
      </c>
      <c r="E28" s="167">
        <f>'Weekly Plan'!A40</f>
        <v>2</v>
      </c>
      <c r="F28" s="167">
        <f t="shared" si="6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Plan'!H28=0,"",'Weekly Plan'!H28)</f>
        <v/>
      </c>
      <c r="K28" s="167">
        <f>'Weekly Plan'!A28</f>
        <v>4</v>
      </c>
      <c r="L28" s="167">
        <f t="shared" si="3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3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Plan'!H41=0,"",'Weekly Plan'!H41)</f>
        <v/>
      </c>
      <c r="E29" s="167">
        <f>'Weekly Plan'!A41</f>
        <v>8</v>
      </c>
      <c r="F29" s="167">
        <f t="shared" si="6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Plan'!H29=0,"",'Weekly Plan'!H29)</f>
        <v/>
      </c>
      <c r="K29" s="167">
        <f>'Weekly Plan'!A29</f>
        <v>4</v>
      </c>
      <c r="L29" s="167">
        <f t="shared" si="3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Plan'!H100=0,"",'Weekly Plan'!H100)</f>
        <v/>
      </c>
      <c r="P29" s="4">
        <f>'Weekly Plan'!A100</f>
        <v>6</v>
      </c>
      <c r="Q29" s="4">
        <f t="shared" si="7"/>
        <v>0</v>
      </c>
      <c r="R29" s="2">
        <v>21</v>
      </c>
      <c r="AC29" s="2"/>
    </row>
    <row r="30" spans="1:29" ht="15" customHeight="1" x14ac:dyDescent="0.3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Plan'!H42=0,"",'Weekly Plan'!H42)</f>
        <v/>
      </c>
      <c r="E30" s="167">
        <f>'Weekly Plan'!A42</f>
        <v>6</v>
      </c>
      <c r="F30" s="167">
        <f t="shared" si="6"/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Plan'!H30=0,"",'Weekly Plan'!H30)</f>
        <v/>
      </c>
      <c r="K30" s="167">
        <f>'Weekly Plan'!A30</f>
        <v>2</v>
      </c>
      <c r="L30" s="167">
        <f t="shared" si="3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Plan'!H101=0,"",'Weekly Plan'!H101)</f>
        <v/>
      </c>
      <c r="P30" s="4">
        <f>'Weekly Plan'!A101</f>
        <v>6</v>
      </c>
      <c r="Q30" s="4">
        <f t="shared" si="7"/>
        <v>0</v>
      </c>
      <c r="R30" s="4"/>
      <c r="S30" s="4"/>
      <c r="AC30" s="4">
        <v>1</v>
      </c>
    </row>
    <row r="31" spans="1:29" ht="15" customHeight="1" thickBot="1" x14ac:dyDescent="0.3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Plan'!H43=0,"",'Weekly Plan'!H43)</f>
        <v/>
      </c>
      <c r="E31" s="167">
        <f>'Weekly Plan'!A43</f>
        <v>6</v>
      </c>
      <c r="F31" s="167">
        <f t="shared" si="6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Plan'!H31=0,"",'Weekly Plan'!H31)</f>
        <v/>
      </c>
      <c r="K31" s="167">
        <f>'Weekly Plan'!A31</f>
        <v>2</v>
      </c>
      <c r="L31" s="167">
        <f t="shared" si="3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Plan'!H102=0,"",'Weekly Plan'!H102)</f>
        <v/>
      </c>
      <c r="P31" s="4">
        <f>'Weekly Plan'!A102</f>
        <v>6</v>
      </c>
      <c r="Q31" s="4">
        <f t="shared" si="7"/>
        <v>0</v>
      </c>
      <c r="R31" s="4"/>
      <c r="S31" s="4"/>
      <c r="AC31" s="4">
        <v>1</v>
      </c>
    </row>
    <row r="32" spans="1:29" ht="15" customHeight="1" thickBot="1" x14ac:dyDescent="0.3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Plan'!H103=0,"",'Weekly Plan'!H103)</f>
        <v/>
      </c>
      <c r="P32" s="4">
        <f>'Weekly Plan'!A103</f>
        <v>6</v>
      </c>
      <c r="Q32" s="4">
        <f t="shared" si="7"/>
        <v>0</v>
      </c>
      <c r="R32" s="4"/>
      <c r="S32" s="4"/>
      <c r="AC32" s="4">
        <v>1</v>
      </c>
    </row>
    <row r="33" spans="1:29" ht="15" customHeight="1" x14ac:dyDescent="0.3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8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3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Plan'!H45=0,"",'Weekly Plan'!H45)</f>
        <v/>
      </c>
      <c r="E34" s="167">
        <f>'Weekly Plan'!A46</f>
        <v>3.4285745454545458</v>
      </c>
      <c r="F34" s="167">
        <f t="shared" si="8"/>
        <v>0</v>
      </c>
      <c r="G34" s="266" t="s">
        <v>274</v>
      </c>
      <c r="H34" s="267"/>
      <c r="I34" s="267"/>
      <c r="J34" s="268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3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Plan'!H46=0,"",'Weekly Plan'!H46)</f>
        <v/>
      </c>
      <c r="E35" s="167">
        <f>'Weekly Plan'!A47</f>
        <v>1.2000000000000002</v>
      </c>
      <c r="F35" s="167">
        <f t="shared" si="8"/>
        <v>0</v>
      </c>
      <c r="G35" s="269"/>
      <c r="H35" s="270"/>
      <c r="I35" s="270"/>
      <c r="J35" s="271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3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Plan'!H47=0,"",'Weekly Plan'!H47)</f>
        <v/>
      </c>
      <c r="E36" s="167">
        <f>'Weekly Plan'!A48</f>
        <v>1.2000000000000002</v>
      </c>
      <c r="F36" s="167">
        <f t="shared" si="8"/>
        <v>0</v>
      </c>
      <c r="G36" s="269"/>
      <c r="H36" s="270"/>
      <c r="I36" s="270"/>
      <c r="J36" s="271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3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Plan'!H48=0,"",'Weekly Plan'!H48)</f>
        <v/>
      </c>
      <c r="E37" s="167">
        <f>'Weekly Plan'!A49</f>
        <v>1.2000000000000002</v>
      </c>
      <c r="F37" s="167">
        <f t="shared" si="8"/>
        <v>0</v>
      </c>
      <c r="G37" s="269"/>
      <c r="H37" s="270"/>
      <c r="I37" s="270"/>
      <c r="J37" s="271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3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Plan'!H49=0,"",'Weekly Plan'!H49)</f>
        <v/>
      </c>
      <c r="E38" s="167">
        <f>'Weekly Plan'!A50</f>
        <v>2.4000000000000004</v>
      </c>
      <c r="F38" s="167">
        <f t="shared" si="8"/>
        <v>0</v>
      </c>
      <c r="G38" s="269"/>
      <c r="H38" s="270"/>
      <c r="I38" s="270"/>
      <c r="J38" s="271"/>
      <c r="K38" s="167"/>
      <c r="L38" s="167"/>
      <c r="M38" s="189">
        <f>A33</f>
        <v>0</v>
      </c>
      <c r="N38" s="190">
        <f>SUM(F34:F42)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3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Plan'!H50=0,"",'Weekly Plan'!H50)</f>
        <v/>
      </c>
      <c r="E39" s="167">
        <f>'Weekly Plan'!A51</f>
        <v>2.4000000000000004</v>
      </c>
      <c r="F39" s="167">
        <f t="shared" si="8"/>
        <v>0</v>
      </c>
      <c r="G39" s="269"/>
      <c r="H39" s="270"/>
      <c r="I39" s="270"/>
      <c r="J39" s="271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3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Plan'!H51=0,"",'Weekly Plan'!H51)</f>
        <v/>
      </c>
      <c r="E40" s="167">
        <f>'Weekly Plan'!A52</f>
        <v>1.2000000000000002</v>
      </c>
      <c r="F40" s="167">
        <f t="shared" si="8"/>
        <v>0</v>
      </c>
      <c r="G40" s="269"/>
      <c r="H40" s="270"/>
      <c r="I40" s="270"/>
      <c r="J40" s="271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3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Plan'!H52=0,"",'Weekly Plan'!H52)</f>
        <v/>
      </c>
      <c r="E41" s="167">
        <f>'Weekly Plan'!A53</f>
        <v>3.4285745454545458</v>
      </c>
      <c r="F41" s="167">
        <f t="shared" si="8"/>
        <v>0</v>
      </c>
      <c r="G41" s="203"/>
      <c r="H41" s="204"/>
      <c r="I41" s="204"/>
      <c r="J41" s="205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3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Plan'!H53=0,"",'Weekly Plan'!H53)</f>
        <v/>
      </c>
      <c r="E42" s="167"/>
      <c r="F42" s="167"/>
      <c r="G42" s="269"/>
      <c r="H42" s="270"/>
      <c r="I42" s="270"/>
      <c r="J42" s="271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35">
      <c r="A43" s="184"/>
      <c r="B43" s="184"/>
      <c r="C43" s="184"/>
      <c r="D43" s="184"/>
      <c r="E43" s="167"/>
      <c r="F43" s="167"/>
      <c r="G43" s="269"/>
      <c r="H43" s="270"/>
      <c r="I43" s="270"/>
      <c r="J43" s="271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3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9">IFERROR(D45/E44,0)</f>
        <v>0</v>
      </c>
      <c r="G44" s="269"/>
      <c r="H44" s="270"/>
      <c r="I44" s="270"/>
      <c r="J44" s="271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3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Plan'!H55=0,"",'Weekly Plan'!H55)</f>
        <v/>
      </c>
      <c r="E45" s="167">
        <f>'Weekly Plan'!A55</f>
        <v>2</v>
      </c>
      <c r="F45" s="167">
        <f t="shared" si="9"/>
        <v>0</v>
      </c>
      <c r="G45" s="269"/>
      <c r="H45" s="270"/>
      <c r="I45" s="270"/>
      <c r="J45" s="271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3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Plan'!H56=0,"",'Weekly Plan'!H56)</f>
        <v/>
      </c>
      <c r="E46" s="167">
        <f>'Weekly Plan'!A56</f>
        <v>2</v>
      </c>
      <c r="F46" s="167">
        <f t="shared" ref="F46:F56" si="10">IFERROR(D47/E46,0)</f>
        <v>0</v>
      </c>
      <c r="G46" s="272"/>
      <c r="H46" s="273"/>
      <c r="I46" s="273"/>
      <c r="J46" s="274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3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Plan'!H57=0,"",'Weekly Plan'!H57)</f>
        <v/>
      </c>
      <c r="E47" s="167">
        <f>'Weekly Plan'!A57</f>
        <v>1</v>
      </c>
      <c r="F47" s="167">
        <f t="shared" si="10"/>
        <v>0</v>
      </c>
      <c r="G47" s="275"/>
      <c r="H47" s="273"/>
      <c r="I47" s="273"/>
      <c r="J47" s="274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3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Plan'!H58=0,"",'Weekly Plan'!H58)</f>
        <v/>
      </c>
      <c r="E48" s="167">
        <f>'Weekly Plan'!A58</f>
        <v>1</v>
      </c>
      <c r="F48" s="167">
        <f t="shared" si="10"/>
        <v>0</v>
      </c>
      <c r="G48" s="275"/>
      <c r="H48" s="273"/>
      <c r="I48" s="273"/>
      <c r="J48" s="274"/>
      <c r="K48" s="167"/>
      <c r="L48" s="167"/>
      <c r="M48" s="189"/>
      <c r="N48" s="190"/>
      <c r="O48" s="185"/>
      <c r="AC48" s="2">
        <v>2</v>
      </c>
    </row>
    <row r="49" spans="1:29" ht="15" customHeight="1" x14ac:dyDescent="0.3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Plan'!H59=0,"",'Weekly Plan'!H59)</f>
        <v/>
      </c>
      <c r="E49" s="167">
        <f>'Weekly Plan'!A59</f>
        <v>2</v>
      </c>
      <c r="F49" s="167">
        <f t="shared" si="10"/>
        <v>0</v>
      </c>
      <c r="G49" s="275"/>
      <c r="H49" s="273"/>
      <c r="I49" s="273"/>
      <c r="J49" s="274"/>
      <c r="K49" s="167"/>
      <c r="L49" s="167"/>
      <c r="M49" s="189"/>
      <c r="N49" s="190"/>
      <c r="O49" s="185"/>
      <c r="AC49" s="2">
        <v>1</v>
      </c>
    </row>
    <row r="50" spans="1:29" ht="15" customHeight="1" x14ac:dyDescent="0.3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Plan'!H60=0,"",'Weekly Plan'!H60)</f>
        <v/>
      </c>
      <c r="E50" s="167">
        <f>'Weekly Plan'!A60</f>
        <v>2</v>
      </c>
      <c r="F50" s="167">
        <f t="shared" si="10"/>
        <v>0</v>
      </c>
      <c r="G50" s="275"/>
      <c r="H50" s="273"/>
      <c r="I50" s="273"/>
      <c r="J50" s="27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3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Plan'!H61=0,"",'Weekly Plan'!H61)</f>
        <v/>
      </c>
      <c r="E51" s="167">
        <f>'Weekly Plan'!A61</f>
        <v>1</v>
      </c>
      <c r="F51" s="167">
        <f t="shared" si="10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3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Plan'!H62=0,"",'Weekly Plan'!H62)</f>
        <v/>
      </c>
      <c r="E52" s="167">
        <f>'Weekly Plan'!A62</f>
        <v>2</v>
      </c>
      <c r="F52" s="167">
        <f t="shared" si="10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3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Plan'!H63=0,"",'Weekly Plan'!H63)</f>
        <v/>
      </c>
      <c r="E53" s="167">
        <f>'Weekly Plan'!A63</f>
        <v>2</v>
      </c>
      <c r="F53" s="167">
        <f t="shared" si="10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3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Plan'!H64=0,"",'Weekly Plan'!H64)</f>
        <v/>
      </c>
      <c r="E54" s="167">
        <f>'Weekly Plan'!A64</f>
        <v>1</v>
      </c>
      <c r="F54" s="167">
        <f t="shared" si="10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3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Plan'!H65=0,"",'Weekly Plan'!H65)</f>
        <v/>
      </c>
      <c r="E55" s="167">
        <f>'Weekly Plan'!A65</f>
        <v>1</v>
      </c>
      <c r="F55" s="167">
        <f t="shared" si="10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3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Plan'!H66=0,"",'Weekly Plan'!H66)</f>
        <v/>
      </c>
      <c r="E56" s="167">
        <f>'Weekly Plan'!A66</f>
        <v>1</v>
      </c>
      <c r="F56" s="167">
        <f t="shared" si="10"/>
        <v>0</v>
      </c>
      <c r="K56" s="4"/>
      <c r="L56" s="4"/>
      <c r="AC56" s="2">
        <v>1</v>
      </c>
    </row>
    <row r="57" spans="1:29" ht="13.5" customHeight="1" x14ac:dyDescent="0.25">
      <c r="K57" s="4"/>
      <c r="L57" s="4"/>
      <c r="AC57" s="2">
        <v>1</v>
      </c>
    </row>
    <row r="58" spans="1:29" ht="13.5" customHeight="1" x14ac:dyDescent="0.25">
      <c r="K58" s="4"/>
      <c r="L58" s="4"/>
      <c r="AC58" s="2">
        <v>1</v>
      </c>
    </row>
    <row r="59" spans="1:29" ht="13.5" customHeight="1" x14ac:dyDescent="0.25">
      <c r="K59" s="4"/>
      <c r="L59" s="4"/>
      <c r="AC59" s="2">
        <v>4</v>
      </c>
    </row>
    <row r="60" spans="1:29" ht="13.5" customHeight="1" x14ac:dyDescent="0.25">
      <c r="K60" s="4"/>
      <c r="L60" s="4"/>
      <c r="AC60" s="2">
        <v>2</v>
      </c>
    </row>
    <row r="61" spans="1:29" ht="13.5" customHeight="1" x14ac:dyDescent="0.25">
      <c r="K61" s="4"/>
      <c r="L61" s="4"/>
      <c r="AC61" s="2">
        <v>1</v>
      </c>
    </row>
    <row r="62" spans="1:29" ht="13.5" customHeight="1" x14ac:dyDescent="0.25"/>
    <row r="63" spans="1:29" ht="13.5" customHeight="1" x14ac:dyDescent="0.25"/>
    <row r="64" spans="1:29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23">
    <mergeCell ref="G18:J18"/>
    <mergeCell ref="G42:J45"/>
    <mergeCell ref="G46:J49"/>
    <mergeCell ref="G50:J53"/>
    <mergeCell ref="M17:O17"/>
    <mergeCell ref="M22:O22"/>
    <mergeCell ref="M28:O28"/>
    <mergeCell ref="M53:N53"/>
    <mergeCell ref="A33:D33"/>
    <mergeCell ref="A44:D44"/>
    <mergeCell ref="A20:D20"/>
    <mergeCell ref="G33:J33"/>
    <mergeCell ref="G34:J40"/>
    <mergeCell ref="M12:O12"/>
    <mergeCell ref="N1:O1"/>
    <mergeCell ref="C2:P3"/>
    <mergeCell ref="A4:D4"/>
    <mergeCell ref="G4:J4"/>
    <mergeCell ref="M4:O4"/>
    <mergeCell ref="A2:A3"/>
    <mergeCell ref="D1:I1"/>
    <mergeCell ref="J1:K1"/>
    <mergeCell ref="G12:J12"/>
  </mergeCells>
  <pageMargins left="0.23622047244094491" right="0.23622047244094491" top="0.74803149606299213" bottom="0.74803149606299213" header="0.31496062992125984" footer="0.31496062992125984"/>
  <pageSetup scale="83" orientation="portrait" cellComments="asDisplayed" r:id="rId1"/>
  <headerFooter>
    <oddFooter>&amp;L&amp;F&amp;RCreated: 10/22/21TG
Revised: 11/24/23AS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478-DCE8-428D-85A4-E698F7E4F54B}">
  <sheetPr>
    <tabColor rgb="FF92D050"/>
    <pageSetUpPr fitToPage="1"/>
  </sheetPr>
  <dimension ref="A1:AC79"/>
  <sheetViews>
    <sheetView showGridLines="0" tabSelected="1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6953125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1" width="2.1796875" style="2" customWidth="1"/>
    <col min="12" max="12" width="1.7265625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16384" width="9" style="1"/>
  </cols>
  <sheetData>
    <row r="1" spans="1:29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Plan'!I1</f>
        <v>45300</v>
      </c>
      <c r="N1" s="249"/>
      <c r="O1" s="249"/>
      <c r="T1" s="23"/>
    </row>
    <row r="2" spans="1:29" s="3" customFormat="1" ht="14.25" customHeight="1" x14ac:dyDescent="0.3">
      <c r="A2" s="257" t="s">
        <v>14</v>
      </c>
      <c r="B2" s="126"/>
      <c r="C2" s="250" t="s">
        <v>262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5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3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Plan'!I4=0,"",'Weekly Plan'!I4)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>
        <f>IF('Weekly Plan'!I68=0,"",'Weekly Plan'!I68)</f>
        <v>20</v>
      </c>
      <c r="K5" s="167">
        <f>'Weekly Plan'!A68</f>
        <v>2</v>
      </c>
      <c r="L5" s="167">
        <f>IFERROR(J5/K5,0)</f>
        <v>10</v>
      </c>
      <c r="M5" s="174">
        <f>'Weekly Plan'!F93</f>
        <v>80931</v>
      </c>
      <c r="N5" s="170" t="str">
        <f>'Weekly Plan'!G93</f>
        <v>Black - LH</v>
      </c>
      <c r="O5" s="171"/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3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Plan'!I5=0,"",'Weekly Plan'!I5)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>
        <f>IF('Weekly Plan'!I69=0,"",'Weekly Plan'!I69)</f>
        <v>20</v>
      </c>
      <c r="K6" s="167">
        <f>'Weekly Plan'!A69</f>
        <v>20</v>
      </c>
      <c r="L6" s="167">
        <f t="shared" ref="L6:L31" si="1">IFERROR(J6/K6,0)</f>
        <v>1</v>
      </c>
      <c r="M6" s="174">
        <f>'Weekly Plan'!F94</f>
        <v>80930</v>
      </c>
      <c r="N6" s="170" t="str">
        <f>'Weekly Plan'!G94</f>
        <v>Black - RH</v>
      </c>
      <c r="O6" s="171" t="str">
        <f>IF('Weekly Plan'!I94=0,"",'Weekly Plan'!I94)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3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Plan'!I6=0,"",'Weekly Plan'!I6)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>
        <f>IF('Weekly Plan'!I70=0,"",'Weekly Plan'!I70)</f>
        <v>20</v>
      </c>
      <c r="K7" s="167">
        <f>'Weekly Plan'!A70</f>
        <v>20</v>
      </c>
      <c r="L7" s="167">
        <f t="shared" si="1"/>
        <v>1</v>
      </c>
      <c r="M7" s="174">
        <f>'Weekly Plan'!F95</f>
        <v>80933</v>
      </c>
      <c r="N7" s="170" t="str">
        <f>'Weekly Plan'!G95</f>
        <v>Red - LH</v>
      </c>
      <c r="O7" s="171" t="str">
        <f>IF('Weekly Plan'!I95=0,"",'Weekly Plan'!I95)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3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Plan'!I7=0,"",'Weekly Plan'!I7)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>
        <f>IF('Weekly Plan'!I71=0,"",'Weekly Plan'!I71)</f>
        <v>18</v>
      </c>
      <c r="K8" s="167">
        <f>'Weekly Plan'!A71</f>
        <v>6</v>
      </c>
      <c r="L8" s="167">
        <f t="shared" si="1"/>
        <v>3</v>
      </c>
      <c r="M8" s="174">
        <f>'Weekly Plan'!F96</f>
        <v>80932</v>
      </c>
      <c r="N8" s="170" t="str">
        <f>'Weekly Plan'!G96</f>
        <v>Red - RH</v>
      </c>
      <c r="O8" s="171" t="str">
        <f>IF('Weekly Plan'!I96=0,"",'Weekly Plan'!I96)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3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Plan'!I8=0,"",'Weekly Plan'!I8)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>
        <f>IF('Weekly Plan'!I72=0,"",'Weekly Plan'!I72)</f>
        <v>18</v>
      </c>
      <c r="K9" s="167">
        <f>'Weekly Plan'!A72</f>
        <v>6</v>
      </c>
      <c r="L9" s="167">
        <f t="shared" si="1"/>
        <v>3</v>
      </c>
      <c r="M9" s="174" t="str">
        <f>'Weekly Plan'!F97</f>
        <v>Other</v>
      </c>
      <c r="N9" s="170" t="str">
        <f>'Weekly Plan'!G97</f>
        <v>White - LH</v>
      </c>
      <c r="O9" s="171" t="str">
        <f>IF('Weekly Plan'!I97=0,"",'Weekly Plan'!I97)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3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Plan'!I9=0,"",'Weekly Plan'!I9)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>
        <f>IF('Weekly Plan'!I73=0,"",'Weekly Plan'!I73)</f>
        <v>20</v>
      </c>
      <c r="K10" s="167">
        <f>'Weekly Plan'!A73</f>
        <v>20</v>
      </c>
      <c r="L10" s="167">
        <f t="shared" si="1"/>
        <v>1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Plan'!I98=0,"",'Weekly Plan'!I98)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3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Plan'!I10=0,"",'Weekly Plan'!I10)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3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Plan'!I11=0,"",'Weekly Plan'!I11)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3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Plan'!I12=0,"",'Weekly Plan'!I12)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Plan'!I75=0,"",'Weekly Plan'!I75)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Plan'!I80=0,"",'Weekly Plan'!I80)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3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Plan'!I13=0,"",'Weekly Plan'!I13)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Plan'!I76=0,"",'Weekly Plan'!I76)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Plan'!I81=0,"",'Weekly Plan'!I81)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3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Plan'!I14=0,"",'Weekly Plan'!I14)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Plan'!I77=0,"",'Weekly Plan'!I77)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Plan'!I82=0,"",'Weekly Plan'!I82)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3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Plan'!I15=0,"",'Weekly Plan'!I15)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Plan'!I78=0,"",'Weekly Plan'!I78)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3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Plan'!I16=0,"",'Weekly Plan'!I16)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3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Plan'!I17=0,"",'Weekly Plan'!I17)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Plan'!I84=0,"",'Weekly Plan'!I84)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3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Plan'!I19=0,"",'Weekly Plan'!I19)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Plan'!I85=0,"",'Weekly Plan'!I85)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3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Plan'!I20=0,"",'Weekly Plan'!I20)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Plan'!I86=0,"",'Weekly Plan'!I86)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3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Plan'!I33=0,"",'Weekly Plan'!I33)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Plan'!I21=0,"",'Weekly Plan'!I21)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3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>
        <f>IF('Weekly Plan'!I34=0,"",'Weekly Plan'!I34)</f>
        <v>60</v>
      </c>
      <c r="E22" s="167">
        <f>'Weekly Plan'!A34</f>
        <v>2</v>
      </c>
      <c r="F22" s="167">
        <f t="shared" si="3"/>
        <v>30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Plan'!I22=0,"",'Weekly Plan'!I22)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3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>
        <f>IF('Weekly Plan'!I35=0,"",'Weekly Plan'!I35)</f>
        <v>42</v>
      </c>
      <c r="E23" s="167">
        <f>'Weekly Plan'!A35</f>
        <v>2</v>
      </c>
      <c r="F23" s="167">
        <f t="shared" si="3"/>
        <v>21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Plan'!I23=0,"",'Weekly Plan'!I23)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Plan'!I88=0,"",'Weekly Plan'!I88)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3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>
        <f>IF('Weekly Plan'!I36=0,"",'Weekly Plan'!I36)</f>
        <v>40</v>
      </c>
      <c r="E24" s="167">
        <f>'Weekly Plan'!A36</f>
        <v>2</v>
      </c>
      <c r="F24" s="167">
        <f t="shared" si="3"/>
        <v>20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Plan'!I24=0,"",'Weekly Plan'!I24)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Plan'!I89=0,"",'Weekly Plan'!I89)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3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>
        <f>IF('Weekly Plan'!I37=0,"",'Weekly Plan'!I37)</f>
        <v>40</v>
      </c>
      <c r="E25" s="167">
        <f>'Weekly Plan'!A37</f>
        <v>2</v>
      </c>
      <c r="F25" s="167">
        <f t="shared" si="3"/>
        <v>20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Plan'!I25=0,"",'Weekly Plan'!I25)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Plan'!I90=0,"",'Weekly Plan'!I90)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3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Plan'!I38=0,"",'Weekly Plan'!I38)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Plan'!I26=0,"",'Weekly Plan'!I26)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Plan'!I91=0,"",'Weekly Plan'!I91)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3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Plan'!I39=0,"",'Weekly Plan'!I39)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Plan'!I27=0,"",'Weekly Plan'!I27)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3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>
        <f>IF('Weekly Plan'!I40=0,"",'Weekly Plan'!I40)</f>
        <v>40</v>
      </c>
      <c r="E28" s="167">
        <f>'Weekly Plan'!A40</f>
        <v>2</v>
      </c>
      <c r="F28" s="167">
        <f t="shared" si="3"/>
        <v>20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Plan'!I28=0,"",'Weekly Plan'!I28)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3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>
        <f>IF('Weekly Plan'!I41=0,"",'Weekly Plan'!I41)</f>
        <v>64</v>
      </c>
      <c r="E29" s="167">
        <f>'Weekly Plan'!A41</f>
        <v>8</v>
      </c>
      <c r="F29" s="167">
        <f t="shared" si="3"/>
        <v>8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Plan'!I29=0,"",'Weekly Plan'!I29)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Plan'!I100=0,"",'Weekly Plan'!I100)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3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Plan'!I42=0,"",'Weekly Plan'!I42)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Plan'!I30=0,"",'Weekly Plan'!I30)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>
        <f>IF('Weekly Plan'!I101=0,"",'Weekly Plan'!I101)</f>
        <v>360</v>
      </c>
      <c r="P30" s="4">
        <f>'Weekly Plan'!A101</f>
        <v>6</v>
      </c>
      <c r="Q30" s="4">
        <f t="shared" si="4"/>
        <v>60</v>
      </c>
      <c r="R30" s="4"/>
      <c r="S30" s="4"/>
      <c r="AC30" s="4">
        <v>1</v>
      </c>
    </row>
    <row r="31" spans="1:29" ht="15" customHeight="1" thickBot="1" x14ac:dyDescent="0.3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>
        <f>IF('Weekly Plan'!I43=0,"",'Weekly Plan'!I43)</f>
        <v>36</v>
      </c>
      <c r="E31" s="167">
        <f>'Weekly Plan'!A43</f>
        <v>6</v>
      </c>
      <c r="F31" s="167">
        <f t="shared" si="5"/>
        <v>6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Plan'!I31=0,"",'Weekly Plan'!I31)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Plan'!I102=0,"",'Weekly Plan'!I102)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3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Plan'!I103=0,"",'Weekly Plan'!I103)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3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3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Plan'!I45=0,"",'Weekly Plan'!I45)</f>
        <v/>
      </c>
      <c r="E34" s="167">
        <f>'Weekly Plan'!A46</f>
        <v>3.4285745454545458</v>
      </c>
      <c r="F34" s="167">
        <f t="shared" si="6"/>
        <v>0</v>
      </c>
      <c r="G34" s="281" t="s">
        <v>265</v>
      </c>
      <c r="H34" s="282"/>
      <c r="I34" s="282"/>
      <c r="J34" s="283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3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Plan'!I46=0,"",'Weekly Plan'!I46)</f>
        <v/>
      </c>
      <c r="E35" s="167">
        <f>'Weekly Plan'!A47</f>
        <v>1.2000000000000002</v>
      </c>
      <c r="F35" s="167">
        <f t="shared" si="6"/>
        <v>0</v>
      </c>
      <c r="G35" s="281"/>
      <c r="H35" s="282"/>
      <c r="I35" s="282"/>
      <c r="J35" s="283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3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Plan'!I47=0,"",'Weekly Plan'!I47)</f>
        <v/>
      </c>
      <c r="E36" s="167">
        <f>'Weekly Plan'!A48</f>
        <v>1.2000000000000002</v>
      </c>
      <c r="F36" s="167">
        <f t="shared" si="6"/>
        <v>0</v>
      </c>
      <c r="G36" s="281"/>
      <c r="H36" s="282"/>
      <c r="I36" s="282"/>
      <c r="J36" s="283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3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Plan'!I48=0,"",'Weekly Plan'!I48)</f>
        <v/>
      </c>
      <c r="E37" s="167">
        <f>'Weekly Plan'!A49</f>
        <v>1.2000000000000002</v>
      </c>
      <c r="F37" s="167">
        <f t="shared" si="6"/>
        <v>0</v>
      </c>
      <c r="G37" s="281"/>
      <c r="H37" s="282"/>
      <c r="I37" s="282"/>
      <c r="J37" s="283"/>
      <c r="K37" s="167"/>
      <c r="L37" s="167"/>
      <c r="M37" s="189" t="str">
        <f>A20</f>
        <v>Deep Black</v>
      </c>
      <c r="N37" s="190">
        <f>SUM(F21:F31)</f>
        <v>125</v>
      </c>
      <c r="O37" s="191"/>
      <c r="Q37" s="4"/>
      <c r="R37" s="4"/>
      <c r="S37" s="4"/>
      <c r="AC37" s="4">
        <v>1</v>
      </c>
    </row>
    <row r="38" spans="1:29" ht="15" customHeight="1" x14ac:dyDescent="0.3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Plan'!I49=0,"",'Weekly Plan'!I49)</f>
        <v/>
      </c>
      <c r="E38" s="167">
        <f>'Weekly Plan'!A50</f>
        <v>2.4000000000000004</v>
      </c>
      <c r="F38" s="167">
        <f t="shared" si="6"/>
        <v>0</v>
      </c>
      <c r="G38" s="284"/>
      <c r="H38" s="285"/>
      <c r="I38" s="285"/>
      <c r="J38" s="286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3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Plan'!I50=0,"",'Weekly Plan'!I50)</f>
        <v/>
      </c>
      <c r="E39" s="167">
        <f>'Weekly Plan'!A51</f>
        <v>2.4000000000000004</v>
      </c>
      <c r="F39" s="167">
        <f t="shared" si="6"/>
        <v>0</v>
      </c>
      <c r="G39" s="281"/>
      <c r="H39" s="282"/>
      <c r="I39" s="282"/>
      <c r="J39" s="283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3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Plan'!I51=0,"",'Weekly Plan'!I51)</f>
        <v/>
      </c>
      <c r="E40" s="167">
        <f>'Weekly Plan'!A52</f>
        <v>1.2000000000000002</v>
      </c>
      <c r="F40" s="167">
        <f t="shared" si="6"/>
        <v>0</v>
      </c>
      <c r="G40" s="281"/>
      <c r="H40" s="282"/>
      <c r="I40" s="282"/>
      <c r="J40" s="283"/>
      <c r="K40" s="181"/>
      <c r="L40" s="181"/>
      <c r="M40" s="189" t="str">
        <f>G4</f>
        <v>Black - Laval</v>
      </c>
      <c r="N40" s="190">
        <f>SUM(L5:L10)</f>
        <v>19</v>
      </c>
      <c r="O40" s="185"/>
      <c r="R40" s="4">
        <v>4</v>
      </c>
      <c r="S40" s="4"/>
      <c r="AC40" s="4">
        <v>2</v>
      </c>
    </row>
    <row r="41" spans="1:29" ht="15" customHeight="1" x14ac:dyDescent="0.3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Plan'!I52=0,"",'Weekly Plan'!I52)</f>
        <v/>
      </c>
      <c r="E41" s="167">
        <f>'Weekly Plan'!A53</f>
        <v>3.4285745454545458</v>
      </c>
      <c r="F41" s="167">
        <f t="shared" si="6"/>
        <v>0</v>
      </c>
      <c r="G41" s="281"/>
      <c r="H41" s="282"/>
      <c r="I41" s="282"/>
      <c r="J41" s="283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3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Plan'!I53=0,"",'Weekly Plan'!I53)</f>
        <v/>
      </c>
      <c r="E42" s="167"/>
      <c r="F42" s="167"/>
      <c r="G42" s="281"/>
      <c r="H42" s="282"/>
      <c r="I42" s="282"/>
      <c r="J42" s="283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35">
      <c r="A43" s="184"/>
      <c r="B43" s="184"/>
      <c r="C43" s="184"/>
      <c r="D43" s="184"/>
      <c r="E43" s="167"/>
      <c r="F43" s="167"/>
      <c r="G43" s="281"/>
      <c r="H43" s="282"/>
      <c r="I43" s="282"/>
      <c r="J43" s="283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3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281"/>
      <c r="H44" s="282"/>
      <c r="I44" s="282"/>
      <c r="J44" s="283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3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Plan'!I55=0,"",'Weekly Plan'!I55)</f>
        <v/>
      </c>
      <c r="E45" s="167">
        <f>'Weekly Plan'!A55</f>
        <v>2</v>
      </c>
      <c r="F45" s="167">
        <f t="shared" si="7"/>
        <v>0</v>
      </c>
      <c r="G45" s="281"/>
      <c r="H45" s="282"/>
      <c r="I45" s="282"/>
      <c r="J45" s="283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3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Plan'!I56=0,"",'Weekly Plan'!I56)</f>
        <v/>
      </c>
      <c r="E46" s="167">
        <f>'Weekly Plan'!A56</f>
        <v>2</v>
      </c>
      <c r="F46" s="167">
        <f t="shared" ref="F46:F56" si="8">IFERROR(D47/E46,0)</f>
        <v>0</v>
      </c>
      <c r="G46" s="281"/>
      <c r="H46" s="282"/>
      <c r="I46" s="282"/>
      <c r="J46" s="283"/>
      <c r="K46" s="167"/>
      <c r="L46" s="167"/>
      <c r="M46" s="192" t="str">
        <f>M28</f>
        <v>Tesla - High Gloss Black</v>
      </c>
      <c r="N46" s="190">
        <f>SUM(Q29:Q32)</f>
        <v>60</v>
      </c>
      <c r="O46" s="185"/>
      <c r="R46" s="4"/>
      <c r="S46" s="4"/>
      <c r="AC46" s="4">
        <v>1</v>
      </c>
    </row>
    <row r="47" spans="1:29" ht="15" customHeight="1" x14ac:dyDescent="0.3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Plan'!I57=0,"",'Weekly Plan'!I57)</f>
        <v/>
      </c>
      <c r="E47" s="167">
        <f>'Weekly Plan'!A57</f>
        <v>1</v>
      </c>
      <c r="F47" s="167">
        <f t="shared" si="8"/>
        <v>0</v>
      </c>
      <c r="G47" s="281"/>
      <c r="H47" s="282"/>
      <c r="I47" s="282"/>
      <c r="J47" s="283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3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Plan'!I58=0,"",'Weekly Plan'!I58)</f>
        <v/>
      </c>
      <c r="E48" s="167">
        <f>'Weekly Plan'!A58</f>
        <v>1</v>
      </c>
      <c r="F48" s="167">
        <f t="shared" si="8"/>
        <v>0</v>
      </c>
      <c r="G48" s="281"/>
      <c r="H48" s="282"/>
      <c r="I48" s="282"/>
      <c r="J48" s="283"/>
      <c r="K48" s="167"/>
      <c r="L48" s="167"/>
      <c r="M48" s="189"/>
      <c r="N48" s="190"/>
      <c r="O48" s="185"/>
      <c r="AC48" s="2">
        <v>2</v>
      </c>
    </row>
    <row r="49" spans="1:29" ht="15" customHeight="1" x14ac:dyDescent="0.3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Plan'!I59=0,"",'Weekly Plan'!I59)</f>
        <v/>
      </c>
      <c r="E49" s="167">
        <f>'Weekly Plan'!A59</f>
        <v>2</v>
      </c>
      <c r="F49" s="167">
        <f t="shared" si="8"/>
        <v>0</v>
      </c>
      <c r="G49" s="281"/>
      <c r="H49" s="282"/>
      <c r="I49" s="282"/>
      <c r="J49" s="283"/>
      <c r="K49" s="167"/>
      <c r="L49" s="167"/>
      <c r="M49" s="189"/>
      <c r="N49" s="190"/>
      <c r="O49" s="185"/>
      <c r="AC49" s="2">
        <v>1</v>
      </c>
    </row>
    <row r="50" spans="1:29" ht="15" customHeight="1" x14ac:dyDescent="0.3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Plan'!I60=0,"",'Weekly Plan'!I60)</f>
        <v/>
      </c>
      <c r="E50" s="167">
        <f>'Weekly Plan'!A60</f>
        <v>2</v>
      </c>
      <c r="F50" s="167">
        <f t="shared" si="8"/>
        <v>0</v>
      </c>
      <c r="G50" s="272"/>
      <c r="H50" s="273"/>
      <c r="I50" s="273"/>
      <c r="J50" s="274"/>
      <c r="K50" s="167"/>
      <c r="L50" s="167"/>
      <c r="M50" s="193" t="s">
        <v>165</v>
      </c>
      <c r="N50" s="194">
        <f>SUM(N36:N49)</f>
        <v>204</v>
      </c>
      <c r="O50" s="185"/>
      <c r="R50" s="4"/>
      <c r="S50" s="4"/>
      <c r="AC50" s="4">
        <v>1</v>
      </c>
    </row>
    <row r="51" spans="1:29" ht="15" customHeight="1" x14ac:dyDescent="0.3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Plan'!I61=0,"",'Weekly Plan'!I61)</f>
        <v/>
      </c>
      <c r="E51" s="167">
        <f>'Weekly Plan'!A61</f>
        <v>1</v>
      </c>
      <c r="F51" s="167">
        <f t="shared" si="8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3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Plan'!I62=0,"",'Weekly Plan'!I62)</f>
        <v/>
      </c>
      <c r="E52" s="167">
        <f>'Weekly Plan'!A62</f>
        <v>2</v>
      </c>
      <c r="F52" s="167">
        <f t="shared" si="8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24</v>
      </c>
      <c r="O52" s="185"/>
      <c r="R52" s="4"/>
      <c r="S52" s="4"/>
      <c r="AC52" s="4">
        <v>2</v>
      </c>
    </row>
    <row r="53" spans="1:29" ht="15" customHeight="1" thickBot="1" x14ac:dyDescent="0.3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Plan'!I63=0,"",'Weekly Plan'!I63)</f>
        <v/>
      </c>
      <c r="E53" s="167">
        <f>'Weekly Plan'!A63</f>
        <v>2</v>
      </c>
      <c r="F53" s="167">
        <f t="shared" si="8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3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Plan'!I64=0,"",'Weekly Plan'!I64)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3.8</v>
      </c>
      <c r="O54" s="185"/>
      <c r="AC54" s="2">
        <v>4</v>
      </c>
    </row>
    <row r="55" spans="1:29" ht="15" customHeight="1" x14ac:dyDescent="0.3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Plan'!I65=0,"",'Weekly Plan'!I65)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3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Plan'!I66=0,"",'Weekly Plan'!I66)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5">
      <c r="K57" s="4"/>
      <c r="L57" s="4"/>
      <c r="AC57" s="2">
        <v>1</v>
      </c>
    </row>
    <row r="58" spans="1:29" ht="13.5" customHeight="1" x14ac:dyDescent="0.25">
      <c r="K58" s="4"/>
      <c r="L58" s="4"/>
      <c r="AC58" s="2">
        <v>1</v>
      </c>
    </row>
    <row r="59" spans="1:29" ht="13.5" customHeight="1" x14ac:dyDescent="0.25">
      <c r="K59" s="4"/>
      <c r="L59" s="4"/>
      <c r="AC59" s="2">
        <v>4</v>
      </c>
    </row>
    <row r="60" spans="1:29" ht="13.5" customHeight="1" x14ac:dyDescent="0.25">
      <c r="K60" s="4"/>
      <c r="L60" s="4"/>
      <c r="AC60" s="2">
        <v>2</v>
      </c>
    </row>
    <row r="61" spans="1:29" ht="13.5" customHeight="1" x14ac:dyDescent="0.25">
      <c r="K61" s="4"/>
      <c r="L61" s="4"/>
      <c r="AC61" s="2">
        <v>1</v>
      </c>
    </row>
    <row r="62" spans="1:29" ht="13.5" customHeight="1" x14ac:dyDescent="0.25"/>
    <row r="63" spans="1:29" ht="13.5" customHeight="1" x14ac:dyDescent="0.25"/>
    <row r="64" spans="1:29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23">
    <mergeCell ref="G50:J53"/>
    <mergeCell ref="M53:N53"/>
    <mergeCell ref="G33:J33"/>
    <mergeCell ref="G34:J37"/>
    <mergeCell ref="G38:J41"/>
    <mergeCell ref="G42:J49"/>
    <mergeCell ref="A44:D44"/>
    <mergeCell ref="G18:J18"/>
    <mergeCell ref="A20:D20"/>
    <mergeCell ref="M22:O22"/>
    <mergeCell ref="M28:O28"/>
    <mergeCell ref="A33:D33"/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M12:O12"/>
    <mergeCell ref="G12:J12"/>
  </mergeCells>
  <pageMargins left="0" right="0" top="0" bottom="0" header="0" footer="0"/>
  <pageSetup scale="84" orientation="portrait" cellComments="asDisplayed" r:id="rId1"/>
  <headerFooter>
    <oddFooter>&amp;L&amp;F&amp;RCreated: 10/22/21TG
Revised: 11/24/23AS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F3A0-E537-42C6-A6A3-2E6D21CD860B}">
  <sheetPr>
    <tabColor rgb="FF92D050"/>
    <pageSetUpPr fitToPage="1"/>
  </sheetPr>
  <dimension ref="A1:AC79"/>
  <sheetViews>
    <sheetView showGridLines="0" tabSelected="1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6953125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2" width="1.7265625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16384" width="9" style="1"/>
  </cols>
  <sheetData>
    <row r="1" spans="1:29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Plan'!J1</f>
        <v>45301</v>
      </c>
      <c r="N1" s="249"/>
      <c r="O1" s="249"/>
      <c r="T1" s="23"/>
    </row>
    <row r="2" spans="1:29" s="3" customFormat="1" ht="14.25" customHeight="1" x14ac:dyDescent="0.3">
      <c r="A2" s="257" t="s">
        <v>14</v>
      </c>
      <c r="B2" s="126"/>
      <c r="C2" s="250" t="s">
        <v>266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5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167"/>
      <c r="L4" s="167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3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Plan'!J4=0,"",'Weekly Plan'!J4)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Plan'!J68=0,"",'Weekly Plan'!J68)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Plan'!J93=0,"",'Weekly Plan'!J93)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3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Plan'!J5=0,"",'Weekly Plan'!J5)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Plan'!J69=0,"",'Weekly Plan'!J69)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Plan'!J94=0,"",'Weekly Plan'!J94)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3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Plan'!J6=0,"",'Weekly Plan'!J6)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Plan'!J70=0,"",'Weekly Plan'!J70)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Plan'!J95=0,"",'Weekly Plan'!J95)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3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Plan'!J7=0,"",'Weekly Plan'!J7)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Plan'!J71=0,"",'Weekly Plan'!J71)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Plan'!J96=0,"",'Weekly Plan'!J96)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3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Plan'!J8=0,"",'Weekly Plan'!J8)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Plan'!J72=0,"",'Weekly Plan'!J72)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Plan'!J97=0,"",'Weekly Plan'!J97)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3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Plan'!J9=0,"",'Weekly Plan'!J9)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Plan'!J73=0,"",'Weekly Plan'!J73)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Plan'!J98=0,"",'Weekly Plan'!J98)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3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Plan'!J10=0,"",'Weekly Plan'!J10)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3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Plan'!J11=0,"",'Weekly Plan'!J11)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3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Plan'!J12=0,"",'Weekly Plan'!J12)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Plan'!J75=0,"",'Weekly Plan'!J75)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Plan'!J80=0,"",'Weekly Plan'!J80)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3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Plan'!J13=0,"",'Weekly Plan'!J13)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Plan'!J76=0,"",'Weekly Plan'!J76)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Plan'!J81=0,"",'Weekly Plan'!J81)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3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Plan'!J14=0,"",'Weekly Plan'!J14)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Plan'!J77=0,"",'Weekly Plan'!J77)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Plan'!J82=0,"",'Weekly Plan'!J82)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3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Plan'!J15=0,"",'Weekly Plan'!J15)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Plan'!J78=0,"",'Weekly Plan'!J78)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3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Plan'!J16=0,"",'Weekly Plan'!J16)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3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Plan'!J17=0,"",'Weekly Plan'!J17)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Plan'!J84=0,"",'Weekly Plan'!J84)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3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Plan'!J19=0,"",'Weekly Plan'!J19)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Plan'!J85=0,"",'Weekly Plan'!J85)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3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Plan'!J20=0,"",'Weekly Plan'!J20)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Plan'!J86=0,"",'Weekly Plan'!J86)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3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Plan'!J33=0,"",'Weekly Plan'!J33)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Plan'!J21=0,"",'Weekly Plan'!J21)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3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>
        <f>IF('Weekly Plan'!J34=0,"",'Weekly Plan'!J34)</f>
        <v>60</v>
      </c>
      <c r="E22" s="167">
        <f>'Weekly Plan'!A34</f>
        <v>2</v>
      </c>
      <c r="F22" s="167">
        <f t="shared" si="3"/>
        <v>30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Plan'!J22=0,"",'Weekly Plan'!J22)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3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>
        <f>IF('Weekly Plan'!J35=0,"",'Weekly Plan'!J35)</f>
        <v>42</v>
      </c>
      <c r="E23" s="167">
        <f>'Weekly Plan'!A35</f>
        <v>2</v>
      </c>
      <c r="F23" s="167">
        <f t="shared" si="3"/>
        <v>21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Plan'!J23=0,"",'Weekly Plan'!J23)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Plan'!J88=0,"",'Weekly Plan'!J88)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3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>
        <f>IF('Weekly Plan'!J36=0,"",'Weekly Plan'!J36)</f>
        <v>40</v>
      </c>
      <c r="E24" s="167">
        <f>'Weekly Plan'!A36</f>
        <v>2</v>
      </c>
      <c r="F24" s="167">
        <f t="shared" si="3"/>
        <v>20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Plan'!J24=0,"",'Weekly Plan'!J24)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Plan'!J89=0,"",'Weekly Plan'!J89)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3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>
        <f>IF('Weekly Plan'!J37=0,"",'Weekly Plan'!J37)</f>
        <v>40</v>
      </c>
      <c r="E25" s="167">
        <f>'Weekly Plan'!A37</f>
        <v>2</v>
      </c>
      <c r="F25" s="167">
        <f t="shared" si="3"/>
        <v>20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Plan'!J25=0,"",'Weekly Plan'!J25)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Plan'!J90=0,"",'Weekly Plan'!J90)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3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Plan'!J38=0,"",'Weekly Plan'!J38)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Plan'!J26=0,"",'Weekly Plan'!J26)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Plan'!J91=0,"",'Weekly Plan'!J91)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3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Plan'!J39=0,"",'Weekly Plan'!J39)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Plan'!J27=0,"",'Weekly Plan'!J27)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3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>
        <f>IF('Weekly Plan'!J40=0,"",'Weekly Plan'!J40)</f>
        <v>40</v>
      </c>
      <c r="E28" s="167">
        <f>'Weekly Plan'!A40</f>
        <v>2</v>
      </c>
      <c r="F28" s="167">
        <f t="shared" si="3"/>
        <v>20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Plan'!J28=0,"",'Weekly Plan'!J28)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3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>
        <f>IF('Weekly Plan'!J41=0,"",'Weekly Plan'!J41)</f>
        <v>64</v>
      </c>
      <c r="E29" s="167">
        <f>'Weekly Plan'!A41</f>
        <v>8</v>
      </c>
      <c r="F29" s="167">
        <f t="shared" si="3"/>
        <v>8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Plan'!J29=0,"",'Weekly Plan'!J29)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>
        <f>IF('Weekly Plan'!J100=0,"",'Weekly Plan'!J100)</f>
        <v>360</v>
      </c>
      <c r="P29" s="4">
        <f>'Weekly Plan'!A100</f>
        <v>6</v>
      </c>
      <c r="Q29" s="4">
        <f t="shared" si="4"/>
        <v>60</v>
      </c>
      <c r="R29" s="2">
        <v>21</v>
      </c>
      <c r="AC29" s="2"/>
    </row>
    <row r="30" spans="1:29" ht="15" customHeight="1" x14ac:dyDescent="0.3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Plan'!J42=0,"",'Weekly Plan'!J42)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Plan'!J30=0,"",'Weekly Plan'!J30)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>
        <f>IF('Weekly Plan'!J101=0,"",'Weekly Plan'!J101)</f>
        <v>360</v>
      </c>
      <c r="P30" s="4">
        <f>'Weekly Plan'!A101</f>
        <v>6</v>
      </c>
      <c r="Q30" s="4">
        <f t="shared" si="4"/>
        <v>60</v>
      </c>
      <c r="R30" s="4"/>
      <c r="S30" s="4"/>
      <c r="AC30" s="4">
        <v>1</v>
      </c>
    </row>
    <row r="31" spans="1:29" ht="15" customHeight="1" thickBot="1" x14ac:dyDescent="0.3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>
        <f>IF('Weekly Plan'!J43=0,"",'Weekly Plan'!J43)</f>
        <v>36</v>
      </c>
      <c r="E31" s="167">
        <f>'Weekly Plan'!A43</f>
        <v>6</v>
      </c>
      <c r="F31" s="167">
        <f t="shared" si="5"/>
        <v>6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Plan'!J31=0,"",'Weekly Plan'!J31)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Plan'!J102=0,"",'Weekly Plan'!J102)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3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Plan'!J103=0,"",'Weekly Plan'!J103)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3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3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Plan'!J45=0,"",'Weekly Plan'!J45)</f>
        <v/>
      </c>
      <c r="E34" s="167">
        <f>'Weekly Plan'!A46</f>
        <v>3.4285745454545458</v>
      </c>
      <c r="F34" s="167">
        <f t="shared" si="6"/>
        <v>0</v>
      </c>
      <c r="G34" s="293" t="s">
        <v>267</v>
      </c>
      <c r="H34" s="294"/>
      <c r="I34" s="294"/>
      <c r="J34" s="295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3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Plan'!J46=0,"",'Weekly Plan'!J46)</f>
        <v/>
      </c>
      <c r="E35" s="167">
        <f>'Weekly Plan'!A47</f>
        <v>1.2000000000000002</v>
      </c>
      <c r="F35" s="167">
        <f t="shared" si="6"/>
        <v>0</v>
      </c>
      <c r="G35" s="296"/>
      <c r="H35" s="297"/>
      <c r="I35" s="297"/>
      <c r="J35" s="298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3">
      <c r="A36" s="168">
        <f>'Weekly Plan'!F47</f>
        <v>0</v>
      </c>
      <c r="B36" s="169" t="s">
        <v>121</v>
      </c>
      <c r="C36" s="170">
        <f>'Weekly Plan'!G47</f>
        <v>0</v>
      </c>
      <c r="D36" s="173"/>
      <c r="E36" s="167">
        <f>'Weekly Plan'!A48</f>
        <v>1.2000000000000002</v>
      </c>
      <c r="F36" s="167">
        <f t="shared" si="6"/>
        <v>0</v>
      </c>
      <c r="G36" s="296"/>
      <c r="H36" s="297"/>
      <c r="I36" s="297"/>
      <c r="J36" s="298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3">
      <c r="A37" s="168">
        <f>'Weekly Plan'!F48</f>
        <v>0</v>
      </c>
      <c r="B37" s="169" t="s">
        <v>121</v>
      </c>
      <c r="C37" s="170">
        <f>'Weekly Plan'!G48</f>
        <v>0</v>
      </c>
      <c r="D37" s="173"/>
      <c r="E37" s="167">
        <f>'Weekly Plan'!A49</f>
        <v>1.2000000000000002</v>
      </c>
      <c r="F37" s="167">
        <f t="shared" si="6"/>
        <v>0</v>
      </c>
      <c r="G37" s="296"/>
      <c r="H37" s="297"/>
      <c r="I37" s="297"/>
      <c r="J37" s="298"/>
      <c r="K37" s="167"/>
      <c r="L37" s="167"/>
      <c r="M37" s="189" t="str">
        <f>A20</f>
        <v>Deep Black</v>
      </c>
      <c r="N37" s="190">
        <f>SUM(F21:F31)</f>
        <v>125</v>
      </c>
      <c r="O37" s="191"/>
      <c r="Q37" s="4"/>
      <c r="R37" s="4"/>
      <c r="S37" s="4"/>
      <c r="AC37" s="4">
        <v>1</v>
      </c>
    </row>
    <row r="38" spans="1:29" ht="15" customHeight="1" x14ac:dyDescent="0.3">
      <c r="A38" s="168">
        <f>'Weekly Plan'!F49</f>
        <v>0</v>
      </c>
      <c r="B38" s="169" t="s">
        <v>121</v>
      </c>
      <c r="C38" s="170">
        <f>'Weekly Plan'!G49</f>
        <v>0</v>
      </c>
      <c r="D38" s="173"/>
      <c r="E38" s="167">
        <f>'Weekly Plan'!A50</f>
        <v>2.4000000000000004</v>
      </c>
      <c r="F38" s="167">
        <f t="shared" si="6"/>
        <v>0</v>
      </c>
      <c r="G38" s="296"/>
      <c r="H38" s="297"/>
      <c r="I38" s="297"/>
      <c r="J38" s="298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3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Plan'!J50=0,"",'Weekly Plan'!J50)</f>
        <v/>
      </c>
      <c r="E39" s="167">
        <f>'Weekly Plan'!A51</f>
        <v>2.4000000000000004</v>
      </c>
      <c r="F39" s="167">
        <f t="shared" si="6"/>
        <v>0</v>
      </c>
      <c r="G39" s="296"/>
      <c r="H39" s="297"/>
      <c r="I39" s="297"/>
      <c r="J39" s="298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3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Plan'!J51=0,"",'Weekly Plan'!J51)</f>
        <v/>
      </c>
      <c r="E40" s="167">
        <f>'Weekly Plan'!A52</f>
        <v>1.2000000000000002</v>
      </c>
      <c r="F40" s="167">
        <f t="shared" si="6"/>
        <v>0</v>
      </c>
      <c r="G40" s="296"/>
      <c r="H40" s="297"/>
      <c r="I40" s="297"/>
      <c r="J40" s="298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3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Plan'!J52=0,"",'Weekly Plan'!J52)</f>
        <v/>
      </c>
      <c r="E41" s="167">
        <f>'Weekly Plan'!A53</f>
        <v>3.4285745454545458</v>
      </c>
      <c r="F41" s="167">
        <f t="shared" si="6"/>
        <v>0</v>
      </c>
      <c r="G41" s="296"/>
      <c r="H41" s="297"/>
      <c r="I41" s="297"/>
      <c r="J41" s="298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35">
      <c r="A42" s="182">
        <f>'Weekly Plan'!F53</f>
        <v>0</v>
      </c>
      <c r="B42" s="183" t="s">
        <v>121</v>
      </c>
      <c r="C42" s="176">
        <f>'Weekly Plan'!G53</f>
        <v>0</v>
      </c>
      <c r="D42" s="179"/>
      <c r="E42" s="167"/>
      <c r="F42" s="167"/>
      <c r="G42" s="296"/>
      <c r="H42" s="297"/>
      <c r="I42" s="297"/>
      <c r="J42" s="298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35">
      <c r="A43" s="184"/>
      <c r="B43" s="184"/>
      <c r="C43" s="184"/>
      <c r="D43" s="184"/>
      <c r="E43" s="167"/>
      <c r="F43" s="167"/>
      <c r="G43" s="296"/>
      <c r="H43" s="297"/>
      <c r="I43" s="297"/>
      <c r="J43" s="298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3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287" t="s">
        <v>269</v>
      </c>
      <c r="H44" s="288"/>
      <c r="I44" s="288"/>
      <c r="J44" s="289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3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Plan'!J55=0,"",'Weekly Plan'!J55)</f>
        <v/>
      </c>
      <c r="E45" s="167">
        <f>'Weekly Plan'!A55</f>
        <v>2</v>
      </c>
      <c r="F45" s="167">
        <f t="shared" si="7"/>
        <v>0</v>
      </c>
      <c r="G45" s="287"/>
      <c r="H45" s="288"/>
      <c r="I45" s="288"/>
      <c r="J45" s="289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3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Plan'!J56=0,"",'Weekly Plan'!J56)</f>
        <v/>
      </c>
      <c r="E46" s="167">
        <f>'Weekly Plan'!A56</f>
        <v>2</v>
      </c>
      <c r="F46" s="167">
        <f t="shared" ref="F46:F56" si="8">IFERROR(D47/E46,0)</f>
        <v>0</v>
      </c>
      <c r="G46" s="287"/>
      <c r="H46" s="288"/>
      <c r="I46" s="288"/>
      <c r="J46" s="289"/>
      <c r="K46" s="167"/>
      <c r="L46" s="167"/>
      <c r="M46" s="192" t="str">
        <f>M28</f>
        <v>Tesla - High Gloss Black</v>
      </c>
      <c r="N46" s="190">
        <f>SUM(Q29:Q32)</f>
        <v>120</v>
      </c>
      <c r="O46" s="185"/>
      <c r="R46" s="4"/>
      <c r="S46" s="4"/>
      <c r="AC46" s="4">
        <v>1</v>
      </c>
    </row>
    <row r="47" spans="1:29" ht="15" customHeight="1" x14ac:dyDescent="0.3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Plan'!J57=0,"",'Weekly Plan'!J57)</f>
        <v/>
      </c>
      <c r="E47" s="167">
        <f>'Weekly Plan'!A57</f>
        <v>1</v>
      </c>
      <c r="F47" s="167">
        <f t="shared" si="8"/>
        <v>0</v>
      </c>
      <c r="G47" s="287"/>
      <c r="H47" s="288"/>
      <c r="I47" s="288"/>
      <c r="J47" s="289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3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Plan'!J58=0,"",'Weekly Plan'!J58)</f>
        <v/>
      </c>
      <c r="E48" s="167">
        <f>'Weekly Plan'!A58</f>
        <v>1</v>
      </c>
      <c r="F48" s="167">
        <f t="shared" si="8"/>
        <v>0</v>
      </c>
      <c r="G48" s="287"/>
      <c r="H48" s="288"/>
      <c r="I48" s="288"/>
      <c r="J48" s="289"/>
      <c r="K48" s="167"/>
      <c r="L48" s="167"/>
      <c r="M48" s="189"/>
      <c r="N48" s="190"/>
      <c r="O48" s="185"/>
      <c r="AC48" s="2">
        <v>2</v>
      </c>
    </row>
    <row r="49" spans="1:29" ht="15" customHeight="1" x14ac:dyDescent="0.3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Plan'!J59=0,"",'Weekly Plan'!J59)</f>
        <v/>
      </c>
      <c r="E49" s="167">
        <f>'Weekly Plan'!A59</f>
        <v>2</v>
      </c>
      <c r="F49" s="167">
        <f t="shared" si="8"/>
        <v>0</v>
      </c>
      <c r="G49" s="287"/>
      <c r="H49" s="288"/>
      <c r="I49" s="288"/>
      <c r="J49" s="289"/>
      <c r="K49" s="167"/>
      <c r="L49" s="167"/>
      <c r="M49" s="189"/>
      <c r="N49" s="190"/>
      <c r="O49" s="185"/>
      <c r="AC49" s="2">
        <v>1</v>
      </c>
    </row>
    <row r="50" spans="1:29" ht="15" customHeight="1" x14ac:dyDescent="0.3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Plan'!J60=0,"",'Weekly Plan'!J60)</f>
        <v/>
      </c>
      <c r="E50" s="167">
        <f>'Weekly Plan'!A60</f>
        <v>2</v>
      </c>
      <c r="F50" s="167">
        <f t="shared" si="8"/>
        <v>0</v>
      </c>
      <c r="G50" s="287" t="s">
        <v>268</v>
      </c>
      <c r="H50" s="288"/>
      <c r="I50" s="288"/>
      <c r="J50" s="289"/>
      <c r="K50" s="167"/>
      <c r="L50" s="167"/>
      <c r="M50" s="193" t="s">
        <v>165</v>
      </c>
      <c r="N50" s="194">
        <f>SUM(N36:N49)</f>
        <v>245</v>
      </c>
      <c r="O50" s="185"/>
      <c r="R50" s="4"/>
      <c r="S50" s="4"/>
      <c r="AC50" s="4">
        <v>1</v>
      </c>
    </row>
    <row r="51" spans="1:29" ht="15" customHeight="1" x14ac:dyDescent="0.3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Plan'!J61=0,"",'Weekly Plan'!J61)</f>
        <v/>
      </c>
      <c r="E51" s="167">
        <f>'Weekly Plan'!A61</f>
        <v>1</v>
      </c>
      <c r="F51" s="167">
        <f t="shared" si="8"/>
        <v>0</v>
      </c>
      <c r="G51" s="287"/>
      <c r="H51" s="288"/>
      <c r="I51" s="288"/>
      <c r="J51" s="289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3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Plan'!J62=0,"",'Weekly Plan'!J62)</f>
        <v/>
      </c>
      <c r="E52" s="167">
        <f>'Weekly Plan'!A62</f>
        <v>2</v>
      </c>
      <c r="F52" s="167">
        <f t="shared" si="8"/>
        <v>0</v>
      </c>
      <c r="G52" s="287"/>
      <c r="H52" s="288"/>
      <c r="I52" s="288"/>
      <c r="J52" s="289"/>
      <c r="K52" s="167"/>
      <c r="L52" s="167"/>
      <c r="M52" s="189" t="s">
        <v>17</v>
      </c>
      <c r="N52" s="189">
        <f>(COUNTIF(N36:N49, "&gt;0")-1)*(IF(N50&gt;0, 12, 0))</f>
        <v>12</v>
      </c>
      <c r="O52" s="185"/>
      <c r="R52" s="4"/>
      <c r="S52" s="4"/>
      <c r="AC52" s="4">
        <v>2</v>
      </c>
    </row>
    <row r="53" spans="1:29" ht="15" customHeight="1" thickBot="1" x14ac:dyDescent="0.3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Plan'!J63=0,"",'Weekly Plan'!J63)</f>
        <v/>
      </c>
      <c r="E53" s="167">
        <f>'Weekly Plan'!A63</f>
        <v>2</v>
      </c>
      <c r="F53" s="167">
        <f t="shared" si="8"/>
        <v>0</v>
      </c>
      <c r="G53" s="290"/>
      <c r="H53" s="291"/>
      <c r="I53" s="291"/>
      <c r="J53" s="292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3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Plan'!J64=0,"",'Weekly Plan'!J64)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4.2833333333333332</v>
      </c>
      <c r="O54" s="185"/>
      <c r="AC54" s="2">
        <v>4</v>
      </c>
    </row>
    <row r="55" spans="1:29" ht="15" customHeight="1" x14ac:dyDescent="0.3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Plan'!J65=0,"",'Weekly Plan'!J65)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3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Plan'!J66=0,"",'Weekly Plan'!J66)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5">
      <c r="K57" s="4"/>
      <c r="L57" s="4"/>
      <c r="AC57" s="2">
        <v>1</v>
      </c>
    </row>
    <row r="58" spans="1:29" ht="13.5" customHeight="1" x14ac:dyDescent="0.25">
      <c r="K58" s="4"/>
      <c r="L58" s="4"/>
      <c r="AC58" s="2">
        <v>1</v>
      </c>
    </row>
    <row r="59" spans="1:29" ht="13.5" customHeight="1" x14ac:dyDescent="0.25">
      <c r="K59" s="4"/>
      <c r="L59" s="4"/>
      <c r="AC59" s="2">
        <v>4</v>
      </c>
    </row>
    <row r="60" spans="1:29" ht="13.5" customHeight="1" x14ac:dyDescent="0.25">
      <c r="K60" s="4"/>
      <c r="L60" s="4"/>
      <c r="AC60" s="2">
        <v>2</v>
      </c>
    </row>
    <row r="61" spans="1:29" ht="13.5" customHeight="1" x14ac:dyDescent="0.25">
      <c r="K61" s="4"/>
      <c r="L61" s="4"/>
      <c r="AC61" s="2">
        <v>1</v>
      </c>
    </row>
    <row r="62" spans="1:29" ht="13.5" customHeight="1" x14ac:dyDescent="0.25"/>
    <row r="63" spans="1:29" ht="13.5" customHeight="1" x14ac:dyDescent="0.25"/>
    <row r="64" spans="1:29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A20:D20"/>
    <mergeCell ref="A44:D44"/>
    <mergeCell ref="M22:O22"/>
    <mergeCell ref="M28:O28"/>
    <mergeCell ref="A33:D33"/>
    <mergeCell ref="G34:J43"/>
    <mergeCell ref="G50:J53"/>
    <mergeCell ref="M53:N53"/>
    <mergeCell ref="G33:J33"/>
    <mergeCell ref="G44:J49"/>
    <mergeCell ref="G18:J18"/>
  </mergeCells>
  <pageMargins left="0" right="0" top="0" bottom="0" header="0" footer="0"/>
  <pageSetup scale="84" orientation="portrait" cellComments="asDisplayed" r:id="rId1"/>
  <headerFooter>
    <oddFooter>&amp;L&amp;F&amp;RCreated: 10/22/21TG
Revised: 11/24/23AS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5D95-8777-4CCC-A851-B4927B249E07}">
  <sheetPr>
    <tabColor rgb="FF92D050"/>
    <pageSetUpPr fitToPage="1"/>
  </sheetPr>
  <dimension ref="A1:AC79"/>
  <sheetViews>
    <sheetView showGridLines="0" tabSelected="1" topLeftCell="A10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6953125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1" width="2.453125" style="2" customWidth="1"/>
    <col min="12" max="12" width="2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16384" width="9" style="1"/>
  </cols>
  <sheetData>
    <row r="1" spans="1:29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Plan'!K1</f>
        <v>45302</v>
      </c>
      <c r="N1" s="249"/>
      <c r="O1" s="249"/>
      <c r="T1" s="23"/>
    </row>
    <row r="2" spans="1:29" s="3" customFormat="1" ht="14.25" customHeight="1" x14ac:dyDescent="0.3">
      <c r="A2" s="257" t="s">
        <v>14</v>
      </c>
      <c r="B2" s="126"/>
      <c r="C2" s="250" t="s">
        <v>271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5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3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Plan'!K4=0,"",'Weekly Plan'!K4)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Plan'!K68=0,"",'Weekly Plan'!K68)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Plan'!K93=0,"",'Weekly Plan'!K93)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3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Plan'!K5=0,"",'Weekly Plan'!K5)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Plan'!K69=0,"",'Weekly Plan'!K69)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Plan'!K94=0,"",'Weekly Plan'!K94)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3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Plan'!K6=0,"",'Weekly Plan'!K6)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Plan'!K70=0,"",'Weekly Plan'!K70)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Plan'!K95=0,"",'Weekly Plan'!K95)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3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Plan'!K7=0,"",'Weekly Plan'!K7)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Plan'!K71=0,"",'Weekly Plan'!K71)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Plan'!K96=0,"",'Weekly Plan'!K96)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3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Plan'!K8=0,"",'Weekly Plan'!K8)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Plan'!K72=0,"",'Weekly Plan'!K72)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Plan'!K97=0,"",'Weekly Plan'!K97)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3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Plan'!K9=0,"",'Weekly Plan'!K9)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Plan'!K73=0,"",'Weekly Plan'!K73)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Plan'!K98=0,"",'Weekly Plan'!K98)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3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Plan'!K10=0,"",'Weekly Plan'!K10)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3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Plan'!K11=0,"",'Weekly Plan'!K11)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3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Plan'!K12=0,"",'Weekly Plan'!K12)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Plan'!K75=0,"",'Weekly Plan'!K75)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Plan'!K80=0,"",'Weekly Plan'!K80)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3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Plan'!K13=0,"",'Weekly Plan'!K13)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Plan'!K76=0,"",'Weekly Plan'!K76)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Plan'!K81=0,"",'Weekly Plan'!K81)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3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Plan'!K14=0,"",'Weekly Plan'!K14)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Plan'!K77=0,"",'Weekly Plan'!K77)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Plan'!K82=0,"",'Weekly Plan'!K82)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3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Plan'!K15=0,"",'Weekly Plan'!K15)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Plan'!K78=0,"",'Weekly Plan'!K78)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3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Plan'!K16=0,"",'Weekly Plan'!K16)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3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Plan'!K17=0,"",'Weekly Plan'!K17)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Plan'!K84=0,"",'Weekly Plan'!K84)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3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Plan'!K19=0,"",'Weekly Plan'!K19)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Plan'!K85=0,"",'Weekly Plan'!K85)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3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Plan'!K20=0,"",'Weekly Plan'!K20)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Plan'!K86=0,"",'Weekly Plan'!K86)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3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Plan'!K33=0,"",'Weekly Plan'!K33)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Plan'!K21=0,"",'Weekly Plan'!K21)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3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>
        <f>IF('Weekly Plan'!K34=0,"",'Weekly Plan'!K34)</f>
        <v>40</v>
      </c>
      <c r="E22" s="167">
        <f>'Weekly Plan'!A34</f>
        <v>2</v>
      </c>
      <c r="F22" s="167">
        <f t="shared" si="3"/>
        <v>20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Plan'!K22=0,"",'Weekly Plan'!K22)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3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>
        <f>IF('Weekly Plan'!K35=0,"",'Weekly Plan'!K35)</f>
        <v>42</v>
      </c>
      <c r="E23" s="167">
        <f>'Weekly Plan'!A35</f>
        <v>2</v>
      </c>
      <c r="F23" s="167">
        <f t="shared" si="3"/>
        <v>21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Plan'!K23=0,"",'Weekly Plan'!K23)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Plan'!K88=0,"",'Weekly Plan'!K88)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3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>
        <f>IF('Weekly Plan'!K36=0,"",'Weekly Plan'!K36)</f>
        <v>30</v>
      </c>
      <c r="E24" s="167">
        <f>'Weekly Plan'!A36</f>
        <v>2</v>
      </c>
      <c r="F24" s="167">
        <f t="shared" si="3"/>
        <v>15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Plan'!K24=0,"",'Weekly Plan'!K24)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Plan'!K89=0,"",'Weekly Plan'!K89)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3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>
        <f>IF('Weekly Plan'!K37=0,"",'Weekly Plan'!K37)</f>
        <v>30</v>
      </c>
      <c r="E25" s="167">
        <f>'Weekly Plan'!A37</f>
        <v>2</v>
      </c>
      <c r="F25" s="167">
        <f t="shared" si="3"/>
        <v>15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Plan'!K25=0,"",'Weekly Plan'!K25)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Plan'!K90=0,"",'Weekly Plan'!K90)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3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Plan'!K38=0,"",'Weekly Plan'!K38)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Plan'!K26=0,"",'Weekly Plan'!K26)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Plan'!K91=0,"",'Weekly Plan'!K91)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3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Plan'!K39=0,"",'Weekly Plan'!K39)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Plan'!K27=0,"",'Weekly Plan'!K27)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3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>
        <f>IF('Weekly Plan'!K40=0,"",'Weekly Plan'!K40)</f>
        <v>20</v>
      </c>
      <c r="E28" s="167">
        <f>'Weekly Plan'!A40</f>
        <v>2</v>
      </c>
      <c r="F28" s="167">
        <f t="shared" si="3"/>
        <v>10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Plan'!K28=0,"",'Weekly Plan'!K28)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3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Plan'!K41=0,"",'Weekly Plan'!K41)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Plan'!K29=0,"",'Weekly Plan'!K29)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>
        <f>IF('Weekly Plan'!K100=0,"",'Weekly Plan'!K100)</f>
        <v>240</v>
      </c>
      <c r="P29" s="4">
        <f>'Weekly Plan'!A100</f>
        <v>6</v>
      </c>
      <c r="Q29" s="4">
        <f t="shared" si="4"/>
        <v>40</v>
      </c>
      <c r="R29" s="2">
        <v>21</v>
      </c>
      <c r="AC29" s="2"/>
    </row>
    <row r="30" spans="1:29" ht="15" customHeight="1" x14ac:dyDescent="0.3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Plan'!K42=0,"",'Weekly Plan'!K42)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Plan'!K30=0,"",'Weekly Plan'!K30)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>
        <f>IF('Weekly Plan'!K101=0,"",'Weekly Plan'!K101)</f>
        <v>360</v>
      </c>
      <c r="P30" s="4">
        <f>'Weekly Plan'!A101</f>
        <v>6</v>
      </c>
      <c r="Q30" s="4">
        <f t="shared" si="4"/>
        <v>60</v>
      </c>
      <c r="R30" s="4"/>
      <c r="S30" s="4"/>
      <c r="AC30" s="4">
        <v>1</v>
      </c>
    </row>
    <row r="31" spans="1:29" ht="15" customHeight="1" thickBot="1" x14ac:dyDescent="0.3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Plan'!K43=0,"",'Weekly Plan'!K43)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Plan'!K31=0,"",'Weekly Plan'!K31)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Plan'!K102=0,"",'Weekly Plan'!K102)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3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Plan'!K103=0,"",'Weekly Plan'!K103)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3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3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Plan'!K45=0,"",'Weekly Plan'!K45)</f>
        <v/>
      </c>
      <c r="E34" s="167">
        <f>'Weekly Plan'!A46</f>
        <v>3.4285745454545458</v>
      </c>
      <c r="F34" s="167">
        <f t="shared" si="6"/>
        <v>0</v>
      </c>
      <c r="G34" s="299" t="s">
        <v>270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3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Plan'!K46=0,"",'Weekly Plan'!K46)</f>
        <v/>
      </c>
      <c r="E35" s="167">
        <f>'Weekly Plan'!A47</f>
        <v>1.2000000000000002</v>
      </c>
      <c r="F35" s="167">
        <f t="shared" si="6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3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Plan'!K47=0,"",'Weekly Plan'!K47)</f>
        <v/>
      </c>
      <c r="E36" s="167">
        <f>'Weekly Plan'!A48</f>
        <v>1.2000000000000002</v>
      </c>
      <c r="F36" s="167">
        <f t="shared" si="6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3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Plan'!K48=0,"",'Weekly Plan'!K48)</f>
        <v/>
      </c>
      <c r="E37" s="167">
        <f>'Weekly Plan'!A49</f>
        <v>1.2000000000000002</v>
      </c>
      <c r="F37" s="167">
        <f t="shared" si="6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81</v>
      </c>
      <c r="O37" s="191"/>
      <c r="Q37" s="4"/>
      <c r="R37" s="4"/>
      <c r="S37" s="4"/>
      <c r="AC37" s="4">
        <v>1</v>
      </c>
    </row>
    <row r="38" spans="1:29" ht="15" customHeight="1" x14ac:dyDescent="0.3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Plan'!K49=0,"",'Weekly Plan'!K49)</f>
        <v/>
      </c>
      <c r="E38" s="167">
        <f>'Weekly Plan'!A50</f>
        <v>2.4000000000000004</v>
      </c>
      <c r="F38" s="167">
        <f t="shared" si="6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3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Plan'!K50=0,"",'Weekly Plan'!K50)</f>
        <v/>
      </c>
      <c r="E39" s="167">
        <f>'Weekly Plan'!A51</f>
        <v>2.4000000000000004</v>
      </c>
      <c r="F39" s="167">
        <f t="shared" si="6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3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Plan'!K51=0,"",'Weekly Plan'!K51)</f>
        <v/>
      </c>
      <c r="E40" s="167">
        <f>'Weekly Plan'!A52</f>
        <v>1.2000000000000002</v>
      </c>
      <c r="F40" s="167">
        <f t="shared" si="6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3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Plan'!K52=0,"",'Weekly Plan'!K52)</f>
        <v/>
      </c>
      <c r="E41" s="167">
        <f>'Weekly Plan'!A53</f>
        <v>3.4285745454545458</v>
      </c>
      <c r="F41" s="167">
        <f t="shared" si="6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3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Plan'!K53=0,"",'Weekly Plan'!K53)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3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3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3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Plan'!K55=0,"",'Weekly Plan'!K55)</f>
        <v/>
      </c>
      <c r="E45" s="167">
        <f>'Weekly Plan'!A55</f>
        <v>2</v>
      </c>
      <c r="F45" s="167">
        <f t="shared" si="7"/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3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Plan'!K56=0,"",'Weekly Plan'!K56)</f>
        <v/>
      </c>
      <c r="E46" s="167">
        <f>'Weekly Plan'!A56</f>
        <v>2</v>
      </c>
      <c r="F46" s="167">
        <f t="shared" ref="F46:F56" si="8">IFERROR(D47/E46,0)</f>
        <v>0</v>
      </c>
      <c r="G46" s="287"/>
      <c r="H46" s="288"/>
      <c r="I46" s="288"/>
      <c r="J46" s="289"/>
      <c r="K46" s="167"/>
      <c r="L46" s="167"/>
      <c r="M46" s="192" t="str">
        <f>M28</f>
        <v>Tesla - High Gloss Black</v>
      </c>
      <c r="N46" s="190">
        <f>SUM(Q29:Q32)</f>
        <v>100</v>
      </c>
      <c r="O46" s="185"/>
      <c r="R46" s="4"/>
      <c r="S46" s="4"/>
      <c r="AC46" s="4">
        <v>1</v>
      </c>
    </row>
    <row r="47" spans="1:29" ht="15" customHeight="1" x14ac:dyDescent="0.3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Plan'!K57=0,"",'Weekly Plan'!K57)</f>
        <v/>
      </c>
      <c r="E47" s="167">
        <f>'Weekly Plan'!A57</f>
        <v>1</v>
      </c>
      <c r="F47" s="167">
        <f t="shared" si="8"/>
        <v>0</v>
      </c>
      <c r="G47" s="287"/>
      <c r="H47" s="288"/>
      <c r="I47" s="288"/>
      <c r="J47" s="289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3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Plan'!K58=0,"",'Weekly Plan'!K58)</f>
        <v/>
      </c>
      <c r="E48" s="167">
        <f>'Weekly Plan'!A58</f>
        <v>1</v>
      </c>
      <c r="F48" s="167">
        <f t="shared" si="8"/>
        <v>0</v>
      </c>
      <c r="G48" s="287"/>
      <c r="H48" s="288"/>
      <c r="I48" s="288"/>
      <c r="J48" s="289"/>
      <c r="K48" s="167"/>
      <c r="L48" s="167"/>
      <c r="M48" s="189"/>
      <c r="N48" s="190"/>
      <c r="O48" s="185"/>
      <c r="AC48" s="2">
        <v>2</v>
      </c>
    </row>
    <row r="49" spans="1:29" ht="15" customHeight="1" x14ac:dyDescent="0.3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Plan'!K59=0,"",'Weekly Plan'!K59)</f>
        <v/>
      </c>
      <c r="E49" s="167">
        <f>'Weekly Plan'!A59</f>
        <v>2</v>
      </c>
      <c r="F49" s="167">
        <f t="shared" si="8"/>
        <v>0</v>
      </c>
      <c r="G49" s="287"/>
      <c r="H49" s="288"/>
      <c r="I49" s="288"/>
      <c r="J49" s="289"/>
      <c r="K49" s="167"/>
      <c r="L49" s="167"/>
      <c r="M49" s="189"/>
      <c r="N49" s="190"/>
      <c r="O49" s="185"/>
      <c r="AC49" s="2">
        <v>1</v>
      </c>
    </row>
    <row r="50" spans="1:29" ht="15" customHeight="1" x14ac:dyDescent="0.3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Plan'!K60=0,"",'Weekly Plan'!K60)</f>
        <v/>
      </c>
      <c r="E50" s="167">
        <f>'Weekly Plan'!A60</f>
        <v>2</v>
      </c>
      <c r="F50" s="167">
        <f t="shared" si="8"/>
        <v>0</v>
      </c>
      <c r="G50" s="272"/>
      <c r="H50" s="273"/>
      <c r="I50" s="273"/>
      <c r="J50" s="274"/>
      <c r="K50" s="167"/>
      <c r="L50" s="167"/>
      <c r="M50" s="193" t="s">
        <v>165</v>
      </c>
      <c r="N50" s="194">
        <f>SUM(N36:N49)</f>
        <v>181</v>
      </c>
      <c r="O50" s="185"/>
      <c r="R50" s="4"/>
      <c r="S50" s="4"/>
      <c r="AC50" s="4">
        <v>1</v>
      </c>
    </row>
    <row r="51" spans="1:29" ht="15" customHeight="1" x14ac:dyDescent="0.3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Plan'!K61=0,"",'Weekly Plan'!K61)</f>
        <v/>
      </c>
      <c r="E51" s="167">
        <f>'Weekly Plan'!A61</f>
        <v>1</v>
      </c>
      <c r="F51" s="167">
        <f t="shared" si="8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3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Plan'!K62=0,"",'Weekly Plan'!K62)</f>
        <v/>
      </c>
      <c r="E52" s="167">
        <f>'Weekly Plan'!A62</f>
        <v>2</v>
      </c>
      <c r="F52" s="167">
        <f t="shared" si="8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12</v>
      </c>
      <c r="O52" s="185"/>
      <c r="R52" s="4"/>
      <c r="S52" s="4"/>
      <c r="AC52" s="4">
        <v>2</v>
      </c>
    </row>
    <row r="53" spans="1:29" ht="15" customHeight="1" thickBot="1" x14ac:dyDescent="0.3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Plan'!K63=0,"",'Weekly Plan'!K63)</f>
        <v/>
      </c>
      <c r="E53" s="167">
        <f>'Weekly Plan'!A63</f>
        <v>2</v>
      </c>
      <c r="F53" s="167">
        <f t="shared" si="8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3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Plan'!K64=0,"",'Weekly Plan'!K64)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3.2166666666666668</v>
      </c>
      <c r="O54" s="185"/>
      <c r="AC54" s="2">
        <v>4</v>
      </c>
    </row>
    <row r="55" spans="1:29" ht="15" customHeight="1" x14ac:dyDescent="0.3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Plan'!K65=0,"",'Weekly Plan'!K65)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3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Plan'!K66=0,"",'Weekly Plan'!K66)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5">
      <c r="K57" s="4"/>
      <c r="L57" s="4"/>
      <c r="AC57" s="2">
        <v>1</v>
      </c>
    </row>
    <row r="58" spans="1:29" ht="13.5" customHeight="1" x14ac:dyDescent="0.25">
      <c r="K58" s="4"/>
      <c r="L58" s="4"/>
      <c r="AC58" s="2">
        <v>1</v>
      </c>
    </row>
    <row r="59" spans="1:29" ht="13.5" customHeight="1" x14ac:dyDescent="0.25">
      <c r="K59" s="4"/>
      <c r="L59" s="4"/>
      <c r="AC59" s="2">
        <v>4</v>
      </c>
    </row>
    <row r="60" spans="1:29" ht="13.5" customHeight="1" x14ac:dyDescent="0.25">
      <c r="K60" s="4"/>
      <c r="L60" s="4"/>
      <c r="AC60" s="2">
        <v>2</v>
      </c>
    </row>
    <row r="61" spans="1:29" ht="13.5" customHeight="1" x14ac:dyDescent="0.25">
      <c r="K61" s="4"/>
      <c r="L61" s="4"/>
      <c r="AC61" s="2">
        <v>1</v>
      </c>
    </row>
    <row r="62" spans="1:29" ht="13.5" customHeight="1" x14ac:dyDescent="0.25"/>
    <row r="63" spans="1:29" ht="13.5" customHeight="1" x14ac:dyDescent="0.25"/>
    <row r="64" spans="1:29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G18:J18"/>
    <mergeCell ref="A20:D20"/>
    <mergeCell ref="A44:D44"/>
    <mergeCell ref="M22:O22"/>
    <mergeCell ref="M28:O28"/>
    <mergeCell ref="A33:D33"/>
    <mergeCell ref="G46:J49"/>
    <mergeCell ref="G50:J53"/>
    <mergeCell ref="M53:N53"/>
    <mergeCell ref="G33:J33"/>
    <mergeCell ref="G34:J45"/>
  </mergeCells>
  <pageMargins left="0" right="0" top="0" bottom="0" header="0" footer="0"/>
  <pageSetup scale="84" orientation="portrait" cellComments="asDisplayed" r:id="rId1"/>
  <headerFooter>
    <oddFooter>&amp;L&amp;F&amp;RCreated: 10/22/21TG
Revised: 11/24/23AS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3D8-21A7-4AAF-8991-BF42D53F5C26}">
  <sheetPr>
    <tabColor rgb="FF92D050"/>
    <pageSetUpPr fitToPage="1"/>
  </sheetPr>
  <dimension ref="A1:AC79"/>
  <sheetViews>
    <sheetView showGridLines="0" tabSelected="1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6953125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1" width="2" style="2" customWidth="1"/>
    <col min="12" max="12" width="2.81640625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16384" width="9" style="1"/>
  </cols>
  <sheetData>
    <row r="1" spans="1:29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Plan'!L1</f>
        <v>45303</v>
      </c>
      <c r="N1" s="249"/>
      <c r="O1" s="249"/>
      <c r="T1" s="23"/>
    </row>
    <row r="2" spans="1:29" s="3" customFormat="1" ht="14.25" customHeight="1" x14ac:dyDescent="0.3">
      <c r="A2" s="257" t="s">
        <v>14</v>
      </c>
      <c r="B2" s="126"/>
      <c r="C2" s="250" t="s">
        <v>271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5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3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Plan'!L4=0,"",'Weekly Plan'!L4)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Plan'!L68=0,"",'Weekly Plan'!L68)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Plan'!L93=0,"",'Weekly Plan'!L93)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3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Plan'!L5=0,"",'Weekly Plan'!L5)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Plan'!L69=0,"",'Weekly Plan'!L69)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Plan'!L94=0,"",'Weekly Plan'!L94)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3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Plan'!L6=0,"",'Weekly Plan'!L6)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Plan'!L70=0,"",'Weekly Plan'!L70)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Plan'!L95=0,"",'Weekly Plan'!L95)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3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Plan'!L7=0,"",'Weekly Plan'!L7)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Plan'!L71=0,"",'Weekly Plan'!L71)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Plan'!L96=0,"",'Weekly Plan'!L96)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3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Plan'!L8=0,"",'Weekly Plan'!L8)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Plan'!L72=0,"",'Weekly Plan'!L72)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Plan'!L97=0,"",'Weekly Plan'!L97)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3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Plan'!L9=0,"",'Weekly Plan'!L9)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Plan'!L73=0,"",'Weekly Plan'!L73)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Plan'!L98=0,"",'Weekly Plan'!L98)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3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Plan'!L10=0,"",'Weekly Plan'!L10)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3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Plan'!L11=0,"",'Weekly Plan'!L11)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3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Plan'!L12=0,"",'Weekly Plan'!L12)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Plan'!L75=0,"",'Weekly Plan'!L75)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Plan'!L80=0,"",'Weekly Plan'!L80)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3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Plan'!L13=0,"",'Weekly Plan'!L13)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Plan'!L76=0,"",'Weekly Plan'!L76)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Plan'!L81=0,"",'Weekly Plan'!L81)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3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Plan'!L14=0,"",'Weekly Plan'!L14)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Plan'!L77=0,"",'Weekly Plan'!L77)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Plan'!L82=0,"",'Weekly Plan'!L82)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3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Plan'!L15=0,"",'Weekly Plan'!L15)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Plan'!L78=0,"",'Weekly Plan'!L78)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3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Plan'!L16=0,"",'Weekly Plan'!L16)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3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Plan'!L17=0,"",'Weekly Plan'!L17)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Plan'!L84=0,"",'Weekly Plan'!L84)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3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Plan'!L19=0,"",'Weekly Plan'!L19)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Plan'!L85=0,"",'Weekly Plan'!L85)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3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Plan'!L20=0,"",'Weekly Plan'!L20)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Plan'!L86=0,"",'Weekly Plan'!L86)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3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Plan'!L33=0,"",'Weekly Plan'!L33)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Plan'!L21=0,"",'Weekly Plan'!L21)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3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>
        <f>IF('Weekly Plan'!L34=0,"",'Weekly Plan'!L34)</f>
        <v>60</v>
      </c>
      <c r="E22" s="167">
        <f>'Weekly Plan'!A34</f>
        <v>2</v>
      </c>
      <c r="F22" s="167">
        <f t="shared" si="3"/>
        <v>30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Plan'!L22=0,"",'Weekly Plan'!L22)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3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>
        <f>IF('Weekly Plan'!L35=0,"",'Weekly Plan'!L35)</f>
        <v>42</v>
      </c>
      <c r="E23" s="167">
        <f>'Weekly Plan'!A35</f>
        <v>2</v>
      </c>
      <c r="F23" s="167">
        <f t="shared" si="3"/>
        <v>21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Plan'!L23=0,"",'Weekly Plan'!L23)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Plan'!L88=0,"",'Weekly Plan'!L88)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3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Plan'!L36=0,"",'Weekly Plan'!L36)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Plan'!L24=0,"",'Weekly Plan'!L24)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Plan'!L89=0,"",'Weekly Plan'!L89)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3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>
        <f>IF('Weekly Plan'!L37=0,"",'Weekly Plan'!L37)</f>
        <v>20</v>
      </c>
      <c r="E25" s="167">
        <f>'Weekly Plan'!A37</f>
        <v>2</v>
      </c>
      <c r="F25" s="167">
        <f t="shared" si="3"/>
        <v>10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Plan'!L25=0,"",'Weekly Plan'!L25)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Plan'!L90=0,"",'Weekly Plan'!L90)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3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Plan'!L38=0,"",'Weekly Plan'!L38)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Plan'!L26=0,"",'Weekly Plan'!L26)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Plan'!L91=0,"",'Weekly Plan'!L91)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3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Plan'!L39=0,"",'Weekly Plan'!L39)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Plan'!L27=0,"",'Weekly Plan'!L27)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3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>
        <f>IF('Weekly Plan'!L40=0,"",'Weekly Plan'!L40)</f>
        <v>20</v>
      </c>
      <c r="E28" s="167">
        <f>'Weekly Plan'!A40</f>
        <v>2</v>
      </c>
      <c r="F28" s="167">
        <f t="shared" si="3"/>
        <v>10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Plan'!L28=0,"",'Weekly Plan'!L28)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3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>
        <f>IF('Weekly Plan'!L41=0,"",'Weekly Plan'!L41)</f>
        <v>64</v>
      </c>
      <c r="E29" s="167">
        <f>'Weekly Plan'!A41</f>
        <v>8</v>
      </c>
      <c r="F29" s="167">
        <f t="shared" si="3"/>
        <v>8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Plan'!L29=0,"",'Weekly Plan'!L29)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>
        <f>IF('Weekly Plan'!L100=0,"",'Weekly Plan'!L100)</f>
        <v>240</v>
      </c>
      <c r="P29" s="4">
        <f>'Weekly Plan'!A100</f>
        <v>6</v>
      </c>
      <c r="Q29" s="4">
        <f t="shared" si="4"/>
        <v>40</v>
      </c>
      <c r="R29" s="2">
        <v>21</v>
      </c>
      <c r="AC29" s="2"/>
    </row>
    <row r="30" spans="1:29" ht="15" customHeight="1" x14ac:dyDescent="0.3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Plan'!L42=0,"",'Weekly Plan'!L42)</f>
        <v/>
      </c>
      <c r="E30" s="167">
        <f>'Weekly Plan'!A42</f>
        <v>6</v>
      </c>
      <c r="F30" s="167">
        <f t="shared" ref="F30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Plan'!L30=0,"",'Weekly Plan'!L30)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>
        <f>IF('Weekly Plan'!L101=0,"",'Weekly Plan'!L101)</f>
        <v>360</v>
      </c>
      <c r="P30" s="4">
        <f>'Weekly Plan'!A101</f>
        <v>6</v>
      </c>
      <c r="Q30" s="4">
        <f t="shared" si="4"/>
        <v>60</v>
      </c>
      <c r="R30" s="4"/>
      <c r="S30" s="4"/>
      <c r="AC30" s="4">
        <v>1</v>
      </c>
    </row>
    <row r="31" spans="1:29" ht="15" customHeight="1" thickBot="1" x14ac:dyDescent="0.3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Plan'!L43=0,"",'Weekly Plan'!L43)</f>
        <v/>
      </c>
      <c r="E31" s="167">
        <f>'Weekly Plan'!A43</f>
        <v>6</v>
      </c>
      <c r="F31" s="167">
        <f t="shared" ref="F31" si="6">IFERROR(D31/E31,0)</f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Plan'!L31=0,"",'Weekly Plan'!L31)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Plan'!L102=0,"",'Weekly Plan'!L102)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3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Plan'!L103=0,"",'Weekly Plan'!L103)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3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7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3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Plan'!L45=0,"",'Weekly Plan'!L45)</f>
        <v/>
      </c>
      <c r="E34" s="167">
        <f>'Weekly Plan'!A46</f>
        <v>3.4285745454545458</v>
      </c>
      <c r="F34" s="167">
        <f t="shared" si="7"/>
        <v>0</v>
      </c>
      <c r="G34" s="299" t="s">
        <v>272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3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Plan'!L46=0,"",'Weekly Plan'!L46)</f>
        <v/>
      </c>
      <c r="E35" s="167">
        <f>'Weekly Plan'!A47</f>
        <v>1.2000000000000002</v>
      </c>
      <c r="F35" s="167">
        <f t="shared" si="7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3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Plan'!L47=0,"",'Weekly Plan'!L47)</f>
        <v/>
      </c>
      <c r="E36" s="167">
        <f>'Weekly Plan'!A48</f>
        <v>1.2000000000000002</v>
      </c>
      <c r="F36" s="167">
        <f t="shared" si="7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3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Plan'!L48=0,"",'Weekly Plan'!L48)</f>
        <v/>
      </c>
      <c r="E37" s="167">
        <f>'Weekly Plan'!A49</f>
        <v>1.2000000000000002</v>
      </c>
      <c r="F37" s="167">
        <f t="shared" si="7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79</v>
      </c>
      <c r="O37" s="191"/>
      <c r="Q37" s="4"/>
      <c r="R37" s="4"/>
      <c r="S37" s="4"/>
      <c r="AC37" s="4">
        <v>1</v>
      </c>
    </row>
    <row r="38" spans="1:29" ht="15" customHeight="1" x14ac:dyDescent="0.3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Plan'!L49=0,"",'Weekly Plan'!L49)</f>
        <v/>
      </c>
      <c r="E38" s="167">
        <f>'Weekly Plan'!A50</f>
        <v>2.4000000000000004</v>
      </c>
      <c r="F38" s="167">
        <f t="shared" si="7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3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Plan'!L50=0,"",'Weekly Plan'!L50)</f>
        <v/>
      </c>
      <c r="E39" s="167">
        <f>'Weekly Plan'!A51</f>
        <v>2.4000000000000004</v>
      </c>
      <c r="F39" s="167">
        <f t="shared" si="7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3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Plan'!L51=0,"",'Weekly Plan'!L51)</f>
        <v/>
      </c>
      <c r="E40" s="167">
        <f>'Weekly Plan'!A52</f>
        <v>1.2000000000000002</v>
      </c>
      <c r="F40" s="167">
        <f t="shared" si="7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3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Plan'!L52=0,"",'Weekly Plan'!L52)</f>
        <v/>
      </c>
      <c r="E41" s="167">
        <f>'Weekly Plan'!A53</f>
        <v>3.4285745454545458</v>
      </c>
      <c r="F41" s="167">
        <f t="shared" si="7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3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Plan'!L53=0,"",'Weekly Plan'!L53)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3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3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8"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3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Plan'!L55=0,"",'Weekly Plan'!L55)</f>
        <v/>
      </c>
      <c r="E45" s="167">
        <f>'Weekly Plan'!A55</f>
        <v>2</v>
      </c>
      <c r="F45" s="167">
        <f t="shared" si="8"/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3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Plan'!L56=0,"",'Weekly Plan'!L56)</f>
        <v/>
      </c>
      <c r="E46" s="167">
        <f>'Weekly Plan'!A56</f>
        <v>2</v>
      </c>
      <c r="F46" s="167">
        <f t="shared" ref="F46:F56" si="9">IFERROR(D47/E46,0)</f>
        <v>0</v>
      </c>
      <c r="G46" s="269"/>
      <c r="H46" s="305"/>
      <c r="I46" s="305"/>
      <c r="J46" s="306"/>
      <c r="K46" s="167"/>
      <c r="L46" s="167"/>
      <c r="M46" s="192" t="str">
        <f>M28</f>
        <v>Tesla - High Gloss Black</v>
      </c>
      <c r="N46" s="190">
        <f>SUM(Q29:Q32)</f>
        <v>100</v>
      </c>
      <c r="O46" s="185"/>
      <c r="R46" s="4"/>
      <c r="S46" s="4"/>
      <c r="AC46" s="4">
        <v>1</v>
      </c>
    </row>
    <row r="47" spans="1:29" ht="15" customHeight="1" x14ac:dyDescent="0.3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Plan'!L57=0,"",'Weekly Plan'!L57)</f>
        <v/>
      </c>
      <c r="E47" s="167">
        <f>'Weekly Plan'!A57</f>
        <v>1</v>
      </c>
      <c r="F47" s="167">
        <f t="shared" si="9"/>
        <v>0</v>
      </c>
      <c r="G47" s="307"/>
      <c r="H47" s="305"/>
      <c r="I47" s="305"/>
      <c r="J47" s="306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3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Plan'!L58=0,"",'Weekly Plan'!L58)</f>
        <v/>
      </c>
      <c r="E48" s="167">
        <f>'Weekly Plan'!A58</f>
        <v>1</v>
      </c>
      <c r="F48" s="167">
        <f t="shared" si="9"/>
        <v>0</v>
      </c>
      <c r="G48" s="307"/>
      <c r="H48" s="305"/>
      <c r="I48" s="305"/>
      <c r="J48" s="306"/>
      <c r="K48" s="167"/>
      <c r="L48" s="167"/>
      <c r="M48" s="189"/>
      <c r="N48" s="190"/>
      <c r="O48" s="185"/>
      <c r="AC48" s="2">
        <v>2</v>
      </c>
    </row>
    <row r="49" spans="1:29" ht="15" customHeight="1" x14ac:dyDescent="0.3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Plan'!L59=0,"",'Weekly Plan'!L59)</f>
        <v/>
      </c>
      <c r="E49" s="167">
        <f>'Weekly Plan'!A59</f>
        <v>2</v>
      </c>
      <c r="F49" s="167">
        <f t="shared" si="9"/>
        <v>0</v>
      </c>
      <c r="G49" s="307"/>
      <c r="H49" s="305"/>
      <c r="I49" s="305"/>
      <c r="J49" s="306"/>
      <c r="K49" s="167"/>
      <c r="L49" s="167"/>
      <c r="M49" s="189"/>
      <c r="N49" s="190"/>
      <c r="O49" s="185"/>
      <c r="AC49" s="2">
        <v>1</v>
      </c>
    </row>
    <row r="50" spans="1:29" ht="15" customHeight="1" x14ac:dyDescent="0.3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Plan'!L60=0,"",'Weekly Plan'!L60)</f>
        <v/>
      </c>
      <c r="E50" s="167">
        <f>'Weekly Plan'!A60</f>
        <v>2</v>
      </c>
      <c r="F50" s="167">
        <f t="shared" si="9"/>
        <v>0</v>
      </c>
      <c r="G50" s="275"/>
      <c r="H50" s="273"/>
      <c r="I50" s="273"/>
      <c r="J50" s="274"/>
      <c r="K50" s="167"/>
      <c r="L50" s="167"/>
      <c r="M50" s="193" t="s">
        <v>165</v>
      </c>
      <c r="N50" s="194">
        <f>SUM(N36:N49)</f>
        <v>179</v>
      </c>
      <c r="O50" s="185"/>
      <c r="R50" s="4"/>
      <c r="S50" s="4"/>
      <c r="AC50" s="4">
        <v>1</v>
      </c>
    </row>
    <row r="51" spans="1:29" ht="15" customHeight="1" x14ac:dyDescent="0.3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Plan'!L61=0,"",'Weekly Plan'!L61)</f>
        <v/>
      </c>
      <c r="E51" s="167">
        <f>'Weekly Plan'!A61</f>
        <v>1</v>
      </c>
      <c r="F51" s="167">
        <f t="shared" si="9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3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Plan'!L62=0,"",'Weekly Plan'!L62)</f>
        <v/>
      </c>
      <c r="E52" s="167">
        <f>'Weekly Plan'!A62</f>
        <v>2</v>
      </c>
      <c r="F52" s="167">
        <f t="shared" si="9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12</v>
      </c>
      <c r="O52" s="185"/>
      <c r="R52" s="4"/>
      <c r="S52" s="4"/>
      <c r="AC52" s="4">
        <v>2</v>
      </c>
    </row>
    <row r="53" spans="1:29" ht="15" customHeight="1" thickBot="1" x14ac:dyDescent="0.3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Plan'!L63=0,"",'Weekly Plan'!L63)</f>
        <v/>
      </c>
      <c r="E53" s="167">
        <f>'Weekly Plan'!A63</f>
        <v>2</v>
      </c>
      <c r="F53" s="167">
        <f t="shared" si="9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3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Plan'!L64=0,"",'Weekly Plan'!L64)</f>
        <v/>
      </c>
      <c r="E54" s="167">
        <f>'Weekly Plan'!A64</f>
        <v>1</v>
      </c>
      <c r="F54" s="167">
        <f t="shared" si="9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3.1833333333333331</v>
      </c>
      <c r="O54" s="185"/>
      <c r="AC54" s="2">
        <v>4</v>
      </c>
    </row>
    <row r="55" spans="1:29" ht="15" customHeight="1" x14ac:dyDescent="0.3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Plan'!L65=0,"",'Weekly Plan'!L65)</f>
        <v/>
      </c>
      <c r="E55" s="167">
        <f>'Weekly Plan'!A65</f>
        <v>1</v>
      </c>
      <c r="F55" s="167">
        <f t="shared" si="9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3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Plan'!L66=0,"",'Weekly Plan'!L66)</f>
        <v/>
      </c>
      <c r="E56" s="167">
        <f>'Weekly Plan'!A66</f>
        <v>1</v>
      </c>
      <c r="F56" s="167">
        <f t="shared" si="9"/>
        <v>0</v>
      </c>
      <c r="K56" s="4"/>
      <c r="L56" s="4"/>
      <c r="AC56" s="2">
        <v>1</v>
      </c>
    </row>
    <row r="57" spans="1:29" ht="13.5" customHeight="1" x14ac:dyDescent="0.25">
      <c r="K57" s="4"/>
      <c r="L57" s="4"/>
      <c r="AC57" s="2">
        <v>1</v>
      </c>
    </row>
    <row r="58" spans="1:29" ht="13.5" customHeight="1" x14ac:dyDescent="0.25">
      <c r="K58" s="4"/>
      <c r="L58" s="4"/>
      <c r="AC58" s="2">
        <v>1</v>
      </c>
    </row>
    <row r="59" spans="1:29" ht="13.5" customHeight="1" x14ac:dyDescent="0.25">
      <c r="K59" s="4"/>
      <c r="L59" s="4"/>
      <c r="AC59" s="2">
        <v>4</v>
      </c>
    </row>
    <row r="60" spans="1:29" ht="13.5" customHeight="1" x14ac:dyDescent="0.25">
      <c r="K60" s="4"/>
      <c r="L60" s="4"/>
      <c r="AC60" s="2">
        <v>2</v>
      </c>
    </row>
    <row r="61" spans="1:29" ht="13.5" customHeight="1" x14ac:dyDescent="0.25">
      <c r="K61" s="4"/>
      <c r="L61" s="4"/>
      <c r="AC61" s="2">
        <v>1</v>
      </c>
    </row>
    <row r="62" spans="1:29" ht="13.5" customHeight="1" x14ac:dyDescent="0.25"/>
    <row r="63" spans="1:29" ht="13.5" customHeight="1" x14ac:dyDescent="0.25"/>
    <row r="64" spans="1:29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G33:J33"/>
    <mergeCell ref="G18:J18"/>
    <mergeCell ref="A20:D20"/>
    <mergeCell ref="M22:O22"/>
    <mergeCell ref="M28:O28"/>
    <mergeCell ref="A33:D33"/>
    <mergeCell ref="G34:J45"/>
    <mergeCell ref="A44:D44"/>
    <mergeCell ref="G46:J49"/>
    <mergeCell ref="G50:J53"/>
    <mergeCell ref="M53:N53"/>
  </mergeCells>
  <pageMargins left="0" right="0" top="0" bottom="0" header="0" footer="0"/>
  <pageSetup scale="83" orientation="portrait" cellComments="asDisplayed" r:id="rId1"/>
  <headerFooter>
    <oddFooter>&amp;L&amp;F&amp;RCreated: 10/22/21TG
Revised: 11/24/23AS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28F-C68C-495D-BD06-037E570E28CC}">
  <sheetPr>
    <tabColor rgb="FF92D050"/>
    <pageSetUpPr fitToPage="1"/>
  </sheetPr>
  <dimension ref="A1:AS79"/>
  <sheetViews>
    <sheetView showGridLines="0" tabSelected="1" zoomScale="85" zoomScaleNormal="85" workbookViewId="0">
      <selection activeCell="Q58" sqref="Q58"/>
    </sheetView>
  </sheetViews>
  <sheetFormatPr defaultColWidth="9" defaultRowHeight="12.5" x14ac:dyDescent="0.25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2" style="2" customWidth="1"/>
    <col min="7" max="7" width="15.81640625" style="1" bestFit="1" customWidth="1"/>
    <col min="8" max="8" width="13.81640625" style="1" hidden="1" customWidth="1"/>
    <col min="9" max="9" width="21" style="1" bestFit="1" customWidth="1"/>
    <col min="10" max="10" width="4.81640625" style="1" customWidth="1"/>
    <col min="11" max="12" width="2" style="2" customWidth="1"/>
    <col min="13" max="13" width="15.81640625" style="1" bestFit="1" customWidth="1"/>
    <col min="14" max="14" width="16" style="1" customWidth="1"/>
    <col min="15" max="15" width="5.81640625" style="1" customWidth="1"/>
    <col min="16" max="16" width="2" style="2" customWidth="1"/>
    <col min="17" max="17" width="2.54296875" style="2" customWidth="1"/>
    <col min="18" max="18" width="5" style="2" customWidth="1"/>
    <col min="19" max="19" width="21.26953125" style="2" customWidth="1"/>
    <col min="20" max="20" width="26.54296875" style="1" bestFit="1" customWidth="1"/>
    <col min="21" max="28" width="10.81640625" style="1" customWidth="1"/>
    <col min="29" max="31" width="9" style="1"/>
    <col min="32" max="32" width="10" style="1" bestFit="1" customWidth="1"/>
    <col min="33" max="33" width="11.81640625" style="1" bestFit="1" customWidth="1"/>
    <col min="34" max="34" width="20" style="1" bestFit="1" customWidth="1"/>
    <col min="35" max="36" width="9" style="1"/>
    <col min="37" max="37" width="9" style="1" bestFit="1" customWidth="1"/>
    <col min="38" max="38" width="13.26953125" style="1" bestFit="1" customWidth="1"/>
    <col min="39" max="39" width="20.26953125" style="1" bestFit="1" customWidth="1"/>
    <col min="40" max="41" width="9" style="1"/>
    <col min="42" max="42" width="7.54296875" style="1" bestFit="1" customWidth="1"/>
    <col min="43" max="43" width="13.54296875" style="1" bestFit="1" customWidth="1"/>
    <col min="44" max="44" width="15.81640625" style="1" bestFit="1" customWidth="1"/>
    <col min="45" max="16384" width="9" style="1"/>
  </cols>
  <sheetData>
    <row r="1" spans="1:45" ht="14.25" customHeight="1" x14ac:dyDescent="0.3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Plan'!M1</f>
        <v>45304</v>
      </c>
      <c r="N1" s="249"/>
      <c r="O1" s="249"/>
      <c r="T1" s="23"/>
    </row>
    <row r="2" spans="1:45" s="3" customFormat="1" ht="15" customHeight="1" x14ac:dyDescent="0.3">
      <c r="A2" s="257" t="s">
        <v>14</v>
      </c>
      <c r="B2" s="126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45" s="3" customFormat="1" ht="15" customHeight="1" thickBot="1" x14ac:dyDescent="0.3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45" ht="13.5" customHeight="1" thickBot="1" x14ac:dyDescent="0.3">
      <c r="A4" s="352" t="s">
        <v>54</v>
      </c>
      <c r="B4" s="315"/>
      <c r="C4" s="315"/>
      <c r="D4" s="353"/>
      <c r="E4" s="4"/>
      <c r="F4" s="4"/>
      <c r="G4" s="254" t="s">
        <v>252</v>
      </c>
      <c r="H4" s="255"/>
      <c r="I4" s="255"/>
      <c r="J4" s="256"/>
      <c r="K4" s="4"/>
      <c r="L4" s="4"/>
      <c r="M4" s="357" t="s">
        <v>143</v>
      </c>
      <c r="N4" s="358"/>
      <c r="O4" s="359"/>
      <c r="P4" s="5"/>
      <c r="Q4" s="161"/>
      <c r="R4" s="5"/>
      <c r="W4" s="53"/>
      <c r="X4" s="53"/>
      <c r="Y4" s="53"/>
      <c r="Z4" s="53"/>
      <c r="AA4" s="53"/>
      <c r="AB4" s="53"/>
      <c r="AC4" s="5"/>
      <c r="AF4" s="360" t="s">
        <v>107</v>
      </c>
      <c r="AG4" s="318"/>
      <c r="AH4" s="318"/>
      <c r="AI4" s="368"/>
      <c r="AJ4" s="4"/>
      <c r="AK4" s="369" t="s">
        <v>149</v>
      </c>
      <c r="AL4" s="370"/>
      <c r="AM4" s="370"/>
      <c r="AN4" s="371"/>
      <c r="AO4" s="4"/>
      <c r="AP4" s="372" t="s">
        <v>143</v>
      </c>
      <c r="AQ4" s="373"/>
      <c r="AR4" s="373"/>
      <c r="AS4" s="374"/>
    </row>
    <row r="5" spans="1:45" ht="13.5" customHeight="1" x14ac:dyDescent="0.3">
      <c r="A5" s="129">
        <f>'Weekly Plan'!F4</f>
        <v>705014100</v>
      </c>
      <c r="B5" s="146" t="s">
        <v>54</v>
      </c>
      <c r="C5" s="147" t="str">
        <f>'Weekly Plan'!G4</f>
        <v>LH Upper Fairing</v>
      </c>
      <c r="D5" s="128" t="str">
        <f>IF('Weekly Plan'!M4=0,"",'Weekly Plan'!M4)</f>
        <v/>
      </c>
      <c r="E5" s="4">
        <f>'Weekly Plan'!A4</f>
        <v>2</v>
      </c>
      <c r="F5" s="4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Plan'!M68=0,"",'Weekly Plan'!M68)</f>
        <v/>
      </c>
      <c r="K5" s="4">
        <f>'Weekly Plan'!A68</f>
        <v>2</v>
      </c>
      <c r="L5" s="4">
        <f>IFERROR(J5/K5,0)</f>
        <v>0</v>
      </c>
      <c r="M5" s="131">
        <f>'Weekly Plan'!F93</f>
        <v>80931</v>
      </c>
      <c r="N5" s="127" t="str">
        <f>'Weekly Plan'!G93</f>
        <v>Black - LH</v>
      </c>
      <c r="O5" s="128" t="str">
        <f>IF('Weekly Plan'!M93=0,"",'Weekly Plan'!M93)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  <c r="AF5" s="43">
        <v>705012348</v>
      </c>
      <c r="AG5" s="59" t="s">
        <v>54</v>
      </c>
      <c r="AH5" s="54" t="s">
        <v>152</v>
      </c>
      <c r="AI5" s="91">
        <f>IFERROR(#REF!/#REF!,0)</f>
        <v>0</v>
      </c>
      <c r="AJ5" s="4"/>
      <c r="AK5" s="17"/>
      <c r="AL5" s="62" t="s">
        <v>129</v>
      </c>
      <c r="AM5" s="15" t="s">
        <v>166</v>
      </c>
      <c r="AN5" s="13">
        <f t="shared" ref="AN5:AN16" si="1">IFERROR(J5/K5,0)</f>
        <v>0</v>
      </c>
      <c r="AO5" s="4"/>
      <c r="AP5" s="69">
        <v>80931</v>
      </c>
      <c r="AQ5" s="70" t="s">
        <v>150</v>
      </c>
      <c r="AR5" s="82" t="s">
        <v>145</v>
      </c>
      <c r="AS5" s="84">
        <f>IFERROR(O5/P5,0)</f>
        <v>0</v>
      </c>
    </row>
    <row r="6" spans="1:45" ht="13.5" customHeight="1" x14ac:dyDescent="0.3">
      <c r="A6" s="129">
        <f>'Weekly Plan'!F5</f>
        <v>705014101</v>
      </c>
      <c r="B6" s="146" t="s">
        <v>54</v>
      </c>
      <c r="C6" s="147" t="str">
        <f>'Weekly Plan'!G5</f>
        <v>RH Upper Fairing</v>
      </c>
      <c r="D6" s="128" t="str">
        <f>IF('Weekly Plan'!M5=0,"",'Weekly Plan'!M5)</f>
        <v/>
      </c>
      <c r="E6" s="4">
        <f>'Weekly Plan'!A5</f>
        <v>2</v>
      </c>
      <c r="F6" s="4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Plan'!M69=0,"",'Weekly Plan'!M69)</f>
        <v/>
      </c>
      <c r="K6" s="4">
        <f>'Weekly Plan'!A69</f>
        <v>20</v>
      </c>
      <c r="L6" s="4">
        <f t="shared" ref="L6:L31" si="2">IFERROR(J6/K6,0)</f>
        <v>0</v>
      </c>
      <c r="M6" s="131">
        <f>'Weekly Plan'!F94</f>
        <v>80930</v>
      </c>
      <c r="N6" s="127" t="str">
        <f>'Weekly Plan'!G94</f>
        <v>Black - RH</v>
      </c>
      <c r="O6" s="128" t="str">
        <f>IF('Weekly Plan'!M94=0,"",'Weekly Plan'!M94)</f>
        <v/>
      </c>
      <c r="P6" s="4">
        <f>'Weekly Plan'!A94</f>
        <v>2</v>
      </c>
      <c r="Q6" s="4">
        <f t="shared" ref="Q6:Q20" si="3">IFERROR(O6/P6,0)</f>
        <v>0</v>
      </c>
      <c r="W6" s="25"/>
      <c r="X6" s="25"/>
      <c r="Y6" s="25"/>
      <c r="Z6" s="25"/>
      <c r="AA6" s="25"/>
      <c r="AB6" s="25"/>
      <c r="AC6" s="4">
        <v>4</v>
      </c>
      <c r="AF6" s="44">
        <v>705012350</v>
      </c>
      <c r="AG6" s="60" t="s">
        <v>54</v>
      </c>
      <c r="AH6" s="55" t="s">
        <v>153</v>
      </c>
      <c r="AI6" s="92">
        <f>IFERROR(#REF!/#REF!,0)</f>
        <v>0</v>
      </c>
      <c r="AJ6" s="4"/>
      <c r="AK6" s="17"/>
      <c r="AL6" s="62" t="s">
        <v>129</v>
      </c>
      <c r="AM6" s="15" t="s">
        <v>167</v>
      </c>
      <c r="AN6" s="13">
        <f t="shared" si="1"/>
        <v>0</v>
      </c>
      <c r="AO6" s="4"/>
      <c r="AP6" s="24">
        <v>80930</v>
      </c>
      <c r="AQ6" s="20" t="s">
        <v>150</v>
      </c>
      <c r="AR6" s="15" t="s">
        <v>144</v>
      </c>
      <c r="AS6" s="13">
        <f t="shared" ref="AS6:AS10" si="4">IFERROR(O6/P6,0)</f>
        <v>0</v>
      </c>
    </row>
    <row r="7" spans="1:45" ht="13.5" customHeight="1" x14ac:dyDescent="0.3">
      <c r="A7" s="129">
        <f>'Weekly Plan'!F6</f>
        <v>705012976</v>
      </c>
      <c r="B7" s="146" t="s">
        <v>54</v>
      </c>
      <c r="C7" s="147" t="str">
        <f>'Weekly Plan'!G6</f>
        <v>LH Fender</v>
      </c>
      <c r="D7" s="128" t="str">
        <f>IF('Weekly Plan'!M6=0,"",'Weekly Plan'!M6)</f>
        <v/>
      </c>
      <c r="E7" s="4">
        <f>'Weekly Plan'!A6</f>
        <v>2</v>
      </c>
      <c r="F7" s="4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Plan'!M70=0,"",'Weekly Plan'!M70)</f>
        <v/>
      </c>
      <c r="K7" s="4">
        <f>'Weekly Plan'!A70</f>
        <v>20</v>
      </c>
      <c r="L7" s="4">
        <f t="shared" si="2"/>
        <v>0</v>
      </c>
      <c r="M7" s="131">
        <f>'Weekly Plan'!F95</f>
        <v>80933</v>
      </c>
      <c r="N7" s="127" t="str">
        <f>'Weekly Plan'!G95</f>
        <v>Red - LH</v>
      </c>
      <c r="O7" s="128" t="str">
        <f>IF('Weekly Plan'!M95=0,"",'Weekly Plan'!M95)</f>
        <v/>
      </c>
      <c r="P7" s="4">
        <f>'Weekly Plan'!A95</f>
        <v>2</v>
      </c>
      <c r="Q7" s="4">
        <f t="shared" si="3"/>
        <v>0</v>
      </c>
      <c r="W7" s="25"/>
      <c r="X7" s="25"/>
      <c r="Y7" s="25"/>
      <c r="Z7" s="25"/>
      <c r="AA7" s="25"/>
      <c r="AB7" s="25"/>
      <c r="AC7" s="4">
        <v>4</v>
      </c>
      <c r="AF7" s="44">
        <v>705012868</v>
      </c>
      <c r="AG7" s="60" t="s">
        <v>54</v>
      </c>
      <c r="AH7" s="55" t="s">
        <v>58</v>
      </c>
      <c r="AI7" s="92">
        <f t="shared" ref="AI7:AI20" si="5">IFERROR(D5/E5,0)</f>
        <v>0</v>
      </c>
      <c r="AJ7" s="4"/>
      <c r="AK7" s="17"/>
      <c r="AL7" s="62" t="s">
        <v>129</v>
      </c>
      <c r="AM7" s="15" t="s">
        <v>168</v>
      </c>
      <c r="AN7" s="13">
        <f t="shared" si="1"/>
        <v>0</v>
      </c>
      <c r="AO7" s="4"/>
      <c r="AP7" s="24">
        <v>80933</v>
      </c>
      <c r="AQ7" s="20" t="s">
        <v>150</v>
      </c>
      <c r="AR7" s="15" t="s">
        <v>147</v>
      </c>
      <c r="AS7" s="13">
        <f t="shared" si="4"/>
        <v>0</v>
      </c>
    </row>
    <row r="8" spans="1:45" ht="13.5" customHeight="1" x14ac:dyDescent="0.3">
      <c r="A8" s="129">
        <f>'Weekly Plan'!F7</f>
        <v>705012868</v>
      </c>
      <c r="B8" s="146" t="s">
        <v>54</v>
      </c>
      <c r="C8" s="147" t="str">
        <f>'Weekly Plan'!G7</f>
        <v>RH Fender</v>
      </c>
      <c r="D8" s="128" t="str">
        <f>IF('Weekly Plan'!M7=0,"",'Weekly Plan'!M7)</f>
        <v/>
      </c>
      <c r="E8" s="4">
        <f>'Weekly Plan'!A7</f>
        <v>2</v>
      </c>
      <c r="F8" s="4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Plan'!M71=0,"",'Weekly Plan'!M71)</f>
        <v/>
      </c>
      <c r="K8" s="4">
        <f>'Weekly Plan'!A71</f>
        <v>6</v>
      </c>
      <c r="L8" s="4">
        <f t="shared" si="2"/>
        <v>0</v>
      </c>
      <c r="M8" s="131">
        <f>'Weekly Plan'!F96</f>
        <v>80932</v>
      </c>
      <c r="N8" s="127" t="str">
        <f>'Weekly Plan'!G96</f>
        <v>Red - RH</v>
      </c>
      <c r="O8" s="128" t="str">
        <f>IF('Weekly Plan'!M96=0,"",'Weekly Plan'!M96)</f>
        <v/>
      </c>
      <c r="P8" s="4">
        <f>'Weekly Plan'!A96</f>
        <v>2</v>
      </c>
      <c r="Q8" s="4">
        <f t="shared" si="3"/>
        <v>0</v>
      </c>
      <c r="R8" s="4"/>
      <c r="W8" s="25"/>
      <c r="X8" s="25"/>
      <c r="Y8" s="25"/>
      <c r="Z8" s="25"/>
      <c r="AA8" s="25"/>
      <c r="AB8" s="25"/>
      <c r="AC8" s="4">
        <v>1</v>
      </c>
      <c r="AF8" s="44">
        <v>705012976</v>
      </c>
      <c r="AG8" s="60" t="s">
        <v>54</v>
      </c>
      <c r="AH8" s="55" t="s">
        <v>57</v>
      </c>
      <c r="AI8" s="92">
        <f t="shared" si="5"/>
        <v>0</v>
      </c>
      <c r="AJ8" s="4"/>
      <c r="AK8" s="17"/>
      <c r="AL8" s="62" t="s">
        <v>129</v>
      </c>
      <c r="AM8" s="15" t="s">
        <v>169</v>
      </c>
      <c r="AN8" s="13">
        <f t="shared" si="1"/>
        <v>0</v>
      </c>
      <c r="AO8" s="4"/>
      <c r="AP8" s="24">
        <v>80932</v>
      </c>
      <c r="AQ8" s="20" t="s">
        <v>150</v>
      </c>
      <c r="AR8" s="15" t="s">
        <v>146</v>
      </c>
      <c r="AS8" s="13">
        <f t="shared" si="4"/>
        <v>0</v>
      </c>
    </row>
    <row r="9" spans="1:45" ht="13.5" customHeight="1" x14ac:dyDescent="0.3">
      <c r="A9" s="129">
        <f>'Weekly Plan'!F8</f>
        <v>708003041</v>
      </c>
      <c r="B9" s="146" t="s">
        <v>54</v>
      </c>
      <c r="C9" s="147" t="str">
        <f>'Weekly Plan'!G8</f>
        <v>Rear Fairing</v>
      </c>
      <c r="D9" s="128" t="str">
        <f>IF('Weekly Plan'!M8=0,"",'Weekly Plan'!M8)</f>
        <v/>
      </c>
      <c r="E9" s="4">
        <f>'Weekly Plan'!A8</f>
        <v>2</v>
      </c>
      <c r="F9" s="4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Plan'!M72=0,"",'Weekly Plan'!M72)</f>
        <v/>
      </c>
      <c r="K9" s="4">
        <f>'Weekly Plan'!A72</f>
        <v>6</v>
      </c>
      <c r="L9" s="4">
        <f t="shared" si="2"/>
        <v>0</v>
      </c>
      <c r="M9" s="131" t="str">
        <f>'Weekly Plan'!F97</f>
        <v>Other</v>
      </c>
      <c r="N9" s="127" t="str">
        <f>'Weekly Plan'!G97</f>
        <v>White - LH</v>
      </c>
      <c r="O9" s="128" t="str">
        <f>IF('Weekly Plan'!M97=0,"",'Weekly Plan'!M97)</f>
        <v/>
      </c>
      <c r="P9" s="4">
        <f>'Weekly Plan'!A97</f>
        <v>2</v>
      </c>
      <c r="Q9" s="4">
        <f t="shared" si="3"/>
        <v>0</v>
      </c>
      <c r="R9" s="4"/>
      <c r="W9" s="25"/>
      <c r="X9" s="25"/>
      <c r="Y9" s="25"/>
      <c r="Z9" s="25"/>
      <c r="AA9" s="25"/>
      <c r="AB9" s="25"/>
      <c r="AC9" s="4">
        <v>1</v>
      </c>
      <c r="AF9" s="44">
        <v>705014100</v>
      </c>
      <c r="AG9" s="60" t="s">
        <v>54</v>
      </c>
      <c r="AH9" s="55" t="s">
        <v>76</v>
      </c>
      <c r="AI9" s="92">
        <f t="shared" si="5"/>
        <v>0</v>
      </c>
      <c r="AJ9" s="4"/>
      <c r="AK9" s="17"/>
      <c r="AL9" s="62" t="s">
        <v>129</v>
      </c>
      <c r="AM9" s="15" t="s">
        <v>170</v>
      </c>
      <c r="AN9" s="13">
        <f t="shared" si="1"/>
        <v>0</v>
      </c>
      <c r="AO9" s="4"/>
      <c r="AP9" s="24" t="s">
        <v>148</v>
      </c>
      <c r="AQ9" s="20" t="s">
        <v>150</v>
      </c>
      <c r="AR9" s="85"/>
      <c r="AS9" s="13">
        <f t="shared" si="4"/>
        <v>0</v>
      </c>
    </row>
    <row r="10" spans="1:45" ht="13.5" customHeight="1" thickBot="1" x14ac:dyDescent="0.35">
      <c r="A10" s="129">
        <f>'Weekly Plan'!F9</f>
        <v>708200870</v>
      </c>
      <c r="B10" s="146" t="s">
        <v>54</v>
      </c>
      <c r="C10" s="147" t="str">
        <f>'Weekly Plan'!G9</f>
        <v>LH Front Fairing</v>
      </c>
      <c r="D10" s="128" t="str">
        <f>IF('Weekly Plan'!M9=0,"",'Weekly Plan'!M9)</f>
        <v/>
      </c>
      <c r="E10" s="4">
        <f>'Weekly Plan'!A9</f>
        <v>1</v>
      </c>
      <c r="F10" s="4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Plan'!M73=0,"",'Weekly Plan'!M73)</f>
        <v/>
      </c>
      <c r="K10" s="4">
        <f>'Weekly Plan'!A73</f>
        <v>20</v>
      </c>
      <c r="L10" s="4">
        <f t="shared" si="2"/>
        <v>0</v>
      </c>
      <c r="M10" s="133" t="str">
        <f>'Weekly Plan'!F98</f>
        <v>Other</v>
      </c>
      <c r="N10" s="140" t="str">
        <f>'Weekly Plan'!G98</f>
        <v>White - RH</v>
      </c>
      <c r="O10" s="135" t="str">
        <f>IF('Weekly Plan'!M98=0,"",'Weekly Plan'!M98)</f>
        <v/>
      </c>
      <c r="P10" s="4">
        <f>'Weekly Plan'!A98</f>
        <v>2</v>
      </c>
      <c r="Q10" s="4">
        <f t="shared" si="3"/>
        <v>0</v>
      </c>
      <c r="R10" s="4"/>
      <c r="W10" s="25"/>
      <c r="X10" s="25"/>
      <c r="Y10" s="25"/>
      <c r="Z10" s="25"/>
      <c r="AA10" s="25"/>
      <c r="AB10" s="25"/>
      <c r="AC10" s="4">
        <v>3</v>
      </c>
      <c r="AF10" s="44">
        <v>705014101</v>
      </c>
      <c r="AG10" s="60" t="s">
        <v>54</v>
      </c>
      <c r="AH10" s="55" t="s">
        <v>77</v>
      </c>
      <c r="AI10" s="92">
        <f t="shared" si="5"/>
        <v>0</v>
      </c>
      <c r="AJ10" s="4"/>
      <c r="AK10" s="17"/>
      <c r="AL10" s="62" t="s">
        <v>129</v>
      </c>
      <c r="AM10" s="15" t="s">
        <v>171</v>
      </c>
      <c r="AN10" s="13">
        <f t="shared" si="1"/>
        <v>0</v>
      </c>
      <c r="AO10" s="4"/>
      <c r="AP10" s="37" t="s">
        <v>148</v>
      </c>
      <c r="AQ10" s="27" t="s">
        <v>150</v>
      </c>
      <c r="AR10" s="83"/>
      <c r="AS10" s="14">
        <f t="shared" si="4"/>
        <v>0</v>
      </c>
    </row>
    <row r="11" spans="1:45" ht="13.5" customHeight="1" thickBot="1" x14ac:dyDescent="0.3">
      <c r="A11" s="129">
        <f>'Weekly Plan'!F10</f>
        <v>708200871</v>
      </c>
      <c r="B11" s="146" t="s">
        <v>54</v>
      </c>
      <c r="C11" s="147" t="str">
        <f>'Weekly Plan'!G10</f>
        <v>RH Front Fairing</v>
      </c>
      <c r="D11" s="128" t="str">
        <f>IF('Weekly Plan'!M10=0,"",'Weekly Plan'!M10)</f>
        <v/>
      </c>
      <c r="E11" s="4">
        <f>'Weekly Plan'!A10</f>
        <v>1</v>
      </c>
      <c r="F11" s="4">
        <f t="shared" si="0"/>
        <v>0</v>
      </c>
      <c r="G11" s="178"/>
      <c r="H11" s="178"/>
      <c r="I11" s="178"/>
      <c r="J11" s="184"/>
      <c r="K11" s="4" t="e">
        <f>'Weekly Plan'!#REF!</f>
        <v>#REF!</v>
      </c>
      <c r="L11" s="4">
        <f t="shared" si="2"/>
        <v>0</v>
      </c>
      <c r="M11" s="137"/>
      <c r="N11" s="137"/>
      <c r="O11" s="137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  <c r="AF11" s="44">
        <v>708003041</v>
      </c>
      <c r="AG11" s="60" t="s">
        <v>54</v>
      </c>
      <c r="AH11" s="55" t="s">
        <v>68</v>
      </c>
      <c r="AI11" s="92">
        <f t="shared" si="5"/>
        <v>0</v>
      </c>
      <c r="AJ11" s="4"/>
      <c r="AK11" s="17"/>
      <c r="AL11" s="62" t="s">
        <v>129</v>
      </c>
      <c r="AM11" s="15" t="s">
        <v>172</v>
      </c>
      <c r="AN11" s="13">
        <f t="shared" si="1"/>
        <v>0</v>
      </c>
      <c r="AO11" s="4"/>
      <c r="AP11" s="68"/>
      <c r="AQ11" s="68"/>
      <c r="AR11" s="68"/>
      <c r="AS11" s="68"/>
    </row>
    <row r="12" spans="1:45" ht="13.5" customHeight="1" thickBot="1" x14ac:dyDescent="0.3">
      <c r="A12" s="129">
        <f>'Weekly Plan'!F11</f>
        <v>708200869</v>
      </c>
      <c r="B12" s="146" t="s">
        <v>54</v>
      </c>
      <c r="C12" s="147" t="str">
        <f>'Weekly Plan'!G11</f>
        <v>R66 Hood</v>
      </c>
      <c r="D12" s="128" t="str">
        <f>IF('Weekly Plan'!M11=0,"",'Weekly Plan'!M11)</f>
        <v/>
      </c>
      <c r="E12" s="4">
        <f>'Weekly Plan'!A11</f>
        <v>1</v>
      </c>
      <c r="F12" s="4">
        <f t="shared" si="0"/>
        <v>0</v>
      </c>
      <c r="G12" s="254" t="s">
        <v>251</v>
      </c>
      <c r="H12" s="255"/>
      <c r="I12" s="255"/>
      <c r="J12" s="256"/>
      <c r="K12" s="4" t="e">
        <f>'Weekly Plan'!#REF!</f>
        <v>#REF!</v>
      </c>
      <c r="L12" s="4">
        <f t="shared" si="2"/>
        <v>0</v>
      </c>
      <c r="M12" s="375" t="s">
        <v>224</v>
      </c>
      <c r="N12" s="376"/>
      <c r="O12" s="377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  <c r="AF12" s="44">
        <v>708200869</v>
      </c>
      <c r="AG12" s="60" t="s">
        <v>54</v>
      </c>
      <c r="AH12" s="48" t="s">
        <v>69</v>
      </c>
      <c r="AI12" s="92">
        <f t="shared" si="5"/>
        <v>0</v>
      </c>
      <c r="AJ12" s="4"/>
      <c r="AK12" s="17"/>
      <c r="AL12" s="62" t="s">
        <v>129</v>
      </c>
      <c r="AM12" s="15" t="s">
        <v>173</v>
      </c>
      <c r="AN12" s="13">
        <f t="shared" si="1"/>
        <v>0</v>
      </c>
      <c r="AO12" s="4"/>
      <c r="AP12" s="349" t="s">
        <v>30</v>
      </c>
      <c r="AQ12" s="350"/>
      <c r="AR12" s="350"/>
      <c r="AS12" s="351"/>
    </row>
    <row r="13" spans="1:45" ht="13.5" customHeight="1" x14ac:dyDescent="0.3">
      <c r="A13" s="129">
        <f>'Weekly Plan'!F12</f>
        <v>708302947</v>
      </c>
      <c r="B13" s="146" t="s">
        <v>54</v>
      </c>
      <c r="C13" s="147" t="str">
        <f>'Weekly Plan'!G12</f>
        <v>LH Box Cover</v>
      </c>
      <c r="D13" s="128" t="str">
        <f>IF('Weekly Plan'!M12=0,"",'Weekly Plan'!M12)</f>
        <v/>
      </c>
      <c r="E13" s="4">
        <f>'Weekly Plan'!A12</f>
        <v>2</v>
      </c>
      <c r="F13" s="4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Plan'!M75=0,"",'Weekly Plan'!M75)</f>
        <v/>
      </c>
      <c r="K13" s="4">
        <f>'Weekly Plan'!A75</f>
        <v>1</v>
      </c>
      <c r="L13" s="4">
        <f t="shared" si="2"/>
        <v>0</v>
      </c>
      <c r="M13" s="131">
        <f>'Weekly Plan'!F80</f>
        <v>0</v>
      </c>
      <c r="N13" s="132" t="str">
        <f>'Weekly Plan'!G80</f>
        <v>Handles</v>
      </c>
      <c r="O13" s="143" t="str">
        <f>IF('Weekly Plan'!M80=0,"",'Weekly Plan'!M80)</f>
        <v/>
      </c>
      <c r="P13" s="2">
        <f>'Weekly Plan'!A80</f>
        <v>18</v>
      </c>
      <c r="Q13" s="4">
        <f t="shared" si="3"/>
        <v>0</v>
      </c>
      <c r="AC13" s="2">
        <v>4</v>
      </c>
      <c r="AF13" s="44">
        <v>708200870</v>
      </c>
      <c r="AG13" s="60" t="s">
        <v>54</v>
      </c>
      <c r="AH13" s="48" t="s">
        <v>113</v>
      </c>
      <c r="AI13" s="92">
        <f t="shared" si="5"/>
        <v>0</v>
      </c>
      <c r="AJ13" s="4"/>
      <c r="AK13" s="17"/>
      <c r="AL13" s="62" t="s">
        <v>129</v>
      </c>
      <c r="AM13" s="15" t="s">
        <v>174</v>
      </c>
      <c r="AN13" s="13">
        <f t="shared" si="1"/>
        <v>0</v>
      </c>
      <c r="AO13" s="4"/>
      <c r="AP13" s="33" t="s">
        <v>31</v>
      </c>
      <c r="AQ13" s="81" t="s">
        <v>30</v>
      </c>
      <c r="AR13" s="34" t="s">
        <v>2</v>
      </c>
      <c r="AS13" s="35">
        <f>IFERROR(O13/P13,0)</f>
        <v>0</v>
      </c>
    </row>
    <row r="14" spans="1:45" ht="13.5" customHeight="1" x14ac:dyDescent="0.3">
      <c r="A14" s="129">
        <f>'Weekly Plan'!F13</f>
        <v>708302948</v>
      </c>
      <c r="B14" s="146" t="s">
        <v>54</v>
      </c>
      <c r="C14" s="147" t="str">
        <f>'Weekly Plan'!G13</f>
        <v>RH Box Cover</v>
      </c>
      <c r="D14" s="128" t="str">
        <f>IF('Weekly Plan'!M13=0,"",'Weekly Plan'!M13)</f>
        <v/>
      </c>
      <c r="E14" s="4">
        <f>'Weekly Plan'!A13</f>
        <v>2</v>
      </c>
      <c r="F14" s="4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Plan'!M76=0,"",'Weekly Plan'!M76)</f>
        <v/>
      </c>
      <c r="K14" s="4">
        <f>'Weekly Plan'!A76</f>
        <v>1</v>
      </c>
      <c r="L14" s="4">
        <f t="shared" si="2"/>
        <v>0</v>
      </c>
      <c r="M14" s="131">
        <f>'Weekly Plan'!F81</f>
        <v>0</v>
      </c>
      <c r="N14" s="132">
        <f>'Weekly Plan'!G81</f>
        <v>0</v>
      </c>
      <c r="O14" s="143" t="str">
        <f>IF('Weekly Plan'!M81=0,"",'Weekly Plan'!M81)</f>
        <v/>
      </c>
      <c r="P14" s="2">
        <f>'Weekly Plan'!A81</f>
        <v>0</v>
      </c>
      <c r="Q14" s="4">
        <f t="shared" si="3"/>
        <v>0</v>
      </c>
      <c r="AC14" s="2">
        <v>4</v>
      </c>
      <c r="AF14" s="44">
        <v>708200871</v>
      </c>
      <c r="AG14" s="60" t="s">
        <v>54</v>
      </c>
      <c r="AH14" s="48" t="s">
        <v>114</v>
      </c>
      <c r="AI14" s="92">
        <f t="shared" si="5"/>
        <v>0</v>
      </c>
      <c r="AJ14" s="4"/>
      <c r="AK14" s="17"/>
      <c r="AL14" s="62" t="s">
        <v>129</v>
      </c>
      <c r="AM14" s="15" t="s">
        <v>207</v>
      </c>
      <c r="AN14" s="13">
        <f t="shared" si="1"/>
        <v>0</v>
      </c>
      <c r="AO14" s="4"/>
      <c r="AP14" s="17" t="s">
        <v>32</v>
      </c>
      <c r="AQ14" s="62" t="s">
        <v>30</v>
      </c>
      <c r="AR14" s="15" t="s">
        <v>0</v>
      </c>
      <c r="AS14" s="13">
        <f t="shared" ref="AS14:AS18" si="6">IFERROR(O14/P14,0)</f>
        <v>0</v>
      </c>
    </row>
    <row r="15" spans="1:45" ht="13.5" customHeight="1" thickBot="1" x14ac:dyDescent="0.35">
      <c r="A15" s="129">
        <f>'Weekly Plan'!F14</f>
        <v>708303800</v>
      </c>
      <c r="B15" s="146" t="s">
        <v>54</v>
      </c>
      <c r="C15" s="147" t="str">
        <f>'Weekly Plan'!G14</f>
        <v>LH F3T Panel</v>
      </c>
      <c r="D15" s="128" t="str">
        <f>IF('Weekly Plan'!M14=0,"",'Weekly Plan'!M14)</f>
        <v/>
      </c>
      <c r="E15" s="4">
        <f>'Weekly Plan'!A14</f>
        <v>4</v>
      </c>
      <c r="F15" s="4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Plan'!M77=0,"",'Weekly Plan'!M77)</f>
        <v/>
      </c>
      <c r="K15" s="4">
        <f>'Weekly Plan'!A77</f>
        <v>20</v>
      </c>
      <c r="L15" s="4">
        <f t="shared" si="2"/>
        <v>0</v>
      </c>
      <c r="M15" s="133">
        <f>'Weekly Plan'!F82</f>
        <v>0</v>
      </c>
      <c r="N15" s="134">
        <f>'Weekly Plan'!G82</f>
        <v>0</v>
      </c>
      <c r="O15" s="144" t="str">
        <f>IF('Weekly Plan'!M82=0,"",'Weekly Plan'!M82)</f>
        <v/>
      </c>
      <c r="P15" s="2">
        <f>'Weekly Plan'!A82</f>
        <v>0</v>
      </c>
      <c r="Q15" s="4">
        <f t="shared" si="3"/>
        <v>0</v>
      </c>
      <c r="R15" s="4"/>
      <c r="AC15" s="4">
        <v>4</v>
      </c>
      <c r="AF15" s="44">
        <v>708302947</v>
      </c>
      <c r="AG15" s="60" t="s">
        <v>54</v>
      </c>
      <c r="AH15" s="48" t="s">
        <v>111</v>
      </c>
      <c r="AI15" s="92">
        <f t="shared" si="5"/>
        <v>0</v>
      </c>
      <c r="AJ15" s="4"/>
      <c r="AK15" s="17"/>
      <c r="AL15" s="62" t="s">
        <v>129</v>
      </c>
      <c r="AM15" s="30" t="s">
        <v>176</v>
      </c>
      <c r="AN15" s="13">
        <f t="shared" si="1"/>
        <v>0</v>
      </c>
      <c r="AO15" s="4"/>
      <c r="AP15" s="17" t="s">
        <v>33</v>
      </c>
      <c r="AQ15" s="62" t="s">
        <v>30</v>
      </c>
      <c r="AR15" s="15" t="s">
        <v>3</v>
      </c>
      <c r="AS15" s="13">
        <f t="shared" si="6"/>
        <v>0</v>
      </c>
    </row>
    <row r="16" spans="1:45" ht="13.5" customHeight="1" thickBot="1" x14ac:dyDescent="0.35">
      <c r="A16" s="129">
        <f>'Weekly Plan'!F15</f>
        <v>708303801</v>
      </c>
      <c r="B16" s="146" t="s">
        <v>54</v>
      </c>
      <c r="C16" s="147" t="str">
        <f>'Weekly Plan'!G15</f>
        <v>RH F3T Panel</v>
      </c>
      <c r="D16" s="128" t="str">
        <f>IF('Weekly Plan'!M15=0,"",'Weekly Plan'!M15)</f>
        <v/>
      </c>
      <c r="E16" s="4">
        <f>'Weekly Plan'!A15</f>
        <v>4</v>
      </c>
      <c r="F16" s="4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Plan'!M78=0,"",'Weekly Plan'!M78)</f>
        <v/>
      </c>
      <c r="K16" s="4">
        <f>'Weekly Plan'!A78</f>
        <v>1</v>
      </c>
      <c r="L16" s="4">
        <f t="shared" si="2"/>
        <v>0</v>
      </c>
      <c r="M16" s="136"/>
      <c r="N16" s="136"/>
      <c r="O16" s="136"/>
      <c r="P16" s="4"/>
      <c r="Q16" s="4"/>
      <c r="R16" s="4"/>
      <c r="AC16" s="4">
        <v>2</v>
      </c>
      <c r="AF16" s="44">
        <v>708302948</v>
      </c>
      <c r="AG16" s="60" t="s">
        <v>54</v>
      </c>
      <c r="AH16" s="48" t="s">
        <v>112</v>
      </c>
      <c r="AI16" s="92">
        <f t="shared" si="5"/>
        <v>0</v>
      </c>
      <c r="AJ16" s="4"/>
      <c r="AK16" s="29"/>
      <c r="AL16" s="67" t="s">
        <v>129</v>
      </c>
      <c r="AM16" s="30" t="s">
        <v>123</v>
      </c>
      <c r="AN16" s="14">
        <f t="shared" si="1"/>
        <v>0</v>
      </c>
      <c r="AO16" s="4"/>
      <c r="AP16" s="17" t="s">
        <v>34</v>
      </c>
      <c r="AQ16" s="62" t="s">
        <v>30</v>
      </c>
      <c r="AR16" s="15" t="s">
        <v>4</v>
      </c>
      <c r="AS16" s="13">
        <f t="shared" si="6"/>
        <v>0</v>
      </c>
    </row>
    <row r="17" spans="1:45" ht="13.5" customHeight="1" thickBot="1" x14ac:dyDescent="0.3">
      <c r="A17" s="129">
        <f>'Weekly Plan'!F16</f>
        <v>708400461</v>
      </c>
      <c r="B17" s="146" t="s">
        <v>54</v>
      </c>
      <c r="C17" s="147" t="str">
        <f>'Weekly Plan'!G16</f>
        <v>LH Mirror Shell</v>
      </c>
      <c r="D17" s="128" t="str">
        <f>IF('Weekly Plan'!M16=0,"",'Weekly Plan'!M16)</f>
        <v/>
      </c>
      <c r="E17" s="4">
        <f>'Weekly Plan'!A16</f>
        <v>6</v>
      </c>
      <c r="F17" s="4">
        <f t="shared" si="0"/>
        <v>0</v>
      </c>
      <c r="G17" s="136"/>
      <c r="H17" s="136"/>
      <c r="I17" s="136"/>
      <c r="J17" s="136"/>
      <c r="L17" s="4"/>
      <c r="M17" s="357" t="s">
        <v>103</v>
      </c>
      <c r="N17" s="358"/>
      <c r="O17" s="359"/>
      <c r="P17" s="4"/>
      <c r="Q17" s="4"/>
      <c r="R17" s="4"/>
      <c r="AC17" s="4">
        <v>1</v>
      </c>
      <c r="AF17" s="44">
        <v>708303799</v>
      </c>
      <c r="AG17" s="60" t="s">
        <v>54</v>
      </c>
      <c r="AH17" s="48" t="s">
        <v>72</v>
      </c>
      <c r="AI17" s="92">
        <f t="shared" si="5"/>
        <v>0</v>
      </c>
      <c r="AJ17" s="4"/>
      <c r="AK17" s="95"/>
      <c r="AL17" s="95"/>
      <c r="AM17" s="96"/>
      <c r="AN17" s="25"/>
      <c r="AO17" s="4"/>
      <c r="AP17" s="17" t="s">
        <v>35</v>
      </c>
      <c r="AQ17" s="62" t="s">
        <v>30</v>
      </c>
      <c r="AR17" s="15" t="s">
        <v>5</v>
      </c>
      <c r="AS17" s="13">
        <f t="shared" si="6"/>
        <v>0</v>
      </c>
    </row>
    <row r="18" spans="1:45" ht="13.5" customHeight="1" thickBot="1" x14ac:dyDescent="0.3">
      <c r="A18" s="141">
        <f>'Weekly Plan'!F17</f>
        <v>708400463</v>
      </c>
      <c r="B18" s="148" t="s">
        <v>54</v>
      </c>
      <c r="C18" s="149" t="str">
        <f>'Weekly Plan'!G17</f>
        <v>RH Mirror Shell</v>
      </c>
      <c r="D18" s="135" t="str">
        <f>IF('Weekly Plan'!M17=0,"",'Weekly Plan'!M17)</f>
        <v/>
      </c>
      <c r="E18" s="4">
        <f>'Weekly Plan'!A17</f>
        <v>6</v>
      </c>
      <c r="F18" s="4">
        <f>IFERROR(D18/E18,0)</f>
        <v>0</v>
      </c>
      <c r="G18" s="352" t="s">
        <v>227</v>
      </c>
      <c r="H18" s="315"/>
      <c r="I18" s="315"/>
      <c r="J18" s="353"/>
      <c r="K18" s="4"/>
      <c r="L18" s="4"/>
      <c r="M18" s="130">
        <f>'Weekly Plan'!F84</f>
        <v>0</v>
      </c>
      <c r="N18" s="155" t="str">
        <f>'Weekly Plan'!G84</f>
        <v>Base Dual</v>
      </c>
      <c r="O18" s="128" t="str">
        <f>IF('Weekly Plan'!M84=0,"",'Weekly Plan'!M84)</f>
        <v/>
      </c>
      <c r="P18" s="4">
        <f>'Weekly Plan'!A84</f>
        <v>6</v>
      </c>
      <c r="Q18" s="4">
        <f t="shared" si="3"/>
        <v>0</v>
      </c>
      <c r="R18" s="4"/>
      <c r="AC18" s="4">
        <v>1</v>
      </c>
      <c r="AF18" s="44">
        <v>708303801</v>
      </c>
      <c r="AG18" s="60" t="s">
        <v>54</v>
      </c>
      <c r="AH18" s="48" t="s">
        <v>73</v>
      </c>
      <c r="AI18" s="92">
        <f t="shared" si="5"/>
        <v>0</v>
      </c>
      <c r="AJ18" s="4"/>
      <c r="AK18" s="354" t="s">
        <v>66</v>
      </c>
      <c r="AL18" s="355"/>
      <c r="AM18" s="355"/>
      <c r="AN18" s="356"/>
      <c r="AO18" s="4"/>
      <c r="AP18" s="18" t="s">
        <v>36</v>
      </c>
      <c r="AQ18" s="63" t="s">
        <v>30</v>
      </c>
      <c r="AR18" s="19" t="s">
        <v>1</v>
      </c>
      <c r="AS18" s="14">
        <f t="shared" si="6"/>
        <v>0</v>
      </c>
    </row>
    <row r="19" spans="1:45" ht="13.5" customHeight="1" thickBot="1" x14ac:dyDescent="0.3">
      <c r="A19" s="138"/>
      <c r="B19" s="138"/>
      <c r="C19" s="142"/>
      <c r="D19" s="138"/>
      <c r="E19" s="4"/>
      <c r="F19" s="4"/>
      <c r="G19" s="129">
        <f>'Weekly Plan'!F19</f>
        <v>705012976</v>
      </c>
      <c r="H19" s="146" t="s">
        <v>54</v>
      </c>
      <c r="I19" s="147" t="str">
        <f>'Weekly Plan'!G19</f>
        <v>LH Fender</v>
      </c>
      <c r="J19" s="128" t="str">
        <f>IF('Weekly Plan'!M19=0,"",'Weekly Plan'!M19)</f>
        <v/>
      </c>
      <c r="K19" s="4">
        <f>'Weekly Plan'!A19</f>
        <v>2</v>
      </c>
      <c r="L19" s="4">
        <f t="shared" si="2"/>
        <v>0</v>
      </c>
      <c r="M19" s="130">
        <f>'Weekly Plan'!F85</f>
        <v>500458</v>
      </c>
      <c r="N19" s="155" t="str">
        <f>'Weekly Plan'!G85</f>
        <v>Face Plate, DTM, SSR</v>
      </c>
      <c r="O19" s="128" t="str">
        <f>IF('Weekly Plan'!M85=0,"",'Weekly Plan'!M85)</f>
        <v/>
      </c>
      <c r="P19" s="4">
        <f>'Weekly Plan'!A85</f>
        <v>16</v>
      </c>
      <c r="Q19" s="4">
        <f t="shared" si="3"/>
        <v>0</v>
      </c>
      <c r="AC19" s="2">
        <v>1</v>
      </c>
      <c r="AF19" s="44">
        <v>708400461</v>
      </c>
      <c r="AG19" s="60" t="s">
        <v>54</v>
      </c>
      <c r="AH19" s="48" t="s">
        <v>59</v>
      </c>
      <c r="AI19" s="92">
        <f t="shared" si="5"/>
        <v>0</v>
      </c>
      <c r="AJ19" s="4"/>
      <c r="AK19" s="69">
        <v>5011</v>
      </c>
      <c r="AL19" s="88" t="s">
        <v>61</v>
      </c>
      <c r="AM19" s="70" t="s">
        <v>63</v>
      </c>
      <c r="AN19" s="50">
        <f>IFERROR(J19/K19,0)</f>
        <v>0</v>
      </c>
      <c r="AO19" s="4"/>
      <c r="AP19" s="25"/>
      <c r="AQ19" s="25"/>
      <c r="AR19" s="25"/>
      <c r="AS19" s="25"/>
    </row>
    <row r="20" spans="1:45" ht="13.5" customHeight="1" thickBot="1" x14ac:dyDescent="0.3">
      <c r="A20" s="352" t="s">
        <v>79</v>
      </c>
      <c r="B20" s="315"/>
      <c r="C20" s="315"/>
      <c r="D20" s="353"/>
      <c r="E20" s="4"/>
      <c r="F20" s="4"/>
      <c r="G20" s="129">
        <f>'Weekly Plan'!F20</f>
        <v>705012868</v>
      </c>
      <c r="H20" s="146" t="s">
        <v>54</v>
      </c>
      <c r="I20" s="147" t="str">
        <f>'Weekly Plan'!G20</f>
        <v>RH Fender</v>
      </c>
      <c r="J20" s="128" t="str">
        <f>IF('Weekly Plan'!M20=0,"",'Weekly Plan'!M20)</f>
        <v/>
      </c>
      <c r="K20" s="4">
        <f>'Weekly Plan'!A20</f>
        <v>2</v>
      </c>
      <c r="L20" s="4">
        <f t="shared" si="2"/>
        <v>0</v>
      </c>
      <c r="M20" s="139">
        <f>'Weekly Plan'!F86</f>
        <v>500458</v>
      </c>
      <c r="N20" s="156" t="str">
        <f>'Weekly Plan'!G86</f>
        <v>Face Plate, STM, SSR</v>
      </c>
      <c r="O20" s="135" t="str">
        <f>IF('Weekly Plan'!M86=0,"",'Weekly Plan'!M86)</f>
        <v/>
      </c>
      <c r="P20" s="4">
        <f>'Weekly Plan'!A86</f>
        <v>16</v>
      </c>
      <c r="Q20" s="4">
        <f t="shared" si="3"/>
        <v>0</v>
      </c>
      <c r="AC20" s="2">
        <v>2</v>
      </c>
      <c r="AF20" s="45">
        <v>708400463</v>
      </c>
      <c r="AG20" s="61" t="s">
        <v>54</v>
      </c>
      <c r="AH20" s="49" t="s">
        <v>60</v>
      </c>
      <c r="AI20" s="93">
        <f t="shared" si="5"/>
        <v>0</v>
      </c>
      <c r="AJ20" s="4"/>
      <c r="AK20" s="24">
        <v>1408</v>
      </c>
      <c r="AL20" s="74" t="s">
        <v>61</v>
      </c>
      <c r="AM20" s="20" t="s">
        <v>64</v>
      </c>
      <c r="AN20" s="36">
        <f>IFERROR(J20/K20,0)</f>
        <v>0</v>
      </c>
      <c r="AO20" s="4"/>
      <c r="AP20" s="349" t="s">
        <v>24</v>
      </c>
      <c r="AQ20" s="350"/>
      <c r="AR20" s="350"/>
      <c r="AS20" s="351"/>
    </row>
    <row r="21" spans="1:45" ht="13.5" customHeight="1" thickBot="1" x14ac:dyDescent="0.3">
      <c r="A21" s="129">
        <f>'Weekly Plan'!F33</f>
        <v>708400287</v>
      </c>
      <c r="B21" s="146" t="s">
        <v>79</v>
      </c>
      <c r="C21" s="150" t="str">
        <f>'Weekly Plan'!G33</f>
        <v>Tank Cover</v>
      </c>
      <c r="D21" s="171" t="str">
        <f>IF('Weekly Plan'!M33=0,"",'Weekly Plan'!M33)</f>
        <v/>
      </c>
      <c r="E21" s="4">
        <f>'Weekly Plan'!A33</f>
        <v>2</v>
      </c>
      <c r="F21" s="4">
        <f t="shared" ref="F21:F29" si="7">IFERROR(D21/E21,0)</f>
        <v>0</v>
      </c>
      <c r="G21" s="129">
        <f>'Weekly Plan'!F21</f>
        <v>705014100</v>
      </c>
      <c r="H21" s="146" t="s">
        <v>54</v>
      </c>
      <c r="I21" s="147" t="str">
        <f>'Weekly Plan'!G21</f>
        <v>LH Upper Fairing</v>
      </c>
      <c r="J21" s="128" t="str">
        <f>IF('Weekly Plan'!M21=0,"",'Weekly Plan'!M21)</f>
        <v/>
      </c>
      <c r="K21" s="4">
        <f>'Weekly Plan'!A21</f>
        <v>2</v>
      </c>
      <c r="L21" s="4">
        <f t="shared" si="2"/>
        <v>0</v>
      </c>
      <c r="M21" s="136"/>
      <c r="N21" s="136"/>
      <c r="O21" s="136"/>
      <c r="P21" s="4"/>
      <c r="Q21" s="4"/>
      <c r="R21" s="4"/>
      <c r="AC21" s="4">
        <v>1</v>
      </c>
      <c r="AF21" s="25"/>
      <c r="AG21" s="25"/>
      <c r="AH21" s="42"/>
      <c r="AI21" s="25"/>
      <c r="AJ21" s="4"/>
      <c r="AK21" s="37">
        <v>5007</v>
      </c>
      <c r="AL21" s="87" t="s">
        <v>61</v>
      </c>
      <c r="AM21" s="27" t="s">
        <v>65</v>
      </c>
      <c r="AN21" s="86">
        <f>IFERROR(J21/K21,0)</f>
        <v>0</v>
      </c>
      <c r="AO21" s="4"/>
      <c r="AP21" s="33" t="s">
        <v>31</v>
      </c>
      <c r="AQ21" s="81" t="s">
        <v>21</v>
      </c>
      <c r="AR21" s="34" t="s">
        <v>2</v>
      </c>
      <c r="AS21" s="35">
        <f>IFERROR(O21/P21,0)</f>
        <v>0</v>
      </c>
    </row>
    <row r="22" spans="1:45" ht="13.5" customHeight="1" thickBot="1" x14ac:dyDescent="0.3">
      <c r="A22" s="129">
        <f>'Weekly Plan'!F34</f>
        <v>705019189</v>
      </c>
      <c r="B22" s="146" t="s">
        <v>79</v>
      </c>
      <c r="C22" s="150" t="str">
        <f>'Weekly Plan'!G34</f>
        <v>New Tank Cover</v>
      </c>
      <c r="D22" s="171" t="str">
        <f>IF('Weekly Plan'!M34=0,"",'Weekly Plan'!M34)</f>
        <v/>
      </c>
      <c r="E22" s="4">
        <f>'Weekly Plan'!A34</f>
        <v>2</v>
      </c>
      <c r="F22" s="4">
        <f t="shared" si="7"/>
        <v>0</v>
      </c>
      <c r="G22" s="129">
        <f>'Weekly Plan'!F22</f>
        <v>705014101</v>
      </c>
      <c r="H22" s="146" t="s">
        <v>54</v>
      </c>
      <c r="I22" s="147" t="str">
        <f>'Weekly Plan'!G22</f>
        <v>RH Upper Fairing</v>
      </c>
      <c r="J22" s="128" t="str">
        <f>IF('Weekly Plan'!M22=0,"",'Weekly Plan'!M22)</f>
        <v/>
      </c>
      <c r="K22" s="4">
        <f>'Weekly Plan'!A22</f>
        <v>2</v>
      </c>
      <c r="L22" s="4">
        <f t="shared" si="2"/>
        <v>0</v>
      </c>
      <c r="M22" s="357" t="s">
        <v>225</v>
      </c>
      <c r="N22" s="358"/>
      <c r="O22" s="359"/>
      <c r="P22" s="4"/>
      <c r="Q22" s="4"/>
      <c r="R22" s="4"/>
      <c r="AC22" s="4">
        <v>2</v>
      </c>
      <c r="AF22" s="360" t="s">
        <v>70</v>
      </c>
      <c r="AG22" s="318"/>
      <c r="AH22" s="318"/>
      <c r="AI22" s="351"/>
      <c r="AJ22" s="4"/>
      <c r="AO22" s="4"/>
      <c r="AP22" s="17" t="s">
        <v>32</v>
      </c>
      <c r="AQ22" s="62" t="s">
        <v>21</v>
      </c>
      <c r="AR22" s="15" t="s">
        <v>0</v>
      </c>
      <c r="AS22" s="13">
        <f t="shared" ref="AS22:AS26" si="8">IFERROR(O22/P22,0)</f>
        <v>0</v>
      </c>
    </row>
    <row r="23" spans="1:45" ht="13.5" customHeight="1" thickBot="1" x14ac:dyDescent="0.3">
      <c r="A23" s="129">
        <f>'Weekly Plan'!F35</f>
        <v>708001528</v>
      </c>
      <c r="B23" s="146" t="s">
        <v>79</v>
      </c>
      <c r="C23" s="150" t="str">
        <f>'Weekly Plan'!G35</f>
        <v>Tail Fairing</v>
      </c>
      <c r="D23" s="171" t="str">
        <f>IF('Weekly Plan'!M35=0,"",'Weekly Plan'!M35)</f>
        <v/>
      </c>
      <c r="E23" s="4">
        <f>'Weekly Plan'!A35</f>
        <v>2</v>
      </c>
      <c r="F23" s="4">
        <f t="shared" si="7"/>
        <v>0</v>
      </c>
      <c r="G23" s="129">
        <f>'Weekly Plan'!F23</f>
        <v>708003041</v>
      </c>
      <c r="H23" s="146" t="s">
        <v>54</v>
      </c>
      <c r="I23" s="147" t="str">
        <f>'Weekly Plan'!G23</f>
        <v>Rear Fairing</v>
      </c>
      <c r="J23" s="128" t="str">
        <f>IF('Weekly Plan'!M23=0,"",'Weekly Plan'!M23)</f>
        <v/>
      </c>
      <c r="K23" s="4">
        <f>'Weekly Plan'!A23</f>
        <v>2</v>
      </c>
      <c r="L23" s="4">
        <f t="shared" si="2"/>
        <v>0</v>
      </c>
      <c r="M23" s="130">
        <f>'Weekly Plan'!F88</f>
        <v>2650</v>
      </c>
      <c r="N23" s="127" t="str">
        <f>'Weekly Plan'!G88</f>
        <v>LH Side Puck</v>
      </c>
      <c r="O23" s="128" t="str">
        <f>IF('Weekly Plan'!M88=0,"",'Weekly Plan'!M88)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  <c r="AF23" s="43">
        <v>708001528</v>
      </c>
      <c r="AG23" s="59" t="s">
        <v>79</v>
      </c>
      <c r="AH23" s="47" t="s">
        <v>71</v>
      </c>
      <c r="AI23" s="46">
        <f t="shared" ref="AI23:AI31" si="9">IFERROR(D21/E21,0)</f>
        <v>0</v>
      </c>
      <c r="AJ23" s="4"/>
      <c r="AK23" s="345" t="s">
        <v>94</v>
      </c>
      <c r="AL23" s="346"/>
      <c r="AM23" s="346"/>
      <c r="AN23" s="347"/>
      <c r="AO23" s="4"/>
      <c r="AP23" s="17" t="s">
        <v>33</v>
      </c>
      <c r="AQ23" s="62" t="s">
        <v>21</v>
      </c>
      <c r="AR23" s="15" t="s">
        <v>3</v>
      </c>
      <c r="AS23" s="13">
        <f t="shared" si="8"/>
        <v>0</v>
      </c>
    </row>
    <row r="24" spans="1:45" ht="13.5" customHeight="1" x14ac:dyDescent="0.25">
      <c r="A24" s="129">
        <f>'Weekly Plan'!F36</f>
        <v>708400069</v>
      </c>
      <c r="B24" s="146" t="s">
        <v>79</v>
      </c>
      <c r="C24" s="150" t="str">
        <f>'Weekly Plan'!G36</f>
        <v>RH Consol Fairing</v>
      </c>
      <c r="D24" s="171" t="str">
        <f>IF('Weekly Plan'!M36=0,"",'Weekly Plan'!M36)</f>
        <v/>
      </c>
      <c r="E24" s="4">
        <f>'Weekly Plan'!A36</f>
        <v>2</v>
      </c>
      <c r="F24" s="4">
        <f t="shared" si="7"/>
        <v>0</v>
      </c>
      <c r="G24" s="129">
        <f>'Weekly Plan'!F24</f>
        <v>708200870</v>
      </c>
      <c r="H24" s="146" t="s">
        <v>54</v>
      </c>
      <c r="I24" s="147" t="str">
        <f>'Weekly Plan'!G24</f>
        <v>LH Front Fairing</v>
      </c>
      <c r="J24" s="128" t="str">
        <f>IF('Weekly Plan'!M24=0,"",'Weekly Plan'!M24)</f>
        <v/>
      </c>
      <c r="K24" s="4">
        <f>'Weekly Plan'!A24</f>
        <v>1</v>
      </c>
      <c r="L24" s="4">
        <f t="shared" si="2"/>
        <v>0</v>
      </c>
      <c r="M24" s="130">
        <f>'Weekly Plan'!F89</f>
        <v>2651</v>
      </c>
      <c r="N24" s="127" t="str">
        <f>'Weekly Plan'!G89</f>
        <v>RH Side Puck</v>
      </c>
      <c r="O24" s="128" t="str">
        <f>IF('Weekly Plan'!M89=0,"",'Weekly Plan'!M89)</f>
        <v/>
      </c>
      <c r="P24" s="4">
        <f>'Weekly Plan'!A89</f>
        <v>6</v>
      </c>
      <c r="Q24" s="4">
        <f t="shared" ref="Q24:Q32" si="10">IFERROR(O24/P24,0)</f>
        <v>0</v>
      </c>
      <c r="R24" s="4"/>
      <c r="AC24" s="4">
        <v>2</v>
      </c>
      <c r="AF24" s="44">
        <v>708400001</v>
      </c>
      <c r="AG24" s="60" t="s">
        <v>79</v>
      </c>
      <c r="AH24" s="48" t="s">
        <v>154</v>
      </c>
      <c r="AI24" s="102">
        <f t="shared" si="9"/>
        <v>0</v>
      </c>
      <c r="AJ24" s="4"/>
      <c r="AK24" s="69"/>
      <c r="AL24" s="70" t="s">
        <v>108</v>
      </c>
      <c r="AM24" s="70" t="s">
        <v>109</v>
      </c>
      <c r="AN24" s="71">
        <f>IFERROR(#REF!/K24,0)</f>
        <v>0</v>
      </c>
      <c r="AO24" s="4"/>
      <c r="AP24" s="17" t="s">
        <v>34</v>
      </c>
      <c r="AQ24" s="62" t="s">
        <v>21</v>
      </c>
      <c r="AR24" s="15" t="s">
        <v>4</v>
      </c>
      <c r="AS24" s="13">
        <f t="shared" si="8"/>
        <v>0</v>
      </c>
    </row>
    <row r="25" spans="1:45" ht="13.5" customHeight="1" x14ac:dyDescent="0.25">
      <c r="A25" s="129">
        <f>'Weekly Plan'!F37</f>
        <v>708400067</v>
      </c>
      <c r="B25" s="146" t="s">
        <v>79</v>
      </c>
      <c r="C25" s="150" t="str">
        <f>'Weekly Plan'!G37</f>
        <v>LH Consol Fairing</v>
      </c>
      <c r="D25" s="171" t="str">
        <f>IF('Weekly Plan'!M37=0,"",'Weekly Plan'!M37)</f>
        <v/>
      </c>
      <c r="E25" s="4">
        <f>'Weekly Plan'!A37</f>
        <v>2</v>
      </c>
      <c r="F25" s="4">
        <f t="shared" si="7"/>
        <v>0</v>
      </c>
      <c r="G25" s="129">
        <f>'Weekly Plan'!F25</f>
        <v>708200871</v>
      </c>
      <c r="H25" s="146" t="s">
        <v>54</v>
      </c>
      <c r="I25" s="147" t="str">
        <f>'Weekly Plan'!G25</f>
        <v>RH Front Fairing</v>
      </c>
      <c r="J25" s="128" t="str">
        <f>IF('Weekly Plan'!M25=0,"",'Weekly Plan'!M25)</f>
        <v/>
      </c>
      <c r="K25" s="4">
        <f>'Weekly Plan'!A25</f>
        <v>1</v>
      </c>
      <c r="L25" s="4">
        <f t="shared" si="2"/>
        <v>0</v>
      </c>
      <c r="M25" s="130">
        <f>'Weekly Plan'!F90</f>
        <v>2647</v>
      </c>
      <c r="N25" s="127" t="str">
        <f>'Weekly Plan'!G90</f>
        <v>Front Puck</v>
      </c>
      <c r="O25" s="128" t="str">
        <f>IF('Weekly Plan'!M90=0,"",'Weekly Plan'!M90)</f>
        <v/>
      </c>
      <c r="P25" s="4">
        <f>'Weekly Plan'!A90</f>
        <v>6</v>
      </c>
      <c r="Q25" s="4">
        <f t="shared" si="10"/>
        <v>0</v>
      </c>
      <c r="R25" s="4">
        <v>18</v>
      </c>
      <c r="AC25" s="4">
        <v>1</v>
      </c>
      <c r="AF25" s="44">
        <v>708400002</v>
      </c>
      <c r="AG25" s="60" t="s">
        <v>79</v>
      </c>
      <c r="AH25" s="48" t="s">
        <v>155</v>
      </c>
      <c r="AI25" s="102">
        <f t="shared" si="9"/>
        <v>0</v>
      </c>
      <c r="AJ25" s="4"/>
      <c r="AK25" s="72"/>
      <c r="AL25" s="20" t="s">
        <v>108</v>
      </c>
      <c r="AM25" s="20" t="s">
        <v>91</v>
      </c>
      <c r="AN25" s="52">
        <f>IFERROR(J24/K25,0)</f>
        <v>0</v>
      </c>
      <c r="AO25" s="4"/>
      <c r="AP25" s="17" t="s">
        <v>35</v>
      </c>
      <c r="AQ25" s="62" t="s">
        <v>21</v>
      </c>
      <c r="AR25" s="15" t="s">
        <v>5</v>
      </c>
      <c r="AS25" s="13">
        <f t="shared" si="8"/>
        <v>0</v>
      </c>
    </row>
    <row r="26" spans="1:45" ht="13.5" customHeight="1" thickBot="1" x14ac:dyDescent="0.3">
      <c r="A26" s="129">
        <f>'Weekly Plan'!F38</f>
        <v>708400717</v>
      </c>
      <c r="B26" s="146" t="s">
        <v>79</v>
      </c>
      <c r="C26" s="150" t="str">
        <f>'Weekly Plan'!G38</f>
        <v>New LH Console Panel</v>
      </c>
      <c r="D26" s="171" t="str">
        <f>IF('Weekly Plan'!M38=0,"",'Weekly Plan'!M38)</f>
        <v/>
      </c>
      <c r="E26" s="4">
        <f>'Weekly Plan'!A38</f>
        <v>2</v>
      </c>
      <c r="F26" s="4">
        <f t="shared" si="7"/>
        <v>0</v>
      </c>
      <c r="G26" s="129">
        <f>'Weekly Plan'!F26</f>
        <v>708200869</v>
      </c>
      <c r="H26" s="146" t="s">
        <v>54</v>
      </c>
      <c r="I26" s="147" t="str">
        <f>'Weekly Plan'!G26</f>
        <v>R66 Hood</v>
      </c>
      <c r="J26" s="128" t="str">
        <f>IF('Weekly Plan'!M26=0,"",'Weekly Plan'!M26)</f>
        <v/>
      </c>
      <c r="K26" s="4">
        <f>'Weekly Plan'!A26</f>
        <v>1</v>
      </c>
      <c r="L26" s="4">
        <f t="shared" si="2"/>
        <v>0</v>
      </c>
      <c r="M26" s="139">
        <f>'Weekly Plan'!F91</f>
        <v>0</v>
      </c>
      <c r="N26" s="140">
        <f>'Weekly Plan'!G91</f>
        <v>0</v>
      </c>
      <c r="O26" s="135" t="str">
        <f>IF('Weekly Plan'!M91=0,"",'Weekly Plan'!M91)</f>
        <v/>
      </c>
      <c r="P26" s="4">
        <f>'Weekly Plan'!A91</f>
        <v>0</v>
      </c>
      <c r="Q26" s="4">
        <f t="shared" si="10"/>
        <v>0</v>
      </c>
      <c r="R26" s="4"/>
      <c r="AC26" s="4">
        <v>1</v>
      </c>
      <c r="AF26" s="44">
        <v>708400067</v>
      </c>
      <c r="AG26" s="60" t="s">
        <v>79</v>
      </c>
      <c r="AH26" s="48" t="s">
        <v>156</v>
      </c>
      <c r="AI26" s="102">
        <f t="shared" si="9"/>
        <v>0</v>
      </c>
      <c r="AJ26" s="4"/>
      <c r="AK26" s="24"/>
      <c r="AL26" s="20" t="s">
        <v>108</v>
      </c>
      <c r="AM26" s="20" t="s">
        <v>92</v>
      </c>
      <c r="AN26" s="52">
        <f>IFERROR(J25/K26,0)</f>
        <v>0</v>
      </c>
      <c r="AO26" s="4"/>
      <c r="AP26" s="17" t="s">
        <v>36</v>
      </c>
      <c r="AQ26" s="62" t="s">
        <v>21</v>
      </c>
      <c r="AR26" s="15" t="s">
        <v>1</v>
      </c>
      <c r="AS26" s="13">
        <f t="shared" si="8"/>
        <v>0</v>
      </c>
    </row>
    <row r="27" spans="1:45" ht="13.5" customHeight="1" thickBot="1" x14ac:dyDescent="0.3">
      <c r="A27" s="129">
        <f>'Weekly Plan'!F39</f>
        <v>708400718</v>
      </c>
      <c r="B27" s="146" t="s">
        <v>79</v>
      </c>
      <c r="C27" s="150" t="str">
        <f>'Weekly Plan'!G39</f>
        <v>New RH Console Panel</v>
      </c>
      <c r="D27" s="171" t="str">
        <f>IF('Weekly Plan'!M39=0,"",'Weekly Plan'!M39)</f>
        <v/>
      </c>
      <c r="E27" s="4">
        <f>'Weekly Plan'!A39</f>
        <v>2</v>
      </c>
      <c r="F27" s="4">
        <f t="shared" si="7"/>
        <v>0</v>
      </c>
      <c r="G27" s="129">
        <f>'Weekly Plan'!F27</f>
        <v>708303582</v>
      </c>
      <c r="H27" s="146" t="s">
        <v>54</v>
      </c>
      <c r="I27" s="147" t="str">
        <f>'Weekly Plan'!G27</f>
        <v>Central Cover</v>
      </c>
      <c r="J27" s="128" t="str">
        <f>IF('Weekly Plan'!M27=0,"",'Weekly Plan'!M27)</f>
        <v/>
      </c>
      <c r="K27" s="4">
        <f>'Weekly Plan'!A27</f>
        <v>1</v>
      </c>
      <c r="L27" s="4">
        <f t="shared" si="2"/>
        <v>0</v>
      </c>
      <c r="P27" s="4">
        <f>'Weekly Plan'!A92</f>
        <v>0</v>
      </c>
      <c r="Q27" s="4"/>
      <c r="AC27" s="2">
        <v>1</v>
      </c>
      <c r="AF27" s="44">
        <v>708400069</v>
      </c>
      <c r="AG27" s="60" t="s">
        <v>79</v>
      </c>
      <c r="AH27" s="48" t="s">
        <v>157</v>
      </c>
      <c r="AI27" s="102">
        <f t="shared" si="9"/>
        <v>0</v>
      </c>
      <c r="AJ27" s="4"/>
      <c r="AK27" s="24">
        <v>7092</v>
      </c>
      <c r="AL27" s="20" t="s">
        <v>108</v>
      </c>
      <c r="AM27" s="20" t="s">
        <v>93</v>
      </c>
      <c r="AN27" s="97">
        <f>IFERROR(J26/K27,0)</f>
        <v>0</v>
      </c>
      <c r="AO27" s="4"/>
      <c r="AP27" s="26" t="s">
        <v>40</v>
      </c>
      <c r="AQ27" s="75" t="s">
        <v>21</v>
      </c>
      <c r="AR27" s="20" t="s">
        <v>6</v>
      </c>
      <c r="AS27" s="13">
        <f>IFERROR(#REF!/#REF!,0)</f>
        <v>0</v>
      </c>
    </row>
    <row r="28" spans="1:45" ht="13.5" customHeight="1" thickBot="1" x14ac:dyDescent="0.3">
      <c r="A28" s="129">
        <f>'Weekly Plan'!F40</f>
        <v>708400722</v>
      </c>
      <c r="B28" s="146" t="s">
        <v>79</v>
      </c>
      <c r="C28" s="150" t="str">
        <f>'Weekly Plan'!G40</f>
        <v>New Nose Fairing</v>
      </c>
      <c r="D28" s="171" t="str">
        <f>IF('Weekly Plan'!M40=0,"",'Weekly Plan'!M40)</f>
        <v/>
      </c>
      <c r="E28" s="4">
        <f>'Weekly Plan'!A40</f>
        <v>2</v>
      </c>
      <c r="F28" s="4">
        <f t="shared" si="7"/>
        <v>0</v>
      </c>
      <c r="G28" s="129">
        <f>'Weekly Plan'!F28</f>
        <v>708303800</v>
      </c>
      <c r="H28" s="146" t="s">
        <v>54</v>
      </c>
      <c r="I28" s="147" t="str">
        <f>'Weekly Plan'!G28</f>
        <v>LH F3T Panel</v>
      </c>
      <c r="J28" s="128" t="str">
        <f>IF('Weekly Plan'!M28=0,"",'Weekly Plan'!M28)</f>
        <v/>
      </c>
      <c r="K28" s="4">
        <f>'Weekly Plan'!A28</f>
        <v>4</v>
      </c>
      <c r="L28" s="4">
        <f t="shared" si="2"/>
        <v>0</v>
      </c>
      <c r="M28" s="357" t="s">
        <v>212</v>
      </c>
      <c r="N28" s="358"/>
      <c r="O28" s="359"/>
      <c r="P28" s="4">
        <f>'Weekly Plan'!A93</f>
        <v>2</v>
      </c>
      <c r="Q28" s="4"/>
      <c r="AC28" s="2">
        <v>2</v>
      </c>
      <c r="AF28" s="44">
        <v>708400287</v>
      </c>
      <c r="AG28" s="60" t="s">
        <v>79</v>
      </c>
      <c r="AH28" s="48" t="s">
        <v>13</v>
      </c>
      <c r="AI28" s="102">
        <f t="shared" si="9"/>
        <v>0</v>
      </c>
      <c r="AJ28" s="4"/>
      <c r="AK28" s="345" t="s">
        <v>128</v>
      </c>
      <c r="AL28" s="346"/>
      <c r="AM28" s="346"/>
      <c r="AN28" s="361"/>
      <c r="AO28" s="4"/>
      <c r="AP28" s="26" t="s">
        <v>41</v>
      </c>
      <c r="AQ28" s="75" t="s">
        <v>21</v>
      </c>
      <c r="AR28" s="20" t="s">
        <v>7</v>
      </c>
      <c r="AS28" s="13">
        <f>IFERROR(#REF!/#REF!,0)</f>
        <v>0</v>
      </c>
    </row>
    <row r="29" spans="1:45" ht="13.5" customHeight="1" x14ac:dyDescent="0.25">
      <c r="A29" s="129">
        <f>'Weekly Plan'!F41</f>
        <v>708400721</v>
      </c>
      <c r="B29" s="146" t="s">
        <v>79</v>
      </c>
      <c r="C29" s="150" t="str">
        <f>'Weekly Plan'!G41</f>
        <v>New Tail Fairing</v>
      </c>
      <c r="D29" s="171" t="str">
        <f>IF('Weekly Plan'!M41=0,"",'Weekly Plan'!M41)</f>
        <v/>
      </c>
      <c r="E29" s="4">
        <f>'Weekly Plan'!A41</f>
        <v>8</v>
      </c>
      <c r="F29" s="4">
        <f t="shared" si="7"/>
        <v>0</v>
      </c>
      <c r="G29" s="129">
        <f>'Weekly Plan'!F29</f>
        <v>708303801</v>
      </c>
      <c r="H29" s="146" t="s">
        <v>54</v>
      </c>
      <c r="I29" s="147" t="str">
        <f>'Weekly Plan'!G29</f>
        <v>RH F3T Panel</v>
      </c>
      <c r="J29" s="128" t="str">
        <f>IF('Weekly Plan'!M29=0,"",'Weekly Plan'!M29)</f>
        <v/>
      </c>
      <c r="K29" s="4">
        <f>'Weekly Plan'!A29</f>
        <v>4</v>
      </c>
      <c r="L29" s="4">
        <f t="shared" si="2"/>
        <v>0</v>
      </c>
      <c r="M29" s="130">
        <f>'Weekly Plan'!F100</f>
        <v>0</v>
      </c>
      <c r="N29" s="127" t="str">
        <f>'Weekly Plan'!G100</f>
        <v>MS Applique</v>
      </c>
      <c r="O29" s="128" t="str">
        <f>IF('Weekly Plan'!M100=0,"",'Weekly Plan'!M100)</f>
        <v/>
      </c>
      <c r="P29" s="4">
        <f>'Weekly Plan'!A100</f>
        <v>6</v>
      </c>
      <c r="Q29" s="4">
        <f t="shared" si="10"/>
        <v>0</v>
      </c>
      <c r="R29" s="2">
        <v>21</v>
      </c>
      <c r="AC29" s="2"/>
      <c r="AF29" s="114">
        <v>708400076</v>
      </c>
      <c r="AG29" s="60" t="s">
        <v>79</v>
      </c>
      <c r="AH29" s="115" t="s">
        <v>206</v>
      </c>
      <c r="AI29" s="102">
        <f t="shared" si="9"/>
        <v>0</v>
      </c>
      <c r="AJ29" s="4"/>
      <c r="AK29" s="38"/>
      <c r="AL29" s="39" t="s">
        <v>108</v>
      </c>
      <c r="AM29" s="39" t="s">
        <v>95</v>
      </c>
      <c r="AN29" s="35">
        <f t="shared" ref="AN29:AN32" si="11">IFERROR(J28/K29,0)</f>
        <v>0</v>
      </c>
      <c r="AO29" s="4"/>
      <c r="AP29" s="24" t="s">
        <v>37</v>
      </c>
      <c r="AQ29" s="76" t="s">
        <v>21</v>
      </c>
      <c r="AR29" s="20" t="s">
        <v>8</v>
      </c>
      <c r="AS29" s="13">
        <f>IFERROR(#REF!/#REF!,0)</f>
        <v>0</v>
      </c>
    </row>
    <row r="30" spans="1:45" ht="13.5" customHeight="1" x14ac:dyDescent="0.25">
      <c r="A30" s="129">
        <f>'Weekly Plan'!F42</f>
        <v>708400462</v>
      </c>
      <c r="B30" s="146" t="s">
        <v>79</v>
      </c>
      <c r="C30" s="150" t="str">
        <f>'Weekly Plan'!G42</f>
        <v>LH Mirror Shell</v>
      </c>
      <c r="D30" s="171" t="str">
        <f>IF('Weekly Plan'!M42=0,"",'Weekly Plan'!M42)</f>
        <v/>
      </c>
      <c r="E30" s="4">
        <f>'Weekly Plan'!A42</f>
        <v>6</v>
      </c>
      <c r="F30" s="4">
        <f t="shared" ref="F30" si="12">IFERROR(D30/E30,0)</f>
        <v>0</v>
      </c>
      <c r="G30" s="129">
        <f>'Weekly Plan'!F30</f>
        <v>708302947</v>
      </c>
      <c r="H30" s="146" t="s">
        <v>54</v>
      </c>
      <c r="I30" s="147" t="str">
        <f>'Weekly Plan'!G30</f>
        <v>LH Box Cover</v>
      </c>
      <c r="J30" s="128" t="str">
        <f>IF('Weekly Plan'!M30=0,"",'Weekly Plan'!M30)</f>
        <v/>
      </c>
      <c r="K30" s="4">
        <f>'Weekly Plan'!A30</f>
        <v>2</v>
      </c>
      <c r="L30" s="4">
        <f t="shared" si="2"/>
        <v>0</v>
      </c>
      <c r="M30" s="130">
        <f>'Weekly Plan'!F101</f>
        <v>0</v>
      </c>
      <c r="N30" s="127" t="str">
        <f>'Weekly Plan'!G101</f>
        <v>MX Applique</v>
      </c>
      <c r="O30" s="128" t="str">
        <f>IF('Weekly Plan'!M101=0,"",'Weekly Plan'!M101)</f>
        <v/>
      </c>
      <c r="P30" s="4">
        <f>'Weekly Plan'!A101</f>
        <v>6</v>
      </c>
      <c r="Q30" s="4">
        <f t="shared" si="10"/>
        <v>0</v>
      </c>
      <c r="R30" s="4"/>
      <c r="S30" s="4"/>
      <c r="AC30" s="4">
        <v>1</v>
      </c>
      <c r="AF30" s="114">
        <v>708400398</v>
      </c>
      <c r="AG30" s="60" t="s">
        <v>79</v>
      </c>
      <c r="AH30" s="115" t="s">
        <v>78</v>
      </c>
      <c r="AI30" s="102">
        <f t="shared" si="9"/>
        <v>0</v>
      </c>
      <c r="AJ30" s="4"/>
      <c r="AK30" s="24"/>
      <c r="AL30" s="20" t="s">
        <v>108</v>
      </c>
      <c r="AM30" s="20" t="s">
        <v>96</v>
      </c>
      <c r="AN30" s="13">
        <f t="shared" si="11"/>
        <v>0</v>
      </c>
      <c r="AO30" s="4"/>
      <c r="AP30" s="24" t="s">
        <v>38</v>
      </c>
      <c r="AQ30" s="76" t="s">
        <v>21</v>
      </c>
      <c r="AR30" s="20" t="s">
        <v>9</v>
      </c>
      <c r="AS30" s="13">
        <f>IFERROR(#REF!/#REF!,0)</f>
        <v>0</v>
      </c>
    </row>
    <row r="31" spans="1:45" ht="13.5" customHeight="1" thickBot="1" x14ac:dyDescent="0.3">
      <c r="A31" s="141">
        <f>'Weekly Plan'!F43</f>
        <v>708400464</v>
      </c>
      <c r="B31" s="148" t="s">
        <v>79</v>
      </c>
      <c r="C31" s="151" t="str">
        <f>'Weekly Plan'!G43</f>
        <v>RH Mirror Shell</v>
      </c>
      <c r="D31" s="177" t="str">
        <f>IF('Weekly Plan'!M43=0,"",'Weekly Plan'!M43)</f>
        <v/>
      </c>
      <c r="E31" s="4">
        <f>'Weekly Plan'!A43</f>
        <v>6</v>
      </c>
      <c r="F31" s="4">
        <f t="shared" ref="F31" si="13">IFERROR(D31/E31,0)</f>
        <v>0</v>
      </c>
      <c r="G31" s="141">
        <f>'Weekly Plan'!F31</f>
        <v>708302948</v>
      </c>
      <c r="H31" s="148" t="s">
        <v>54</v>
      </c>
      <c r="I31" s="149" t="str">
        <f>'Weekly Plan'!G31</f>
        <v>RH Box Cover</v>
      </c>
      <c r="J31" s="135" t="str">
        <f>IF('Weekly Plan'!M31=0,"",'Weekly Plan'!M31)</f>
        <v/>
      </c>
      <c r="K31" s="4">
        <f>'Weekly Plan'!A31</f>
        <v>2</v>
      </c>
      <c r="L31" s="4">
        <f t="shared" si="2"/>
        <v>0</v>
      </c>
      <c r="M31" s="130">
        <f>'Weekly Plan'!F102</f>
        <v>0</v>
      </c>
      <c r="N31" s="127" t="str">
        <f>'Weekly Plan'!G102</f>
        <v>MS Applique Rework</v>
      </c>
      <c r="O31" s="128" t="str">
        <f>IF('Weekly Plan'!M102=0,"",'Weekly Plan'!M102)</f>
        <v/>
      </c>
      <c r="P31" s="4">
        <f>'Weekly Plan'!A102</f>
        <v>6</v>
      </c>
      <c r="Q31" s="4">
        <f t="shared" si="10"/>
        <v>0</v>
      </c>
      <c r="R31" s="4"/>
      <c r="S31" s="4"/>
      <c r="AC31" s="4">
        <v>1</v>
      </c>
      <c r="AF31" s="44">
        <v>708400462</v>
      </c>
      <c r="AG31" s="60" t="s">
        <v>79</v>
      </c>
      <c r="AH31" s="48" t="s">
        <v>59</v>
      </c>
      <c r="AI31" s="102">
        <f t="shared" si="9"/>
        <v>0</v>
      </c>
      <c r="AJ31" s="4"/>
      <c r="AK31" s="73"/>
      <c r="AL31" s="20" t="s">
        <v>108</v>
      </c>
      <c r="AM31" s="15" t="s">
        <v>98</v>
      </c>
      <c r="AN31" s="13">
        <f t="shared" si="11"/>
        <v>0</v>
      </c>
      <c r="AO31" s="4"/>
      <c r="AP31" s="26" t="s">
        <v>39</v>
      </c>
      <c r="AQ31" s="75" t="s">
        <v>21</v>
      </c>
      <c r="AR31" s="20" t="s">
        <v>10</v>
      </c>
      <c r="AS31" s="13">
        <f>IFERROR(#REF!/#REF!,0)</f>
        <v>0</v>
      </c>
    </row>
    <row r="32" spans="1:45" ht="13.5" customHeight="1" thickBot="1" x14ac:dyDescent="0.3">
      <c r="A32" s="138"/>
      <c r="B32" s="138"/>
      <c r="C32" s="138"/>
      <c r="D32" s="138"/>
      <c r="E32" s="4"/>
      <c r="F32" s="4"/>
      <c r="G32" s="136"/>
      <c r="H32" s="136"/>
      <c r="I32" s="136"/>
      <c r="J32" s="136"/>
      <c r="K32" s="4" t="e">
        <f>'Weekly Plan'!#REF!</f>
        <v>#REF!</v>
      </c>
      <c r="L32" s="4">
        <f>IFERROR(#REF!/K32,0)</f>
        <v>0</v>
      </c>
      <c r="M32" s="139">
        <f>'Weekly Plan'!F103</f>
        <v>0</v>
      </c>
      <c r="N32" s="140" t="str">
        <f>'Weekly Plan'!G103</f>
        <v>MX Applique Rework</v>
      </c>
      <c r="O32" s="135" t="str">
        <f>IF('Weekly Plan'!M103=0,"",'Weekly Plan'!M103)</f>
        <v/>
      </c>
      <c r="P32" s="4">
        <f>'Weekly Plan'!A103</f>
        <v>6</v>
      </c>
      <c r="Q32" s="4">
        <f t="shared" si="10"/>
        <v>0</v>
      </c>
      <c r="R32" s="4"/>
      <c r="S32" s="4"/>
      <c r="AC32" s="4">
        <v>1</v>
      </c>
      <c r="AF32" s="45">
        <v>708400464</v>
      </c>
      <c r="AG32" s="60" t="s">
        <v>79</v>
      </c>
      <c r="AH32" s="49" t="s">
        <v>60</v>
      </c>
      <c r="AI32" s="102">
        <f>IFERROR(D31/E30,0)</f>
        <v>0</v>
      </c>
      <c r="AJ32" s="4"/>
      <c r="AK32" s="17"/>
      <c r="AL32" s="20" t="s">
        <v>108</v>
      </c>
      <c r="AM32" s="15" t="s">
        <v>97</v>
      </c>
      <c r="AN32" s="13">
        <f t="shared" si="11"/>
        <v>0</v>
      </c>
      <c r="AO32" s="4"/>
      <c r="AP32" s="28" t="s">
        <v>42</v>
      </c>
      <c r="AQ32" s="77" t="s">
        <v>21</v>
      </c>
      <c r="AR32" s="27" t="s">
        <v>11</v>
      </c>
      <c r="AS32" s="14">
        <f>IFERROR(#REF!/#REF!,0)</f>
        <v>0</v>
      </c>
    </row>
    <row r="33" spans="1:45" ht="13.5" customHeight="1" thickBot="1" x14ac:dyDescent="0.3">
      <c r="A33" s="362"/>
      <c r="B33" s="363"/>
      <c r="C33" s="363"/>
      <c r="D33" s="364"/>
      <c r="E33" s="4">
        <f>'Weekly Plan'!A45</f>
        <v>3.4285745454545458</v>
      </c>
      <c r="F33" s="4">
        <f t="shared" ref="F33:F41" si="14">IFERROR(D34/E33,0)</f>
        <v>0</v>
      </c>
      <c r="G33" s="365" t="s">
        <v>81</v>
      </c>
      <c r="H33" s="366"/>
      <c r="I33" s="366"/>
      <c r="J33" s="367"/>
      <c r="K33" s="4" t="e">
        <f>'Weekly Plan'!#REF!</f>
        <v>#REF!</v>
      </c>
      <c r="L33" s="4">
        <f>IFERROR(#REF!/K33,0)</f>
        <v>0</v>
      </c>
      <c r="Q33" s="4"/>
      <c r="R33" s="4"/>
      <c r="S33" s="4"/>
      <c r="AC33" s="4">
        <v>1</v>
      </c>
      <c r="AF33" s="25"/>
      <c r="AG33" s="25"/>
      <c r="AH33" s="25"/>
      <c r="AI33" s="25"/>
      <c r="AJ33" s="4"/>
      <c r="AK33" s="17"/>
      <c r="AL33" s="20" t="s">
        <v>108</v>
      </c>
      <c r="AM33" s="15" t="s">
        <v>99</v>
      </c>
      <c r="AN33" s="13">
        <f>IFERROR(#REF!/K33,0)</f>
        <v>0</v>
      </c>
      <c r="AO33" s="4"/>
      <c r="AP33" s="16"/>
      <c r="AQ33" s="16"/>
      <c r="AR33" s="16"/>
      <c r="AS33" s="98"/>
    </row>
    <row r="34" spans="1:45" ht="13.5" customHeight="1" thickBot="1" x14ac:dyDescent="0.3">
      <c r="A34" s="152">
        <f>'Weekly Plan'!F45</f>
        <v>0</v>
      </c>
      <c r="B34" s="153" t="s">
        <v>121</v>
      </c>
      <c r="C34" s="154">
        <f>'Weekly Plan'!G45</f>
        <v>0</v>
      </c>
      <c r="D34" s="145" t="str">
        <f>IF('Weekly Plan'!M45=0,"",'Weekly Plan'!M45)</f>
        <v/>
      </c>
      <c r="E34" s="4">
        <f>'Weekly Plan'!A46</f>
        <v>3.4285745454545458</v>
      </c>
      <c r="F34" s="4">
        <f t="shared" si="14"/>
        <v>0</v>
      </c>
      <c r="G34" s="344"/>
      <c r="H34" s="312"/>
      <c r="I34" s="312"/>
      <c r="J34" s="313"/>
      <c r="K34" s="4"/>
      <c r="L34" s="4"/>
      <c r="R34" s="4"/>
      <c r="S34" s="4"/>
      <c r="AC34" s="4">
        <v>2</v>
      </c>
      <c r="AF34" s="360" t="s">
        <v>110</v>
      </c>
      <c r="AG34" s="318"/>
      <c r="AH34" s="318"/>
      <c r="AI34" s="351"/>
      <c r="AJ34" s="4"/>
      <c r="AK34" s="18"/>
      <c r="AL34" s="27" t="s">
        <v>108</v>
      </c>
      <c r="AM34" s="19" t="s">
        <v>100</v>
      </c>
      <c r="AN34" s="14">
        <f>IFERROR(#REF!/K34,0)</f>
        <v>0</v>
      </c>
      <c r="AO34" s="4"/>
      <c r="AP34" s="349" t="s">
        <v>52</v>
      </c>
      <c r="AQ34" s="350"/>
      <c r="AR34" s="350"/>
      <c r="AS34" s="351"/>
    </row>
    <row r="35" spans="1:45" ht="13.5" customHeight="1" thickBot="1" x14ac:dyDescent="0.3">
      <c r="A35" s="129">
        <f>'Weekly Plan'!F46</f>
        <v>0</v>
      </c>
      <c r="B35" s="146" t="s">
        <v>121</v>
      </c>
      <c r="C35" s="150">
        <f>'Weekly Plan'!G46</f>
        <v>0</v>
      </c>
      <c r="D35" s="145" t="str">
        <f>IF('Weekly Plan'!M46=0,"",'Weekly Plan'!M46)</f>
        <v/>
      </c>
      <c r="E35" s="4">
        <f>'Weekly Plan'!A47</f>
        <v>1.2000000000000002</v>
      </c>
      <c r="F35" s="4">
        <f t="shared" si="14"/>
        <v>0</v>
      </c>
      <c r="G35" s="311"/>
      <c r="H35" s="312"/>
      <c r="I35" s="312"/>
      <c r="J35" s="313"/>
      <c r="K35" s="4"/>
      <c r="L35" s="4"/>
      <c r="M35" s="31" t="s">
        <v>15</v>
      </c>
      <c r="N35" s="9" t="s">
        <v>16</v>
      </c>
      <c r="R35" s="4">
        <v>4</v>
      </c>
      <c r="S35" s="4"/>
      <c r="AC35" s="4">
        <v>1</v>
      </c>
      <c r="AF35" s="43">
        <v>705007790</v>
      </c>
      <c r="AG35" s="59" t="s">
        <v>121</v>
      </c>
      <c r="AH35" s="47" t="s">
        <v>82</v>
      </c>
      <c r="AI35" s="46">
        <f t="shared" ref="AI35:AI43" si="15">IFERROR(D34/E33,0)</f>
        <v>0</v>
      </c>
      <c r="AJ35" s="4"/>
      <c r="AK35" s="53"/>
      <c r="AL35" s="53"/>
      <c r="AM35" s="53"/>
      <c r="AN35" s="53"/>
      <c r="AO35" s="4"/>
      <c r="AP35" s="230" t="s">
        <v>48</v>
      </c>
      <c r="AQ35" s="231"/>
      <c r="AR35" s="231"/>
      <c r="AS35" s="232"/>
    </row>
    <row r="36" spans="1:45" ht="13.5" customHeight="1" thickBot="1" x14ac:dyDescent="0.3">
      <c r="A36" s="129">
        <f>'Weekly Plan'!F47</f>
        <v>0</v>
      </c>
      <c r="B36" s="146" t="s">
        <v>121</v>
      </c>
      <c r="C36" s="150">
        <f>'Weekly Plan'!G47</f>
        <v>0</v>
      </c>
      <c r="D36" s="145" t="str">
        <f>IF('Weekly Plan'!M47=0,"",'Weekly Plan'!M47)</f>
        <v/>
      </c>
      <c r="E36" s="4">
        <f>'Weekly Plan'!A48</f>
        <v>1.2000000000000002</v>
      </c>
      <c r="F36" s="4">
        <f t="shared" si="14"/>
        <v>0</v>
      </c>
      <c r="G36" s="311"/>
      <c r="H36" s="312"/>
      <c r="I36" s="312"/>
      <c r="J36" s="313"/>
      <c r="K36" s="4"/>
      <c r="L36" s="4"/>
      <c r="M36" s="9" t="str">
        <f>A4</f>
        <v>Hyper Silver</v>
      </c>
      <c r="N36" s="9">
        <f>SUM(F5:F18)</f>
        <v>0</v>
      </c>
      <c r="O36" s="21"/>
      <c r="Q36" s="4"/>
      <c r="R36" s="4">
        <v>2</v>
      </c>
      <c r="S36" s="4"/>
      <c r="AC36" s="4">
        <v>1</v>
      </c>
      <c r="AF36" s="44">
        <v>705007791</v>
      </c>
      <c r="AG36" s="60" t="s">
        <v>121</v>
      </c>
      <c r="AH36" s="48" t="s">
        <v>83</v>
      </c>
      <c r="AI36" s="46">
        <f t="shared" si="15"/>
        <v>0</v>
      </c>
      <c r="AJ36" s="4"/>
      <c r="AK36" s="345" t="s">
        <v>103</v>
      </c>
      <c r="AL36" s="346"/>
      <c r="AM36" s="346"/>
      <c r="AN36" s="347"/>
      <c r="AO36" s="4"/>
      <c r="AP36" s="33" t="s">
        <v>43</v>
      </c>
      <c r="AQ36" s="81" t="s">
        <v>55</v>
      </c>
      <c r="AR36" s="40" t="s">
        <v>22</v>
      </c>
      <c r="AS36" s="35">
        <f>IFERROR(#REF!/#REF!,0)</f>
        <v>0</v>
      </c>
    </row>
    <row r="37" spans="1:45" ht="13.5" customHeight="1" x14ac:dyDescent="0.25">
      <c r="A37" s="129">
        <f>'Weekly Plan'!F48</f>
        <v>0</v>
      </c>
      <c r="B37" s="146" t="s">
        <v>121</v>
      </c>
      <c r="C37" s="150">
        <f>'Weekly Plan'!G48</f>
        <v>0</v>
      </c>
      <c r="D37" s="145" t="str">
        <f>IF('Weekly Plan'!M48=0,"",'Weekly Plan'!M48)</f>
        <v/>
      </c>
      <c r="E37" s="4">
        <f>'Weekly Plan'!A49</f>
        <v>1.2000000000000002</v>
      </c>
      <c r="F37" s="4">
        <f t="shared" si="14"/>
        <v>0</v>
      </c>
      <c r="G37" s="311"/>
      <c r="H37" s="312"/>
      <c r="I37" s="312"/>
      <c r="J37" s="313"/>
      <c r="K37" s="4"/>
      <c r="L37" s="4"/>
      <c r="M37" s="9" t="str">
        <f>A20</f>
        <v>Deep Black</v>
      </c>
      <c r="N37" s="9">
        <f>SUM(F21:F31)</f>
        <v>0</v>
      </c>
      <c r="O37" s="21"/>
      <c r="Q37" s="4"/>
      <c r="R37" s="4"/>
      <c r="S37" s="4"/>
      <c r="AC37" s="4">
        <v>1</v>
      </c>
      <c r="AF37" s="44">
        <v>705010835</v>
      </c>
      <c r="AG37" s="60" t="s">
        <v>121</v>
      </c>
      <c r="AH37" s="48" t="s">
        <v>85</v>
      </c>
      <c r="AI37" s="46">
        <f t="shared" si="15"/>
        <v>0</v>
      </c>
      <c r="AJ37" s="4"/>
      <c r="AK37" s="33">
        <v>500458</v>
      </c>
      <c r="AL37" s="81" t="s">
        <v>51</v>
      </c>
      <c r="AM37" s="89" t="s">
        <v>104</v>
      </c>
      <c r="AN37" s="35">
        <f>IFERROR(J34/K37,0)</f>
        <v>0</v>
      </c>
      <c r="AO37" s="4"/>
      <c r="AP37" s="17" t="s">
        <v>44</v>
      </c>
      <c r="AQ37" s="62" t="s">
        <v>55</v>
      </c>
      <c r="AR37" s="15" t="s">
        <v>19</v>
      </c>
      <c r="AS37" s="13">
        <f>IFERROR(#REF!/#REF!,0)</f>
        <v>0</v>
      </c>
    </row>
    <row r="38" spans="1:45" ht="13.5" customHeight="1" x14ac:dyDescent="0.25">
      <c r="A38" s="129">
        <f>'Weekly Plan'!F49</f>
        <v>0</v>
      </c>
      <c r="B38" s="146" t="s">
        <v>121</v>
      </c>
      <c r="C38" s="150">
        <f>'Weekly Plan'!G49</f>
        <v>0</v>
      </c>
      <c r="D38" s="145" t="str">
        <f>IF('Weekly Plan'!M49=0,"",'Weekly Plan'!M49)</f>
        <v/>
      </c>
      <c r="E38" s="4">
        <f>'Weekly Plan'!A50</f>
        <v>2.4000000000000004</v>
      </c>
      <c r="F38" s="4">
        <f t="shared" si="14"/>
        <v>0</v>
      </c>
      <c r="G38" s="311"/>
      <c r="H38" s="312"/>
      <c r="I38" s="312"/>
      <c r="J38" s="313"/>
      <c r="K38" s="4"/>
      <c r="L38" s="4"/>
      <c r="M38" s="9">
        <f>A33</f>
        <v>0</v>
      </c>
      <c r="N38" s="9">
        <f>SUM(F34:F42)</f>
        <v>0</v>
      </c>
      <c r="O38" s="21"/>
      <c r="Q38" s="4"/>
      <c r="R38" s="4">
        <v>1</v>
      </c>
      <c r="S38" s="4"/>
      <c r="AC38" s="4">
        <v>1</v>
      </c>
      <c r="AF38" s="44">
        <v>705010851</v>
      </c>
      <c r="AG38" s="60" t="s">
        <v>121</v>
      </c>
      <c r="AH38" s="48" t="s">
        <v>84</v>
      </c>
      <c r="AI38" s="46">
        <f t="shared" si="15"/>
        <v>0</v>
      </c>
      <c r="AJ38" s="4"/>
      <c r="AK38" s="17">
        <v>500458</v>
      </c>
      <c r="AL38" s="62" t="s">
        <v>51</v>
      </c>
      <c r="AM38" s="15" t="s">
        <v>105</v>
      </c>
      <c r="AN38" s="13">
        <f>IFERROR(J35/K38,0)</f>
        <v>0</v>
      </c>
      <c r="AO38" s="4"/>
      <c r="AP38" s="17" t="s">
        <v>62</v>
      </c>
      <c r="AQ38" s="62" t="s">
        <v>55</v>
      </c>
      <c r="AR38" s="15" t="s">
        <v>20</v>
      </c>
      <c r="AS38" s="13">
        <f>IFERROR(#REF!/#REF!,0)</f>
        <v>0</v>
      </c>
    </row>
    <row r="39" spans="1:45" ht="13.5" customHeight="1" thickBot="1" x14ac:dyDescent="0.3">
      <c r="A39" s="129">
        <f>'Weekly Plan'!F50</f>
        <v>0</v>
      </c>
      <c r="B39" s="146" t="s">
        <v>121</v>
      </c>
      <c r="C39" s="150">
        <f>'Weekly Plan'!G50</f>
        <v>0</v>
      </c>
      <c r="D39" s="145" t="str">
        <f>IF('Weekly Plan'!M50=0,"",'Weekly Plan'!M50)</f>
        <v/>
      </c>
      <c r="E39" s="4">
        <f>'Weekly Plan'!A51</f>
        <v>2.4000000000000004</v>
      </c>
      <c r="F39" s="4">
        <f t="shared" si="14"/>
        <v>0</v>
      </c>
      <c r="G39" s="311"/>
      <c r="H39" s="312"/>
      <c r="I39" s="312"/>
      <c r="J39" s="313"/>
      <c r="K39" s="4"/>
      <c r="L39" s="4"/>
      <c r="M39" s="9" t="str">
        <f>A44</f>
        <v>Vegas White</v>
      </c>
      <c r="N39" s="9">
        <f>SUM(F45:F56)</f>
        <v>0</v>
      </c>
      <c r="Q39" s="4"/>
      <c r="R39" s="4"/>
      <c r="S39" s="4"/>
      <c r="AC39" s="4">
        <v>4</v>
      </c>
      <c r="AF39" s="44">
        <v>708200366</v>
      </c>
      <c r="AG39" s="60" t="s">
        <v>121</v>
      </c>
      <c r="AH39" s="48" t="s">
        <v>86</v>
      </c>
      <c r="AI39" s="46">
        <f t="shared" si="15"/>
        <v>0</v>
      </c>
      <c r="AJ39" s="4"/>
      <c r="AK39" s="17">
        <v>500458</v>
      </c>
      <c r="AL39" s="62" t="s">
        <v>51</v>
      </c>
      <c r="AM39" s="15" t="s">
        <v>106</v>
      </c>
      <c r="AN39" s="14">
        <f>IFERROR(J36/K39,0)</f>
        <v>0</v>
      </c>
      <c r="AO39" s="4"/>
      <c r="AP39" s="29" t="s">
        <v>45</v>
      </c>
      <c r="AQ39" s="67" t="s">
        <v>55</v>
      </c>
      <c r="AR39" s="30" t="s">
        <v>23</v>
      </c>
      <c r="AS39" s="14">
        <f>IFERROR(#REF!/#REF!,0)</f>
        <v>0</v>
      </c>
    </row>
    <row r="40" spans="1:45" ht="13.5" customHeight="1" thickBot="1" x14ac:dyDescent="0.3">
      <c r="A40" s="129">
        <f>'Weekly Plan'!F51</f>
        <v>0</v>
      </c>
      <c r="B40" s="146" t="s">
        <v>121</v>
      </c>
      <c r="C40" s="150">
        <f>'Weekly Plan'!G51</f>
        <v>0</v>
      </c>
      <c r="D40" s="145" t="str">
        <f>IF('Weekly Plan'!M51=0,"",'Weekly Plan'!M51)</f>
        <v/>
      </c>
      <c r="E40" s="4">
        <f>'Weekly Plan'!A52</f>
        <v>1.2000000000000002</v>
      </c>
      <c r="F40" s="4">
        <f t="shared" si="14"/>
        <v>0</v>
      </c>
      <c r="G40" s="311"/>
      <c r="H40" s="312"/>
      <c r="I40" s="312"/>
      <c r="J40" s="313"/>
      <c r="M40" s="9" t="str">
        <f>G4</f>
        <v>Black - Laval</v>
      </c>
      <c r="N40" s="9">
        <f>SUM(L5:L16)</f>
        <v>0</v>
      </c>
      <c r="R40" s="4">
        <v>4</v>
      </c>
      <c r="S40" s="4"/>
      <c r="AC40" s="4">
        <v>2</v>
      </c>
      <c r="AF40" s="44">
        <v>708200401</v>
      </c>
      <c r="AG40" s="60" t="s">
        <v>121</v>
      </c>
      <c r="AH40" s="48" t="s">
        <v>87</v>
      </c>
      <c r="AI40" s="46">
        <f t="shared" si="15"/>
        <v>0</v>
      </c>
      <c r="AJ40" s="4"/>
      <c r="AO40" s="4"/>
      <c r="AP40" s="230" t="s">
        <v>49</v>
      </c>
      <c r="AQ40" s="231"/>
      <c r="AR40" s="231"/>
      <c r="AS40" s="348"/>
    </row>
    <row r="41" spans="1:45" ht="13.5" customHeight="1" thickBot="1" x14ac:dyDescent="0.3">
      <c r="A41" s="129">
        <f>'Weekly Plan'!F52</f>
        <v>0</v>
      </c>
      <c r="B41" s="146" t="s">
        <v>121</v>
      </c>
      <c r="C41" s="150">
        <f>'Weekly Plan'!G52</f>
        <v>0</v>
      </c>
      <c r="D41" s="145" t="str">
        <f>IF('Weekly Plan'!M52=0,"",'Weekly Plan'!M52)</f>
        <v/>
      </c>
      <c r="E41" s="4">
        <f>'Weekly Plan'!A53</f>
        <v>3.4285745454545458</v>
      </c>
      <c r="F41" s="4">
        <f t="shared" si="14"/>
        <v>0</v>
      </c>
      <c r="G41" s="311"/>
      <c r="H41" s="312"/>
      <c r="I41" s="312"/>
      <c r="J41" s="313"/>
      <c r="K41" s="4"/>
      <c r="L41" s="4"/>
      <c r="M41" s="9" t="str">
        <f>G18</f>
        <v>Satin Vegas</v>
      </c>
      <c r="N41" s="9">
        <f>SUM(L19:L33)</f>
        <v>0</v>
      </c>
      <c r="R41" s="4">
        <v>2</v>
      </c>
      <c r="S41" s="4"/>
      <c r="AC41" s="4">
        <v>1</v>
      </c>
      <c r="AF41" s="44">
        <v>708200402</v>
      </c>
      <c r="AG41" s="60" t="s">
        <v>121</v>
      </c>
      <c r="AH41" s="48" t="s">
        <v>88</v>
      </c>
      <c r="AI41" s="46">
        <f t="shared" si="15"/>
        <v>0</v>
      </c>
      <c r="AJ41" s="4"/>
      <c r="AK41" s="345" t="s">
        <v>46</v>
      </c>
      <c r="AL41" s="346"/>
      <c r="AM41" s="346"/>
      <c r="AN41" s="347"/>
      <c r="AO41" s="4"/>
      <c r="AP41" s="33">
        <v>6285</v>
      </c>
      <c r="AQ41" s="81" t="s">
        <v>55</v>
      </c>
      <c r="AR41" s="40" t="s">
        <v>22</v>
      </c>
      <c r="AS41" s="35">
        <f>IFERROR(#REF!/#REF!,0)</f>
        <v>0</v>
      </c>
    </row>
    <row r="42" spans="1:45" ht="13.5" customHeight="1" thickBot="1" x14ac:dyDescent="0.3">
      <c r="A42" s="141">
        <f>'Weekly Plan'!F53</f>
        <v>0</v>
      </c>
      <c r="B42" s="148" t="s">
        <v>121</v>
      </c>
      <c r="C42" s="151">
        <f>'Weekly Plan'!G53</f>
        <v>0</v>
      </c>
      <c r="D42" s="164" t="str">
        <f>IF('Weekly Plan'!M53=0,"",'Weekly Plan'!M53)</f>
        <v/>
      </c>
      <c r="E42" s="4"/>
      <c r="F42" s="4"/>
      <c r="G42" s="311"/>
      <c r="H42" s="312"/>
      <c r="I42" s="312"/>
      <c r="J42" s="313"/>
      <c r="K42" s="4"/>
      <c r="L42" s="4"/>
      <c r="M42" s="9" t="str">
        <f>M4</f>
        <v>Mitchell Plastics</v>
      </c>
      <c r="N42" s="9">
        <f>SUM(Q5:Q10)</f>
        <v>0</v>
      </c>
      <c r="R42" s="2">
        <v>1</v>
      </c>
      <c r="AC42" s="2">
        <v>4</v>
      </c>
      <c r="AF42" s="44">
        <v>708200698</v>
      </c>
      <c r="AG42" s="60" t="s">
        <v>121</v>
      </c>
      <c r="AH42" s="48" t="s">
        <v>89</v>
      </c>
      <c r="AI42" s="46">
        <f t="shared" si="15"/>
        <v>0</v>
      </c>
      <c r="AJ42" s="4"/>
      <c r="AK42" s="33">
        <v>42521681</v>
      </c>
      <c r="AL42" s="81" t="s">
        <v>50</v>
      </c>
      <c r="AM42" s="34" t="s">
        <v>25</v>
      </c>
      <c r="AN42" s="35">
        <f>IFERROR(J39/K42,0)</f>
        <v>0</v>
      </c>
      <c r="AO42" s="4"/>
      <c r="AP42" s="17">
        <v>6284</v>
      </c>
      <c r="AQ42" s="62" t="s">
        <v>55</v>
      </c>
      <c r="AR42" s="15" t="s">
        <v>19</v>
      </c>
      <c r="AS42" s="13">
        <f>IFERROR(#REF!/#REF!,0)</f>
        <v>0</v>
      </c>
    </row>
    <row r="43" spans="1:45" ht="13.5" customHeight="1" thickBot="1" x14ac:dyDescent="0.3">
      <c r="A43" s="142"/>
      <c r="B43" s="142"/>
      <c r="C43" s="142"/>
      <c r="D43" s="138"/>
      <c r="E43" s="4"/>
      <c r="F43" s="4"/>
      <c r="G43" s="311"/>
      <c r="H43" s="312"/>
      <c r="I43" s="312"/>
      <c r="J43" s="313"/>
      <c r="K43" s="4"/>
      <c r="L43" s="4"/>
      <c r="M43" s="9" t="str">
        <f>M12</f>
        <v>Seastar Hyper Silver</v>
      </c>
      <c r="N43" s="9">
        <f>SUM(Q13:Q15)</f>
        <v>0</v>
      </c>
      <c r="R43" s="2">
        <v>1</v>
      </c>
      <c r="AC43" s="2">
        <v>2</v>
      </c>
      <c r="AF43" s="45">
        <v>708301201</v>
      </c>
      <c r="AG43" s="61" t="s">
        <v>121</v>
      </c>
      <c r="AH43" s="49" t="s">
        <v>90</v>
      </c>
      <c r="AI43" s="46">
        <f t="shared" si="15"/>
        <v>0</v>
      </c>
      <c r="AJ43" s="4"/>
      <c r="AK43" s="17">
        <v>42521680</v>
      </c>
      <c r="AL43" s="62" t="s">
        <v>50</v>
      </c>
      <c r="AM43" s="15" t="s">
        <v>26</v>
      </c>
      <c r="AN43" s="13">
        <f>IFERROR(J40/K43,0)</f>
        <v>0</v>
      </c>
      <c r="AO43" s="4"/>
      <c r="AP43" s="17">
        <v>6282</v>
      </c>
      <c r="AQ43" s="62" t="s">
        <v>55</v>
      </c>
      <c r="AR43" s="15" t="s">
        <v>20</v>
      </c>
      <c r="AS43" s="13">
        <f>IFERROR(#REF!/#REF!,0)</f>
        <v>0</v>
      </c>
    </row>
    <row r="44" spans="1:45" ht="13.5" customHeight="1" thickBot="1" x14ac:dyDescent="0.3">
      <c r="A44" s="314" t="s">
        <v>12</v>
      </c>
      <c r="B44" s="315"/>
      <c r="C44" s="315"/>
      <c r="D44" s="316"/>
      <c r="E44" s="4">
        <f>'Weekly Plan'!A55</f>
        <v>2</v>
      </c>
      <c r="F44" s="4">
        <f t="shared" ref="F44:F45" si="16">IFERROR(D45/E44,0)</f>
        <v>0</v>
      </c>
      <c r="G44" s="311"/>
      <c r="H44" s="312"/>
      <c r="I44" s="312"/>
      <c r="J44" s="313"/>
      <c r="K44" s="4"/>
      <c r="L44" s="4"/>
      <c r="M44" s="157" t="str">
        <f>M17</f>
        <v>Manterra - Hyper Silver</v>
      </c>
      <c r="N44" s="9">
        <f>SUM(Q18:Q20)</f>
        <v>0</v>
      </c>
      <c r="R44" s="4"/>
      <c r="S44" s="4"/>
      <c r="AC44" s="4">
        <v>1</v>
      </c>
      <c r="AF44" s="42"/>
      <c r="AG44" s="42"/>
      <c r="AH44" s="42"/>
      <c r="AI44" s="25"/>
      <c r="AJ44" s="4"/>
      <c r="AK44" s="17">
        <v>42521683</v>
      </c>
      <c r="AL44" s="62" t="s">
        <v>50</v>
      </c>
      <c r="AM44" s="15" t="s">
        <v>27</v>
      </c>
      <c r="AN44" s="13">
        <f>IFERROR(J41/K44,0)</f>
        <v>0</v>
      </c>
      <c r="AO44" s="4"/>
      <c r="AP44" s="18">
        <v>6283</v>
      </c>
      <c r="AQ44" s="63" t="s">
        <v>55</v>
      </c>
      <c r="AR44" s="19" t="s">
        <v>23</v>
      </c>
      <c r="AS44" s="14">
        <f>IFERROR(#REF!/#REF!,0)</f>
        <v>0</v>
      </c>
    </row>
    <row r="45" spans="1:45" ht="13.5" customHeight="1" thickBot="1" x14ac:dyDescent="0.3">
      <c r="A45" s="130">
        <f>'Weekly Plan'!F55</f>
        <v>705009213</v>
      </c>
      <c r="B45" s="127" t="s">
        <v>12</v>
      </c>
      <c r="C45" s="132" t="str">
        <f>'Weekly Plan'!G55</f>
        <v>LH F3T Low Fairing</v>
      </c>
      <c r="D45" s="128" t="str">
        <f>IF('Weekly Plan'!M55=0,"",'Weekly Plan'!M55)</f>
        <v/>
      </c>
      <c r="E45" s="4">
        <f>'Weekly Plan'!A55</f>
        <v>2</v>
      </c>
      <c r="F45" s="4">
        <f t="shared" si="16"/>
        <v>0</v>
      </c>
      <c r="G45" s="311"/>
      <c r="H45" s="312"/>
      <c r="I45" s="312"/>
      <c r="J45" s="313"/>
      <c r="K45" s="4"/>
      <c r="L45" s="4"/>
      <c r="M45" s="157" t="str">
        <f>M22</f>
        <v>Falcon Lakeside US Hyper Silver</v>
      </c>
      <c r="N45" s="9">
        <f>SUM(Q23:Q26)</f>
        <v>0</v>
      </c>
      <c r="R45" s="4"/>
      <c r="S45" s="4"/>
      <c r="AC45" s="4">
        <v>1</v>
      </c>
      <c r="AF45" s="317" t="s">
        <v>47</v>
      </c>
      <c r="AG45" s="318"/>
      <c r="AH45" s="318"/>
      <c r="AI45" s="319"/>
      <c r="AJ45" s="4"/>
      <c r="AK45" s="18">
        <v>42521682</v>
      </c>
      <c r="AL45" s="63" t="s">
        <v>50</v>
      </c>
      <c r="AM45" s="19" t="s">
        <v>28</v>
      </c>
      <c r="AN45" s="14">
        <f>IFERROR(J42/K45,0)</f>
        <v>0</v>
      </c>
      <c r="AO45" s="4"/>
      <c r="AP45" s="22"/>
      <c r="AQ45" s="22"/>
      <c r="AR45" s="22"/>
      <c r="AS45" s="99"/>
    </row>
    <row r="46" spans="1:45" ht="13.5" customHeight="1" x14ac:dyDescent="0.25">
      <c r="A46" s="130">
        <f>'Weekly Plan'!F56</f>
        <v>705009214</v>
      </c>
      <c r="B46" s="127" t="s">
        <v>12</v>
      </c>
      <c r="C46" s="132" t="str">
        <f>'Weekly Plan'!G56</f>
        <v>RH F3T Low Fairing</v>
      </c>
      <c r="D46" s="128" t="str">
        <f>IF('Weekly Plan'!M56=0,"",'Weekly Plan'!M56)</f>
        <v/>
      </c>
      <c r="E46" s="4">
        <f>'Weekly Plan'!A56</f>
        <v>2</v>
      </c>
      <c r="F46" s="4">
        <f t="shared" ref="F46:F56" si="17">IFERROR(D47/E46,0)</f>
        <v>0</v>
      </c>
      <c r="G46" s="311"/>
      <c r="H46" s="312"/>
      <c r="I46" s="312"/>
      <c r="J46" s="313"/>
      <c r="K46" s="4"/>
      <c r="L46" s="4"/>
      <c r="M46" s="157" t="str">
        <f>M28</f>
        <v>Tesla - High Gloss Black</v>
      </c>
      <c r="N46" s="9">
        <f>SUM(Q29:Q32)</f>
        <v>0</v>
      </c>
      <c r="R46" s="4"/>
      <c r="S46" s="4"/>
      <c r="AC46" s="4">
        <v>1</v>
      </c>
      <c r="AF46" s="32">
        <v>705009213</v>
      </c>
      <c r="AG46" s="64" t="s">
        <v>12</v>
      </c>
      <c r="AH46" s="119" t="s">
        <v>158</v>
      </c>
      <c r="AI46" s="91">
        <f t="shared" ref="AI46:AI57" si="18">IFERROR(D45/E44,0)</f>
        <v>0</v>
      </c>
      <c r="AJ46" s="4"/>
      <c r="AO46" s="4"/>
      <c r="AP46" s="320" t="s">
        <v>53</v>
      </c>
      <c r="AQ46" s="321"/>
      <c r="AR46" s="321"/>
      <c r="AS46" s="322"/>
    </row>
    <row r="47" spans="1:45" ht="13.5" customHeight="1" x14ac:dyDescent="0.25">
      <c r="A47" s="130">
        <f>'Weekly Plan'!F57</f>
        <v>705010835</v>
      </c>
      <c r="B47" s="127" t="s">
        <v>12</v>
      </c>
      <c r="C47" s="132" t="str">
        <f>'Weekly Plan'!G57</f>
        <v>RH Fairing</v>
      </c>
      <c r="D47" s="128" t="str">
        <f>IF('Weekly Plan'!M57=0,"",'Weekly Plan'!M57)</f>
        <v/>
      </c>
      <c r="E47" s="4">
        <f>'Weekly Plan'!A57</f>
        <v>1</v>
      </c>
      <c r="F47" s="4">
        <f t="shared" si="17"/>
        <v>0</v>
      </c>
      <c r="G47" s="311"/>
      <c r="H47" s="312"/>
      <c r="I47" s="312"/>
      <c r="J47" s="313"/>
      <c r="K47" s="4"/>
      <c r="L47" s="4"/>
      <c r="M47" s="9" t="str">
        <f>G12</f>
        <v>Summit White - Laval</v>
      </c>
      <c r="N47" s="9">
        <f>SUM(L13:L16)</f>
        <v>0</v>
      </c>
      <c r="R47" s="4"/>
      <c r="S47" s="4"/>
      <c r="AC47" s="4">
        <v>4</v>
      </c>
      <c r="AF47" s="17">
        <v>705009214</v>
      </c>
      <c r="AG47" s="65" t="s">
        <v>12</v>
      </c>
      <c r="AH47" s="120" t="s">
        <v>159</v>
      </c>
      <c r="AI47" s="92">
        <f t="shared" si="18"/>
        <v>0</v>
      </c>
      <c r="AJ47" s="4"/>
      <c r="AO47" s="4"/>
      <c r="AP47" s="323" t="s">
        <v>48</v>
      </c>
      <c r="AQ47" s="324"/>
      <c r="AR47" s="324"/>
      <c r="AS47" s="325"/>
    </row>
    <row r="48" spans="1:45" ht="13.5" customHeight="1" x14ac:dyDescent="0.25">
      <c r="A48" s="130">
        <f>'Weekly Plan'!F58</f>
        <v>705010851</v>
      </c>
      <c r="B48" s="127" t="s">
        <v>12</v>
      </c>
      <c r="C48" s="132" t="str">
        <f>'Weekly Plan'!G58</f>
        <v>LH Fairing</v>
      </c>
      <c r="D48" s="128" t="str">
        <f>IF('Weekly Plan'!M58=0,"",'Weekly Plan'!M58)</f>
        <v/>
      </c>
      <c r="E48" s="4">
        <f>'Weekly Plan'!A58</f>
        <v>1</v>
      </c>
      <c r="F48" s="4">
        <f t="shared" si="17"/>
        <v>0</v>
      </c>
      <c r="G48" s="311"/>
      <c r="H48" s="312"/>
      <c r="I48" s="312"/>
      <c r="J48" s="313"/>
      <c r="K48" s="4"/>
      <c r="L48" s="4"/>
      <c r="M48" s="9"/>
      <c r="N48" s="9"/>
      <c r="AC48" s="2">
        <v>2</v>
      </c>
      <c r="AF48" s="17">
        <v>705010835</v>
      </c>
      <c r="AG48" s="65" t="s">
        <v>12</v>
      </c>
      <c r="AH48" s="120" t="s">
        <v>85</v>
      </c>
      <c r="AI48" s="92">
        <f t="shared" si="18"/>
        <v>0</v>
      </c>
      <c r="AJ48" s="2"/>
      <c r="AO48" s="4"/>
      <c r="AP48" s="17" t="s">
        <v>43</v>
      </c>
      <c r="AQ48" s="62" t="s">
        <v>56</v>
      </c>
      <c r="AR48" s="8" t="s">
        <v>22</v>
      </c>
      <c r="AS48" s="13">
        <f>IFERROR(#REF!/#REF!,0)</f>
        <v>0</v>
      </c>
    </row>
    <row r="49" spans="1:45" ht="13.5" customHeight="1" thickBot="1" x14ac:dyDescent="0.3">
      <c r="A49" s="130">
        <f>'Weekly Plan'!F59</f>
        <v>705012976</v>
      </c>
      <c r="B49" s="127" t="s">
        <v>12</v>
      </c>
      <c r="C49" s="132" t="str">
        <f>'Weekly Plan'!G59</f>
        <v>LH Fender</v>
      </c>
      <c r="D49" s="128" t="str">
        <f>IF('Weekly Plan'!M59=0,"",'Weekly Plan'!M59)</f>
        <v/>
      </c>
      <c r="E49" s="4">
        <f>'Weekly Plan'!A59</f>
        <v>2</v>
      </c>
      <c r="F49" s="4">
        <f t="shared" si="17"/>
        <v>0</v>
      </c>
      <c r="G49" s="311"/>
      <c r="H49" s="312"/>
      <c r="I49" s="312"/>
      <c r="J49" s="313"/>
      <c r="K49" s="4"/>
      <c r="L49" s="4"/>
      <c r="M49" s="9"/>
      <c r="N49" s="9"/>
      <c r="AC49" s="2">
        <v>1</v>
      </c>
      <c r="AF49" s="17">
        <v>705010851</v>
      </c>
      <c r="AG49" s="65" t="s">
        <v>12</v>
      </c>
      <c r="AH49" s="120" t="s">
        <v>84</v>
      </c>
      <c r="AI49" s="92">
        <f t="shared" si="18"/>
        <v>0</v>
      </c>
      <c r="AJ49" s="2"/>
      <c r="AO49" s="4"/>
      <c r="AP49" s="17" t="s">
        <v>44</v>
      </c>
      <c r="AQ49" s="62" t="s">
        <v>56</v>
      </c>
      <c r="AR49" s="15" t="s">
        <v>19</v>
      </c>
      <c r="AS49" s="13">
        <f>IFERROR(#REF!/#REF!,0)</f>
        <v>0</v>
      </c>
    </row>
    <row r="50" spans="1:45" ht="13.5" customHeight="1" thickBot="1" x14ac:dyDescent="0.35">
      <c r="A50" s="130">
        <f>'Weekly Plan'!F60</f>
        <v>705012868</v>
      </c>
      <c r="B50" s="127" t="s">
        <v>12</v>
      </c>
      <c r="C50" s="132" t="str">
        <f>'Weekly Plan'!G60</f>
        <v>RH Fender</v>
      </c>
      <c r="D50" s="128" t="str">
        <f>IF('Weekly Plan'!M60=0,"",'Weekly Plan'!M60)</f>
        <v/>
      </c>
      <c r="E50" s="4">
        <f>'Weekly Plan'!A60</f>
        <v>2</v>
      </c>
      <c r="F50" s="4">
        <f t="shared" si="17"/>
        <v>0</v>
      </c>
      <c r="G50" s="311"/>
      <c r="H50" s="312"/>
      <c r="I50" s="312"/>
      <c r="J50" s="313"/>
      <c r="K50" s="4"/>
      <c r="L50" s="4"/>
      <c r="M50" s="94" t="s">
        <v>165</v>
      </c>
      <c r="N50" s="10">
        <f>SUM(N36:N49)</f>
        <v>0</v>
      </c>
      <c r="R50" s="4"/>
      <c r="S50" s="4"/>
      <c r="AC50" s="4">
        <v>1</v>
      </c>
      <c r="AF50" s="17">
        <v>705012868</v>
      </c>
      <c r="AG50" s="65" t="s">
        <v>12</v>
      </c>
      <c r="AH50" s="118" t="s">
        <v>160</v>
      </c>
      <c r="AI50" s="92">
        <f t="shared" si="18"/>
        <v>0</v>
      </c>
      <c r="AJ50" s="2"/>
      <c r="AK50" s="326" t="s">
        <v>81</v>
      </c>
      <c r="AL50" s="327"/>
      <c r="AM50" s="327"/>
      <c r="AN50" s="328"/>
      <c r="AO50" s="4"/>
      <c r="AP50" s="17" t="s">
        <v>62</v>
      </c>
      <c r="AQ50" s="62" t="s">
        <v>56</v>
      </c>
      <c r="AR50" s="15" t="s">
        <v>20</v>
      </c>
      <c r="AS50" s="13">
        <f>IFERROR(#REF!/#REF!,0)</f>
        <v>0</v>
      </c>
    </row>
    <row r="51" spans="1:45" ht="13.5" customHeight="1" x14ac:dyDescent="0.3">
      <c r="A51" s="130">
        <f>'Weekly Plan'!F61</f>
        <v>708200366</v>
      </c>
      <c r="B51" s="127" t="s">
        <v>12</v>
      </c>
      <c r="C51" s="132" t="str">
        <f>'Weekly Plan'!G61</f>
        <v>Hood</v>
      </c>
      <c r="D51" s="128" t="str">
        <f>IF('Weekly Plan'!M61=0,"",'Weekly Plan'!M61)</f>
        <v/>
      </c>
      <c r="E51" s="4">
        <f>'Weekly Plan'!A61</f>
        <v>1</v>
      </c>
      <c r="F51" s="4">
        <f t="shared" si="17"/>
        <v>0</v>
      </c>
      <c r="G51" s="311"/>
      <c r="H51" s="312"/>
      <c r="I51" s="312"/>
      <c r="J51" s="313"/>
      <c r="K51" s="4"/>
      <c r="L51" s="4"/>
      <c r="M51" s="10"/>
      <c r="N51" s="10"/>
      <c r="R51" s="4"/>
      <c r="S51" s="4"/>
      <c r="AC51" s="4">
        <v>4</v>
      </c>
      <c r="AF51" s="17">
        <v>705012976</v>
      </c>
      <c r="AG51" s="65" t="s">
        <v>12</v>
      </c>
      <c r="AH51" s="118" t="s">
        <v>161</v>
      </c>
      <c r="AI51" s="92">
        <f t="shared" si="18"/>
        <v>0</v>
      </c>
      <c r="AJ51" s="2"/>
      <c r="AK51" s="329"/>
      <c r="AL51" s="330"/>
      <c r="AM51" s="330"/>
      <c r="AN51" s="331"/>
      <c r="AO51" s="4"/>
      <c r="AP51" s="29" t="s">
        <v>45</v>
      </c>
      <c r="AQ51" s="67" t="s">
        <v>56</v>
      </c>
      <c r="AR51" s="30" t="s">
        <v>23</v>
      </c>
      <c r="AS51" s="13">
        <f>IFERROR(#REF!/#REF!,0)</f>
        <v>0</v>
      </c>
    </row>
    <row r="52" spans="1:45" ht="13.5" customHeight="1" x14ac:dyDescent="0.25">
      <c r="A52" s="130">
        <f>'Weekly Plan'!F62</f>
        <v>708200401</v>
      </c>
      <c r="B52" s="127" t="s">
        <v>12</v>
      </c>
      <c r="C52" s="132" t="str">
        <f>'Weekly Plan'!G62</f>
        <v>LH Vent Panel</v>
      </c>
      <c r="D52" s="128" t="str">
        <f>IF('Weekly Plan'!M62=0,"",'Weekly Plan'!M62)</f>
        <v/>
      </c>
      <c r="E52" s="4">
        <f>'Weekly Plan'!A62</f>
        <v>2</v>
      </c>
      <c r="F52" s="4">
        <f t="shared" si="17"/>
        <v>0</v>
      </c>
      <c r="G52" s="311"/>
      <c r="H52" s="312"/>
      <c r="I52" s="312"/>
      <c r="J52" s="313"/>
      <c r="K52" s="4"/>
      <c r="L52" s="4"/>
      <c r="M52" s="9" t="s">
        <v>17</v>
      </c>
      <c r="N52" s="9">
        <f>(COUNTIF(N36:N49, "&gt;0")-1)*(IF(N50&gt;0, 12, 0))</f>
        <v>0</v>
      </c>
      <c r="R52" s="4"/>
      <c r="S52" s="4"/>
      <c r="AC52" s="4">
        <v>2</v>
      </c>
      <c r="AF52" s="17">
        <v>708200366</v>
      </c>
      <c r="AG52" s="65" t="s">
        <v>12</v>
      </c>
      <c r="AH52" s="118" t="s">
        <v>86</v>
      </c>
      <c r="AI52" s="92">
        <f t="shared" si="18"/>
        <v>0</v>
      </c>
      <c r="AJ52" s="2"/>
      <c r="AK52" s="332"/>
      <c r="AL52" s="333"/>
      <c r="AM52" s="333"/>
      <c r="AN52" s="334"/>
      <c r="AO52" s="4"/>
      <c r="AP52" s="323" t="s">
        <v>49</v>
      </c>
      <c r="AQ52" s="324"/>
      <c r="AR52" s="324"/>
      <c r="AS52" s="338"/>
    </row>
    <row r="53" spans="1:45" ht="13.5" customHeight="1" thickBot="1" x14ac:dyDescent="0.3">
      <c r="A53" s="130">
        <f>'Weekly Plan'!F63</f>
        <v>708200402</v>
      </c>
      <c r="B53" s="127" t="s">
        <v>12</v>
      </c>
      <c r="C53" s="132" t="str">
        <f>'Weekly Plan'!G63</f>
        <v>RH Vent Panel</v>
      </c>
      <c r="D53" s="128" t="str">
        <f>IF('Weekly Plan'!M63=0,"",'Weekly Plan'!M63)</f>
        <v/>
      </c>
      <c r="E53" s="4">
        <f>'Weekly Plan'!A63</f>
        <v>2</v>
      </c>
      <c r="F53" s="4">
        <f t="shared" si="17"/>
        <v>0</v>
      </c>
      <c r="G53" s="335"/>
      <c r="H53" s="336"/>
      <c r="I53" s="336"/>
      <c r="J53" s="337"/>
      <c r="K53" s="4"/>
      <c r="L53" s="4"/>
      <c r="M53" s="339"/>
      <c r="N53" s="340"/>
      <c r="R53" s="4"/>
      <c r="S53" s="4"/>
      <c r="AC53" s="4">
        <v>1</v>
      </c>
      <c r="AF53" s="17">
        <v>708200401</v>
      </c>
      <c r="AG53" s="65" t="s">
        <v>12</v>
      </c>
      <c r="AH53" s="118" t="s">
        <v>87</v>
      </c>
      <c r="AI53" s="92">
        <f t="shared" si="18"/>
        <v>0</v>
      </c>
      <c r="AJ53" s="2"/>
      <c r="AK53" s="332"/>
      <c r="AL53" s="333"/>
      <c r="AM53" s="333"/>
      <c r="AN53" s="334"/>
      <c r="AO53" s="4"/>
      <c r="AP53" s="17">
        <v>6285</v>
      </c>
      <c r="AQ53" s="62" t="s">
        <v>56</v>
      </c>
      <c r="AR53" s="8" t="s">
        <v>22</v>
      </c>
      <c r="AS53" s="13">
        <f>IFERROR(#REF!/#REF!,0)</f>
        <v>0</v>
      </c>
    </row>
    <row r="54" spans="1:45" ht="13.5" customHeight="1" x14ac:dyDescent="0.3">
      <c r="A54" s="130">
        <f>'Weekly Plan'!F64</f>
        <v>708200698</v>
      </c>
      <c r="B54" s="127" t="s">
        <v>12</v>
      </c>
      <c r="C54" s="132" t="str">
        <f>'Weekly Plan'!G64</f>
        <v>Fascia</v>
      </c>
      <c r="D54" s="128" t="str">
        <f>IF('Weekly Plan'!M64=0,"",'Weekly Plan'!M64)</f>
        <v/>
      </c>
      <c r="E54" s="4">
        <f>'Weekly Plan'!A64</f>
        <v>1</v>
      </c>
      <c r="F54" s="4">
        <f t="shared" si="17"/>
        <v>0</v>
      </c>
      <c r="G54" s="136"/>
      <c r="H54" s="136"/>
      <c r="I54" s="136"/>
      <c r="J54" s="136"/>
      <c r="K54" s="4"/>
      <c r="L54" s="4"/>
      <c r="M54" s="11" t="s">
        <v>18</v>
      </c>
      <c r="N54" s="12">
        <f>(N50+N52)/60</f>
        <v>0</v>
      </c>
      <c r="AC54" s="2">
        <v>4</v>
      </c>
      <c r="AF54" s="17">
        <v>708200402</v>
      </c>
      <c r="AG54" s="65" t="s">
        <v>12</v>
      </c>
      <c r="AH54" s="118" t="s">
        <v>162</v>
      </c>
      <c r="AI54" s="92">
        <f t="shared" si="18"/>
        <v>0</v>
      </c>
      <c r="AJ54" s="2"/>
      <c r="AK54" s="332"/>
      <c r="AL54" s="333"/>
      <c r="AM54" s="333"/>
      <c r="AN54" s="334"/>
      <c r="AO54" s="4"/>
      <c r="AP54" s="17">
        <v>6284</v>
      </c>
      <c r="AQ54" s="62" t="s">
        <v>56</v>
      </c>
      <c r="AR54" s="15" t="s">
        <v>19</v>
      </c>
      <c r="AS54" s="13">
        <f>IFERROR(#REF!/#REF!,0)</f>
        <v>0</v>
      </c>
    </row>
    <row r="55" spans="1:45" ht="13.5" customHeight="1" x14ac:dyDescent="0.25">
      <c r="A55" s="130">
        <f>'Weekly Plan'!F65</f>
        <v>708301214</v>
      </c>
      <c r="B55" s="127" t="s">
        <v>12</v>
      </c>
      <c r="C55" s="132" t="str">
        <f>'Weekly Plan'!G65</f>
        <v>LH Cover</v>
      </c>
      <c r="D55" s="128" t="str">
        <f>IF('Weekly Plan'!M65=0,"",'Weekly Plan'!M65)</f>
        <v/>
      </c>
      <c r="E55" s="4">
        <f>'Weekly Plan'!A65</f>
        <v>1</v>
      </c>
      <c r="F55" s="4">
        <f t="shared" si="17"/>
        <v>0</v>
      </c>
      <c r="K55" s="4"/>
      <c r="L55" s="4"/>
      <c r="AC55" s="2">
        <v>2</v>
      </c>
      <c r="AF55" s="17">
        <v>708200698</v>
      </c>
      <c r="AG55" s="65" t="s">
        <v>12</v>
      </c>
      <c r="AH55" s="118" t="s">
        <v>89</v>
      </c>
      <c r="AI55" s="92">
        <f t="shared" si="18"/>
        <v>0</v>
      </c>
      <c r="AJ55" s="2"/>
      <c r="AK55" s="341"/>
      <c r="AL55" s="342"/>
      <c r="AM55" s="342"/>
      <c r="AN55" s="343"/>
      <c r="AO55" s="4"/>
      <c r="AP55" s="17">
        <v>6282</v>
      </c>
      <c r="AQ55" s="62" t="s">
        <v>56</v>
      </c>
      <c r="AR55" s="15" t="s">
        <v>20</v>
      </c>
      <c r="AS55" s="13">
        <f>IFERROR(#REF!/#REF!,0)</f>
        <v>0</v>
      </c>
    </row>
    <row r="56" spans="1:45" ht="13.5" customHeight="1" thickBot="1" x14ac:dyDescent="0.3">
      <c r="A56" s="139">
        <f>'Weekly Plan'!F66</f>
        <v>708301215</v>
      </c>
      <c r="B56" s="140" t="s">
        <v>12</v>
      </c>
      <c r="C56" s="134" t="str">
        <f>'Weekly Plan'!G66</f>
        <v>RH Cover</v>
      </c>
      <c r="D56" s="135" t="str">
        <f>IF('Weekly Plan'!M66=0,"",'Weekly Plan'!M66)</f>
        <v/>
      </c>
      <c r="E56" s="4">
        <f>'Weekly Plan'!A66</f>
        <v>1</v>
      </c>
      <c r="F56" s="4">
        <f t="shared" si="17"/>
        <v>0</v>
      </c>
      <c r="K56" s="4"/>
      <c r="L56" s="4"/>
      <c r="AC56" s="2">
        <v>1</v>
      </c>
      <c r="AF56" s="17">
        <v>708301988</v>
      </c>
      <c r="AG56" s="65" t="s">
        <v>12</v>
      </c>
      <c r="AH56" s="116" t="s">
        <v>163</v>
      </c>
      <c r="AI56" s="92">
        <f t="shared" si="18"/>
        <v>0</v>
      </c>
      <c r="AJ56" s="2"/>
      <c r="AK56" s="308"/>
      <c r="AL56" s="309"/>
      <c r="AM56" s="309"/>
      <c r="AN56" s="310"/>
      <c r="AO56" s="4"/>
      <c r="AP56" s="18">
        <v>6283</v>
      </c>
      <c r="AQ56" s="63" t="s">
        <v>56</v>
      </c>
      <c r="AR56" s="19" t="s">
        <v>23</v>
      </c>
      <c r="AS56" s="14">
        <f>IFERROR(#REF!/#REF!,0)</f>
        <v>0</v>
      </c>
    </row>
    <row r="57" spans="1:45" ht="13.5" customHeight="1" thickBot="1" x14ac:dyDescent="0.3">
      <c r="K57" s="4"/>
      <c r="L57" s="4"/>
      <c r="AC57" s="2">
        <v>1</v>
      </c>
      <c r="AF57" s="18">
        <v>708301990</v>
      </c>
      <c r="AG57" s="66" t="s">
        <v>12</v>
      </c>
      <c r="AH57" s="117" t="s">
        <v>164</v>
      </c>
      <c r="AI57" s="93">
        <f t="shared" si="18"/>
        <v>0</v>
      </c>
    </row>
    <row r="58" spans="1:45" ht="13.5" customHeight="1" x14ac:dyDescent="0.25">
      <c r="K58" s="4"/>
      <c r="L58" s="4"/>
      <c r="AC58" s="2">
        <v>1</v>
      </c>
    </row>
    <row r="59" spans="1:45" ht="13.5" customHeight="1" x14ac:dyDescent="0.25">
      <c r="K59" s="4"/>
      <c r="L59" s="4"/>
      <c r="AC59" s="2">
        <v>4</v>
      </c>
    </row>
    <row r="60" spans="1:45" ht="13.5" customHeight="1" x14ac:dyDescent="0.25">
      <c r="K60" s="4"/>
      <c r="L60" s="4"/>
      <c r="AC60" s="2">
        <v>2</v>
      </c>
    </row>
    <row r="61" spans="1:45" ht="13.5" customHeight="1" x14ac:dyDescent="0.25">
      <c r="K61" s="4"/>
      <c r="L61" s="4"/>
      <c r="AC61" s="2">
        <v>1</v>
      </c>
    </row>
    <row r="62" spans="1:45" ht="13.5" customHeight="1" x14ac:dyDescent="0.25"/>
    <row r="63" spans="1:45" ht="13.5" customHeight="1" x14ac:dyDescent="0.25"/>
    <row r="64" spans="1:45" ht="13.5" customHeight="1" x14ac:dyDescent="0.25"/>
    <row r="65" spans="11:19" ht="13.5" customHeight="1" x14ac:dyDescent="0.25"/>
    <row r="66" spans="11:19" ht="13.5" customHeight="1" x14ac:dyDescent="0.25">
      <c r="R66" s="1"/>
      <c r="S66" s="1"/>
    </row>
    <row r="67" spans="11:19" ht="13.5" customHeight="1" x14ac:dyDescent="0.25"/>
    <row r="79" spans="11:19" x14ac:dyDescent="0.25">
      <c r="K79" s="2">
        <f>14*12</f>
        <v>168</v>
      </c>
    </row>
  </sheetData>
  <sheetProtection formatCells="0"/>
  <mergeCells count="47"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G12:J12"/>
    <mergeCell ref="AF4:AI4"/>
    <mergeCell ref="AK4:AN4"/>
    <mergeCell ref="AP4:AS4"/>
    <mergeCell ref="M12:O12"/>
    <mergeCell ref="AP12:AS12"/>
    <mergeCell ref="AK23:AN23"/>
    <mergeCell ref="M28:O28"/>
    <mergeCell ref="AK28:AN28"/>
    <mergeCell ref="A33:D33"/>
    <mergeCell ref="AF34:AI34"/>
    <mergeCell ref="G33:J33"/>
    <mergeCell ref="G18:J18"/>
    <mergeCell ref="AK18:AN18"/>
    <mergeCell ref="AP20:AS20"/>
    <mergeCell ref="A20:D20"/>
    <mergeCell ref="M22:O22"/>
    <mergeCell ref="AF22:AI22"/>
    <mergeCell ref="AP35:AS35"/>
    <mergeCell ref="G34:J37"/>
    <mergeCell ref="AK36:AN36"/>
    <mergeCell ref="G38:J41"/>
    <mergeCell ref="AP40:AS40"/>
    <mergeCell ref="AK41:AN41"/>
    <mergeCell ref="AP34:AS34"/>
    <mergeCell ref="AK56:AN56"/>
    <mergeCell ref="G42:J45"/>
    <mergeCell ref="A44:D44"/>
    <mergeCell ref="AF45:AI45"/>
    <mergeCell ref="AP46:AS46"/>
    <mergeCell ref="AP47:AS47"/>
    <mergeCell ref="G46:J49"/>
    <mergeCell ref="AK50:AN50"/>
    <mergeCell ref="AK51:AN54"/>
    <mergeCell ref="G50:J53"/>
    <mergeCell ref="AP52:AS52"/>
    <mergeCell ref="M53:N53"/>
    <mergeCell ref="AK55:AN55"/>
  </mergeCells>
  <pageMargins left="0" right="0" top="0" bottom="0" header="0" footer="0"/>
  <pageSetup scale="83" orientation="portrait" cellComments="asDisplayed" r:id="rId1"/>
  <headerFooter>
    <oddFooter>&amp;L&amp;F&amp;RCreated: 10/22/21TG
Revised: 11/24/23AS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AE7231-A7AD-4E4F-884F-A095F8F319FC}">
          <x14:formula1>
            <xm:f>'Part Info'!$K$2:$K$13</xm:f>
          </x14:formula1>
          <xm:sqref>AK5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5" x14ac:dyDescent="0.25"/>
  <cols>
    <col min="2" max="2" width="10.81640625" bestFit="1" customWidth="1"/>
    <col min="3" max="3" width="10.54296875" bestFit="1" customWidth="1"/>
    <col min="4" max="15" width="14.26953125" bestFit="1" customWidth="1"/>
  </cols>
  <sheetData>
    <row r="1" spans="1:15" x14ac:dyDescent="0.25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5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5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5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5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5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5" x14ac:dyDescent="0.25"/>
  <cols>
    <col min="1" max="1" width="18" style="7" bestFit="1" customWidth="1"/>
    <col min="2" max="2" width="20.26953125" style="7" bestFit="1" customWidth="1"/>
    <col min="3" max="3" width="27.26953125" style="7" bestFit="1" customWidth="1"/>
    <col min="4" max="4" width="9.54296875" style="7" bestFit="1" customWidth="1"/>
    <col min="5" max="5" width="12.81640625" style="80" customWidth="1"/>
    <col min="6" max="8" width="12.81640625" customWidth="1"/>
    <col min="9" max="10" width="12.81640625" style="7" customWidth="1"/>
    <col min="11" max="11" width="24" bestFit="1" customWidth="1"/>
  </cols>
  <sheetData>
    <row r="1" spans="1:11" ht="13" x14ac:dyDescent="0.3">
      <c r="A1" s="57" t="s">
        <v>80</v>
      </c>
      <c r="B1" s="57" t="s">
        <v>115</v>
      </c>
      <c r="C1" s="57" t="s">
        <v>116</v>
      </c>
      <c r="D1" s="57" t="s">
        <v>67</v>
      </c>
      <c r="E1" s="57" t="s">
        <v>126</v>
      </c>
      <c r="F1" s="57" t="s">
        <v>127</v>
      </c>
      <c r="I1" s="57" t="s">
        <v>125</v>
      </c>
      <c r="J1" s="57"/>
      <c r="K1" s="57" t="s">
        <v>129</v>
      </c>
    </row>
    <row r="2" spans="1:11" ht="14.5" x14ac:dyDescent="0.35">
      <c r="A2" s="7">
        <v>708400067</v>
      </c>
      <c r="B2" s="42" t="s">
        <v>102</v>
      </c>
      <c r="C2" s="25" t="s">
        <v>119</v>
      </c>
      <c r="D2" s="25" t="s">
        <v>117</v>
      </c>
      <c r="E2" s="53">
        <v>2</v>
      </c>
      <c r="F2" s="51"/>
      <c r="G2" s="51"/>
      <c r="H2" s="51"/>
      <c r="I2" s="25" t="s">
        <v>119</v>
      </c>
      <c r="J2" s="25"/>
      <c r="K2" s="78" t="s">
        <v>130</v>
      </c>
    </row>
    <row r="3" spans="1:11" ht="14.5" x14ac:dyDescent="0.35">
      <c r="A3" s="7">
        <v>708400001</v>
      </c>
      <c r="B3" s="42" t="s">
        <v>74</v>
      </c>
      <c r="C3" s="25" t="s">
        <v>119</v>
      </c>
      <c r="D3" s="25" t="s">
        <v>117</v>
      </c>
      <c r="E3" s="53">
        <v>2</v>
      </c>
      <c r="F3" s="51"/>
      <c r="G3" s="51"/>
      <c r="H3" s="51"/>
      <c r="I3" s="25" t="s">
        <v>120</v>
      </c>
      <c r="J3" s="25"/>
      <c r="K3" s="78" t="s">
        <v>131</v>
      </c>
    </row>
    <row r="4" spans="1:11" ht="14.5" x14ac:dyDescent="0.35">
      <c r="A4" s="7">
        <v>708400069</v>
      </c>
      <c r="B4" s="42" t="s">
        <v>101</v>
      </c>
      <c r="C4" s="25" t="s">
        <v>119</v>
      </c>
      <c r="D4" s="25" t="s">
        <v>117</v>
      </c>
      <c r="E4" s="53">
        <v>2</v>
      </c>
      <c r="F4" s="51"/>
      <c r="G4" s="51"/>
      <c r="H4" s="51"/>
      <c r="I4" s="25" t="s">
        <v>121</v>
      </c>
      <c r="J4" s="25"/>
      <c r="K4" s="78" t="s">
        <v>141</v>
      </c>
    </row>
    <row r="5" spans="1:11" ht="14.5" x14ac:dyDescent="0.35">
      <c r="A5" s="7">
        <v>708400002</v>
      </c>
      <c r="B5" s="42" t="s">
        <v>75</v>
      </c>
      <c r="C5" s="25" t="s">
        <v>119</v>
      </c>
      <c r="D5" s="25" t="s">
        <v>117</v>
      </c>
      <c r="E5" s="53">
        <v>2</v>
      </c>
      <c r="F5" s="51"/>
      <c r="G5" s="51"/>
      <c r="H5" s="51"/>
      <c r="I5" s="58" t="s">
        <v>54</v>
      </c>
      <c r="J5" s="58"/>
      <c r="K5" s="78" t="s">
        <v>132</v>
      </c>
    </row>
    <row r="6" spans="1:11" ht="14.5" x14ac:dyDescent="0.35">
      <c r="A6" s="7">
        <v>708001528</v>
      </c>
      <c r="B6" s="42" t="s">
        <v>71</v>
      </c>
      <c r="C6" s="25" t="s">
        <v>119</v>
      </c>
      <c r="D6" s="25" t="s">
        <v>117</v>
      </c>
      <c r="E6" s="53">
        <v>2</v>
      </c>
      <c r="F6" s="51"/>
      <c r="G6" s="51"/>
      <c r="H6" s="51"/>
      <c r="I6" s="58" t="s">
        <v>122</v>
      </c>
      <c r="J6" s="58"/>
      <c r="K6" s="78" t="s">
        <v>134</v>
      </c>
    </row>
    <row r="7" spans="1:11" ht="14.5" x14ac:dyDescent="0.35">
      <c r="A7" s="7">
        <v>708400287</v>
      </c>
      <c r="B7" s="42" t="s">
        <v>13</v>
      </c>
      <c r="C7" s="25" t="s">
        <v>119</v>
      </c>
      <c r="D7" s="25" t="s">
        <v>117</v>
      </c>
      <c r="E7" s="53">
        <v>2</v>
      </c>
      <c r="F7" s="51"/>
      <c r="G7" s="51"/>
      <c r="H7" s="51"/>
      <c r="I7" s="25" t="s">
        <v>123</v>
      </c>
      <c r="J7" s="25"/>
      <c r="K7" s="78" t="s">
        <v>135</v>
      </c>
    </row>
    <row r="8" spans="1:11" ht="14.5" x14ac:dyDescent="0.35">
      <c r="A8" s="7">
        <v>708400398</v>
      </c>
      <c r="B8" s="42" t="s">
        <v>78</v>
      </c>
      <c r="C8" s="25" t="s">
        <v>119</v>
      </c>
      <c r="D8" s="25" t="s">
        <v>117</v>
      </c>
      <c r="E8" s="53">
        <v>2</v>
      </c>
      <c r="F8" s="51"/>
      <c r="G8" s="51"/>
      <c r="H8" s="51"/>
      <c r="I8" s="25" t="s">
        <v>124</v>
      </c>
      <c r="J8" s="25"/>
      <c r="K8" s="78" t="s">
        <v>136</v>
      </c>
    </row>
    <row r="9" spans="1:11" ht="14.5" x14ac:dyDescent="0.35">
      <c r="A9" s="7">
        <v>708302947</v>
      </c>
      <c r="B9" s="41" t="s">
        <v>111</v>
      </c>
      <c r="C9" s="25" t="s">
        <v>120</v>
      </c>
      <c r="D9" s="25" t="s">
        <v>117</v>
      </c>
      <c r="E9" s="53">
        <v>2</v>
      </c>
      <c r="F9" s="51"/>
      <c r="G9" s="51"/>
      <c r="H9" s="51"/>
      <c r="I9"/>
      <c r="J9"/>
      <c r="K9" s="78" t="s">
        <v>142</v>
      </c>
    </row>
    <row r="10" spans="1:11" ht="14.5" x14ac:dyDescent="0.35">
      <c r="A10" s="7">
        <v>708303799</v>
      </c>
      <c r="B10" s="41" t="s">
        <v>72</v>
      </c>
      <c r="C10" s="25" t="s">
        <v>120</v>
      </c>
      <c r="D10" s="25" t="s">
        <v>117</v>
      </c>
      <c r="E10" s="79"/>
      <c r="F10" s="51"/>
      <c r="G10" s="51"/>
      <c r="H10" s="51"/>
      <c r="I10"/>
      <c r="J10"/>
      <c r="K10" s="78" t="s">
        <v>137</v>
      </c>
    </row>
    <row r="11" spans="1:11" ht="14.5" x14ac:dyDescent="0.35">
      <c r="A11" s="7">
        <v>705012976</v>
      </c>
      <c r="B11" s="42" t="s">
        <v>57</v>
      </c>
      <c r="C11" s="25" t="s">
        <v>120</v>
      </c>
      <c r="D11" s="25" t="s">
        <v>117</v>
      </c>
      <c r="E11" s="53">
        <v>2</v>
      </c>
      <c r="F11" s="51"/>
      <c r="G11" s="51"/>
      <c r="H11" s="51"/>
      <c r="I11"/>
      <c r="J11"/>
      <c r="K11" s="78" t="s">
        <v>133</v>
      </c>
    </row>
    <row r="12" spans="1:11" ht="14.5" x14ac:dyDescent="0.35">
      <c r="A12" s="7">
        <v>708200870</v>
      </c>
      <c r="B12" s="42" t="s">
        <v>113</v>
      </c>
      <c r="C12" s="25" t="s">
        <v>120</v>
      </c>
      <c r="D12" s="25" t="s">
        <v>117</v>
      </c>
      <c r="E12" s="53">
        <v>1</v>
      </c>
      <c r="F12" s="51"/>
      <c r="G12" s="51"/>
      <c r="H12" s="51"/>
      <c r="I12"/>
      <c r="J12"/>
      <c r="K12" s="90" t="s">
        <v>138</v>
      </c>
    </row>
    <row r="13" spans="1:11" ht="14.5" x14ac:dyDescent="0.35">
      <c r="A13" s="7">
        <v>705012348</v>
      </c>
      <c r="B13" s="42" t="s">
        <v>152</v>
      </c>
      <c r="C13" s="25" t="s">
        <v>120</v>
      </c>
      <c r="D13" s="25" t="s">
        <v>117</v>
      </c>
      <c r="E13" s="79"/>
      <c r="F13" s="51"/>
      <c r="G13" s="51"/>
      <c r="H13" s="51"/>
      <c r="I13"/>
      <c r="J13"/>
      <c r="K13" s="90" t="s">
        <v>139</v>
      </c>
    </row>
    <row r="14" spans="1:11" ht="14.5" x14ac:dyDescent="0.35">
      <c r="A14" s="7">
        <v>708400461</v>
      </c>
      <c r="B14" s="42" t="s">
        <v>59</v>
      </c>
      <c r="C14" s="25" t="s">
        <v>120</v>
      </c>
      <c r="D14" s="25" t="s">
        <v>117</v>
      </c>
      <c r="E14" s="53">
        <v>6</v>
      </c>
      <c r="F14" s="51"/>
      <c r="G14" s="51"/>
      <c r="H14" s="51"/>
      <c r="I14"/>
      <c r="J14"/>
      <c r="K14" s="78"/>
    </row>
    <row r="15" spans="1:11" ht="14.5" x14ac:dyDescent="0.35">
      <c r="A15" s="7">
        <v>705014100</v>
      </c>
      <c r="B15" s="41" t="s">
        <v>76</v>
      </c>
      <c r="C15" s="25" t="s">
        <v>120</v>
      </c>
      <c r="D15" s="25" t="s">
        <v>117</v>
      </c>
      <c r="E15" s="53">
        <v>2</v>
      </c>
      <c r="F15" s="51"/>
      <c r="G15" s="51"/>
      <c r="H15" s="51"/>
      <c r="I15"/>
      <c r="J15"/>
      <c r="K15" s="78"/>
    </row>
    <row r="16" spans="1:11" ht="14.5" x14ac:dyDescent="0.35">
      <c r="A16" s="7">
        <v>708200869</v>
      </c>
      <c r="B16" s="41" t="s">
        <v>69</v>
      </c>
      <c r="C16" s="25" t="s">
        <v>120</v>
      </c>
      <c r="D16" s="25" t="s">
        <v>117</v>
      </c>
      <c r="E16" s="53">
        <v>1</v>
      </c>
      <c r="F16" s="51"/>
      <c r="G16" s="51"/>
      <c r="H16" s="51"/>
      <c r="I16"/>
      <c r="J16"/>
      <c r="K16" s="78"/>
    </row>
    <row r="17" spans="1:11" ht="14.5" x14ac:dyDescent="0.35">
      <c r="A17" s="7">
        <v>708003041</v>
      </c>
      <c r="B17" s="42" t="s">
        <v>68</v>
      </c>
      <c r="C17" s="25" t="s">
        <v>120</v>
      </c>
      <c r="D17" s="25" t="s">
        <v>117</v>
      </c>
      <c r="E17" s="53">
        <v>2</v>
      </c>
      <c r="F17" s="51"/>
      <c r="G17" s="51"/>
      <c r="H17" s="51"/>
      <c r="I17"/>
      <c r="J17"/>
      <c r="K17" s="78"/>
    </row>
    <row r="18" spans="1:11" ht="14.5" x14ac:dyDescent="0.35">
      <c r="A18" s="7">
        <v>708302948</v>
      </c>
      <c r="B18" s="41" t="s">
        <v>112</v>
      </c>
      <c r="C18" s="25" t="s">
        <v>120</v>
      </c>
      <c r="D18" s="25" t="s">
        <v>117</v>
      </c>
      <c r="E18" s="53">
        <v>2</v>
      </c>
      <c r="I18"/>
      <c r="J18"/>
      <c r="K18" s="78"/>
    </row>
    <row r="19" spans="1:11" ht="14.5" x14ac:dyDescent="0.35">
      <c r="A19" s="7">
        <v>708303801</v>
      </c>
      <c r="B19" s="41" t="s">
        <v>73</v>
      </c>
      <c r="C19" s="25" t="s">
        <v>120</v>
      </c>
      <c r="D19" s="25" t="s">
        <v>117</v>
      </c>
      <c r="E19" s="53">
        <v>2</v>
      </c>
      <c r="I19"/>
      <c r="J19"/>
      <c r="K19" s="78"/>
    </row>
    <row r="20" spans="1:11" ht="13" x14ac:dyDescent="0.25">
      <c r="A20" s="7">
        <v>705012868</v>
      </c>
      <c r="B20" s="42" t="s">
        <v>58</v>
      </c>
      <c r="C20" s="25" t="s">
        <v>120</v>
      </c>
      <c r="D20" s="25" t="s">
        <v>117</v>
      </c>
      <c r="E20" s="53">
        <v>2</v>
      </c>
      <c r="I20"/>
      <c r="J20"/>
    </row>
    <row r="21" spans="1:11" ht="13" x14ac:dyDescent="0.25">
      <c r="A21" s="7">
        <v>708200871</v>
      </c>
      <c r="B21" s="42" t="s">
        <v>114</v>
      </c>
      <c r="C21" s="25" t="s">
        <v>120</v>
      </c>
      <c r="D21" s="25" t="s">
        <v>117</v>
      </c>
      <c r="E21" s="53">
        <v>1</v>
      </c>
      <c r="I21"/>
      <c r="J21"/>
    </row>
    <row r="22" spans="1:11" ht="13" x14ac:dyDescent="0.25">
      <c r="A22" s="7">
        <v>705012350</v>
      </c>
      <c r="B22" s="42" t="s">
        <v>153</v>
      </c>
      <c r="C22" s="25" t="s">
        <v>120</v>
      </c>
      <c r="D22" s="25" t="s">
        <v>117</v>
      </c>
      <c r="E22" s="79"/>
      <c r="I22"/>
      <c r="J22"/>
    </row>
    <row r="23" spans="1:11" ht="13" x14ac:dyDescent="0.25">
      <c r="A23" s="7">
        <v>708400463</v>
      </c>
      <c r="B23" s="42" t="s">
        <v>60</v>
      </c>
      <c r="C23" s="25" t="s">
        <v>120</v>
      </c>
      <c r="D23" s="25" t="s">
        <v>117</v>
      </c>
      <c r="E23" s="53">
        <v>6</v>
      </c>
      <c r="I23"/>
      <c r="J23"/>
    </row>
    <row r="24" spans="1:11" ht="13" x14ac:dyDescent="0.25">
      <c r="A24" s="7">
        <v>705014101</v>
      </c>
      <c r="B24" s="41" t="s">
        <v>77</v>
      </c>
      <c r="C24" s="25" t="s">
        <v>120</v>
      </c>
      <c r="D24" s="25" t="s">
        <v>117</v>
      </c>
      <c r="E24" s="53">
        <v>2</v>
      </c>
      <c r="I24"/>
      <c r="J24"/>
    </row>
    <row r="25" spans="1:11" ht="13" x14ac:dyDescent="0.25">
      <c r="A25" s="7">
        <v>708301201</v>
      </c>
      <c r="B25" s="42" t="s">
        <v>90</v>
      </c>
      <c r="C25" s="25" t="s">
        <v>121</v>
      </c>
      <c r="D25" s="25" t="s">
        <v>117</v>
      </c>
      <c r="E25" s="53">
        <v>4</v>
      </c>
      <c r="I25"/>
      <c r="J25"/>
    </row>
    <row r="26" spans="1:11" ht="13" x14ac:dyDescent="0.25">
      <c r="A26" s="7">
        <v>708200698</v>
      </c>
      <c r="B26" s="42" t="s">
        <v>89</v>
      </c>
      <c r="C26" s="25" t="s">
        <v>121</v>
      </c>
      <c r="D26" s="25" t="s">
        <v>117</v>
      </c>
      <c r="E26" s="53">
        <v>1</v>
      </c>
      <c r="I26"/>
      <c r="J26"/>
    </row>
    <row r="27" spans="1:11" ht="13" x14ac:dyDescent="0.25">
      <c r="A27" s="7">
        <v>708200366</v>
      </c>
      <c r="B27" s="42" t="s">
        <v>86</v>
      </c>
      <c r="C27" s="25" t="s">
        <v>121</v>
      </c>
      <c r="D27" s="25" t="s">
        <v>117</v>
      </c>
      <c r="E27" s="53">
        <v>1</v>
      </c>
      <c r="I27"/>
      <c r="J27"/>
    </row>
    <row r="28" spans="1:11" ht="13" x14ac:dyDescent="0.25">
      <c r="A28" s="7">
        <v>705010851</v>
      </c>
      <c r="B28" s="42" t="s">
        <v>84</v>
      </c>
      <c r="C28" s="25" t="s">
        <v>121</v>
      </c>
      <c r="D28" s="25" t="s">
        <v>117</v>
      </c>
      <c r="E28" s="53">
        <v>1</v>
      </c>
      <c r="I28"/>
      <c r="J28"/>
    </row>
    <row r="29" spans="1:11" ht="13" x14ac:dyDescent="0.25">
      <c r="A29" s="7">
        <v>705007790</v>
      </c>
      <c r="B29" s="42" t="s">
        <v>82</v>
      </c>
      <c r="C29" s="25" t="s">
        <v>121</v>
      </c>
      <c r="D29" s="25" t="s">
        <v>117</v>
      </c>
      <c r="E29" s="53">
        <v>4</v>
      </c>
      <c r="I29"/>
      <c r="J29"/>
    </row>
    <row r="30" spans="1:11" ht="13" x14ac:dyDescent="0.25">
      <c r="A30" s="7">
        <v>708200401</v>
      </c>
      <c r="B30" s="42" t="s">
        <v>87</v>
      </c>
      <c r="C30" s="25" t="s">
        <v>121</v>
      </c>
      <c r="D30" s="25" t="s">
        <v>117</v>
      </c>
      <c r="E30" s="53">
        <v>2</v>
      </c>
      <c r="I30"/>
      <c r="J30"/>
    </row>
    <row r="31" spans="1:11" ht="13" x14ac:dyDescent="0.25">
      <c r="A31" s="7">
        <v>705010835</v>
      </c>
      <c r="B31" s="42" t="s">
        <v>85</v>
      </c>
      <c r="C31" s="25" t="s">
        <v>121</v>
      </c>
      <c r="D31" s="25" t="s">
        <v>117</v>
      </c>
      <c r="E31" s="53">
        <v>1</v>
      </c>
      <c r="I31"/>
      <c r="J31"/>
    </row>
    <row r="32" spans="1:11" ht="13" x14ac:dyDescent="0.25">
      <c r="A32" s="7">
        <v>705007791</v>
      </c>
      <c r="B32" s="42" t="s">
        <v>83</v>
      </c>
      <c r="C32" s="25" t="s">
        <v>121</v>
      </c>
      <c r="D32" s="25" t="s">
        <v>117</v>
      </c>
      <c r="E32" s="53">
        <v>4</v>
      </c>
      <c r="I32"/>
      <c r="J32"/>
    </row>
    <row r="33" spans="1:10" ht="13" x14ac:dyDescent="0.25">
      <c r="A33" s="7">
        <v>708200402</v>
      </c>
      <c r="B33" s="42" t="s">
        <v>88</v>
      </c>
      <c r="C33" s="25" t="s">
        <v>121</v>
      </c>
      <c r="D33" s="25" t="s">
        <v>117</v>
      </c>
      <c r="E33" s="53">
        <v>2</v>
      </c>
      <c r="I33"/>
      <c r="J33"/>
    </row>
    <row r="34" spans="1:10" ht="13" x14ac:dyDescent="0.25">
      <c r="A34" s="25">
        <v>500458</v>
      </c>
      <c r="B34" s="56" t="s">
        <v>104</v>
      </c>
      <c r="C34" s="58" t="s">
        <v>54</v>
      </c>
      <c r="D34" s="25" t="s">
        <v>51</v>
      </c>
      <c r="E34" s="79"/>
      <c r="I34"/>
      <c r="J34"/>
    </row>
    <row r="35" spans="1:10" ht="13" x14ac:dyDescent="0.25">
      <c r="A35" s="25">
        <v>500458</v>
      </c>
      <c r="B35" s="25" t="s">
        <v>105</v>
      </c>
      <c r="C35" s="58" t="s">
        <v>54</v>
      </c>
      <c r="D35" s="25" t="s">
        <v>51</v>
      </c>
      <c r="E35" s="79"/>
      <c r="I35"/>
      <c r="J35"/>
    </row>
    <row r="36" spans="1:10" ht="13" x14ac:dyDescent="0.25">
      <c r="A36" s="25">
        <v>500458</v>
      </c>
      <c r="B36" s="25" t="s">
        <v>106</v>
      </c>
      <c r="C36" s="58" t="s">
        <v>54</v>
      </c>
      <c r="D36" s="25" t="s">
        <v>51</v>
      </c>
      <c r="E36" s="79"/>
      <c r="I36"/>
      <c r="J36"/>
    </row>
    <row r="37" spans="1:10" ht="13" x14ac:dyDescent="0.25">
      <c r="A37" s="25">
        <v>42521680</v>
      </c>
      <c r="B37" s="25" t="s">
        <v>26</v>
      </c>
      <c r="C37" s="58" t="s">
        <v>122</v>
      </c>
      <c r="D37" s="25" t="s">
        <v>118</v>
      </c>
      <c r="E37" s="79"/>
      <c r="I37"/>
      <c r="J37"/>
    </row>
    <row r="38" spans="1:10" ht="13" x14ac:dyDescent="0.25">
      <c r="A38" s="25">
        <v>42521681</v>
      </c>
      <c r="B38" s="25" t="s">
        <v>25</v>
      </c>
      <c r="C38" s="58" t="s">
        <v>122</v>
      </c>
      <c r="D38" s="25" t="s">
        <v>118</v>
      </c>
      <c r="E38" s="79"/>
      <c r="I38"/>
      <c r="J38"/>
    </row>
    <row r="39" spans="1:10" ht="13" x14ac:dyDescent="0.25">
      <c r="A39" s="25">
        <v>42521682</v>
      </c>
      <c r="B39" s="25" t="s">
        <v>28</v>
      </c>
      <c r="C39" s="58" t="s">
        <v>122</v>
      </c>
      <c r="D39" s="25" t="s">
        <v>118</v>
      </c>
      <c r="E39" s="79"/>
      <c r="I39"/>
      <c r="J39"/>
    </row>
    <row r="40" spans="1:10" ht="13" x14ac:dyDescent="0.25">
      <c r="A40" s="25">
        <v>42521683</v>
      </c>
      <c r="B40" s="25" t="s">
        <v>27</v>
      </c>
      <c r="C40" s="58" t="s">
        <v>122</v>
      </c>
      <c r="D40" s="25" t="s">
        <v>118</v>
      </c>
      <c r="E40" s="79"/>
      <c r="I40"/>
      <c r="J40"/>
    </row>
    <row r="41" spans="1:10" ht="14.5" x14ac:dyDescent="0.35">
      <c r="A41" s="78" t="s">
        <v>130</v>
      </c>
      <c r="B41" s="42" t="s">
        <v>140</v>
      </c>
      <c r="C41" s="25" t="str">
        <f>A41</f>
        <v xml:space="preserve"> BLACK</v>
      </c>
      <c r="D41" s="7" t="s">
        <v>151</v>
      </c>
      <c r="E41" s="80">
        <v>2</v>
      </c>
      <c r="I41"/>
      <c r="J41"/>
    </row>
    <row r="42" spans="1:10" ht="14.5" x14ac:dyDescent="0.35">
      <c r="A42" s="78" t="s">
        <v>131</v>
      </c>
      <c r="B42" s="42" t="s">
        <v>140</v>
      </c>
      <c r="C42" s="25" t="str">
        <f t="shared" ref="C42:C52" si="0">A42</f>
        <v xml:space="preserve"> CHERRY BOMB</v>
      </c>
      <c r="D42" s="7" t="s">
        <v>151</v>
      </c>
      <c r="E42" s="80">
        <v>2</v>
      </c>
      <c r="I42"/>
      <c r="J42"/>
    </row>
    <row r="43" spans="1:10" ht="14.5" x14ac:dyDescent="0.35">
      <c r="A43" s="78" t="s">
        <v>141</v>
      </c>
      <c r="B43" s="42" t="s">
        <v>140</v>
      </c>
      <c r="C43" s="25" t="str">
        <f t="shared" si="0"/>
        <v xml:space="preserve"> DARK SHADOW</v>
      </c>
      <c r="D43" s="7" t="s">
        <v>151</v>
      </c>
      <c r="E43" s="80">
        <v>2</v>
      </c>
      <c r="I43"/>
      <c r="J43"/>
    </row>
    <row r="44" spans="1:10" ht="14.5" x14ac:dyDescent="0.35">
      <c r="A44" s="78" t="s">
        <v>132</v>
      </c>
      <c r="B44" s="42" t="s">
        <v>140</v>
      </c>
      <c r="C44" s="25" t="str">
        <f t="shared" si="0"/>
        <v xml:space="preserve"> LG BLACK</v>
      </c>
      <c r="D44" s="7" t="s">
        <v>151</v>
      </c>
      <c r="E44" s="80">
        <v>2</v>
      </c>
      <c r="I44"/>
      <c r="J44"/>
    </row>
    <row r="45" spans="1:10" ht="14.5" x14ac:dyDescent="0.35">
      <c r="A45" s="78" t="s">
        <v>134</v>
      </c>
      <c r="B45" s="42" t="s">
        <v>140</v>
      </c>
      <c r="C45" s="25" t="str">
        <f t="shared" si="0"/>
        <v xml:space="preserve"> OCONUS MET</v>
      </c>
      <c r="D45" s="7" t="s">
        <v>151</v>
      </c>
      <c r="E45" s="80">
        <v>2</v>
      </c>
      <c r="I45"/>
      <c r="J45"/>
    </row>
    <row r="46" spans="1:10" ht="14.5" x14ac:dyDescent="0.35">
      <c r="A46" s="78" t="s">
        <v>135</v>
      </c>
      <c r="B46" s="42" t="s">
        <v>140</v>
      </c>
      <c r="C46" s="25" t="str">
        <f t="shared" si="0"/>
        <v xml:space="preserve"> PRIMER</v>
      </c>
      <c r="D46" s="7" t="s">
        <v>151</v>
      </c>
      <c r="E46" s="80">
        <v>2</v>
      </c>
    </row>
    <row r="47" spans="1:10" ht="14.5" x14ac:dyDescent="0.35">
      <c r="A47" s="78" t="s">
        <v>136</v>
      </c>
      <c r="B47" s="42" t="s">
        <v>140</v>
      </c>
      <c r="C47" s="25" t="str">
        <f t="shared" si="0"/>
        <v xml:space="preserve"> PULL ME OVER RED</v>
      </c>
      <c r="D47" s="7" t="s">
        <v>151</v>
      </c>
      <c r="E47" s="80">
        <v>2</v>
      </c>
    </row>
    <row r="48" spans="1:10" ht="14.5" x14ac:dyDescent="0.35">
      <c r="A48" s="78" t="s">
        <v>142</v>
      </c>
      <c r="B48" s="42" t="s">
        <v>140</v>
      </c>
      <c r="C48" s="25" t="str">
        <f t="shared" si="0"/>
        <v xml:space="preserve"> SATIN STEEL</v>
      </c>
      <c r="D48" s="7" t="s">
        <v>151</v>
      </c>
      <c r="E48" s="80">
        <v>2</v>
      </c>
    </row>
    <row r="49" spans="1:5" ht="14.5" x14ac:dyDescent="0.35">
      <c r="A49" s="78" t="s">
        <v>137</v>
      </c>
      <c r="B49" s="42" t="s">
        <v>140</v>
      </c>
      <c r="C49" s="25" t="str">
        <f t="shared" si="0"/>
        <v xml:space="preserve"> SUMMIT WHITE</v>
      </c>
      <c r="D49" s="7" t="s">
        <v>151</v>
      </c>
      <c r="E49" s="80">
        <v>2</v>
      </c>
    </row>
    <row r="50" spans="1:5" ht="14.5" x14ac:dyDescent="0.35">
      <c r="A50" s="78" t="s">
        <v>133</v>
      </c>
      <c r="B50" s="42" t="s">
        <v>140</v>
      </c>
      <c r="C50" s="25" t="str">
        <f t="shared" si="0"/>
        <v>CARBON FLASH</v>
      </c>
      <c r="D50" s="7" t="s">
        <v>151</v>
      </c>
      <c r="E50" s="80">
        <v>2</v>
      </c>
    </row>
    <row r="51" spans="1:5" ht="14.5" x14ac:dyDescent="0.35">
      <c r="A51" s="90" t="s">
        <v>138</v>
      </c>
      <c r="B51" s="42" t="s">
        <v>140</v>
      </c>
      <c r="C51" s="25" t="str">
        <f t="shared" si="0"/>
        <v>RAPID</v>
      </c>
      <c r="D51" s="7" t="s">
        <v>151</v>
      </c>
      <c r="E51" s="80">
        <v>2</v>
      </c>
    </row>
    <row r="52" spans="1:5" ht="14.5" x14ac:dyDescent="0.35">
      <c r="A52" s="90" t="s">
        <v>139</v>
      </c>
      <c r="B52" s="42" t="s">
        <v>140</v>
      </c>
      <c r="C52" s="25" t="str">
        <f t="shared" si="0"/>
        <v>VIVID</v>
      </c>
      <c r="D52" s="7" t="s">
        <v>151</v>
      </c>
      <c r="E52" s="80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(103)</vt:lpstr>
      <vt:lpstr>Tues (103)</vt:lpstr>
      <vt:lpstr>Wed (103)</vt:lpstr>
      <vt:lpstr>Thurs (103)</vt:lpstr>
      <vt:lpstr>Fri (103)</vt:lpstr>
      <vt:lpstr>Sat (103)</vt:lpstr>
      <vt:lpstr>Painter Matrix</vt:lpstr>
      <vt:lpstr>Part Info</vt:lpstr>
      <vt:lpstr>'Fri (103)'!Print_Area</vt:lpstr>
      <vt:lpstr>'Mon (103)'!Print_Area</vt:lpstr>
      <vt:lpstr>'Sat (103)'!Print_Area</vt:lpstr>
      <vt:lpstr>'Thurs (103)'!Print_Area</vt:lpstr>
      <vt:lpstr>'Tues (103)'!Print_Area</vt:lpstr>
      <vt:lpstr>'Wed (103)'!Print_Area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Megan Moore</cp:lastModifiedBy>
  <cp:lastPrinted>2024-01-07T16:15:42Z</cp:lastPrinted>
  <dcterms:created xsi:type="dcterms:W3CDTF">2013-04-05T13:09:26Z</dcterms:created>
  <dcterms:modified xsi:type="dcterms:W3CDTF">2024-01-07T16:17:03Z</dcterms:modified>
</cp:coreProperties>
</file>