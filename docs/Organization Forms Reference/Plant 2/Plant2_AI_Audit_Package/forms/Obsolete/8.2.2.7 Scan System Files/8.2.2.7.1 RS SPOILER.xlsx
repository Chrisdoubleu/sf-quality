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7 Scan System Files\"/>
    </mc:Choice>
  </mc:AlternateContent>
  <xr:revisionPtr revIDLastSave="0" documentId="13_ncr:1_{9F52734A-61DD-4F32-9771-7C0AAC981021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otals" sheetId="14" r:id="rId1"/>
    <sheet name="Rev Log" sheetId="15" r:id="rId2"/>
    <sheet name="Query" sheetId="16" r:id="rId3"/>
  </sheets>
  <definedNames>
    <definedName name="ExternalData_1" localSheetId="2" hidden="1">Query!$A$1:$C$192</definedName>
    <definedName name="TODAY">Totals!$C$1</definedName>
  </definedNames>
  <calcPr calcId="181029"/>
</workbook>
</file>

<file path=xl/calcChain.xml><?xml version="1.0" encoding="utf-8"?>
<calcChain xmlns="http://schemas.openxmlformats.org/spreadsheetml/2006/main">
  <c r="J5" i="14" l="1"/>
  <c r="Q14" i="14" l="1"/>
  <c r="M13" i="14"/>
  <c r="Q12" i="14"/>
  <c r="M11" i="14"/>
  <c r="Q10" i="14"/>
  <c r="M9" i="14"/>
  <c r="Q8" i="14"/>
  <c r="M7" i="14"/>
  <c r="Q6" i="14"/>
  <c r="T15" i="14"/>
  <c r="L15" i="14"/>
  <c r="P14" i="14"/>
  <c r="T13" i="14"/>
  <c r="L13" i="14"/>
  <c r="P12" i="14"/>
  <c r="T11" i="14"/>
  <c r="L11" i="14"/>
  <c r="P10" i="14"/>
  <c r="T9" i="14"/>
  <c r="L9" i="14"/>
  <c r="P8" i="14"/>
  <c r="T7" i="14"/>
  <c r="L7" i="14"/>
  <c r="P6" i="14"/>
  <c r="O14" i="14"/>
  <c r="O12" i="14"/>
  <c r="O10" i="14"/>
  <c r="S7" i="14"/>
  <c r="U7" i="14" s="1"/>
  <c r="N12" i="14"/>
  <c r="N10" i="14"/>
  <c r="N6" i="14"/>
  <c r="M15" i="14"/>
  <c r="K15" i="14"/>
  <c r="S13" i="14"/>
  <c r="U13" i="14" s="1"/>
  <c r="S11" i="14"/>
  <c r="U11" i="14" s="1"/>
  <c r="S9" i="14"/>
  <c r="U9" i="14" s="1"/>
  <c r="O8" i="14"/>
  <c r="K7" i="14"/>
  <c r="J11" i="14"/>
  <c r="J9" i="14"/>
  <c r="J7" i="14"/>
  <c r="Q15" i="14"/>
  <c r="M14" i="14"/>
  <c r="Q13" i="14"/>
  <c r="M12" i="14"/>
  <c r="Q11" i="14"/>
  <c r="M10" i="14"/>
  <c r="Q9" i="14"/>
  <c r="M8" i="14"/>
  <c r="Q7" i="14"/>
  <c r="M6" i="14"/>
  <c r="J15" i="14"/>
  <c r="N14" i="14"/>
  <c r="N8" i="14"/>
  <c r="P15" i="14"/>
  <c r="T14" i="14"/>
  <c r="L14" i="14"/>
  <c r="P13" i="14"/>
  <c r="T12" i="14"/>
  <c r="L12" i="14"/>
  <c r="P11" i="14"/>
  <c r="T10" i="14"/>
  <c r="L10" i="14"/>
  <c r="P9" i="14"/>
  <c r="T8" i="14"/>
  <c r="L8" i="14"/>
  <c r="P7" i="14"/>
  <c r="T6" i="14"/>
  <c r="L6" i="14"/>
  <c r="S15" i="14"/>
  <c r="U15" i="14" s="1"/>
  <c r="K13" i="14"/>
  <c r="K11" i="14"/>
  <c r="K9" i="14"/>
  <c r="O6" i="14"/>
  <c r="J13" i="14"/>
  <c r="O15" i="14"/>
  <c r="S14" i="14"/>
  <c r="U14" i="14" s="1"/>
  <c r="K14" i="14"/>
  <c r="O13" i="14"/>
  <c r="S12" i="14"/>
  <c r="U12" i="14" s="1"/>
  <c r="K12" i="14"/>
  <c r="O11" i="14"/>
  <c r="S10" i="14"/>
  <c r="U10" i="14" s="1"/>
  <c r="K10" i="14"/>
  <c r="O9" i="14"/>
  <c r="S8" i="14"/>
  <c r="U8" i="14" s="1"/>
  <c r="K8" i="14"/>
  <c r="O7" i="14"/>
  <c r="S6" i="14"/>
  <c r="U6" i="14" s="1"/>
  <c r="K6" i="14"/>
  <c r="N15" i="14"/>
  <c r="J14" i="14"/>
  <c r="R14" i="14" s="1"/>
  <c r="N13" i="14"/>
  <c r="J12" i="14"/>
  <c r="R12" i="14" s="1"/>
  <c r="N11" i="14"/>
  <c r="J10" i="14"/>
  <c r="N9" i="14"/>
  <c r="J8" i="14"/>
  <c r="R8" i="14" s="1"/>
  <c r="N7" i="14"/>
  <c r="J6" i="14"/>
  <c r="R6" i="14" s="1"/>
  <c r="T5" i="14"/>
  <c r="S5" i="14"/>
  <c r="Q5" i="14"/>
  <c r="P5" i="14"/>
  <c r="O5" i="14"/>
  <c r="N5" i="14"/>
  <c r="M5" i="14"/>
  <c r="L5" i="14"/>
  <c r="K5" i="14"/>
  <c r="D14" i="14"/>
  <c r="D8" i="14"/>
  <c r="D13" i="14"/>
  <c r="D12" i="14"/>
  <c r="D11" i="14"/>
  <c r="D10" i="14"/>
  <c r="D15" i="14"/>
  <c r="D9" i="14"/>
  <c r="D6" i="14"/>
  <c r="D5" i="14"/>
  <c r="E6" i="14"/>
  <c r="G6" i="14"/>
  <c r="H5" i="14"/>
  <c r="H6" i="14"/>
  <c r="F6" i="14"/>
  <c r="G5" i="14"/>
  <c r="F5" i="14"/>
  <c r="E5" i="14"/>
  <c r="H15" i="14"/>
  <c r="H11" i="14"/>
  <c r="G15" i="14"/>
  <c r="G13" i="14"/>
  <c r="G11" i="14"/>
  <c r="G9" i="14"/>
  <c r="F13" i="14"/>
  <c r="F9" i="14"/>
  <c r="E11" i="14"/>
  <c r="H14" i="14"/>
  <c r="H12" i="14"/>
  <c r="H10" i="14"/>
  <c r="H8" i="14"/>
  <c r="F11" i="14"/>
  <c r="E15" i="14"/>
  <c r="E13" i="14"/>
  <c r="E9" i="14"/>
  <c r="G14" i="14"/>
  <c r="G12" i="14"/>
  <c r="G10" i="14"/>
  <c r="G8" i="14"/>
  <c r="H13" i="14"/>
  <c r="F15" i="14"/>
  <c r="F12" i="14"/>
  <c r="F8" i="14"/>
  <c r="H9" i="14"/>
  <c r="F14" i="14"/>
  <c r="F10" i="14"/>
  <c r="E14" i="14"/>
  <c r="E12" i="14"/>
  <c r="E10" i="14"/>
  <c r="E8" i="14"/>
  <c r="H7" i="14"/>
  <c r="G7" i="14"/>
  <c r="F7" i="14"/>
  <c r="E7" i="14"/>
  <c r="D7" i="14"/>
  <c r="R10" i="14" l="1"/>
  <c r="I8" i="14"/>
  <c r="I12" i="14"/>
  <c r="R7" i="14"/>
  <c r="R9" i="14"/>
  <c r="R15" i="14"/>
  <c r="R11" i="14"/>
  <c r="R13" i="14"/>
  <c r="I11" i="14"/>
  <c r="I14" i="14"/>
  <c r="I13" i="14"/>
  <c r="I15" i="14"/>
  <c r="I10" i="14"/>
  <c r="I9" i="14"/>
  <c r="I6" i="14"/>
  <c r="I7" i="14"/>
  <c r="U5" i="14"/>
  <c r="R5" i="14"/>
  <c r="I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AF4CCB-7E35-4043-9410-BF7CEDAB9CF9}" keepAlive="1" name="Query - QrySpoilers" description="Connection to the 'QrySpoilers' query in the workbook." type="5" refreshedVersion="6" background="1" saveData="1">
    <dbPr connection="Provider=Microsoft.Mashup.OleDb.1;Data Source=$Workbook$;Location=QrySpoilers;Extended Properties=&quot;&quot;" command="SELECT * FROM [QrySpoilers]"/>
  </connection>
</connections>
</file>

<file path=xl/sharedStrings.xml><?xml version="1.0" encoding="utf-8"?>
<sst xmlns="http://schemas.openxmlformats.org/spreadsheetml/2006/main" count="444" uniqueCount="72">
  <si>
    <t>Raw Incoming Part Number</t>
  </si>
  <si>
    <t>TOTAL BUFF</t>
  </si>
  <si>
    <t xml:space="preserve">TOTAL REPAINT </t>
  </si>
  <si>
    <t xml:space="preserve">TOTAL GOOD </t>
  </si>
  <si>
    <t>REQUIRES SANDING AND REPAINTING</t>
  </si>
  <si>
    <t>ORANGE PEEL</t>
  </si>
  <si>
    <t xml:space="preserve">SAG / RUN </t>
  </si>
  <si>
    <t>DIRT</t>
  </si>
  <si>
    <t xml:space="preserve">OTHER </t>
  </si>
  <si>
    <t xml:space="preserve">THIN CLEAR  </t>
  </si>
  <si>
    <t xml:space="preserve">THIN PAINT  </t>
  </si>
  <si>
    <t xml:space="preserve">SAG / RUN  </t>
  </si>
  <si>
    <t>OTHER</t>
  </si>
  <si>
    <t>MOLDING DEFECT</t>
  </si>
  <si>
    <t xml:space="preserve">TOTAL MOLDING </t>
  </si>
  <si>
    <t>PAINT DATE:</t>
  </si>
  <si>
    <t>SHIFT:</t>
  </si>
  <si>
    <t>GOOD</t>
  </si>
  <si>
    <t>REQUIRES BUFFING</t>
  </si>
  <si>
    <t>PAINTED PART #</t>
  </si>
  <si>
    <t>COLOUR</t>
  </si>
  <si>
    <t>GM BLACK</t>
  </si>
  <si>
    <t>SUMMIT WHITE</t>
  </si>
  <si>
    <t>PULL ME OVER RED</t>
  </si>
  <si>
    <t>CHERRY BOMB</t>
  </si>
  <si>
    <t xml:space="preserve">GM RS SPOILER </t>
  </si>
  <si>
    <t>SATIN STEEL GRAY METALLIC</t>
  </si>
  <si>
    <t>OCONUS METALLIC</t>
  </si>
  <si>
    <t>SHOCK NON METALLIC</t>
  </si>
  <si>
    <t>DARK SHADOW METALLIC</t>
  </si>
  <si>
    <t>Revision No.</t>
  </si>
  <si>
    <t>Created</t>
  </si>
  <si>
    <t>Revised</t>
  </si>
  <si>
    <t>Changes</t>
  </si>
  <si>
    <t xml:space="preserve">SUPPLIER SANDING ISSUES </t>
  </si>
  <si>
    <t>VG0056OS3PA</t>
  </si>
  <si>
    <t>Part</t>
  </si>
  <si>
    <t>Status</t>
  </si>
  <si>
    <t>Timestamp</t>
  </si>
  <si>
    <t>NR</t>
  </si>
  <si>
    <t>By</t>
  </si>
  <si>
    <t>N/A</t>
  </si>
  <si>
    <t>EC</t>
  </si>
  <si>
    <t>WATERMARK</t>
  </si>
  <si>
    <t>WATER</t>
  </si>
  <si>
    <t>VG0056WH3PA</t>
  </si>
  <si>
    <t>VG0056BL3PA</t>
  </si>
  <si>
    <t>VGOO56PR3PA</t>
  </si>
  <si>
    <t>Gouges</t>
  </si>
  <si>
    <t>Other-R</t>
  </si>
  <si>
    <t>Other-B</t>
  </si>
  <si>
    <t>VG0056CB3PA</t>
  </si>
  <si>
    <t>LG BLACK</t>
  </si>
  <si>
    <t>VG0056BC3PA</t>
  </si>
  <si>
    <t>VGO0056DS3PA</t>
  </si>
  <si>
    <t>VG0056SK3PA</t>
  </si>
  <si>
    <t>ORANGE CRUSH</t>
  </si>
  <si>
    <t>VG0056OC3PA</t>
  </si>
  <si>
    <t>VG0056ST3PA</t>
  </si>
  <si>
    <t>PRIMER</t>
  </si>
  <si>
    <t>VG0056SP3PA</t>
  </si>
  <si>
    <t>ORANGE PEEL®</t>
  </si>
  <si>
    <t>DIRT®</t>
  </si>
  <si>
    <t>DIRT-R</t>
  </si>
  <si>
    <t>DIRT-B</t>
  </si>
  <si>
    <t>WATER-R</t>
  </si>
  <si>
    <t>ORANGE PEEL-B</t>
  </si>
  <si>
    <t>SUPLIER SAND-MD</t>
  </si>
  <si>
    <t>OTHER-R</t>
  </si>
  <si>
    <t>SAG2UN-R</t>
  </si>
  <si>
    <t>ORANGE PEEL-R</t>
  </si>
  <si>
    <t>WATERMARK-R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</si>
</sst>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##\.###\.###"/>
  </numFmts>
  <fonts count="39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0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Times New Roman"/>
      <family val="1"/>
    </font>
    <font>
      <sz val="18"/>
      <color theme="1"/>
      <name val="Times New Roman"/>
      <family val="1"/>
    </font>
    <font>
      <sz val="16"/>
      <color theme="1"/>
      <name val="Times New Roman"/>
      <family val="1"/>
    </font>
    <font>
      <b/>
      <sz val="18"/>
      <color theme="1"/>
      <name val="Times New Roman"/>
      <family val="1"/>
    </font>
    <font>
      <b/>
      <sz val="36"/>
      <color theme="1"/>
      <name val="Times New Roman"/>
      <family val="1"/>
    </font>
    <font>
      <sz val="8"/>
      <name val="Arial"/>
      <family val="2"/>
    </font>
    <font>
      <sz val="48"/>
      <name val="Times New Roman"/>
      <family val="1"/>
    </font>
    <font>
      <b/>
      <sz val="10"/>
      <name val="Arial"/>
      <family val="2"/>
    </font>
    <font>
      <b/>
      <sz val="48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4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0" xfId="0" applyNumberFormat="1"/>
    <xf numFmtId="22" fontId="0" fillId="0" borderId="0" xfId="0" applyNumberFormat="1"/>
    <xf numFmtId="0" fontId="32" fillId="0" borderId="13" xfId="39" applyFont="1" applyFill="1" applyBorder="1" applyAlignment="1" applyProtection="1">
      <alignment horizontal="center" vertical="center" wrapText="1"/>
    </xf>
    <xf numFmtId="14" fontId="33" fillId="0" borderId="17" xfId="39" applyNumberFormat="1" applyFont="1" applyFill="1" applyBorder="1" applyAlignment="1" applyProtection="1">
      <alignment wrapText="1"/>
      <protection locked="0"/>
    </xf>
    <xf numFmtId="0" fontId="14" fillId="0" borderId="24" xfId="38" applyBorder="1" applyAlignment="1">
      <alignment horizontal="center"/>
    </xf>
    <xf numFmtId="14" fontId="14" fillId="0" borderId="24" xfId="38" applyNumberFormat="1" applyBorder="1" applyAlignment="1">
      <alignment horizontal="center"/>
    </xf>
    <xf numFmtId="0" fontId="0" fillId="0" borderId="0" xfId="0" applyAlignment="1">
      <alignment horizontal="center"/>
    </xf>
    <xf numFmtId="0" fontId="37" fillId="0" borderId="24" xfId="38" applyFont="1" applyBorder="1" applyAlignment="1">
      <alignment horizontal="center"/>
    </xf>
    <xf numFmtId="0" fontId="38" fillId="26" borderId="20" xfId="0" applyFont="1" applyFill="1" applyBorder="1" applyAlignment="1" applyProtection="1">
      <alignment horizontal="center" vertical="center"/>
    </xf>
    <xf numFmtId="49" fontId="31" fillId="0" borderId="18" xfId="39" applyNumberFormat="1" applyFont="1" applyFill="1" applyBorder="1" applyAlignment="1" applyProtection="1">
      <alignment horizontal="center" vertical="center" shrinkToFit="1"/>
    </xf>
    <xf numFmtId="0" fontId="25" fillId="0" borderId="0" xfId="39" applyFont="1" applyBorder="1" applyProtection="1"/>
    <xf numFmtId="0" fontId="33" fillId="0" borderId="19" xfId="39" applyFont="1" applyFill="1" applyBorder="1" applyAlignment="1" applyProtection="1">
      <alignment wrapText="1"/>
    </xf>
    <xf numFmtId="0" fontId="33" fillId="0" borderId="19" xfId="39" applyFont="1" applyFill="1" applyBorder="1" applyAlignment="1" applyProtection="1">
      <alignment horizontal="center"/>
    </xf>
    <xf numFmtId="0" fontId="21" fillId="0" borderId="17" xfId="0" applyFont="1" applyFill="1" applyBorder="1" applyAlignment="1" applyProtection="1"/>
    <xf numFmtId="0" fontId="21" fillId="0" borderId="17" xfId="0" applyFont="1" applyFill="1" applyBorder="1" applyProtection="1"/>
    <xf numFmtId="0" fontId="21" fillId="0" borderId="18" xfId="0" applyFont="1" applyFill="1" applyBorder="1" applyProtection="1"/>
    <xf numFmtId="0" fontId="0" fillId="0" borderId="0" xfId="0" applyProtection="1"/>
    <xf numFmtId="0" fontId="33" fillId="0" borderId="20" xfId="39" applyFont="1" applyFill="1" applyBorder="1" applyAlignment="1" applyProtection="1">
      <alignment horizontal="left" wrapText="1"/>
    </xf>
    <xf numFmtId="0" fontId="33" fillId="0" borderId="21" xfId="39" applyFont="1" applyFill="1" applyBorder="1" applyAlignment="1" applyProtection="1">
      <alignment horizontal="left" wrapText="1"/>
    </xf>
    <xf numFmtId="0" fontId="34" fillId="0" borderId="17" xfId="39" applyFont="1" applyFill="1" applyBorder="1" applyAlignment="1" applyProtection="1">
      <alignment horizontal="center"/>
    </xf>
    <xf numFmtId="0" fontId="34" fillId="0" borderId="21" xfId="39" applyFont="1" applyFill="1" applyBorder="1" applyAlignment="1" applyProtection="1">
      <alignment horizontal="center"/>
    </xf>
    <xf numFmtId="0" fontId="33" fillId="0" borderId="21" xfId="39" applyFont="1" applyFill="1" applyBorder="1" applyAlignment="1" applyProtection="1">
      <alignment horizontal="center"/>
    </xf>
    <xf numFmtId="0" fontId="21" fillId="0" borderId="21" xfId="0" applyFont="1" applyFill="1" applyBorder="1" applyAlignment="1" applyProtection="1"/>
    <xf numFmtId="0" fontId="21" fillId="0" borderId="21" xfId="0" applyFont="1" applyFill="1" applyBorder="1" applyProtection="1"/>
    <xf numFmtId="0" fontId="21" fillId="0" borderId="16" xfId="0" applyFont="1" applyFill="1" applyBorder="1" applyProtection="1"/>
    <xf numFmtId="0" fontId="27" fillId="0" borderId="0" xfId="39" applyFont="1" applyBorder="1" applyProtection="1"/>
    <xf numFmtId="0" fontId="33" fillId="26" borderId="13" xfId="39" applyFont="1" applyFill="1" applyBorder="1" applyAlignment="1" applyProtection="1">
      <alignment horizontal="center" vertical="center"/>
    </xf>
    <xf numFmtId="0" fontId="20" fillId="0" borderId="0" xfId="0" applyFont="1" applyProtection="1"/>
    <xf numFmtId="0" fontId="26" fillId="0" borderId="0" xfId="39" applyFont="1" applyFill="1" applyBorder="1" applyAlignment="1" applyProtection="1">
      <alignment horizontal="center" vertical="center" wrapText="1"/>
    </xf>
    <xf numFmtId="165" fontId="22" fillId="0" borderId="11" xfId="39" applyNumberFormat="1" applyFont="1" applyFill="1" applyBorder="1" applyAlignment="1" applyProtection="1">
      <alignment horizontal="center" vertical="center" wrapText="1"/>
    </xf>
    <xf numFmtId="165" fontId="22" fillId="0" borderId="10" xfId="39" applyNumberFormat="1" applyFont="1" applyFill="1" applyBorder="1" applyAlignment="1" applyProtection="1">
      <alignment horizontal="center" vertical="center" wrapText="1"/>
    </xf>
    <xf numFmtId="0" fontId="30" fillId="24" borderId="15" xfId="39" applyFont="1" applyFill="1" applyBorder="1" applyAlignment="1" applyProtection="1">
      <alignment horizontal="center" vertical="center" textRotation="90" wrapText="1"/>
    </xf>
    <xf numFmtId="0" fontId="22" fillId="25" borderId="26" xfId="39" applyFont="1" applyFill="1" applyBorder="1" applyAlignment="1" applyProtection="1">
      <alignment horizontal="center" vertical="center" wrapText="1"/>
    </xf>
    <xf numFmtId="0" fontId="22" fillId="25" borderId="27" xfId="39" applyFont="1" applyFill="1" applyBorder="1" applyAlignment="1" applyProtection="1">
      <alignment horizontal="center" vertical="center" wrapText="1"/>
    </xf>
    <xf numFmtId="0" fontId="22" fillId="26" borderId="15" xfId="39" applyFont="1" applyFill="1" applyBorder="1" applyAlignment="1" applyProtection="1">
      <alignment horizontal="center" vertical="center" textRotation="90" wrapText="1"/>
    </xf>
    <xf numFmtId="0" fontId="22" fillId="0" borderId="28" xfId="39" applyFont="1" applyFill="1" applyBorder="1" applyAlignment="1" applyProtection="1">
      <alignment horizontal="center" vertical="center" wrapText="1"/>
    </xf>
    <xf numFmtId="0" fontId="22" fillId="0" borderId="26" xfId="39" applyFont="1" applyFill="1" applyBorder="1" applyAlignment="1" applyProtection="1">
      <alignment horizontal="center" vertical="center" wrapText="1"/>
    </xf>
    <xf numFmtId="0" fontId="22" fillId="0" borderId="27" xfId="39" applyFont="1" applyFill="1" applyBorder="1" applyAlignment="1" applyProtection="1">
      <alignment horizontal="center" vertical="center" wrapText="1"/>
    </xf>
    <xf numFmtId="0" fontId="22" fillId="0" borderId="29" xfId="39" applyFont="1" applyFill="1" applyBorder="1" applyAlignment="1" applyProtection="1">
      <alignment horizontal="center" vertical="center" textRotation="90"/>
    </xf>
    <xf numFmtId="0" fontId="22" fillId="26" borderId="20" xfId="39" applyFont="1" applyFill="1" applyBorder="1" applyAlignment="1" applyProtection="1">
      <alignment horizontal="center" vertical="center" textRotation="90" wrapText="1"/>
    </xf>
    <xf numFmtId="0" fontId="28" fillId="0" borderId="0" xfId="39" applyFont="1" applyFill="1" applyBorder="1" applyAlignment="1" applyProtection="1">
      <alignment horizontal="center" vertical="center" wrapText="1"/>
    </xf>
    <xf numFmtId="49" fontId="31" fillId="0" borderId="25" xfId="39" applyNumberFormat="1" applyFont="1" applyFill="1" applyBorder="1" applyAlignment="1" applyProtection="1">
      <alignment horizontal="center" vertical="center" shrinkToFit="1"/>
    </xf>
    <xf numFmtId="0" fontId="32" fillId="0" borderId="22" xfId="39" applyFont="1" applyFill="1" applyBorder="1" applyAlignment="1" applyProtection="1">
      <alignment horizontal="center" vertical="center" wrapText="1"/>
    </xf>
    <xf numFmtId="0" fontId="36" fillId="25" borderId="12" xfId="39" applyFont="1" applyFill="1" applyBorder="1" applyAlignment="1" applyProtection="1">
      <alignment horizontal="center" vertical="center" wrapText="1"/>
    </xf>
    <xf numFmtId="0" fontId="36" fillId="25" borderId="14" xfId="39" applyFont="1" applyFill="1" applyBorder="1" applyAlignment="1" applyProtection="1">
      <alignment horizontal="center" vertical="center" wrapText="1"/>
    </xf>
    <xf numFmtId="0" fontId="36" fillId="25" borderId="23" xfId="39" applyFont="1" applyFill="1" applyBorder="1" applyAlignment="1" applyProtection="1">
      <alignment horizontal="center" vertical="center" wrapText="1"/>
    </xf>
    <xf numFmtId="0" fontId="38" fillId="26" borderId="17" xfId="39" applyFont="1" applyFill="1" applyBorder="1" applyAlignment="1" applyProtection="1">
      <alignment horizontal="center" vertical="center" wrapText="1"/>
    </xf>
    <xf numFmtId="0" fontId="38" fillId="26" borderId="19" xfId="39" applyFont="1" applyFill="1" applyBorder="1" applyAlignment="1" applyProtection="1">
      <alignment horizontal="center" vertical="center" wrapText="1"/>
    </xf>
    <xf numFmtId="0" fontId="38" fillId="26" borderId="13" xfId="39" applyFont="1" applyFill="1" applyBorder="1" applyAlignment="1" applyProtection="1">
      <alignment horizontal="center" vertical="center" wrapText="1"/>
    </xf>
    <xf numFmtId="0" fontId="29" fillId="0" borderId="0" xfId="0" applyFont="1" applyBorder="1" applyAlignment="1" applyProtection="1">
      <alignment horizontal="center"/>
    </xf>
    <xf numFmtId="0" fontId="29" fillId="0" borderId="0" xfId="39" applyFont="1" applyFill="1" applyBorder="1" applyAlignment="1" applyProtection="1">
      <alignment horizontal="center"/>
    </xf>
    <xf numFmtId="0" fontId="25" fillId="0" borderId="0" xfId="39" applyFont="1" applyFill="1" applyAlignment="1" applyProtection="1">
      <alignment horizontal="center"/>
    </xf>
    <xf numFmtId="0" fontId="25" fillId="0" borderId="0" xfId="39" applyFont="1" applyAlignment="1" applyProtection="1">
      <alignment horizontal="left"/>
    </xf>
    <xf numFmtId="0" fontId="25" fillId="0" borderId="0" xfId="39" applyFont="1" applyAlignment="1" applyProtection="1">
      <alignment horizontal="center"/>
    </xf>
    <xf numFmtId="0" fontId="34" fillId="0" borderId="19" xfId="39" applyFont="1" applyFill="1" applyBorder="1" applyAlignment="1" applyProtection="1">
      <alignment horizontal="center"/>
    </xf>
    <xf numFmtId="0" fontId="34" fillId="0" borderId="17" xfId="39" applyFont="1" applyFill="1" applyBorder="1" applyAlignment="1" applyProtection="1">
      <alignment horizontal="center"/>
    </xf>
    <xf numFmtId="0" fontId="34" fillId="0" borderId="18" xfId="39" applyFont="1" applyFill="1" applyBorder="1" applyAlignment="1" applyProtection="1">
      <alignment horizontal="center"/>
    </xf>
    <xf numFmtId="0" fontId="33" fillId="26" borderId="19" xfId="39" applyFont="1" applyFill="1" applyBorder="1" applyAlignment="1" applyProtection="1">
      <alignment horizontal="center" vertical="center"/>
    </xf>
    <xf numFmtId="0" fontId="33" fillId="26" borderId="17" xfId="39" applyFont="1" applyFill="1" applyBorder="1" applyAlignment="1" applyProtection="1">
      <alignment horizontal="center" vertical="center"/>
    </xf>
    <xf numFmtId="0" fontId="33" fillId="26" borderId="18" xfId="39" applyFont="1" applyFill="1" applyBorder="1" applyAlignment="1" applyProtection="1">
      <alignment horizontal="center" vertical="center"/>
    </xf>
    <xf numFmtId="0" fontId="33" fillId="26" borderId="20" xfId="39" applyFont="1" applyFill="1" applyBorder="1" applyAlignment="1" applyProtection="1">
      <alignment horizontal="center" vertical="center" wrapText="1"/>
    </xf>
    <xf numFmtId="0" fontId="23" fillId="26" borderId="16" xfId="0" applyFont="1" applyFill="1" applyBorder="1" applyAlignment="1" applyProtection="1">
      <alignment horizontal="center" vertical="center" wrapText="1"/>
    </xf>
    <xf numFmtId="0" fontId="22" fillId="26" borderId="20" xfId="0" applyFont="1" applyFill="1" applyBorder="1" applyAlignment="1" applyProtection="1">
      <alignment horizontal="center" vertical="center"/>
    </xf>
    <xf numFmtId="0" fontId="22" fillId="26" borderId="21" xfId="0" applyFont="1" applyFill="1" applyBorder="1" applyAlignment="1" applyProtection="1">
      <alignment horizontal="center" vertical="center"/>
    </xf>
    <xf numFmtId="0" fontId="22" fillId="26" borderId="16" xfId="0" applyFont="1" applyFill="1" applyBorder="1" applyAlignment="1" applyProtection="1">
      <alignment horizontal="center"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28">
    <dxf>
      <numFmt numFmtId="27" formatCode="yyyy/mm/dd\ h:mm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 style="medium">
          <color indexed="64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medium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medium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medium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medium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medium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medium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medium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medium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medium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medium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medium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medium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medium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medium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1" hidden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protection locked="1" hidden="0"/>
    </dxf>
    <dxf>
      <protection locked="1" hidden="0"/>
    </dxf>
    <dxf>
      <font>
        <color theme="0" tint="-0.14996795556505021"/>
      </font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1B4A7C-7E4B-4512-A357-AF674F2F7FF6}" autoFormatId="16" applyNumberFormats="0" applyBorderFormats="0" applyFontFormats="0" applyPatternFormats="0" applyAlignmentFormats="0" applyWidthHeightFormats="0">
  <queryTableRefresh nextId="4">
    <queryTableFields count="3">
      <queryTableField id="1" name="Part" tableColumnId="4"/>
      <queryTableField id="2" name="Status" tableColumnId="2"/>
      <queryTableField id="3" name="Timestamp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B3A549-70C1-42E7-8F8B-3A1068CB851B}" name="Table2" displayName="Table2" ref="B4:U15" totalsRowShown="0" headerRowDxfId="25" dataDxfId="24" tableBorderDxfId="23">
  <tableColumns count="20">
    <tableColumn id="1" xr3:uid="{4DC3E5D2-9272-43B3-9480-B6F50C0E9406}" name="PAINTED PART #" dataDxfId="22" dataCellStyle="Normal 3 2"/>
    <tableColumn id="2" xr3:uid="{77733BEA-7AD8-4201-8E1B-099950F252CE}" name="COLOUR" dataDxfId="21" dataCellStyle="Normal 3 2"/>
    <tableColumn id="3" xr3:uid="{0F55B72D-C47E-40F3-9859-28D78CF542F3}" name="TOTAL GOOD " dataDxfId="20"/>
    <tableColumn id="4" xr3:uid="{3554E4A4-E413-4263-8F19-AC8BC1AE1D22}" name="ORANGE PEEL" dataDxfId="19"/>
    <tableColumn id="5" xr3:uid="{377BC078-815E-4E15-961A-3327167DF5D7}" name="SAG / RUN " dataDxfId="18"/>
    <tableColumn id="6" xr3:uid="{A3DC8DD3-C46A-4B61-921F-8B4A61D5FDEC}" name="DIRT" dataDxfId="17"/>
    <tableColumn id="7" xr3:uid="{342EB838-4691-4E7C-AFB9-2AC6C1AB676C}" name="OTHER " dataDxfId="16"/>
    <tableColumn id="8" xr3:uid="{80B68690-E3AA-46CB-99A7-410430764E40}" name="TOTAL BUFF" dataDxfId="15"/>
    <tableColumn id="9" xr3:uid="{E9C7CE3D-9B3A-4ABF-BED4-61B2B0903FC8}" name="THIN CLEAR  " dataDxfId="14">
      <calculatedColumnFormula>COUNTIFS(Query!A:A,Table2[[#This Row],[PAINTED PART '#]],Query!B:B,"Thin Clear-R",Query!C:C,"&gt;"&amp;TODAY,Query!C:C,"&lt;"&amp;(TODAY+1))</calculatedColumnFormula>
    </tableColumn>
    <tableColumn id="10" xr3:uid="{B8D540E6-D2F4-4112-AB95-D13BCA97F2A5}" name="THIN PAINT  " dataDxfId="13">
      <calculatedColumnFormula>COUNTIFS(Query!A:A,Table2[[#This Row],[PAINTED PART '#]],Query!B:B,"Thin Paint-R",Query!C:C,"&gt;"&amp;TODAY,Query!C:C,"&lt;"&amp;(TODAY+1))</calculatedColumnFormula>
    </tableColumn>
    <tableColumn id="11" xr3:uid="{A4D5235E-27B5-4475-9DCB-1B42B5BCB130}" name="ORANGE PEEL®" dataDxfId="12">
      <calculatedColumnFormula>COUNTIFS(Query!A:A,Table2[[#This Row],[PAINTED PART '#]],Query!B:B,"Orange Peel-R",Query!C:C,"&gt;"&amp;TODAY,Query!C:C,"&lt;"&amp;(TODAY+1))</calculatedColumnFormula>
    </tableColumn>
    <tableColumn id="12" xr3:uid="{89B10560-EB1D-4477-9137-4B526A789208}" name="SAG / RUN  " dataDxfId="11">
      <calculatedColumnFormula>COUNTIFS(Query!A:A,Table2[[#This Row],[PAINTED PART '#]],Query!B:B,"Sag/Run-R",Query!C:C,"&gt;"&amp;TODAY,Query!C:C,"&lt;"&amp;(TODAY+1))</calculatedColumnFormula>
    </tableColumn>
    <tableColumn id="13" xr3:uid="{AC6D6550-2BF9-479D-A824-F2BD6CE4D7BD}" name="DIRT®" dataDxfId="10">
      <calculatedColumnFormula>COUNTIFS(Query!A:A,Table2[[#This Row],[PAINTED PART '#]],Query!B:B,"Dirt-R",Query!C:C,"&gt;"&amp;TODAY,Query!C:C,"&lt;"&amp;(TODAY+1))</calculatedColumnFormula>
    </tableColumn>
    <tableColumn id="14" xr3:uid="{4F6EF060-F0C6-4212-B66A-BB29EF391CB7}" name="WATERMARK" dataDxfId="9">
      <calculatedColumnFormula>COUNTIFS(Query!A:A,Table2[[#This Row],[PAINTED PART '#]],Query!B:B,"WATERMARK-R",Query!C:C,"&gt;"&amp;TODAY,Query!C:C,"&lt;"&amp;(TODAY+1))</calculatedColumnFormula>
    </tableColumn>
    <tableColumn id="15" xr3:uid="{52CABE77-9BCF-4B8E-B345-45CD42958C2B}" name="WATER" dataDxfId="8">
      <calculatedColumnFormula>COUNTIFS(Query!A:A,Table2[[#This Row],[PAINTED PART '#]],Query!B:B,"WATER-R",Query!C:C,"&gt;"&amp;TODAY,Query!C:C,"&lt;"&amp;(TODAY+1))</calculatedColumnFormula>
    </tableColumn>
    <tableColumn id="16" xr3:uid="{EA9ABE18-2959-488B-887C-D149AB8E1B64}" name="OTHER" dataDxfId="7">
      <calculatedColumnFormula>COUNTIFS(Query!A:A,Table2[[#This Row],[PAINTED PART '#]],Query!B:B,"Other-R",Query!C:C,"&gt;"&amp;TODAY,Query!C:C,"&lt;"&amp;(TODAY+1))</calculatedColumnFormula>
    </tableColumn>
    <tableColumn id="17" xr3:uid="{9F866884-E711-4693-944F-E2E79E39D4B1}" name="TOTAL REPAINT " dataDxfId="6">
      <calculatedColumnFormula>J5+K5+L5+M5+N5+O5+P5+Q5</calculatedColumnFormula>
    </tableColumn>
    <tableColumn id="18" xr3:uid="{36D8C479-0699-42B9-9F61-89E7C9999543}" name="SUPPLIER SANDING ISSUES " dataDxfId="5">
      <calculatedColumnFormula>COUNTIFS(Query!A:A,Table2[[#This Row],[PAINTED PART '#]],Query!B:B,"Suplier Sand-MD",Query!C:C,"&gt;"&amp;TODAY,Query!C:C,"&lt;"&amp;(TODAY+1))</calculatedColumnFormula>
    </tableColumn>
    <tableColumn id="19" xr3:uid="{E583D738-DC09-4362-8A59-7203F79A4693}" name="Gouges" dataDxfId="4" dataCellStyle="Normal 3 2">
      <calculatedColumnFormula>COUNTIFS(Query!A:A,Table2[[#This Row],[PAINTED PART '#]],Query!B:B,"Gouges-MD",Query!C:C,"&gt;"&amp;TODAY,Query!C:C,"&lt;"&amp;(TODAY+1))</calculatedColumnFormula>
    </tableColumn>
    <tableColumn id="20" xr3:uid="{3CB35805-FE9A-467F-AE25-C58ED1785A1D}" name="TOTAL MOLDING " dataDxfId="3" dataCellStyle="Normal 3 2">
      <calculatedColumnFormula>S5+T5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498976-B538-4837-813B-82A72731CE22}" name="QrySpoilers" displayName="QrySpoilers" ref="A1:C192" tableType="queryTable" totalsRowShown="0">
  <autoFilter ref="A1:C192" xr:uid="{3435372C-F7DF-485F-AC4D-690BF2EE6E34}"/>
  <tableColumns count="3">
    <tableColumn id="4" xr3:uid="{97418360-80A9-4EC4-A3A2-7C0AAD024A50}" uniqueName="4" name="Part" queryTableFieldId="1" dataDxfId="2"/>
    <tableColumn id="2" xr3:uid="{55147841-2A10-40EB-B3C3-B5A6F64CEF51}" uniqueName="2" name="Status" queryTableFieldId="2" dataDxfId="1"/>
    <tableColumn id="3" xr3:uid="{3BB8FEB1-C6A9-4C1B-85DD-06F1BDCA73F0}" uniqueName="3" name="Timestamp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U16"/>
  <sheetViews>
    <sheetView tabSelected="1" topLeftCell="B1" zoomScale="40" zoomScaleNormal="40" workbookViewId="0">
      <selection activeCell="C2" sqref="C2"/>
    </sheetView>
  </sheetViews>
  <sheetFormatPr defaultRowHeight="12.75" x14ac:dyDescent="0.2"/>
  <cols>
    <col min="1" max="1" width="1.85546875" style="11" hidden="1" customWidth="1"/>
    <col min="2" max="2" width="37.140625" style="52" customWidth="1"/>
    <col min="3" max="3" width="25.7109375" style="52" bestFit="1" customWidth="1"/>
    <col min="4" max="4" width="61.85546875" style="53" customWidth="1"/>
    <col min="5" max="5" width="32.85546875" style="54" customWidth="1"/>
    <col min="6" max="6" width="26.140625" style="54" customWidth="1"/>
    <col min="7" max="9" width="20.28515625" style="54" customWidth="1"/>
    <col min="10" max="10" width="30" style="17" customWidth="1"/>
    <col min="11" max="11" width="28.5703125" style="17" customWidth="1"/>
    <col min="12" max="12" width="35.42578125" style="17" customWidth="1"/>
    <col min="13" max="13" width="27.140625" style="17" customWidth="1"/>
    <col min="14" max="14" width="20.28515625" style="17" customWidth="1"/>
    <col min="15" max="15" width="30" style="17" customWidth="1"/>
    <col min="16" max="18" width="20.28515625" style="17" customWidth="1"/>
    <col min="19" max="19" width="61.140625" style="54" customWidth="1"/>
    <col min="20" max="21" width="20.28515625" style="17" customWidth="1"/>
    <col min="22" max="16384" width="9.140625" style="17"/>
  </cols>
  <sheetData>
    <row r="1" spans="1:21" ht="49.9" customHeight="1" thickBot="1" x14ac:dyDescent="0.65">
      <c r="B1" s="12" t="s">
        <v>15</v>
      </c>
      <c r="C1" s="4">
        <v>44257</v>
      </c>
      <c r="D1" s="55" t="s">
        <v>25</v>
      </c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  <c r="R1" s="13" t="s">
        <v>16</v>
      </c>
      <c r="S1" s="14"/>
      <c r="T1" s="15"/>
      <c r="U1" s="16"/>
    </row>
    <row r="2" spans="1:21" ht="49.9" customHeight="1" thickBot="1" x14ac:dyDescent="0.65">
      <c r="B2" s="18"/>
      <c r="C2" s="19"/>
      <c r="D2" s="20"/>
      <c r="E2" s="20"/>
      <c r="F2" s="20"/>
      <c r="G2" s="20"/>
      <c r="H2" s="20"/>
      <c r="I2" s="20"/>
      <c r="J2" s="21"/>
      <c r="K2" s="21"/>
      <c r="L2" s="21"/>
      <c r="M2" s="21"/>
      <c r="N2" s="21"/>
      <c r="O2" s="21"/>
      <c r="P2" s="21"/>
      <c r="Q2" s="21"/>
      <c r="R2" s="22"/>
      <c r="S2" s="23"/>
      <c r="T2" s="24"/>
      <c r="U2" s="25"/>
    </row>
    <row r="3" spans="1:21" s="28" customFormat="1" ht="95.1" customHeight="1" thickBot="1" x14ac:dyDescent="0.4">
      <c r="A3" s="26"/>
      <c r="B3" s="61"/>
      <c r="C3" s="62"/>
      <c r="D3" s="27" t="s">
        <v>17</v>
      </c>
      <c r="E3" s="58" t="s">
        <v>18</v>
      </c>
      <c r="F3" s="59"/>
      <c r="G3" s="59"/>
      <c r="H3" s="59"/>
      <c r="I3" s="60"/>
      <c r="J3" s="63" t="s">
        <v>4</v>
      </c>
      <c r="K3" s="64"/>
      <c r="L3" s="64"/>
      <c r="M3" s="64"/>
      <c r="N3" s="64"/>
      <c r="O3" s="64"/>
      <c r="P3" s="64"/>
      <c r="Q3" s="64"/>
      <c r="R3" s="64"/>
      <c r="S3" s="63" t="s">
        <v>13</v>
      </c>
      <c r="T3" s="64"/>
      <c r="U3" s="65"/>
    </row>
    <row r="4" spans="1:21" s="28" customFormat="1" ht="95.1" customHeight="1" thickBot="1" x14ac:dyDescent="0.4">
      <c r="A4" s="29" t="s">
        <v>0</v>
      </c>
      <c r="B4" s="30" t="s">
        <v>19</v>
      </c>
      <c r="C4" s="31" t="s">
        <v>20</v>
      </c>
      <c r="D4" s="32" t="s">
        <v>3</v>
      </c>
      <c r="E4" s="33" t="s">
        <v>5</v>
      </c>
      <c r="F4" s="33" t="s">
        <v>6</v>
      </c>
      <c r="G4" s="33" t="s">
        <v>7</v>
      </c>
      <c r="H4" s="34" t="s">
        <v>8</v>
      </c>
      <c r="I4" s="35" t="s">
        <v>1</v>
      </c>
      <c r="J4" s="36" t="s">
        <v>9</v>
      </c>
      <c r="K4" s="37" t="s">
        <v>10</v>
      </c>
      <c r="L4" s="37" t="s">
        <v>61</v>
      </c>
      <c r="M4" s="37" t="s">
        <v>11</v>
      </c>
      <c r="N4" s="37" t="s">
        <v>62</v>
      </c>
      <c r="O4" s="38" t="s">
        <v>43</v>
      </c>
      <c r="P4" s="38" t="s">
        <v>44</v>
      </c>
      <c r="Q4" s="38" t="s">
        <v>12</v>
      </c>
      <c r="R4" s="35" t="s">
        <v>2</v>
      </c>
      <c r="S4" s="37" t="s">
        <v>34</v>
      </c>
      <c r="T4" s="39" t="s">
        <v>48</v>
      </c>
      <c r="U4" s="40" t="s">
        <v>14</v>
      </c>
    </row>
    <row r="5" spans="1:21" ht="95.1" customHeight="1" thickBot="1" x14ac:dyDescent="0.25">
      <c r="A5" s="41"/>
      <c r="B5" s="42" t="s">
        <v>46</v>
      </c>
      <c r="C5" s="43" t="s">
        <v>21</v>
      </c>
      <c r="D5" s="9">
        <f>COUNTIFS(Query!A:A,Table2[[#This Row],[PAINTED PART '#]],Query!B:B,"Good",Query!C:C,"&gt;"&amp;TODAY,Query!C:C,"&lt;"&amp;(TODAY+1))</f>
        <v>5</v>
      </c>
      <c r="E5" s="44">
        <f>COUNTIFS(Query!A:A,Table2[[#This Row],[PAINTED PART '#]],Query!B:B,"Orange Peel-B",Query!C:C,"&gt;"&amp;TODAY,Query!C:C,"&lt;"&amp;(TODAY+1))</f>
        <v>1</v>
      </c>
      <c r="F5" s="45">
        <f>COUNTIFS(Query!A:A,Table2[[#This Row],[PAINTED PART '#]],Query!B:B,"Sag/Run-B",Query!C:C,"&gt;"&amp;TODAY,Query!C:C,"&lt;"&amp;(TODAY+1))</f>
        <v>0</v>
      </c>
      <c r="G5" s="45">
        <f>COUNTIFS(Query!A:A,Table2[[#This Row],[PAINTED PART '#]],Query!B:B,"Dirt-B",Query!C:C,"&gt;"&amp;TODAY,Query!C:C,"&lt;"&amp;(TODAY+1))</f>
        <v>38</v>
      </c>
      <c r="H5" s="46">
        <f>COUNTIFS(Query!A:A,Table2[[#This Row],[PAINTED PART '#]],Query!B:B,"Other-B",Query!C:C,"&gt;"&amp;TODAY,Query!C:C,"&lt;"&amp;(TODAY+1))</f>
        <v>0</v>
      </c>
      <c r="I5" s="47">
        <f>E5+F5+G5+H5</f>
        <v>39</v>
      </c>
      <c r="J5" s="44">
        <f>COUNTIFS(Query!A:A,Table2[[#This Row],[PAINTED PART '#]],Query!B:B,"Thin Clear-R",Query!C:C,"&gt;"&amp;TODAY,Query!C:C,"&lt;"&amp;(TODAY+1))</f>
        <v>0</v>
      </c>
      <c r="K5" s="45">
        <f>COUNTIFS(Query!A:A,Table2[[#This Row],[PAINTED PART '#]],Query!B:B,"Thin Paint-R",Query!C:C,"&gt;"&amp;TODAY,Query!C:C,"&lt;"&amp;(TODAY+1))</f>
        <v>0</v>
      </c>
      <c r="L5" s="45">
        <f>COUNTIFS(Query!A:A,Table2[[#This Row],[PAINTED PART '#]],Query!B:B,"Orange Peel-R",Query!C:C,"&gt;"&amp;TODAY,Query!C:C,"&lt;"&amp;(TODAY+1))</f>
        <v>1</v>
      </c>
      <c r="M5" s="45">
        <f>COUNTIFS(Query!A:A,Table2[[#This Row],[PAINTED PART '#]],Query!B:B,"Sag/Run-R",Query!C:C,"&gt;"&amp;TODAY,Query!C:C,"&lt;"&amp;(TODAY+1))</f>
        <v>0</v>
      </c>
      <c r="N5" s="45">
        <f>COUNTIFS(Query!A:A,Table2[[#This Row],[PAINTED PART '#]],Query!B:B,"Dirt-R",Query!C:C,"&gt;"&amp;TODAY,Query!C:C,"&lt;"&amp;(TODAY+1))</f>
        <v>33</v>
      </c>
      <c r="O5" s="45">
        <f>COUNTIFS(Query!A:A,Table2[[#This Row],[PAINTED PART '#]],Query!B:B,"WATERMARK-R",Query!C:C,"&gt;"&amp;TODAY,Query!C:C,"&lt;"&amp;(TODAY+1))</f>
        <v>1</v>
      </c>
      <c r="P5" s="45">
        <f>COUNTIFS(Query!A:A,Table2[[#This Row],[PAINTED PART '#]],Query!B:B,"WATER-R",Query!C:C,"&gt;"&amp;TODAY,Query!C:C,"&lt;"&amp;(TODAY+1))</f>
        <v>1</v>
      </c>
      <c r="Q5" s="46">
        <f>COUNTIFS(Query!A:A,Table2[[#This Row],[PAINTED PART '#]],Query!B:B,"Other-R",Query!C:C,"&gt;"&amp;TODAY,Query!C:C,"&lt;"&amp;(TODAY+1))</f>
        <v>8</v>
      </c>
      <c r="R5" s="47">
        <f>J5+K5+L5+M5+N5+O5+P5+Q5</f>
        <v>44</v>
      </c>
      <c r="S5" s="44">
        <f>COUNTIFS(Query!A:A,Table2[[#This Row],[PAINTED PART '#]],Query!B:B,"Suplier Sand-MD",Query!C:C,"&gt;"&amp;TODAY,Query!C:C,"&lt;"&amp;(TODAY+1))</f>
        <v>1</v>
      </c>
      <c r="T5" s="46">
        <f>COUNTIFS(Query!A:A,Table2[[#This Row],[PAINTED PART '#]],Query!B:B,"Gouges-MD",Query!C:C,"&gt;"&amp;TODAY,Query!C:C,"&lt;"&amp;(TODAY+1))</f>
        <v>0</v>
      </c>
      <c r="U5" s="48">
        <f>S5+T5</f>
        <v>1</v>
      </c>
    </row>
    <row r="6" spans="1:21" ht="95.1" customHeight="1" thickBot="1" x14ac:dyDescent="0.25">
      <c r="A6" s="41"/>
      <c r="B6" s="10" t="s">
        <v>60</v>
      </c>
      <c r="C6" s="3" t="s">
        <v>59</v>
      </c>
      <c r="D6" s="9">
        <f>COUNTIFS(Query!A:A,Table2[[#This Row],[PAINTED PART '#]],Query!B:B,"Good",Query!C:C,"&gt;"&amp;TODAY,Query!C:C,"&lt;"&amp;(TODAY+1))</f>
        <v>0</v>
      </c>
      <c r="E6" s="44">
        <f>COUNTIFS(Query!A:A,Table2[[#This Row],[PAINTED PART '#]],Query!B:B,"Orange Peel-B",Query!C:C,"&gt;"&amp;TODAY,Query!C:C,"&lt;"&amp;(TODAY+1))</f>
        <v>0</v>
      </c>
      <c r="F6" s="45">
        <f>COUNTIFS(Query!A:A,Table2[[#This Row],[PAINTED PART '#]],Query!B:B,"Sag/Run-B",Query!C:C,"&gt;"&amp;TODAY,Query!C:C,"&lt;"&amp;(TODAY+1))</f>
        <v>0</v>
      </c>
      <c r="G6" s="45">
        <f>COUNTIFS(Query!A:A,Table2[[#This Row],[PAINTED PART '#]],Query!B:B,"Dirt-B",Query!C:C,"&gt;"&amp;TODAY,Query!C:C,"&lt;"&amp;(TODAY+1))</f>
        <v>0</v>
      </c>
      <c r="H6" s="46">
        <f>COUNTIFS(Query!A:A,Table2[[#This Row],[PAINTED PART '#]],Query!B:B,"Other-B",Query!C:C,"&gt;"&amp;TODAY,Query!C:C,"&lt;"&amp;(TODAY+1))</f>
        <v>0</v>
      </c>
      <c r="I6" s="49">
        <f t="shared" ref="I6:I15" si="0">E6+F6+G6+H6</f>
        <v>0</v>
      </c>
      <c r="J6" s="44">
        <f>COUNTIFS(Query!A:A,Table2[[#This Row],[PAINTED PART '#]],Query!B:B,"Thin Clear-R",Query!C:C,"&gt;"&amp;TODAY,Query!C:C,"&lt;"&amp;(TODAY+1))</f>
        <v>0</v>
      </c>
      <c r="K6" s="45">
        <f>COUNTIFS(Query!A:A,Table2[[#This Row],[PAINTED PART '#]],Query!B:B,"Thin Paint-R",Query!C:C,"&gt;"&amp;TODAY,Query!C:C,"&lt;"&amp;(TODAY+1))</f>
        <v>0</v>
      </c>
      <c r="L6" s="45">
        <f>COUNTIFS(Query!A:A,Table2[[#This Row],[PAINTED PART '#]],Query!B:B,"Orange Peel-R",Query!C:C,"&gt;"&amp;TODAY,Query!C:C,"&lt;"&amp;(TODAY+1))</f>
        <v>0</v>
      </c>
      <c r="M6" s="45">
        <f>COUNTIFS(Query!A:A,Table2[[#This Row],[PAINTED PART '#]],Query!B:B,"Sag/Run-R",Query!C:C,"&gt;"&amp;TODAY,Query!C:C,"&lt;"&amp;(TODAY+1))</f>
        <v>0</v>
      </c>
      <c r="N6" s="45">
        <f>COUNTIFS(Query!A:A,Table2[[#This Row],[PAINTED PART '#]],Query!B:B,"Dirt-R",Query!C:C,"&gt;"&amp;TODAY,Query!C:C,"&lt;"&amp;(TODAY+1))</f>
        <v>0</v>
      </c>
      <c r="O6" s="45">
        <f>COUNTIFS(Query!A:A,Table2[[#This Row],[PAINTED PART '#]],Query!B:B,"WATERMARK-R",Query!C:C,"&gt;"&amp;TODAY,Query!C:C,"&lt;"&amp;(TODAY+1))</f>
        <v>0</v>
      </c>
      <c r="P6" s="45">
        <f>COUNTIFS(Query!A:A,Table2[[#This Row],[PAINTED PART '#]],Query!B:B,"WATER-R",Query!C:C,"&gt;"&amp;TODAY,Query!C:C,"&lt;"&amp;(TODAY+1))</f>
        <v>0</v>
      </c>
      <c r="Q6" s="46">
        <f>COUNTIFS(Query!A:A,Table2[[#This Row],[PAINTED PART '#]],Query!B:B,"Other-R",Query!C:C,"&gt;"&amp;TODAY,Query!C:C,"&lt;"&amp;(TODAY+1))</f>
        <v>0</v>
      </c>
      <c r="R6" s="47">
        <f t="shared" ref="R6:R15" si="1">J6+K6+L6+M6+N6+O6+P6+Q6</f>
        <v>0</v>
      </c>
      <c r="S6" s="44">
        <f>COUNTIFS(Query!A:A,Table2[[#This Row],[PAINTED PART '#]],Query!B:B,"Suplier Sand-MD",Query!C:C,"&gt;"&amp;TODAY,Query!C:C,"&lt;"&amp;(TODAY+1))</f>
        <v>0</v>
      </c>
      <c r="T6" s="46">
        <f>COUNTIFS(Query!A:A,Table2[[#This Row],[PAINTED PART '#]],Query!B:B,"Gouges-MD",Query!C:C,"&gt;"&amp;TODAY,Query!C:C,"&lt;"&amp;(TODAY+1))</f>
        <v>0</v>
      </c>
      <c r="U6" s="48">
        <f t="shared" ref="U6:U15" si="2">S6+T6</f>
        <v>0</v>
      </c>
    </row>
    <row r="7" spans="1:21" ht="95.1" customHeight="1" thickBot="1" x14ac:dyDescent="0.25">
      <c r="A7" s="41"/>
      <c r="B7" s="10" t="s">
        <v>45</v>
      </c>
      <c r="C7" s="3" t="s">
        <v>22</v>
      </c>
      <c r="D7" s="9">
        <f>COUNTIFS(Query!A:A,Table2[[#This Row],[PAINTED PART '#]],Query!B:B,"Good",Query!C:C,"&gt;"&amp;TODAY,Query!C:C,"&lt;"&amp;(TODAY+1))</f>
        <v>0</v>
      </c>
      <c r="E7" s="44">
        <f>COUNTIFS(Query!A:A,Table2[[#This Row],[PAINTED PART '#]],Query!B:B,"Orange Peel-B",Query!C:C,"&gt;"&amp;TODAY,Query!C:C,"&lt;"&amp;(TODAY+1))</f>
        <v>0</v>
      </c>
      <c r="F7" s="45">
        <f>COUNTIFS(Query!A:A,Table2[[#This Row],[PAINTED PART '#]],Query!B:B,"Sag/Run-B",Query!C:C,"&gt;"&amp;TODAY,Query!C:C,"&lt;"&amp;(TODAY+1))</f>
        <v>0</v>
      </c>
      <c r="G7" s="45">
        <f>COUNTIFS(Query!A:A,Table2[[#This Row],[PAINTED PART '#]],Query!B:B,"Dirt-B",Query!C:C,"&gt;"&amp;TODAY,Query!C:C,"&lt;"&amp;(TODAY+1))</f>
        <v>0</v>
      </c>
      <c r="H7" s="46">
        <f>COUNTIFS(Query!A:A,Table2[[#This Row],[PAINTED PART '#]],Query!B:B,"Other-B",Query!C:C,"&gt;"&amp;TODAY,Query!C:C,"&lt;"&amp;(TODAY+1))</f>
        <v>0</v>
      </c>
      <c r="I7" s="49">
        <f t="shared" si="0"/>
        <v>0</v>
      </c>
      <c r="J7" s="44">
        <f>COUNTIFS(Query!A:A,Table2[[#This Row],[PAINTED PART '#]],Query!B:B,"Thin Clear-R",Query!C:C,"&gt;"&amp;TODAY,Query!C:C,"&lt;"&amp;(TODAY+1))</f>
        <v>0</v>
      </c>
      <c r="K7" s="45">
        <f>COUNTIFS(Query!A:A,Table2[[#This Row],[PAINTED PART '#]],Query!B:B,"Thin Paint-R",Query!C:C,"&gt;"&amp;TODAY,Query!C:C,"&lt;"&amp;(TODAY+1))</f>
        <v>0</v>
      </c>
      <c r="L7" s="45">
        <f>COUNTIFS(Query!A:A,Table2[[#This Row],[PAINTED PART '#]],Query!B:B,"Orange Peel-R",Query!C:C,"&gt;"&amp;TODAY,Query!C:C,"&lt;"&amp;(TODAY+1))</f>
        <v>0</v>
      </c>
      <c r="M7" s="45">
        <f>COUNTIFS(Query!A:A,Table2[[#This Row],[PAINTED PART '#]],Query!B:B,"Sag/Run-R",Query!C:C,"&gt;"&amp;TODAY,Query!C:C,"&lt;"&amp;(TODAY+1))</f>
        <v>0</v>
      </c>
      <c r="N7" s="45">
        <f>COUNTIFS(Query!A:A,Table2[[#This Row],[PAINTED PART '#]],Query!B:B,"Dirt-R",Query!C:C,"&gt;"&amp;TODAY,Query!C:C,"&lt;"&amp;(TODAY+1))</f>
        <v>0</v>
      </c>
      <c r="O7" s="45">
        <f>COUNTIFS(Query!A:A,Table2[[#This Row],[PAINTED PART '#]],Query!B:B,"WATERMARK-R",Query!C:C,"&gt;"&amp;TODAY,Query!C:C,"&lt;"&amp;(TODAY+1))</f>
        <v>0</v>
      </c>
      <c r="P7" s="45">
        <f>COUNTIFS(Query!A:A,Table2[[#This Row],[PAINTED PART '#]],Query!B:B,"WATER-R",Query!C:C,"&gt;"&amp;TODAY,Query!C:C,"&lt;"&amp;(TODAY+1))</f>
        <v>0</v>
      </c>
      <c r="Q7" s="46">
        <f>COUNTIFS(Query!A:A,Table2[[#This Row],[PAINTED PART '#]],Query!B:B,"Other-R",Query!C:C,"&gt;"&amp;TODAY,Query!C:C,"&lt;"&amp;(TODAY+1))</f>
        <v>0</v>
      </c>
      <c r="R7" s="47">
        <f t="shared" si="1"/>
        <v>0</v>
      </c>
      <c r="S7" s="44">
        <f>COUNTIFS(Query!A:A,Table2[[#This Row],[PAINTED PART '#]],Query!B:B,"Suplier Sand-MD",Query!C:C,"&gt;"&amp;TODAY,Query!C:C,"&lt;"&amp;(TODAY+1))</f>
        <v>0</v>
      </c>
      <c r="T7" s="46">
        <f>COUNTIFS(Query!A:A,Table2[[#This Row],[PAINTED PART '#]],Query!B:B,"Gouges-MD",Query!C:C,"&gt;"&amp;TODAY,Query!C:C,"&lt;"&amp;(TODAY+1))</f>
        <v>0</v>
      </c>
      <c r="U7" s="48">
        <f t="shared" si="2"/>
        <v>0</v>
      </c>
    </row>
    <row r="8" spans="1:21" ht="95.1" customHeight="1" thickBot="1" x14ac:dyDescent="0.25">
      <c r="A8" s="41"/>
      <c r="B8" s="10" t="s">
        <v>47</v>
      </c>
      <c r="C8" s="3" t="s">
        <v>23</v>
      </c>
      <c r="D8" s="9">
        <f>COUNTIFS(Query!A:A,Table2[[#This Row],[PAINTED PART '#]],Query!B:B,"Good",Query!C:C,"&gt;"&amp;TODAY,Query!C:C,"&lt;"&amp;(TODAY+1))</f>
        <v>0</v>
      </c>
      <c r="E8" s="44">
        <f>COUNTIFS(Query!A:A,Table2[[#This Row],[PAINTED PART '#]],Query!B:B,"Orange Peel-B",Query!C:C,"&gt;"&amp;TODAY,Query!C:C,"&lt;"&amp;(TODAY+1))</f>
        <v>0</v>
      </c>
      <c r="F8" s="45">
        <f>COUNTIFS(Query!A:A,Table2[[#This Row],[PAINTED PART '#]],Query!B:B,"Sag/Run-B",Query!C:C,"&gt;"&amp;TODAY,Query!C:C,"&lt;"&amp;(TODAY+1))</f>
        <v>0</v>
      </c>
      <c r="G8" s="45">
        <f>COUNTIFS(Query!A:A,Table2[[#This Row],[PAINTED PART '#]],Query!B:B,"Dirt-B",Query!C:C,"&gt;"&amp;TODAY,Query!C:C,"&lt;"&amp;(TODAY+1))</f>
        <v>0</v>
      </c>
      <c r="H8" s="46">
        <f>COUNTIFS(Query!A:A,Table2[[#This Row],[PAINTED PART '#]],Query!B:B,"Other-B",Query!C:C,"&gt;"&amp;TODAY,Query!C:C,"&lt;"&amp;(TODAY+1))</f>
        <v>0</v>
      </c>
      <c r="I8" s="49">
        <f t="shared" si="0"/>
        <v>0</v>
      </c>
      <c r="J8" s="44">
        <f>COUNTIFS(Query!A:A,Table2[[#This Row],[PAINTED PART '#]],Query!B:B,"Thin Clear-R",Query!C:C,"&gt;"&amp;TODAY,Query!C:C,"&lt;"&amp;(TODAY+1))</f>
        <v>0</v>
      </c>
      <c r="K8" s="45">
        <f>COUNTIFS(Query!A:A,Table2[[#This Row],[PAINTED PART '#]],Query!B:B,"Thin Paint-R",Query!C:C,"&gt;"&amp;TODAY,Query!C:C,"&lt;"&amp;(TODAY+1))</f>
        <v>0</v>
      </c>
      <c r="L8" s="45">
        <f>COUNTIFS(Query!A:A,Table2[[#This Row],[PAINTED PART '#]],Query!B:B,"Orange Peel-R",Query!C:C,"&gt;"&amp;TODAY,Query!C:C,"&lt;"&amp;(TODAY+1))</f>
        <v>0</v>
      </c>
      <c r="M8" s="45">
        <f>COUNTIFS(Query!A:A,Table2[[#This Row],[PAINTED PART '#]],Query!B:B,"Sag/Run-R",Query!C:C,"&gt;"&amp;TODAY,Query!C:C,"&lt;"&amp;(TODAY+1))</f>
        <v>0</v>
      </c>
      <c r="N8" s="45">
        <f>COUNTIFS(Query!A:A,Table2[[#This Row],[PAINTED PART '#]],Query!B:B,"Dirt-R",Query!C:C,"&gt;"&amp;TODAY,Query!C:C,"&lt;"&amp;(TODAY+1))</f>
        <v>0</v>
      </c>
      <c r="O8" s="45">
        <f>COUNTIFS(Query!A:A,Table2[[#This Row],[PAINTED PART '#]],Query!B:B,"WATERMARK-R",Query!C:C,"&gt;"&amp;TODAY,Query!C:C,"&lt;"&amp;(TODAY+1))</f>
        <v>0</v>
      </c>
      <c r="P8" s="45">
        <f>COUNTIFS(Query!A:A,Table2[[#This Row],[PAINTED PART '#]],Query!B:B,"WATER-R",Query!C:C,"&gt;"&amp;TODAY,Query!C:C,"&lt;"&amp;(TODAY+1))</f>
        <v>0</v>
      </c>
      <c r="Q8" s="46">
        <f>COUNTIFS(Query!A:A,Table2[[#This Row],[PAINTED PART '#]],Query!B:B,"Other-R",Query!C:C,"&gt;"&amp;TODAY,Query!C:C,"&lt;"&amp;(TODAY+1))</f>
        <v>0</v>
      </c>
      <c r="R8" s="47">
        <f t="shared" si="1"/>
        <v>0</v>
      </c>
      <c r="S8" s="44">
        <f>COUNTIFS(Query!A:A,Table2[[#This Row],[PAINTED PART '#]],Query!B:B,"Suplier Sand-MD",Query!C:C,"&gt;"&amp;TODAY,Query!C:C,"&lt;"&amp;(TODAY+1))</f>
        <v>0</v>
      </c>
      <c r="T8" s="46">
        <f>COUNTIFS(Query!A:A,Table2[[#This Row],[PAINTED PART '#]],Query!B:B,"Gouges-MD",Query!C:C,"&gt;"&amp;TODAY,Query!C:C,"&lt;"&amp;(TODAY+1))</f>
        <v>0</v>
      </c>
      <c r="U8" s="48">
        <f t="shared" si="2"/>
        <v>0</v>
      </c>
    </row>
    <row r="9" spans="1:21" ht="95.1" customHeight="1" thickBot="1" x14ac:dyDescent="0.3">
      <c r="A9" s="50">
        <v>705007791</v>
      </c>
      <c r="B9" s="10" t="s">
        <v>58</v>
      </c>
      <c r="C9" s="3" t="s">
        <v>26</v>
      </c>
      <c r="D9" s="9">
        <f>COUNTIFS(Query!A:A,Table2[[#This Row],[PAINTED PART '#]],Query!B:B,"Good",Query!C:C,"&gt;"&amp;TODAY,Query!C:C,"&lt;"&amp;(TODAY+1))</f>
        <v>0</v>
      </c>
      <c r="E9" s="44">
        <f>COUNTIFS(Query!A:A,Table2[[#This Row],[PAINTED PART '#]],Query!B:B,"Orange Peel-B",Query!C:C,"&gt;"&amp;TODAY,Query!C:C,"&lt;"&amp;(TODAY+1))</f>
        <v>0</v>
      </c>
      <c r="F9" s="45">
        <f>COUNTIFS(Query!A:A,Table2[[#This Row],[PAINTED PART '#]],Query!B:B,"Sag/Run-B",Query!C:C,"&gt;"&amp;TODAY,Query!C:C,"&lt;"&amp;(TODAY+1))</f>
        <v>0</v>
      </c>
      <c r="G9" s="45">
        <f>COUNTIFS(Query!A:A,Table2[[#This Row],[PAINTED PART '#]],Query!B:B,"Dirt-B",Query!C:C,"&gt;"&amp;TODAY,Query!C:C,"&lt;"&amp;(TODAY+1))</f>
        <v>0</v>
      </c>
      <c r="H9" s="46">
        <f>COUNTIFS(Query!A:A,Table2[[#This Row],[PAINTED PART '#]],Query!B:B,"Other-B",Query!C:C,"&gt;"&amp;TODAY,Query!C:C,"&lt;"&amp;(TODAY+1))</f>
        <v>0</v>
      </c>
      <c r="I9" s="49">
        <f t="shared" si="0"/>
        <v>0</v>
      </c>
      <c r="J9" s="44">
        <f>COUNTIFS(Query!A:A,Table2[[#This Row],[PAINTED PART '#]],Query!B:B,"Thin Clear-R",Query!C:C,"&gt;"&amp;TODAY,Query!C:C,"&lt;"&amp;(TODAY+1))</f>
        <v>0</v>
      </c>
      <c r="K9" s="45">
        <f>COUNTIFS(Query!A:A,Table2[[#This Row],[PAINTED PART '#]],Query!B:B,"Thin Paint-R",Query!C:C,"&gt;"&amp;TODAY,Query!C:C,"&lt;"&amp;(TODAY+1))</f>
        <v>0</v>
      </c>
      <c r="L9" s="45">
        <f>COUNTIFS(Query!A:A,Table2[[#This Row],[PAINTED PART '#]],Query!B:B,"Orange Peel-R",Query!C:C,"&gt;"&amp;TODAY,Query!C:C,"&lt;"&amp;(TODAY+1))</f>
        <v>0</v>
      </c>
      <c r="M9" s="45">
        <f>COUNTIFS(Query!A:A,Table2[[#This Row],[PAINTED PART '#]],Query!B:B,"Sag/Run-R",Query!C:C,"&gt;"&amp;TODAY,Query!C:C,"&lt;"&amp;(TODAY+1))</f>
        <v>0</v>
      </c>
      <c r="N9" s="45">
        <f>COUNTIFS(Query!A:A,Table2[[#This Row],[PAINTED PART '#]],Query!B:B,"Dirt-R",Query!C:C,"&gt;"&amp;TODAY,Query!C:C,"&lt;"&amp;(TODAY+1))</f>
        <v>0</v>
      </c>
      <c r="O9" s="45">
        <f>COUNTIFS(Query!A:A,Table2[[#This Row],[PAINTED PART '#]],Query!B:B,"WATERMARK-R",Query!C:C,"&gt;"&amp;TODAY,Query!C:C,"&lt;"&amp;(TODAY+1))</f>
        <v>0</v>
      </c>
      <c r="P9" s="45">
        <f>COUNTIFS(Query!A:A,Table2[[#This Row],[PAINTED PART '#]],Query!B:B,"WATER-R",Query!C:C,"&gt;"&amp;TODAY,Query!C:C,"&lt;"&amp;(TODAY+1))</f>
        <v>0</v>
      </c>
      <c r="Q9" s="46">
        <f>COUNTIFS(Query!A:A,Table2[[#This Row],[PAINTED PART '#]],Query!B:B,"Other-R",Query!C:C,"&gt;"&amp;TODAY,Query!C:C,"&lt;"&amp;(TODAY+1))</f>
        <v>0</v>
      </c>
      <c r="R9" s="47">
        <f t="shared" si="1"/>
        <v>0</v>
      </c>
      <c r="S9" s="44">
        <f>COUNTIFS(Query!A:A,Table2[[#This Row],[PAINTED PART '#]],Query!B:B,"Suplier Sand-MD",Query!C:C,"&gt;"&amp;TODAY,Query!C:C,"&lt;"&amp;(TODAY+1))</f>
        <v>0</v>
      </c>
      <c r="T9" s="46">
        <f>COUNTIFS(Query!A:A,Table2[[#This Row],[PAINTED PART '#]],Query!B:B,"Gouges-MD",Query!C:C,"&gt;"&amp;TODAY,Query!C:C,"&lt;"&amp;(TODAY+1))</f>
        <v>0</v>
      </c>
      <c r="U9" s="48">
        <f t="shared" si="2"/>
        <v>0</v>
      </c>
    </row>
    <row r="10" spans="1:21" ht="95.1" customHeight="1" thickBot="1" x14ac:dyDescent="0.3">
      <c r="A10" s="50">
        <v>705007790</v>
      </c>
      <c r="B10" s="10" t="s">
        <v>57</v>
      </c>
      <c r="C10" s="3" t="s">
        <v>56</v>
      </c>
      <c r="D10" s="9">
        <f>COUNTIFS(Query!A:A,Table2[[#This Row],[PAINTED PART '#]],Query!B:B,"Good",Query!C:C,"&gt;"&amp;TODAY,Query!C:C,"&lt;"&amp;(TODAY+1))</f>
        <v>0</v>
      </c>
      <c r="E10" s="44">
        <f>COUNTIFS(Query!A:A,Table2[[#This Row],[PAINTED PART '#]],Query!B:B,"Orange Peel-B",Query!C:C,"&gt;"&amp;TODAY,Query!C:C,"&lt;"&amp;(TODAY+1))</f>
        <v>0</v>
      </c>
      <c r="F10" s="45">
        <f>COUNTIFS(Query!A:A,Table2[[#This Row],[PAINTED PART '#]],Query!B:B,"Sag/Run-B",Query!C:C,"&gt;"&amp;TODAY,Query!C:C,"&lt;"&amp;(TODAY+1))</f>
        <v>0</v>
      </c>
      <c r="G10" s="45">
        <f>COUNTIFS(Query!A:A,Table2[[#This Row],[PAINTED PART '#]],Query!B:B,"Dirt-B",Query!C:C,"&gt;"&amp;TODAY,Query!C:C,"&lt;"&amp;(TODAY+1))</f>
        <v>0</v>
      </c>
      <c r="H10" s="46">
        <f>COUNTIFS(Query!A:A,Table2[[#This Row],[PAINTED PART '#]],Query!B:B,"Other-B",Query!C:C,"&gt;"&amp;TODAY,Query!C:C,"&lt;"&amp;(TODAY+1))</f>
        <v>0</v>
      </c>
      <c r="I10" s="49">
        <f t="shared" si="0"/>
        <v>0</v>
      </c>
      <c r="J10" s="44">
        <f>COUNTIFS(Query!A:A,Table2[[#This Row],[PAINTED PART '#]],Query!B:B,"Thin Clear-R",Query!C:C,"&gt;"&amp;TODAY,Query!C:C,"&lt;"&amp;(TODAY+1))</f>
        <v>0</v>
      </c>
      <c r="K10" s="45">
        <f>COUNTIFS(Query!A:A,Table2[[#This Row],[PAINTED PART '#]],Query!B:B,"Thin Paint-R",Query!C:C,"&gt;"&amp;TODAY,Query!C:C,"&lt;"&amp;(TODAY+1))</f>
        <v>0</v>
      </c>
      <c r="L10" s="45">
        <f>COUNTIFS(Query!A:A,Table2[[#This Row],[PAINTED PART '#]],Query!B:B,"Orange Peel-R",Query!C:C,"&gt;"&amp;TODAY,Query!C:C,"&lt;"&amp;(TODAY+1))</f>
        <v>0</v>
      </c>
      <c r="M10" s="45">
        <f>COUNTIFS(Query!A:A,Table2[[#This Row],[PAINTED PART '#]],Query!B:B,"Sag/Run-R",Query!C:C,"&gt;"&amp;TODAY,Query!C:C,"&lt;"&amp;(TODAY+1))</f>
        <v>0</v>
      </c>
      <c r="N10" s="45">
        <f>COUNTIFS(Query!A:A,Table2[[#This Row],[PAINTED PART '#]],Query!B:B,"Dirt-R",Query!C:C,"&gt;"&amp;TODAY,Query!C:C,"&lt;"&amp;(TODAY+1))</f>
        <v>0</v>
      </c>
      <c r="O10" s="45">
        <f>COUNTIFS(Query!A:A,Table2[[#This Row],[PAINTED PART '#]],Query!B:B,"WATERMARK-R",Query!C:C,"&gt;"&amp;TODAY,Query!C:C,"&lt;"&amp;(TODAY+1))</f>
        <v>0</v>
      </c>
      <c r="P10" s="45">
        <f>COUNTIFS(Query!A:A,Table2[[#This Row],[PAINTED PART '#]],Query!B:B,"WATER-R",Query!C:C,"&gt;"&amp;TODAY,Query!C:C,"&lt;"&amp;(TODAY+1))</f>
        <v>0</v>
      </c>
      <c r="Q10" s="46">
        <f>COUNTIFS(Query!A:A,Table2[[#This Row],[PAINTED PART '#]],Query!B:B,"Other-R",Query!C:C,"&gt;"&amp;TODAY,Query!C:C,"&lt;"&amp;(TODAY+1))</f>
        <v>0</v>
      </c>
      <c r="R10" s="47">
        <f t="shared" si="1"/>
        <v>0</v>
      </c>
      <c r="S10" s="44">
        <f>COUNTIFS(Query!A:A,Table2[[#This Row],[PAINTED PART '#]],Query!B:B,"Suplier Sand-MD",Query!C:C,"&gt;"&amp;TODAY,Query!C:C,"&lt;"&amp;(TODAY+1))</f>
        <v>0</v>
      </c>
      <c r="T10" s="46">
        <f>COUNTIFS(Query!A:A,Table2[[#This Row],[PAINTED PART '#]],Query!B:B,"Gouges-MD",Query!C:C,"&gt;"&amp;TODAY,Query!C:C,"&lt;"&amp;(TODAY+1))</f>
        <v>0</v>
      </c>
      <c r="U10" s="48">
        <f t="shared" si="2"/>
        <v>0</v>
      </c>
    </row>
    <row r="11" spans="1:21" ht="95.1" customHeight="1" thickBot="1" x14ac:dyDescent="0.3">
      <c r="A11" s="50">
        <v>708200448</v>
      </c>
      <c r="B11" s="10" t="s">
        <v>35</v>
      </c>
      <c r="C11" s="3" t="s">
        <v>27</v>
      </c>
      <c r="D11" s="9">
        <f>COUNTIFS(Query!A:A,Table2[[#This Row],[PAINTED PART '#]],Query!B:B,"Good",Query!C:C,"&gt;"&amp;TODAY,Query!C:C,"&lt;"&amp;(TODAY+1))</f>
        <v>0</v>
      </c>
      <c r="E11" s="44">
        <f>COUNTIFS(Query!A:A,Table2[[#This Row],[PAINTED PART '#]],Query!B:B,"Orange Peel-B",Query!C:C,"&gt;"&amp;TODAY,Query!C:C,"&lt;"&amp;(TODAY+1))</f>
        <v>0</v>
      </c>
      <c r="F11" s="45">
        <f>COUNTIFS(Query!A:A,Table2[[#This Row],[PAINTED PART '#]],Query!B:B,"Sag/Run-B",Query!C:C,"&gt;"&amp;TODAY,Query!C:C,"&lt;"&amp;(TODAY+1))</f>
        <v>0</v>
      </c>
      <c r="G11" s="45">
        <f>COUNTIFS(Query!A:A,Table2[[#This Row],[PAINTED PART '#]],Query!B:B,"Dirt-B",Query!C:C,"&gt;"&amp;TODAY,Query!C:C,"&lt;"&amp;(TODAY+1))</f>
        <v>0</v>
      </c>
      <c r="H11" s="46">
        <f>COUNTIFS(Query!A:A,Table2[[#This Row],[PAINTED PART '#]],Query!B:B,"Other-B",Query!C:C,"&gt;"&amp;TODAY,Query!C:C,"&lt;"&amp;(TODAY+1))</f>
        <v>50</v>
      </c>
      <c r="I11" s="49">
        <f t="shared" si="0"/>
        <v>50</v>
      </c>
      <c r="J11" s="44">
        <f>COUNTIFS(Query!A:A,Table2[[#This Row],[PAINTED PART '#]],Query!B:B,"Thin Clear-R",Query!C:C,"&gt;"&amp;TODAY,Query!C:C,"&lt;"&amp;(TODAY+1))</f>
        <v>0</v>
      </c>
      <c r="K11" s="45">
        <f>COUNTIFS(Query!A:A,Table2[[#This Row],[PAINTED PART '#]],Query!B:B,"Thin Paint-R",Query!C:C,"&gt;"&amp;TODAY,Query!C:C,"&lt;"&amp;(TODAY+1))</f>
        <v>0</v>
      </c>
      <c r="L11" s="45">
        <f>COUNTIFS(Query!A:A,Table2[[#This Row],[PAINTED PART '#]],Query!B:B,"Orange Peel-R",Query!C:C,"&gt;"&amp;TODAY,Query!C:C,"&lt;"&amp;(TODAY+1))</f>
        <v>0</v>
      </c>
      <c r="M11" s="45">
        <f>COUNTIFS(Query!A:A,Table2[[#This Row],[PAINTED PART '#]],Query!B:B,"Sag/Run-R",Query!C:C,"&gt;"&amp;TODAY,Query!C:C,"&lt;"&amp;(TODAY+1))</f>
        <v>0</v>
      </c>
      <c r="N11" s="45">
        <f>COUNTIFS(Query!A:A,Table2[[#This Row],[PAINTED PART '#]],Query!B:B,"Dirt-R",Query!C:C,"&gt;"&amp;TODAY,Query!C:C,"&lt;"&amp;(TODAY+1))</f>
        <v>0</v>
      </c>
      <c r="O11" s="45">
        <f>COUNTIFS(Query!A:A,Table2[[#This Row],[PAINTED PART '#]],Query!B:B,"WATERMARK-R",Query!C:C,"&gt;"&amp;TODAY,Query!C:C,"&lt;"&amp;(TODAY+1))</f>
        <v>0</v>
      </c>
      <c r="P11" s="45">
        <f>COUNTIFS(Query!A:A,Table2[[#This Row],[PAINTED PART '#]],Query!B:B,"WATER-R",Query!C:C,"&gt;"&amp;TODAY,Query!C:C,"&lt;"&amp;(TODAY+1))</f>
        <v>0</v>
      </c>
      <c r="Q11" s="46">
        <f>COUNTIFS(Query!A:A,Table2[[#This Row],[PAINTED PART '#]],Query!B:B,"Other-R",Query!C:C,"&gt;"&amp;TODAY,Query!C:C,"&lt;"&amp;(TODAY+1))</f>
        <v>48</v>
      </c>
      <c r="R11" s="47">
        <f t="shared" si="1"/>
        <v>48</v>
      </c>
      <c r="S11" s="44">
        <f>COUNTIFS(Query!A:A,Table2[[#This Row],[PAINTED PART '#]],Query!B:B,"Suplier Sand-MD",Query!C:C,"&gt;"&amp;TODAY,Query!C:C,"&lt;"&amp;(TODAY+1))</f>
        <v>0</v>
      </c>
      <c r="T11" s="46">
        <f>COUNTIFS(Query!A:A,Table2[[#This Row],[PAINTED PART '#]],Query!B:B,"Gouges-MD",Query!C:C,"&gt;"&amp;TODAY,Query!C:C,"&lt;"&amp;(TODAY+1))</f>
        <v>0</v>
      </c>
      <c r="U11" s="48">
        <f t="shared" si="2"/>
        <v>0</v>
      </c>
    </row>
    <row r="12" spans="1:21" ht="95.1" customHeight="1" thickBot="1" x14ac:dyDescent="0.3">
      <c r="A12" s="51"/>
      <c r="B12" s="10" t="s">
        <v>55</v>
      </c>
      <c r="C12" s="3" t="s">
        <v>28</v>
      </c>
      <c r="D12" s="9">
        <f>COUNTIFS(Query!A:A,Table2[[#This Row],[PAINTED PART '#]],Query!B:B,"Good",Query!C:C,"&gt;"&amp;TODAY,Query!C:C,"&lt;"&amp;(TODAY+1))</f>
        <v>0</v>
      </c>
      <c r="E12" s="44">
        <f>COUNTIFS(Query!A:A,Table2[[#This Row],[PAINTED PART '#]],Query!B:B,"Orange Peel-B",Query!C:C,"&gt;"&amp;TODAY,Query!C:C,"&lt;"&amp;(TODAY+1))</f>
        <v>0</v>
      </c>
      <c r="F12" s="45">
        <f>COUNTIFS(Query!A:A,Table2[[#This Row],[PAINTED PART '#]],Query!B:B,"Sag/Run-B",Query!C:C,"&gt;"&amp;TODAY,Query!C:C,"&lt;"&amp;(TODAY+1))</f>
        <v>0</v>
      </c>
      <c r="G12" s="45">
        <f>COUNTIFS(Query!A:A,Table2[[#This Row],[PAINTED PART '#]],Query!B:B,"Dirt-B",Query!C:C,"&gt;"&amp;TODAY,Query!C:C,"&lt;"&amp;(TODAY+1))</f>
        <v>0</v>
      </c>
      <c r="H12" s="46">
        <f>COUNTIFS(Query!A:A,Table2[[#This Row],[PAINTED PART '#]],Query!B:B,"Other-B",Query!C:C,"&gt;"&amp;TODAY,Query!C:C,"&lt;"&amp;(TODAY+1))</f>
        <v>0</v>
      </c>
      <c r="I12" s="49">
        <f t="shared" si="0"/>
        <v>0</v>
      </c>
      <c r="J12" s="44">
        <f>COUNTIFS(Query!A:A,Table2[[#This Row],[PAINTED PART '#]],Query!B:B,"Thin Clear-R",Query!C:C,"&gt;"&amp;TODAY,Query!C:C,"&lt;"&amp;(TODAY+1))</f>
        <v>0</v>
      </c>
      <c r="K12" s="45">
        <f>COUNTIFS(Query!A:A,Table2[[#This Row],[PAINTED PART '#]],Query!B:B,"Thin Paint-R",Query!C:C,"&gt;"&amp;TODAY,Query!C:C,"&lt;"&amp;(TODAY+1))</f>
        <v>0</v>
      </c>
      <c r="L12" s="45">
        <f>COUNTIFS(Query!A:A,Table2[[#This Row],[PAINTED PART '#]],Query!B:B,"Orange Peel-R",Query!C:C,"&gt;"&amp;TODAY,Query!C:C,"&lt;"&amp;(TODAY+1))</f>
        <v>0</v>
      </c>
      <c r="M12" s="45">
        <f>COUNTIFS(Query!A:A,Table2[[#This Row],[PAINTED PART '#]],Query!B:B,"Sag/Run-R",Query!C:C,"&gt;"&amp;TODAY,Query!C:C,"&lt;"&amp;(TODAY+1))</f>
        <v>0</v>
      </c>
      <c r="N12" s="45">
        <f>COUNTIFS(Query!A:A,Table2[[#This Row],[PAINTED PART '#]],Query!B:B,"Dirt-R",Query!C:C,"&gt;"&amp;TODAY,Query!C:C,"&lt;"&amp;(TODAY+1))</f>
        <v>0</v>
      </c>
      <c r="O12" s="45">
        <f>COUNTIFS(Query!A:A,Table2[[#This Row],[PAINTED PART '#]],Query!B:B,"WATERMARK-R",Query!C:C,"&gt;"&amp;TODAY,Query!C:C,"&lt;"&amp;(TODAY+1))</f>
        <v>0</v>
      </c>
      <c r="P12" s="45">
        <f>COUNTIFS(Query!A:A,Table2[[#This Row],[PAINTED PART '#]],Query!B:B,"WATER-R",Query!C:C,"&gt;"&amp;TODAY,Query!C:C,"&lt;"&amp;(TODAY+1))</f>
        <v>0</v>
      </c>
      <c r="Q12" s="46">
        <f>COUNTIFS(Query!A:A,Table2[[#This Row],[PAINTED PART '#]],Query!B:B,"Other-R",Query!C:C,"&gt;"&amp;TODAY,Query!C:C,"&lt;"&amp;(TODAY+1))</f>
        <v>0</v>
      </c>
      <c r="R12" s="47">
        <f t="shared" si="1"/>
        <v>0</v>
      </c>
      <c r="S12" s="44">
        <f>COUNTIFS(Query!A:A,Table2[[#This Row],[PAINTED PART '#]],Query!B:B,"Suplier Sand-MD",Query!C:C,"&gt;"&amp;TODAY,Query!C:C,"&lt;"&amp;(TODAY+1))</f>
        <v>0</v>
      </c>
      <c r="T12" s="46">
        <f>COUNTIFS(Query!A:A,Table2[[#This Row],[PAINTED PART '#]],Query!B:B,"Gouges-MD",Query!C:C,"&gt;"&amp;TODAY,Query!C:C,"&lt;"&amp;(TODAY+1))</f>
        <v>0</v>
      </c>
      <c r="U12" s="48">
        <f t="shared" si="2"/>
        <v>0</v>
      </c>
    </row>
    <row r="13" spans="1:21" ht="95.1" customHeight="1" thickBot="1" x14ac:dyDescent="0.3">
      <c r="A13" s="50">
        <v>708200366</v>
      </c>
      <c r="B13" s="10" t="s">
        <v>54</v>
      </c>
      <c r="C13" s="3" t="s">
        <v>29</v>
      </c>
      <c r="D13" s="9">
        <f>COUNTIFS(Query!A:A,Table2[[#This Row],[PAINTED PART '#]],Query!B:B,"Good",Query!C:C,"&gt;"&amp;TODAY,Query!C:C,"&lt;"&amp;(TODAY+1))</f>
        <v>0</v>
      </c>
      <c r="E13" s="44">
        <f>COUNTIFS(Query!A:A,Table2[[#This Row],[PAINTED PART '#]],Query!B:B,"Orange Peel-B",Query!C:C,"&gt;"&amp;TODAY,Query!C:C,"&lt;"&amp;(TODAY+1))</f>
        <v>0</v>
      </c>
      <c r="F13" s="45">
        <f>COUNTIFS(Query!A:A,Table2[[#This Row],[PAINTED PART '#]],Query!B:B,"Sag/Run-B",Query!C:C,"&gt;"&amp;TODAY,Query!C:C,"&lt;"&amp;(TODAY+1))</f>
        <v>0</v>
      </c>
      <c r="G13" s="45">
        <f>COUNTIFS(Query!A:A,Table2[[#This Row],[PAINTED PART '#]],Query!B:B,"Dirt-B",Query!C:C,"&gt;"&amp;TODAY,Query!C:C,"&lt;"&amp;(TODAY+1))</f>
        <v>0</v>
      </c>
      <c r="H13" s="46">
        <f>COUNTIFS(Query!A:A,Table2[[#This Row],[PAINTED PART '#]],Query!B:B,"Other-B",Query!C:C,"&gt;"&amp;TODAY,Query!C:C,"&lt;"&amp;(TODAY+1))</f>
        <v>0</v>
      </c>
      <c r="I13" s="49">
        <f t="shared" si="0"/>
        <v>0</v>
      </c>
      <c r="J13" s="44">
        <f>COUNTIFS(Query!A:A,Table2[[#This Row],[PAINTED PART '#]],Query!B:B,"Thin Clear-R",Query!C:C,"&gt;"&amp;TODAY,Query!C:C,"&lt;"&amp;(TODAY+1))</f>
        <v>0</v>
      </c>
      <c r="K13" s="45">
        <f>COUNTIFS(Query!A:A,Table2[[#This Row],[PAINTED PART '#]],Query!B:B,"Thin Paint-R",Query!C:C,"&gt;"&amp;TODAY,Query!C:C,"&lt;"&amp;(TODAY+1))</f>
        <v>0</v>
      </c>
      <c r="L13" s="45">
        <f>COUNTIFS(Query!A:A,Table2[[#This Row],[PAINTED PART '#]],Query!B:B,"Orange Peel-R",Query!C:C,"&gt;"&amp;TODAY,Query!C:C,"&lt;"&amp;(TODAY+1))</f>
        <v>0</v>
      </c>
      <c r="M13" s="45">
        <f>COUNTIFS(Query!A:A,Table2[[#This Row],[PAINTED PART '#]],Query!B:B,"Sag/Run-R",Query!C:C,"&gt;"&amp;TODAY,Query!C:C,"&lt;"&amp;(TODAY+1))</f>
        <v>0</v>
      </c>
      <c r="N13" s="45">
        <f>COUNTIFS(Query!A:A,Table2[[#This Row],[PAINTED PART '#]],Query!B:B,"Dirt-R",Query!C:C,"&gt;"&amp;TODAY,Query!C:C,"&lt;"&amp;(TODAY+1))</f>
        <v>0</v>
      </c>
      <c r="O13" s="45">
        <f>COUNTIFS(Query!A:A,Table2[[#This Row],[PAINTED PART '#]],Query!B:B,"WATERMARK-R",Query!C:C,"&gt;"&amp;TODAY,Query!C:C,"&lt;"&amp;(TODAY+1))</f>
        <v>0</v>
      </c>
      <c r="P13" s="45">
        <f>COUNTIFS(Query!A:A,Table2[[#This Row],[PAINTED PART '#]],Query!B:B,"WATER-R",Query!C:C,"&gt;"&amp;TODAY,Query!C:C,"&lt;"&amp;(TODAY+1))</f>
        <v>0</v>
      </c>
      <c r="Q13" s="46">
        <f>COUNTIFS(Query!A:A,Table2[[#This Row],[PAINTED PART '#]],Query!B:B,"Other-R",Query!C:C,"&gt;"&amp;TODAY,Query!C:C,"&lt;"&amp;(TODAY+1))</f>
        <v>0</v>
      </c>
      <c r="R13" s="47">
        <f t="shared" si="1"/>
        <v>0</v>
      </c>
      <c r="S13" s="44">
        <f>COUNTIFS(Query!A:A,Table2[[#This Row],[PAINTED PART '#]],Query!B:B,"Suplier Sand-MD",Query!C:C,"&gt;"&amp;TODAY,Query!C:C,"&lt;"&amp;(TODAY+1))</f>
        <v>0</v>
      </c>
      <c r="T13" s="46">
        <f>COUNTIFS(Query!A:A,Table2[[#This Row],[PAINTED PART '#]],Query!B:B,"Gouges-MD",Query!C:C,"&gt;"&amp;TODAY,Query!C:C,"&lt;"&amp;(TODAY+1))</f>
        <v>0</v>
      </c>
      <c r="U13" s="48">
        <f t="shared" si="2"/>
        <v>0</v>
      </c>
    </row>
    <row r="14" spans="1:21" ht="95.1" customHeight="1" thickBot="1" x14ac:dyDescent="0.3">
      <c r="A14" s="50"/>
      <c r="B14" s="10" t="s">
        <v>53</v>
      </c>
      <c r="C14" s="3" t="s">
        <v>52</v>
      </c>
      <c r="D14" s="9">
        <f>COUNTIFS(Query!A:A,Table2[[#This Row],[PAINTED PART '#]],Query!B:B,"Good",Query!C:C,"&gt;"&amp;TODAY,Query!C:C,"&lt;"&amp;(TODAY+1))</f>
        <v>0</v>
      </c>
      <c r="E14" s="44">
        <f>COUNTIFS(Query!A:A,Table2[[#This Row],[PAINTED PART '#]],Query!B:B,"Orange Peel-B",Query!C:C,"&gt;"&amp;TODAY,Query!C:C,"&lt;"&amp;(TODAY+1))</f>
        <v>0</v>
      </c>
      <c r="F14" s="45">
        <f>COUNTIFS(Query!A:A,Table2[[#This Row],[PAINTED PART '#]],Query!B:B,"Sag/Run-B",Query!C:C,"&gt;"&amp;TODAY,Query!C:C,"&lt;"&amp;(TODAY+1))</f>
        <v>0</v>
      </c>
      <c r="G14" s="45">
        <f>COUNTIFS(Query!A:A,Table2[[#This Row],[PAINTED PART '#]],Query!B:B,"Dirt-B",Query!C:C,"&gt;"&amp;TODAY,Query!C:C,"&lt;"&amp;(TODAY+1))</f>
        <v>0</v>
      </c>
      <c r="H14" s="46">
        <f>COUNTIFS(Query!A:A,Table2[[#This Row],[PAINTED PART '#]],Query!B:B,"Other-B",Query!C:C,"&gt;"&amp;TODAY,Query!C:C,"&lt;"&amp;(TODAY+1))</f>
        <v>0</v>
      </c>
      <c r="I14" s="49">
        <f t="shared" si="0"/>
        <v>0</v>
      </c>
      <c r="J14" s="44">
        <f>COUNTIFS(Query!A:A,Table2[[#This Row],[PAINTED PART '#]],Query!B:B,"Thin Clear-R",Query!C:C,"&gt;"&amp;TODAY,Query!C:C,"&lt;"&amp;(TODAY+1))</f>
        <v>0</v>
      </c>
      <c r="K14" s="45">
        <f>COUNTIFS(Query!A:A,Table2[[#This Row],[PAINTED PART '#]],Query!B:B,"Thin Paint-R",Query!C:C,"&gt;"&amp;TODAY,Query!C:C,"&lt;"&amp;(TODAY+1))</f>
        <v>0</v>
      </c>
      <c r="L14" s="45">
        <f>COUNTIFS(Query!A:A,Table2[[#This Row],[PAINTED PART '#]],Query!B:B,"Orange Peel-R",Query!C:C,"&gt;"&amp;TODAY,Query!C:C,"&lt;"&amp;(TODAY+1))</f>
        <v>0</v>
      </c>
      <c r="M14" s="45">
        <f>COUNTIFS(Query!A:A,Table2[[#This Row],[PAINTED PART '#]],Query!B:B,"Sag/Run-R",Query!C:C,"&gt;"&amp;TODAY,Query!C:C,"&lt;"&amp;(TODAY+1))</f>
        <v>0</v>
      </c>
      <c r="N14" s="45">
        <f>COUNTIFS(Query!A:A,Table2[[#This Row],[PAINTED PART '#]],Query!B:B,"Dirt-R",Query!C:C,"&gt;"&amp;TODAY,Query!C:C,"&lt;"&amp;(TODAY+1))</f>
        <v>0</v>
      </c>
      <c r="O14" s="45">
        <f>COUNTIFS(Query!A:A,Table2[[#This Row],[PAINTED PART '#]],Query!B:B,"WATERMARK-R",Query!C:C,"&gt;"&amp;TODAY,Query!C:C,"&lt;"&amp;(TODAY+1))</f>
        <v>0</v>
      </c>
      <c r="P14" s="45">
        <f>COUNTIFS(Query!A:A,Table2[[#This Row],[PAINTED PART '#]],Query!B:B,"WATER-R",Query!C:C,"&gt;"&amp;TODAY,Query!C:C,"&lt;"&amp;(TODAY+1))</f>
        <v>0</v>
      </c>
      <c r="Q14" s="46">
        <f>COUNTIFS(Query!A:A,Table2[[#This Row],[PAINTED PART '#]],Query!B:B,"Other-R",Query!C:C,"&gt;"&amp;TODAY,Query!C:C,"&lt;"&amp;(TODAY+1))</f>
        <v>0</v>
      </c>
      <c r="R14" s="47">
        <f t="shared" si="1"/>
        <v>0</v>
      </c>
      <c r="S14" s="44">
        <f>COUNTIFS(Query!A:A,Table2[[#This Row],[PAINTED PART '#]],Query!B:B,"Suplier Sand-MD",Query!C:C,"&gt;"&amp;TODAY,Query!C:C,"&lt;"&amp;(TODAY+1))</f>
        <v>0</v>
      </c>
      <c r="T14" s="46">
        <f>COUNTIFS(Query!A:A,Table2[[#This Row],[PAINTED PART '#]],Query!B:B,"Gouges-MD",Query!C:C,"&gt;"&amp;TODAY,Query!C:C,"&lt;"&amp;(TODAY+1))</f>
        <v>0</v>
      </c>
      <c r="U14" s="48">
        <f t="shared" si="2"/>
        <v>0</v>
      </c>
    </row>
    <row r="15" spans="1:21" ht="95.1" customHeight="1" thickBot="1" x14ac:dyDescent="0.3">
      <c r="A15" s="50"/>
      <c r="B15" s="10" t="s">
        <v>51</v>
      </c>
      <c r="C15" s="3" t="s">
        <v>24</v>
      </c>
      <c r="D15" s="9">
        <f>COUNTIFS(Query!A:A,Table2[[#This Row],[PAINTED PART '#]],Query!B:B,"Good",Query!C:C,"&gt;"&amp;TODAY,Query!C:C,"&lt;"&amp;(TODAY+1))</f>
        <v>0</v>
      </c>
      <c r="E15" s="44">
        <f>COUNTIFS(Query!A:A,Table2[[#This Row],[PAINTED PART '#]],Query!B:B,"Orange Peel-B",Query!C:C,"&gt;"&amp;TODAY,Query!C:C,"&lt;"&amp;(TODAY+1))</f>
        <v>0</v>
      </c>
      <c r="F15" s="45">
        <f>COUNTIFS(Query!A:A,Table2[[#This Row],[PAINTED PART '#]],Query!B:B,"Sag/Run-B",Query!C:C,"&gt;"&amp;TODAY,Query!C:C,"&lt;"&amp;(TODAY+1))</f>
        <v>0</v>
      </c>
      <c r="G15" s="45">
        <f>COUNTIFS(Query!A:A,Table2[[#This Row],[PAINTED PART '#]],Query!B:B,"Dirt-B",Query!C:C,"&gt;"&amp;TODAY,Query!C:C,"&lt;"&amp;(TODAY+1))</f>
        <v>0</v>
      </c>
      <c r="H15" s="46">
        <f>COUNTIFS(Query!A:A,Table2[[#This Row],[PAINTED PART '#]],Query!B:B,"Other-B",Query!C:C,"&gt;"&amp;TODAY,Query!C:C,"&lt;"&amp;(TODAY+1))</f>
        <v>0</v>
      </c>
      <c r="I15" s="49">
        <f t="shared" si="0"/>
        <v>0</v>
      </c>
      <c r="J15" s="44">
        <f>COUNTIFS(Query!A:A,Table2[[#This Row],[PAINTED PART '#]],Query!B:B,"Thin Clear-R",Query!C:C,"&gt;"&amp;TODAY,Query!C:C,"&lt;"&amp;(TODAY+1))</f>
        <v>0</v>
      </c>
      <c r="K15" s="45">
        <f>COUNTIFS(Query!A:A,Table2[[#This Row],[PAINTED PART '#]],Query!B:B,"Thin Paint-R",Query!C:C,"&gt;"&amp;TODAY,Query!C:C,"&lt;"&amp;(TODAY+1))</f>
        <v>0</v>
      </c>
      <c r="L15" s="45">
        <f>COUNTIFS(Query!A:A,Table2[[#This Row],[PAINTED PART '#]],Query!B:B,"Orange Peel-R",Query!C:C,"&gt;"&amp;TODAY,Query!C:C,"&lt;"&amp;(TODAY+1))</f>
        <v>0</v>
      </c>
      <c r="M15" s="45">
        <f>COUNTIFS(Query!A:A,Table2[[#This Row],[PAINTED PART '#]],Query!B:B,"Sag/Run-R",Query!C:C,"&gt;"&amp;TODAY,Query!C:C,"&lt;"&amp;(TODAY+1))</f>
        <v>0</v>
      </c>
      <c r="N15" s="45">
        <f>COUNTIFS(Query!A:A,Table2[[#This Row],[PAINTED PART '#]],Query!B:B,"Dirt-R",Query!C:C,"&gt;"&amp;TODAY,Query!C:C,"&lt;"&amp;(TODAY+1))</f>
        <v>0</v>
      </c>
      <c r="O15" s="45">
        <f>COUNTIFS(Query!A:A,Table2[[#This Row],[PAINTED PART '#]],Query!B:B,"WATERMARK-R",Query!C:C,"&gt;"&amp;TODAY,Query!C:C,"&lt;"&amp;(TODAY+1))</f>
        <v>0</v>
      </c>
      <c r="P15" s="45">
        <f>COUNTIFS(Query!A:A,Table2[[#This Row],[PAINTED PART '#]],Query!B:B,"WATER-R",Query!C:C,"&gt;"&amp;TODAY,Query!C:C,"&lt;"&amp;(TODAY+1))</f>
        <v>0</v>
      </c>
      <c r="Q15" s="46">
        <f>COUNTIFS(Query!A:A,Table2[[#This Row],[PAINTED PART '#]],Query!B:B,"Other-R",Query!C:C,"&gt;"&amp;TODAY,Query!C:C,"&lt;"&amp;(TODAY+1))</f>
        <v>0</v>
      </c>
      <c r="R15" s="47">
        <f t="shared" si="1"/>
        <v>0</v>
      </c>
      <c r="S15" s="44">
        <f>COUNTIFS(Query!A:A,Table2[[#This Row],[PAINTED PART '#]],Query!B:B,"Suplier Sand-MD",Query!C:C,"&gt;"&amp;TODAY,Query!C:C,"&lt;"&amp;(TODAY+1))</f>
        <v>0</v>
      </c>
      <c r="T15" s="46">
        <f>COUNTIFS(Query!A:A,Table2[[#This Row],[PAINTED PART '#]],Query!B:B,"Gouges-MD",Query!C:C,"&gt;"&amp;TODAY,Query!C:C,"&lt;"&amp;(TODAY+1))</f>
        <v>0</v>
      </c>
      <c r="U15" s="48">
        <f t="shared" si="2"/>
        <v>0</v>
      </c>
    </row>
    <row r="16" spans="1:21" ht="42.75" customHeight="1" x14ac:dyDescent="0.2"/>
  </sheetData>
  <sheetProtection algorithmName="SHA-512" hashValue="YskhKaC/kNWkKFx5I+2uXH33IoMGAca2X9yK/wVSULnu6ZW50Bm/zDMfqIMZGc1pv6S45iXdJl3y8eYC6e4HKQ==" saltValue="rBZaRVnBVOC8YaaWWURH/w==" spinCount="100000" sheet="1" objects="1" scenarios="1"/>
  <mergeCells count="5">
    <mergeCell ref="D1:Q1"/>
    <mergeCell ref="E3:I3"/>
    <mergeCell ref="B3:C3"/>
    <mergeCell ref="J3:R3"/>
    <mergeCell ref="S3:U3"/>
  </mergeCells>
  <conditionalFormatting sqref="E5:H15 J5:Q15 S5:T15">
    <cfRule type="cellIs" dxfId="27" priority="2" operator="equal">
      <formula>0</formula>
    </cfRule>
  </conditionalFormatting>
  <conditionalFormatting sqref="U5:U15 R5:R15 I5:I15 D5:D15">
    <cfRule type="cellIs" dxfId="26" priority="1" operator="equal">
      <formula>0</formula>
    </cfRule>
  </conditionalFormatting>
  <printOptions horizontalCentered="1" verticalCentered="1"/>
  <pageMargins left="0.31496062992126" right="0" top="0.35433070866141703" bottom="0.39370078740157499" header="0.118110236220472" footer="0"/>
  <pageSetup paperSize="9" scale="25" orientation="landscape" r:id="rId1"/>
  <headerFooter>
    <oddFooter xml:space="preserve">&amp;L&amp;14&amp;F&amp;R&amp;11Created: 02/25/20AR
Revised:              N/A&amp;14
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169BE-75F4-409B-B3A1-3EEF1A2258AF}">
  <dimension ref="A1:E36"/>
  <sheetViews>
    <sheetView workbookViewId="0">
      <selection activeCell="B4" sqref="B4"/>
    </sheetView>
  </sheetViews>
  <sheetFormatPr defaultRowHeight="12.75" x14ac:dyDescent="0.2"/>
  <cols>
    <col min="1" max="1" width="12.28515625" style="7" bestFit="1" customWidth="1"/>
    <col min="2" max="2" width="10.7109375" style="7" customWidth="1"/>
    <col min="3" max="3" width="9.85546875" style="7" customWidth="1"/>
    <col min="4" max="5" width="9.140625" style="7"/>
  </cols>
  <sheetData>
    <row r="1" spans="1:5" x14ac:dyDescent="0.2">
      <c r="A1" s="8" t="s">
        <v>30</v>
      </c>
      <c r="B1" s="8" t="s">
        <v>31</v>
      </c>
      <c r="C1" s="8" t="s">
        <v>32</v>
      </c>
      <c r="D1" s="8" t="s">
        <v>33</v>
      </c>
      <c r="E1" s="8" t="s">
        <v>40</v>
      </c>
    </row>
    <row r="2" spans="1:5" x14ac:dyDescent="0.2">
      <c r="A2" s="5" t="s">
        <v>39</v>
      </c>
      <c r="B2" s="6">
        <v>44257</v>
      </c>
      <c r="C2" s="6" t="s">
        <v>41</v>
      </c>
      <c r="D2" s="5" t="s">
        <v>41</v>
      </c>
      <c r="E2" s="5" t="s">
        <v>42</v>
      </c>
    </row>
    <row r="3" spans="1:5" x14ac:dyDescent="0.2">
      <c r="A3" s="5"/>
      <c r="B3" s="5"/>
      <c r="C3" s="5"/>
      <c r="D3" s="5"/>
      <c r="E3" s="5"/>
    </row>
    <row r="4" spans="1:5" x14ac:dyDescent="0.2">
      <c r="A4" s="5"/>
      <c r="B4" s="5"/>
      <c r="C4" s="5"/>
      <c r="D4" s="5"/>
      <c r="E4" s="5"/>
    </row>
    <row r="5" spans="1:5" x14ac:dyDescent="0.2">
      <c r="A5" s="5"/>
      <c r="B5" s="5"/>
      <c r="C5" s="5"/>
      <c r="D5" s="5"/>
      <c r="E5" s="5"/>
    </row>
    <row r="6" spans="1:5" x14ac:dyDescent="0.2">
      <c r="A6" s="5"/>
      <c r="B6" s="5"/>
      <c r="C6" s="5"/>
      <c r="D6" s="5"/>
      <c r="E6" s="5"/>
    </row>
    <row r="7" spans="1:5" x14ac:dyDescent="0.2">
      <c r="A7" s="5"/>
      <c r="B7" s="5"/>
      <c r="C7" s="5"/>
      <c r="D7" s="5"/>
      <c r="E7" s="5"/>
    </row>
    <row r="8" spans="1:5" x14ac:dyDescent="0.2">
      <c r="A8" s="5"/>
      <c r="B8" s="5"/>
      <c r="C8" s="5"/>
      <c r="D8" s="5"/>
      <c r="E8" s="5"/>
    </row>
    <row r="9" spans="1:5" x14ac:dyDescent="0.2">
      <c r="A9" s="5"/>
      <c r="B9" s="5"/>
      <c r="C9" s="5"/>
      <c r="D9" s="5"/>
      <c r="E9" s="5"/>
    </row>
    <row r="10" spans="1:5" x14ac:dyDescent="0.2">
      <c r="A10" s="5"/>
      <c r="B10" s="5"/>
      <c r="C10" s="5"/>
      <c r="D10" s="5"/>
      <c r="E10" s="5"/>
    </row>
    <row r="11" spans="1:5" x14ac:dyDescent="0.2">
      <c r="A11" s="5"/>
      <c r="B11" s="5"/>
      <c r="C11" s="5"/>
      <c r="D11" s="5"/>
      <c r="E11" s="5"/>
    </row>
    <row r="12" spans="1:5" x14ac:dyDescent="0.2">
      <c r="A12" s="5"/>
      <c r="B12" s="5"/>
      <c r="C12" s="5"/>
      <c r="D12" s="5"/>
      <c r="E12" s="5"/>
    </row>
    <row r="13" spans="1:5" x14ac:dyDescent="0.2">
      <c r="A13" s="5"/>
      <c r="B13" s="5"/>
      <c r="C13" s="5"/>
      <c r="D13" s="5"/>
      <c r="E13" s="5"/>
    </row>
    <row r="14" spans="1:5" x14ac:dyDescent="0.2">
      <c r="A14" s="5"/>
      <c r="B14" s="5"/>
      <c r="C14" s="5"/>
      <c r="D14" s="5"/>
      <c r="E14" s="5"/>
    </row>
    <row r="15" spans="1:5" x14ac:dyDescent="0.2">
      <c r="A15" s="5"/>
      <c r="B15" s="5"/>
      <c r="C15" s="5"/>
      <c r="D15" s="5"/>
      <c r="E15" s="5"/>
    </row>
    <row r="16" spans="1:5" x14ac:dyDescent="0.2">
      <c r="A16" s="5"/>
      <c r="B16" s="5"/>
      <c r="C16" s="5"/>
      <c r="D16" s="5"/>
      <c r="E16" s="5"/>
    </row>
    <row r="17" spans="1:5" x14ac:dyDescent="0.2">
      <c r="A17" s="5"/>
      <c r="B17" s="5"/>
      <c r="C17" s="5"/>
      <c r="D17" s="5"/>
      <c r="E17" s="5"/>
    </row>
    <row r="18" spans="1:5" x14ac:dyDescent="0.2">
      <c r="A18" s="5"/>
      <c r="B18" s="5"/>
      <c r="C18" s="5"/>
      <c r="D18" s="5"/>
      <c r="E18" s="5"/>
    </row>
    <row r="19" spans="1:5" x14ac:dyDescent="0.2">
      <c r="A19" s="5"/>
      <c r="B19" s="5"/>
      <c r="C19" s="5"/>
      <c r="D19" s="5"/>
      <c r="E19" s="5"/>
    </row>
    <row r="20" spans="1:5" x14ac:dyDescent="0.2">
      <c r="A20" s="5"/>
      <c r="B20" s="5"/>
      <c r="C20" s="5"/>
      <c r="D20" s="5"/>
      <c r="E20" s="5"/>
    </row>
    <row r="21" spans="1:5" x14ac:dyDescent="0.2">
      <c r="A21" s="5"/>
      <c r="B21" s="5"/>
      <c r="C21" s="5"/>
      <c r="D21" s="5"/>
      <c r="E21" s="5"/>
    </row>
    <row r="22" spans="1:5" x14ac:dyDescent="0.2">
      <c r="A22" s="5"/>
      <c r="B22" s="5"/>
      <c r="C22" s="5"/>
      <c r="D22" s="5"/>
      <c r="E22" s="5"/>
    </row>
    <row r="23" spans="1:5" x14ac:dyDescent="0.2">
      <c r="A23" s="5"/>
      <c r="B23" s="5"/>
      <c r="C23" s="5"/>
      <c r="D23" s="5"/>
      <c r="E23" s="5"/>
    </row>
    <row r="24" spans="1:5" x14ac:dyDescent="0.2">
      <c r="A24" s="5"/>
      <c r="B24" s="5"/>
      <c r="C24" s="5"/>
      <c r="D24" s="5"/>
      <c r="E24" s="5"/>
    </row>
    <row r="25" spans="1:5" x14ac:dyDescent="0.2">
      <c r="A25" s="5"/>
      <c r="B25" s="5"/>
      <c r="C25" s="5"/>
      <c r="D25" s="5"/>
      <c r="E25" s="5"/>
    </row>
    <row r="26" spans="1:5" x14ac:dyDescent="0.2">
      <c r="A26" s="5"/>
      <c r="B26" s="5"/>
      <c r="C26" s="5"/>
      <c r="D26" s="5"/>
      <c r="E26" s="5"/>
    </row>
    <row r="27" spans="1:5" x14ac:dyDescent="0.2">
      <c r="A27" s="5"/>
      <c r="B27" s="5"/>
      <c r="C27" s="5"/>
      <c r="D27" s="5"/>
      <c r="E27" s="5"/>
    </row>
    <row r="28" spans="1:5" x14ac:dyDescent="0.2">
      <c r="A28" s="5"/>
      <c r="B28" s="5"/>
      <c r="C28" s="5"/>
      <c r="D28" s="5"/>
      <c r="E28" s="5"/>
    </row>
    <row r="29" spans="1:5" x14ac:dyDescent="0.2">
      <c r="A29" s="5"/>
      <c r="B29" s="5"/>
      <c r="C29" s="5"/>
      <c r="D29" s="5"/>
      <c r="E29" s="5"/>
    </row>
    <row r="30" spans="1:5" x14ac:dyDescent="0.2">
      <c r="A30" s="5"/>
      <c r="B30" s="5"/>
      <c r="C30" s="5"/>
      <c r="D30" s="5"/>
      <c r="E30" s="5"/>
    </row>
    <row r="31" spans="1:5" x14ac:dyDescent="0.2">
      <c r="A31" s="5"/>
      <c r="B31" s="5"/>
      <c r="C31" s="5"/>
      <c r="D31" s="5"/>
      <c r="E31" s="5"/>
    </row>
    <row r="32" spans="1:5" x14ac:dyDescent="0.2">
      <c r="A32" s="5"/>
      <c r="B32" s="5"/>
      <c r="C32" s="5"/>
      <c r="D32" s="5"/>
      <c r="E32" s="5"/>
    </row>
    <row r="33" spans="1:5" x14ac:dyDescent="0.2">
      <c r="A33" s="5"/>
      <c r="B33" s="5"/>
      <c r="C33" s="5"/>
      <c r="D33" s="5"/>
      <c r="E33" s="5"/>
    </row>
    <row r="34" spans="1:5" x14ac:dyDescent="0.2">
      <c r="A34" s="5"/>
      <c r="B34" s="5"/>
      <c r="C34" s="5"/>
      <c r="D34" s="5"/>
      <c r="E34" s="5"/>
    </row>
    <row r="35" spans="1:5" x14ac:dyDescent="0.2">
      <c r="A35" s="5"/>
      <c r="B35" s="5"/>
      <c r="C35" s="5"/>
      <c r="D35" s="5"/>
      <c r="E35" s="5"/>
    </row>
    <row r="36" spans="1:5" x14ac:dyDescent="0.2">
      <c r="A36" s="5"/>
      <c r="B36" s="5"/>
      <c r="C36" s="5"/>
      <c r="D36" s="5"/>
      <c r="E36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02137-F1A1-427D-84C7-24D563EE5E00}">
  <dimension ref="A1:C192"/>
  <sheetViews>
    <sheetView workbookViewId="0">
      <selection activeCell="C4" sqref="C4"/>
    </sheetView>
  </sheetViews>
  <sheetFormatPr defaultRowHeight="12.75" x14ac:dyDescent="0.2"/>
  <cols>
    <col min="1" max="1" width="14.140625" bestFit="1" customWidth="1"/>
    <col min="2" max="2" width="18.28515625" bestFit="1" customWidth="1"/>
    <col min="3" max="3" width="15.42578125" bestFit="1" customWidth="1"/>
  </cols>
  <sheetData>
    <row r="1" spans="1:3" x14ac:dyDescent="0.2">
      <c r="A1" s="1" t="s">
        <v>36</v>
      </c>
      <c r="B1" s="1" t="s">
        <v>37</v>
      </c>
      <c r="C1" s="1" t="s">
        <v>38</v>
      </c>
    </row>
    <row r="2" spans="1:3" x14ac:dyDescent="0.2">
      <c r="A2" s="1" t="s">
        <v>46</v>
      </c>
      <c r="B2" s="1" t="s">
        <v>63</v>
      </c>
      <c r="C2" s="2">
        <v>44257.601793981485</v>
      </c>
    </row>
    <row r="3" spans="1:3" x14ac:dyDescent="0.2">
      <c r="A3" s="1" t="s">
        <v>46</v>
      </c>
      <c r="B3" s="1" t="s">
        <v>63</v>
      </c>
      <c r="C3" s="2">
        <v>44257.602673611109</v>
      </c>
    </row>
    <row r="4" spans="1:3" x14ac:dyDescent="0.2">
      <c r="A4" s="1" t="s">
        <v>46</v>
      </c>
      <c r="B4" s="1" t="s">
        <v>64</v>
      </c>
      <c r="C4" s="2">
        <v>44257.603078703702</v>
      </c>
    </row>
    <row r="5" spans="1:3" x14ac:dyDescent="0.2">
      <c r="A5" s="1" t="s">
        <v>46</v>
      </c>
      <c r="B5" s="1" t="s">
        <v>65</v>
      </c>
      <c r="C5" s="2">
        <v>44257.603634259256</v>
      </c>
    </row>
    <row r="6" spans="1:3" x14ac:dyDescent="0.2">
      <c r="A6" s="1" t="s">
        <v>46</v>
      </c>
      <c r="B6" s="1" t="s">
        <v>63</v>
      </c>
      <c r="C6" s="2">
        <v>44257.603877314818</v>
      </c>
    </row>
    <row r="7" spans="1:3" x14ac:dyDescent="0.2">
      <c r="A7" s="1" t="s">
        <v>46</v>
      </c>
      <c r="B7" s="1" t="s">
        <v>63</v>
      </c>
      <c r="C7" s="2">
        <v>44257.604155092595</v>
      </c>
    </row>
    <row r="8" spans="1:3" x14ac:dyDescent="0.2">
      <c r="A8" s="1" t="s">
        <v>46</v>
      </c>
      <c r="B8" s="1" t="s">
        <v>64</v>
      </c>
      <c r="C8" s="2">
        <v>44257.605370370373</v>
      </c>
    </row>
    <row r="9" spans="1:3" x14ac:dyDescent="0.2">
      <c r="A9" s="1" t="s">
        <v>46</v>
      </c>
      <c r="B9" s="1" t="s">
        <v>63</v>
      </c>
      <c r="C9" s="2">
        <v>44257.605763888889</v>
      </c>
    </row>
    <row r="10" spans="1:3" x14ac:dyDescent="0.2">
      <c r="A10" s="1" t="s">
        <v>46</v>
      </c>
      <c r="B10" s="1" t="s">
        <v>64</v>
      </c>
      <c r="C10" s="2">
        <v>44257.606192129628</v>
      </c>
    </row>
    <row r="11" spans="1:3" x14ac:dyDescent="0.2">
      <c r="A11" s="1" t="s">
        <v>46</v>
      </c>
      <c r="B11" s="1" t="s">
        <v>66</v>
      </c>
      <c r="C11" s="2">
        <v>44257.606527777774</v>
      </c>
    </row>
    <row r="12" spans="1:3" x14ac:dyDescent="0.2">
      <c r="A12" s="1" t="s">
        <v>46</v>
      </c>
      <c r="B12" s="1" t="s">
        <v>64</v>
      </c>
      <c r="C12" s="2">
        <v>44257.607986111114</v>
      </c>
    </row>
    <row r="13" spans="1:3" x14ac:dyDescent="0.2">
      <c r="A13" s="1" t="s">
        <v>46</v>
      </c>
      <c r="B13" s="1" t="s">
        <v>64</v>
      </c>
      <c r="C13" s="2">
        <v>44257.608773148146</v>
      </c>
    </row>
    <row r="14" spans="1:3" x14ac:dyDescent="0.2">
      <c r="A14" s="1" t="s">
        <v>46</v>
      </c>
      <c r="B14" s="1" t="s">
        <v>64</v>
      </c>
      <c r="C14" s="2">
        <v>44257.608888888892</v>
      </c>
    </row>
    <row r="15" spans="1:3" x14ac:dyDescent="0.2">
      <c r="A15" s="1" t="s">
        <v>46</v>
      </c>
      <c r="B15" s="1" t="s">
        <v>64</v>
      </c>
      <c r="C15" s="2">
        <v>44257.610185185185</v>
      </c>
    </row>
    <row r="16" spans="1:3" x14ac:dyDescent="0.2">
      <c r="A16" s="1" t="s">
        <v>46</v>
      </c>
      <c r="B16" s="1" t="s">
        <v>67</v>
      </c>
      <c r="C16" s="2">
        <v>44257.610266203701</v>
      </c>
    </row>
    <row r="17" spans="1:3" x14ac:dyDescent="0.2">
      <c r="A17" s="1" t="s">
        <v>46</v>
      </c>
      <c r="B17" s="1" t="s">
        <v>63</v>
      </c>
      <c r="C17" s="2">
        <v>44257.610752314817</v>
      </c>
    </row>
    <row r="18" spans="1:3" x14ac:dyDescent="0.2">
      <c r="A18" s="1" t="s">
        <v>46</v>
      </c>
      <c r="B18" s="1" t="s">
        <v>63</v>
      </c>
      <c r="C18" s="2">
        <v>44257.611504629633</v>
      </c>
    </row>
    <row r="19" spans="1:3" x14ac:dyDescent="0.2">
      <c r="A19" s="1" t="s">
        <v>46</v>
      </c>
      <c r="B19" s="1" t="s">
        <v>64</v>
      </c>
      <c r="C19" s="2">
        <v>44257.611840277779</v>
      </c>
    </row>
    <row r="20" spans="1:3" x14ac:dyDescent="0.2">
      <c r="A20" s="1" t="s">
        <v>46</v>
      </c>
      <c r="B20" s="1" t="s">
        <v>64</v>
      </c>
      <c r="C20" s="2">
        <v>44257.708402777775</v>
      </c>
    </row>
    <row r="21" spans="1:3" x14ac:dyDescent="0.2">
      <c r="A21" s="1" t="s">
        <v>46</v>
      </c>
      <c r="B21" s="1" t="s">
        <v>64</v>
      </c>
      <c r="C21" s="2">
        <v>44257.709236111114</v>
      </c>
    </row>
    <row r="22" spans="1:3" x14ac:dyDescent="0.2">
      <c r="A22" s="1" t="s">
        <v>46</v>
      </c>
      <c r="B22" s="1" t="s">
        <v>64</v>
      </c>
      <c r="C22" s="2">
        <v>44257.709340277775</v>
      </c>
    </row>
    <row r="23" spans="1:3" x14ac:dyDescent="0.2">
      <c r="A23" s="1" t="s">
        <v>46</v>
      </c>
      <c r="B23" s="1" t="s">
        <v>68</v>
      </c>
      <c r="C23" s="2">
        <v>44257.709629629629</v>
      </c>
    </row>
    <row r="24" spans="1:3" x14ac:dyDescent="0.2">
      <c r="A24" s="1" t="s">
        <v>46</v>
      </c>
      <c r="B24" s="1" t="s">
        <v>17</v>
      </c>
      <c r="C24" s="2">
        <v>44257.710694444446</v>
      </c>
    </row>
    <row r="25" spans="1:3" x14ac:dyDescent="0.2">
      <c r="A25" s="1" t="s">
        <v>46</v>
      </c>
      <c r="B25" s="1" t="s">
        <v>64</v>
      </c>
      <c r="C25" s="2">
        <v>44257.711504629631</v>
      </c>
    </row>
    <row r="26" spans="1:3" x14ac:dyDescent="0.2">
      <c r="A26" s="1" t="s">
        <v>46</v>
      </c>
      <c r="B26" s="1" t="s">
        <v>63</v>
      </c>
      <c r="C26" s="2">
        <v>44257.712164351855</v>
      </c>
    </row>
    <row r="27" spans="1:3" x14ac:dyDescent="0.2">
      <c r="A27" s="1" t="s">
        <v>46</v>
      </c>
      <c r="B27" s="1" t="s">
        <v>64</v>
      </c>
      <c r="C27" s="2">
        <v>44257.712245370371</v>
      </c>
    </row>
    <row r="28" spans="1:3" x14ac:dyDescent="0.2">
      <c r="A28" s="1" t="s">
        <v>46</v>
      </c>
      <c r="B28" s="1" t="s">
        <v>64</v>
      </c>
      <c r="C28" s="2">
        <v>44257.712407407409</v>
      </c>
    </row>
    <row r="29" spans="1:3" x14ac:dyDescent="0.2">
      <c r="A29" s="1" t="s">
        <v>46</v>
      </c>
      <c r="B29" s="1" t="s">
        <v>64</v>
      </c>
      <c r="C29" s="2">
        <v>44257.713206018518</v>
      </c>
    </row>
    <row r="30" spans="1:3" x14ac:dyDescent="0.2">
      <c r="A30" s="1" t="s">
        <v>46</v>
      </c>
      <c r="B30" s="1" t="s">
        <v>69</v>
      </c>
      <c r="C30" s="2">
        <v>44257.713541666664</v>
      </c>
    </row>
    <row r="31" spans="1:3" x14ac:dyDescent="0.2">
      <c r="A31" s="1" t="s">
        <v>46</v>
      </c>
      <c r="B31" s="1" t="s">
        <v>64</v>
      </c>
      <c r="C31" s="2">
        <v>44257.713761574072</v>
      </c>
    </row>
    <row r="32" spans="1:3" x14ac:dyDescent="0.2">
      <c r="A32" s="1" t="s">
        <v>46</v>
      </c>
      <c r="B32" s="1" t="s">
        <v>63</v>
      </c>
      <c r="C32" s="2">
        <v>44257.714050925926</v>
      </c>
    </row>
    <row r="33" spans="1:3" x14ac:dyDescent="0.2">
      <c r="A33" s="1" t="s">
        <v>46</v>
      </c>
      <c r="B33" s="1" t="s">
        <v>64</v>
      </c>
      <c r="C33" s="2">
        <v>44257.714247685188</v>
      </c>
    </row>
    <row r="34" spans="1:3" x14ac:dyDescent="0.2">
      <c r="A34" s="1" t="s">
        <v>46</v>
      </c>
      <c r="B34" s="1" t="s">
        <v>64</v>
      </c>
      <c r="C34" s="2">
        <v>44257.715185185189</v>
      </c>
    </row>
    <row r="35" spans="1:3" x14ac:dyDescent="0.2">
      <c r="A35" s="1" t="s">
        <v>46</v>
      </c>
      <c r="B35" s="1" t="s">
        <v>64</v>
      </c>
      <c r="C35" s="2">
        <v>44257.715254629627</v>
      </c>
    </row>
    <row r="36" spans="1:3" x14ac:dyDescent="0.2">
      <c r="A36" s="1" t="s">
        <v>46</v>
      </c>
      <c r="B36" s="1" t="s">
        <v>63</v>
      </c>
      <c r="C36" s="2">
        <v>44257.715567129628</v>
      </c>
    </row>
    <row r="37" spans="1:3" x14ac:dyDescent="0.2">
      <c r="A37" s="1" t="s">
        <v>46</v>
      </c>
      <c r="B37" s="1" t="s">
        <v>63</v>
      </c>
      <c r="C37" s="2">
        <v>44257.715856481482</v>
      </c>
    </row>
    <row r="38" spans="1:3" x14ac:dyDescent="0.2">
      <c r="A38" s="1" t="s">
        <v>46</v>
      </c>
      <c r="B38" s="1" t="s">
        <v>63</v>
      </c>
      <c r="C38" s="2">
        <v>44257.71607638889</v>
      </c>
    </row>
    <row r="39" spans="1:3" x14ac:dyDescent="0.2">
      <c r="A39" s="1" t="s">
        <v>63</v>
      </c>
      <c r="B39" s="1" t="s">
        <v>46</v>
      </c>
      <c r="C39" s="2">
        <v>44257.71634259259</v>
      </c>
    </row>
    <row r="40" spans="1:3" x14ac:dyDescent="0.2">
      <c r="A40" s="1" t="s">
        <v>64</v>
      </c>
      <c r="B40" s="1" t="s">
        <v>46</v>
      </c>
      <c r="C40" s="2">
        <v>44257.716597222221</v>
      </c>
    </row>
    <row r="41" spans="1:3" x14ac:dyDescent="0.2">
      <c r="A41" s="1" t="s">
        <v>63</v>
      </c>
      <c r="B41" s="1" t="s">
        <v>46</v>
      </c>
      <c r="C41" s="2">
        <v>44257.716805555552</v>
      </c>
    </row>
    <row r="42" spans="1:3" x14ac:dyDescent="0.2">
      <c r="A42" s="1" t="s">
        <v>46</v>
      </c>
      <c r="B42" s="1" t="s">
        <v>64</v>
      </c>
      <c r="C42" s="2">
        <v>44257.717569444445</v>
      </c>
    </row>
    <row r="43" spans="1:3" x14ac:dyDescent="0.2">
      <c r="A43" s="1" t="s">
        <v>46</v>
      </c>
      <c r="B43" s="1" t="s">
        <v>70</v>
      </c>
      <c r="C43" s="2">
        <v>44257.717719907407</v>
      </c>
    </row>
    <row r="44" spans="1:3" x14ac:dyDescent="0.2">
      <c r="A44" s="1" t="s">
        <v>46</v>
      </c>
      <c r="B44" s="1" t="s">
        <v>64</v>
      </c>
      <c r="C44" s="2">
        <v>44257.717974537038</v>
      </c>
    </row>
    <row r="45" spans="1:3" x14ac:dyDescent="0.2">
      <c r="A45" s="1" t="s">
        <v>46</v>
      </c>
      <c r="B45" s="1" t="s">
        <v>64</v>
      </c>
      <c r="C45" s="2">
        <v>44257.718217592592</v>
      </c>
    </row>
    <row r="46" spans="1:3" x14ac:dyDescent="0.2">
      <c r="A46" s="1" t="s">
        <v>46</v>
      </c>
      <c r="B46" s="1" t="s">
        <v>17</v>
      </c>
      <c r="C46" s="2">
        <v>44257.718564814815</v>
      </c>
    </row>
    <row r="47" spans="1:3" x14ac:dyDescent="0.2">
      <c r="A47" s="1" t="s">
        <v>46</v>
      </c>
      <c r="B47" s="1" t="s">
        <v>64</v>
      </c>
      <c r="C47" s="2">
        <v>44257.718888888892</v>
      </c>
    </row>
    <row r="48" spans="1:3" x14ac:dyDescent="0.2">
      <c r="A48" s="1" t="s">
        <v>46</v>
      </c>
      <c r="B48" s="1" t="s">
        <v>17</v>
      </c>
      <c r="C48" s="2">
        <v>44257.72</v>
      </c>
    </row>
    <row r="49" spans="1:3" x14ac:dyDescent="0.2">
      <c r="A49" s="1" t="s">
        <v>46</v>
      </c>
      <c r="B49" s="1" t="s">
        <v>17</v>
      </c>
      <c r="C49" s="2">
        <v>44257.720034722224</v>
      </c>
    </row>
    <row r="50" spans="1:3" x14ac:dyDescent="0.2">
      <c r="A50" s="1" t="s">
        <v>46</v>
      </c>
      <c r="B50" s="1" t="s">
        <v>17</v>
      </c>
      <c r="C50" s="2">
        <v>44257.720057870371</v>
      </c>
    </row>
    <row r="51" spans="1:3" x14ac:dyDescent="0.2">
      <c r="A51" s="1" t="s">
        <v>46</v>
      </c>
      <c r="B51" s="1" t="s">
        <v>64</v>
      </c>
      <c r="C51" s="2">
        <v>44257.720092592594</v>
      </c>
    </row>
    <row r="52" spans="1:3" x14ac:dyDescent="0.2">
      <c r="A52" s="1" t="s">
        <v>46</v>
      </c>
      <c r="B52" s="1" t="s">
        <v>64</v>
      </c>
      <c r="C52" s="2">
        <v>44257.72011574074</v>
      </c>
    </row>
    <row r="53" spans="1:3" x14ac:dyDescent="0.2">
      <c r="A53" s="1" t="s">
        <v>46</v>
      </c>
      <c r="B53" s="1" t="s">
        <v>64</v>
      </c>
      <c r="C53" s="2">
        <v>44257.720150462963</v>
      </c>
    </row>
    <row r="54" spans="1:3" x14ac:dyDescent="0.2">
      <c r="A54" s="1" t="s">
        <v>46</v>
      </c>
      <c r="B54" s="1" t="s">
        <v>64</v>
      </c>
      <c r="C54" s="2">
        <v>44257.720196759263</v>
      </c>
    </row>
    <row r="55" spans="1:3" x14ac:dyDescent="0.2">
      <c r="A55" s="1" t="s">
        <v>46</v>
      </c>
      <c r="B55" s="1" t="s">
        <v>64</v>
      </c>
      <c r="C55" s="2">
        <v>44257.720231481479</v>
      </c>
    </row>
    <row r="56" spans="1:3" x14ac:dyDescent="0.2">
      <c r="A56" s="1" t="s">
        <v>46</v>
      </c>
      <c r="B56" s="1" t="s">
        <v>64</v>
      </c>
      <c r="C56" s="2">
        <v>44257.720254629632</v>
      </c>
    </row>
    <row r="57" spans="1:3" x14ac:dyDescent="0.2">
      <c r="A57" s="1" t="s">
        <v>46</v>
      </c>
      <c r="B57" s="1" t="s">
        <v>64</v>
      </c>
      <c r="C57" s="2">
        <v>44257.720277777778</v>
      </c>
    </row>
    <row r="58" spans="1:3" x14ac:dyDescent="0.2">
      <c r="A58" s="1" t="s">
        <v>46</v>
      </c>
      <c r="B58" s="1" t="s">
        <v>64</v>
      </c>
      <c r="C58" s="2">
        <v>44257.720300925925</v>
      </c>
    </row>
    <row r="59" spans="1:3" x14ac:dyDescent="0.2">
      <c r="A59" s="1" t="s">
        <v>46</v>
      </c>
      <c r="B59" s="1" t="s">
        <v>64</v>
      </c>
      <c r="C59" s="2">
        <v>44257.720324074071</v>
      </c>
    </row>
    <row r="60" spans="1:3" x14ac:dyDescent="0.2">
      <c r="A60" s="1" t="s">
        <v>46</v>
      </c>
      <c r="B60" s="1" t="s">
        <v>64</v>
      </c>
      <c r="C60" s="2">
        <v>44257.720347222225</v>
      </c>
    </row>
    <row r="61" spans="1:3" x14ac:dyDescent="0.2">
      <c r="A61" s="1" t="s">
        <v>46</v>
      </c>
      <c r="B61" s="1" t="s">
        <v>64</v>
      </c>
      <c r="C61" s="2">
        <v>44257.720370370371</v>
      </c>
    </row>
    <row r="62" spans="1:3" x14ac:dyDescent="0.2">
      <c r="A62" s="1" t="s">
        <v>46</v>
      </c>
      <c r="B62" s="1" t="s">
        <v>64</v>
      </c>
      <c r="C62" s="2">
        <v>44257.720393518517</v>
      </c>
    </row>
    <row r="63" spans="1:3" x14ac:dyDescent="0.2">
      <c r="A63" s="1" t="s">
        <v>46</v>
      </c>
      <c r="B63" s="1" t="s">
        <v>64</v>
      </c>
      <c r="C63" s="2">
        <v>44257.720416666663</v>
      </c>
    </row>
    <row r="64" spans="1:3" x14ac:dyDescent="0.2">
      <c r="A64" s="1" t="s">
        <v>46</v>
      </c>
      <c r="B64" s="1" t="s">
        <v>64</v>
      </c>
      <c r="C64" s="2">
        <v>44257.72042824074</v>
      </c>
    </row>
    <row r="65" spans="1:3" x14ac:dyDescent="0.2">
      <c r="A65" s="1" t="s">
        <v>46</v>
      </c>
      <c r="B65" s="1" t="s">
        <v>64</v>
      </c>
      <c r="C65" s="2">
        <v>44257.720451388886</v>
      </c>
    </row>
    <row r="66" spans="1:3" x14ac:dyDescent="0.2">
      <c r="A66" s="1" t="s">
        <v>46</v>
      </c>
      <c r="B66" s="1" t="s">
        <v>63</v>
      </c>
      <c r="C66" s="2">
        <v>44257.720497685186</v>
      </c>
    </row>
    <row r="67" spans="1:3" x14ac:dyDescent="0.2">
      <c r="A67" s="1" t="s">
        <v>46</v>
      </c>
      <c r="B67" s="1" t="s">
        <v>63</v>
      </c>
      <c r="C67" s="2">
        <v>44257.720532407409</v>
      </c>
    </row>
    <row r="68" spans="1:3" x14ac:dyDescent="0.2">
      <c r="A68" s="1" t="s">
        <v>46</v>
      </c>
      <c r="B68" s="1" t="s">
        <v>63</v>
      </c>
      <c r="C68" s="2">
        <v>44257.720555555556</v>
      </c>
    </row>
    <row r="69" spans="1:3" x14ac:dyDescent="0.2">
      <c r="A69" s="1" t="s">
        <v>46</v>
      </c>
      <c r="B69" s="1" t="s">
        <v>63</v>
      </c>
      <c r="C69" s="2">
        <v>44257.723252314812</v>
      </c>
    </row>
    <row r="70" spans="1:3" x14ac:dyDescent="0.2">
      <c r="A70" s="1" t="s">
        <v>46</v>
      </c>
      <c r="B70" s="1" t="s">
        <v>63</v>
      </c>
      <c r="C70" s="2">
        <v>44257.723287037035</v>
      </c>
    </row>
    <row r="71" spans="1:3" x14ac:dyDescent="0.2">
      <c r="A71" s="1" t="s">
        <v>46</v>
      </c>
      <c r="B71" s="1" t="s">
        <v>63</v>
      </c>
      <c r="C71" s="2">
        <v>44257.723310185182</v>
      </c>
    </row>
    <row r="72" spans="1:3" x14ac:dyDescent="0.2">
      <c r="A72" s="1" t="s">
        <v>46</v>
      </c>
      <c r="B72" s="1" t="s">
        <v>63</v>
      </c>
      <c r="C72" s="2">
        <v>44257.723333333335</v>
      </c>
    </row>
    <row r="73" spans="1:3" x14ac:dyDescent="0.2">
      <c r="A73" s="1" t="s">
        <v>46</v>
      </c>
      <c r="B73" s="1" t="s">
        <v>63</v>
      </c>
      <c r="C73" s="2">
        <v>44257.723356481481</v>
      </c>
    </row>
    <row r="74" spans="1:3" x14ac:dyDescent="0.2">
      <c r="A74" s="1" t="s">
        <v>46</v>
      </c>
      <c r="B74" s="1" t="s">
        <v>63</v>
      </c>
      <c r="C74" s="2">
        <v>44257.723379629628</v>
      </c>
    </row>
    <row r="75" spans="1:3" x14ac:dyDescent="0.2">
      <c r="A75" s="1" t="s">
        <v>46</v>
      </c>
      <c r="B75" s="1" t="s">
        <v>63</v>
      </c>
      <c r="C75" s="2">
        <v>44257.723402777781</v>
      </c>
    </row>
    <row r="76" spans="1:3" x14ac:dyDescent="0.2">
      <c r="A76" s="1" t="s">
        <v>46</v>
      </c>
      <c r="B76" s="1" t="s">
        <v>63</v>
      </c>
      <c r="C76" s="2">
        <v>44257.723425925928</v>
      </c>
    </row>
    <row r="77" spans="1:3" x14ac:dyDescent="0.2">
      <c r="A77" s="1" t="s">
        <v>46</v>
      </c>
      <c r="B77" s="1" t="s">
        <v>63</v>
      </c>
      <c r="C77" s="2">
        <v>44257.72347222222</v>
      </c>
    </row>
    <row r="78" spans="1:3" x14ac:dyDescent="0.2">
      <c r="A78" s="1" t="s">
        <v>46</v>
      </c>
      <c r="B78" s="1" t="s">
        <v>63</v>
      </c>
      <c r="C78" s="2">
        <v>44257.723495370374</v>
      </c>
    </row>
    <row r="79" spans="1:3" x14ac:dyDescent="0.2">
      <c r="A79" s="1" t="s">
        <v>46</v>
      </c>
      <c r="B79" s="1" t="s">
        <v>63</v>
      </c>
      <c r="C79" s="2">
        <v>44257.72351851852</v>
      </c>
    </row>
    <row r="80" spans="1:3" x14ac:dyDescent="0.2">
      <c r="A80" s="1" t="s">
        <v>46</v>
      </c>
      <c r="B80" s="1" t="s">
        <v>63</v>
      </c>
      <c r="C80" s="2">
        <v>44257.723553240743</v>
      </c>
    </row>
    <row r="81" spans="1:3" x14ac:dyDescent="0.2">
      <c r="A81" s="1" t="s">
        <v>46</v>
      </c>
      <c r="B81" s="1" t="s">
        <v>63</v>
      </c>
      <c r="C81" s="2">
        <v>44257.723576388889</v>
      </c>
    </row>
    <row r="82" spans="1:3" x14ac:dyDescent="0.2">
      <c r="A82" s="1" t="s">
        <v>46</v>
      </c>
      <c r="B82" s="1" t="s">
        <v>63</v>
      </c>
      <c r="C82" s="2">
        <v>44257.723599537036</v>
      </c>
    </row>
    <row r="83" spans="1:3" x14ac:dyDescent="0.2">
      <c r="A83" s="1" t="s">
        <v>46</v>
      </c>
      <c r="B83" s="1" t="s">
        <v>63</v>
      </c>
      <c r="C83" s="2">
        <v>44257.723622685182</v>
      </c>
    </row>
    <row r="84" spans="1:3" x14ac:dyDescent="0.2">
      <c r="A84" s="1" t="s">
        <v>46</v>
      </c>
      <c r="B84" s="1" t="s">
        <v>63</v>
      </c>
      <c r="C84" s="2">
        <v>44257.723657407405</v>
      </c>
    </row>
    <row r="85" spans="1:3" x14ac:dyDescent="0.2">
      <c r="A85" s="1" t="s">
        <v>46</v>
      </c>
      <c r="B85" s="1" t="s">
        <v>63</v>
      </c>
      <c r="C85" s="2">
        <v>44257.723680555559</v>
      </c>
    </row>
    <row r="86" spans="1:3" x14ac:dyDescent="0.2">
      <c r="A86" s="1" t="s">
        <v>46</v>
      </c>
      <c r="B86" s="1" t="s">
        <v>63</v>
      </c>
      <c r="C86" s="2">
        <v>44257.723738425928</v>
      </c>
    </row>
    <row r="87" spans="1:3" x14ac:dyDescent="0.2">
      <c r="A87" s="1" t="s">
        <v>46</v>
      </c>
      <c r="B87" s="1" t="s">
        <v>71</v>
      </c>
      <c r="C87" s="2">
        <v>44257.723773148151</v>
      </c>
    </row>
    <row r="88" spans="1:3" x14ac:dyDescent="0.2">
      <c r="A88" s="1" t="s">
        <v>46</v>
      </c>
      <c r="B88" s="1" t="s">
        <v>68</v>
      </c>
      <c r="C88" s="2">
        <v>44257.723807870374</v>
      </c>
    </row>
    <row r="89" spans="1:3" x14ac:dyDescent="0.2">
      <c r="A89" s="1" t="s">
        <v>46</v>
      </c>
      <c r="B89" s="1" t="s">
        <v>68</v>
      </c>
      <c r="C89" s="2">
        <v>44257.723877314813</v>
      </c>
    </row>
    <row r="90" spans="1:3" x14ac:dyDescent="0.2">
      <c r="A90" s="1" t="s">
        <v>46</v>
      </c>
      <c r="B90" s="1" t="s">
        <v>68</v>
      </c>
      <c r="C90" s="2">
        <v>44257.723900462966</v>
      </c>
    </row>
    <row r="91" spans="1:3" x14ac:dyDescent="0.2">
      <c r="A91" s="1" t="s">
        <v>46</v>
      </c>
      <c r="B91" s="1" t="s">
        <v>68</v>
      </c>
      <c r="C91" s="2">
        <v>44257.723923611113</v>
      </c>
    </row>
    <row r="92" spans="1:3" x14ac:dyDescent="0.2">
      <c r="A92" s="1" t="s">
        <v>46</v>
      </c>
      <c r="B92" s="1" t="s">
        <v>68</v>
      </c>
      <c r="C92" s="2">
        <v>44257.723946759259</v>
      </c>
    </row>
    <row r="93" spans="1:3" x14ac:dyDescent="0.2">
      <c r="A93" s="1" t="s">
        <v>46</v>
      </c>
      <c r="B93" s="1" t="s">
        <v>68</v>
      </c>
      <c r="C93" s="2">
        <v>44257.723969907405</v>
      </c>
    </row>
    <row r="94" spans="1:3" x14ac:dyDescent="0.2">
      <c r="A94" s="1" t="s">
        <v>46</v>
      </c>
      <c r="B94" s="1" t="s">
        <v>68</v>
      </c>
      <c r="C94" s="2">
        <v>44257.724004629628</v>
      </c>
    </row>
    <row r="95" spans="1:3" x14ac:dyDescent="0.2">
      <c r="A95" s="1" t="s">
        <v>35</v>
      </c>
      <c r="B95" s="1" t="s">
        <v>49</v>
      </c>
      <c r="C95" s="2">
        <v>44257.370833333334</v>
      </c>
    </row>
    <row r="96" spans="1:3" x14ac:dyDescent="0.2">
      <c r="A96" s="1" t="s">
        <v>35</v>
      </c>
      <c r="B96" s="1" t="s">
        <v>49</v>
      </c>
      <c r="C96" s="2">
        <v>44257.374942129631</v>
      </c>
    </row>
    <row r="97" spans="1:3" x14ac:dyDescent="0.2">
      <c r="A97" s="1" t="s">
        <v>35</v>
      </c>
      <c r="B97" s="1" t="s">
        <v>49</v>
      </c>
      <c r="C97" s="2">
        <v>44257.375937500001</v>
      </c>
    </row>
    <row r="98" spans="1:3" x14ac:dyDescent="0.2">
      <c r="A98" s="1" t="s">
        <v>35</v>
      </c>
      <c r="B98" s="1" t="s">
        <v>49</v>
      </c>
      <c r="C98" s="2">
        <v>44257.376030092593</v>
      </c>
    </row>
    <row r="99" spans="1:3" x14ac:dyDescent="0.2">
      <c r="A99" s="1" t="s">
        <v>35</v>
      </c>
      <c r="B99" s="1" t="s">
        <v>50</v>
      </c>
      <c r="C99" s="2">
        <v>44257.377187500002</v>
      </c>
    </row>
    <row r="100" spans="1:3" x14ac:dyDescent="0.2">
      <c r="A100" s="1" t="s">
        <v>35</v>
      </c>
      <c r="B100" s="1" t="s">
        <v>50</v>
      </c>
      <c r="C100" s="2">
        <v>44257.377870370372</v>
      </c>
    </row>
    <row r="101" spans="1:3" x14ac:dyDescent="0.2">
      <c r="A101" s="1" t="s">
        <v>35</v>
      </c>
      <c r="B101" s="1" t="s">
        <v>50</v>
      </c>
      <c r="C101" s="2">
        <v>44257.379178240742</v>
      </c>
    </row>
    <row r="102" spans="1:3" x14ac:dyDescent="0.2">
      <c r="A102" s="1" t="s">
        <v>35</v>
      </c>
      <c r="B102" s="1" t="s">
        <v>50</v>
      </c>
      <c r="C102" s="2">
        <v>44257.379988425928</v>
      </c>
    </row>
    <row r="103" spans="1:3" x14ac:dyDescent="0.2">
      <c r="A103" s="1" t="s">
        <v>35</v>
      </c>
      <c r="B103" s="1" t="s">
        <v>49</v>
      </c>
      <c r="C103" s="2">
        <v>44257.38077546296</v>
      </c>
    </row>
    <row r="104" spans="1:3" x14ac:dyDescent="0.2">
      <c r="A104" s="1" t="s">
        <v>35</v>
      </c>
      <c r="B104" s="1" t="s">
        <v>49</v>
      </c>
      <c r="C104" s="2">
        <v>44257.381435185183</v>
      </c>
    </row>
    <row r="105" spans="1:3" x14ac:dyDescent="0.2">
      <c r="A105" s="1" t="s">
        <v>35</v>
      </c>
      <c r="B105" s="1" t="s">
        <v>49</v>
      </c>
      <c r="C105" s="2">
        <v>44257.382465277777</v>
      </c>
    </row>
    <row r="106" spans="1:3" x14ac:dyDescent="0.2">
      <c r="A106" s="1" t="s">
        <v>35</v>
      </c>
      <c r="B106" s="1" t="s">
        <v>49</v>
      </c>
      <c r="C106" s="2">
        <v>44257.382708333331</v>
      </c>
    </row>
    <row r="107" spans="1:3" x14ac:dyDescent="0.2">
      <c r="A107" s="1" t="s">
        <v>35</v>
      </c>
      <c r="B107" s="1" t="s">
        <v>50</v>
      </c>
      <c r="C107" s="2">
        <v>44257.383483796293</v>
      </c>
    </row>
    <row r="108" spans="1:3" x14ac:dyDescent="0.2">
      <c r="A108" s="1" t="s">
        <v>35</v>
      </c>
      <c r="B108" s="1" t="s">
        <v>49</v>
      </c>
      <c r="C108" s="2">
        <v>44257.384131944447</v>
      </c>
    </row>
    <row r="109" spans="1:3" x14ac:dyDescent="0.2">
      <c r="A109" s="1" t="s">
        <v>35</v>
      </c>
      <c r="B109" s="1" t="s">
        <v>49</v>
      </c>
      <c r="C109" s="2">
        <v>44257.384432870371</v>
      </c>
    </row>
    <row r="110" spans="1:3" x14ac:dyDescent="0.2">
      <c r="A110" s="1" t="s">
        <v>35</v>
      </c>
      <c r="B110" s="1" t="s">
        <v>49</v>
      </c>
      <c r="C110" s="2">
        <v>44257.385289351849</v>
      </c>
    </row>
    <row r="111" spans="1:3" x14ac:dyDescent="0.2">
      <c r="A111" s="1" t="s">
        <v>35</v>
      </c>
      <c r="B111" s="1" t="s">
        <v>50</v>
      </c>
      <c r="C111" s="2">
        <v>44257.38554398148</v>
      </c>
    </row>
    <row r="112" spans="1:3" x14ac:dyDescent="0.2">
      <c r="A112" s="1" t="s">
        <v>35</v>
      </c>
      <c r="B112" s="1" t="s">
        <v>50</v>
      </c>
      <c r="C112" s="2">
        <v>44257.385798611111</v>
      </c>
    </row>
    <row r="113" spans="1:3" x14ac:dyDescent="0.2">
      <c r="A113" s="1" t="s">
        <v>35</v>
      </c>
      <c r="B113" s="1" t="s">
        <v>49</v>
      </c>
      <c r="C113" s="2">
        <v>44257.386041666665</v>
      </c>
    </row>
    <row r="114" spans="1:3" x14ac:dyDescent="0.2">
      <c r="A114" s="1" t="s">
        <v>35</v>
      </c>
      <c r="B114" s="1" t="s">
        <v>50</v>
      </c>
      <c r="C114" s="2">
        <v>44257.386307870373</v>
      </c>
    </row>
    <row r="115" spans="1:3" x14ac:dyDescent="0.2">
      <c r="A115" s="1" t="s">
        <v>35</v>
      </c>
      <c r="B115" s="1" t="s">
        <v>50</v>
      </c>
      <c r="C115" s="2">
        <v>44257.387002314812</v>
      </c>
    </row>
    <row r="116" spans="1:3" x14ac:dyDescent="0.2">
      <c r="A116" s="1" t="s">
        <v>35</v>
      </c>
      <c r="B116" s="1" t="s">
        <v>50</v>
      </c>
      <c r="C116" s="2">
        <v>44257.387326388889</v>
      </c>
    </row>
    <row r="117" spans="1:3" x14ac:dyDescent="0.2">
      <c r="A117" s="1" t="s">
        <v>35</v>
      </c>
      <c r="B117" s="1" t="s">
        <v>49</v>
      </c>
      <c r="C117" s="2">
        <v>44257.387615740743</v>
      </c>
    </row>
    <row r="118" spans="1:3" x14ac:dyDescent="0.2">
      <c r="A118" s="1" t="s">
        <v>35</v>
      </c>
      <c r="B118" s="1" t="s">
        <v>50</v>
      </c>
      <c r="C118" s="2">
        <v>44257.387974537036</v>
      </c>
    </row>
    <row r="119" spans="1:3" x14ac:dyDescent="0.2">
      <c r="A119" s="1" t="s">
        <v>35</v>
      </c>
      <c r="B119" s="1" t="s">
        <v>50</v>
      </c>
      <c r="C119" s="2">
        <v>44257.389328703706</v>
      </c>
    </row>
    <row r="120" spans="1:3" x14ac:dyDescent="0.2">
      <c r="A120" s="1" t="s">
        <v>35</v>
      </c>
      <c r="B120" s="1" t="s">
        <v>50</v>
      </c>
      <c r="C120" s="2">
        <v>44257.389618055553</v>
      </c>
    </row>
    <row r="121" spans="1:3" x14ac:dyDescent="0.2">
      <c r="A121" s="1" t="s">
        <v>35</v>
      </c>
      <c r="B121" s="1" t="s">
        <v>50</v>
      </c>
      <c r="C121" s="2">
        <v>44257.389907407407</v>
      </c>
    </row>
    <row r="122" spans="1:3" x14ac:dyDescent="0.2">
      <c r="A122" s="1" t="s">
        <v>35</v>
      </c>
      <c r="B122" s="1" t="s">
        <v>49</v>
      </c>
      <c r="C122" s="2">
        <v>44257.390173611115</v>
      </c>
    </row>
    <row r="123" spans="1:3" x14ac:dyDescent="0.2">
      <c r="A123" s="1" t="s">
        <v>35</v>
      </c>
      <c r="B123" s="1" t="s">
        <v>50</v>
      </c>
      <c r="C123" s="2">
        <v>44257.390462962961</v>
      </c>
    </row>
    <row r="124" spans="1:3" x14ac:dyDescent="0.2">
      <c r="A124" s="1" t="s">
        <v>35</v>
      </c>
      <c r="B124" s="1" t="s">
        <v>50</v>
      </c>
      <c r="C124" s="2">
        <v>44257.390798611108</v>
      </c>
    </row>
    <row r="125" spans="1:3" x14ac:dyDescent="0.2">
      <c r="A125" s="1" t="s">
        <v>35</v>
      </c>
      <c r="B125" s="1" t="s">
        <v>50</v>
      </c>
      <c r="C125" s="2">
        <v>44257.391967592594</v>
      </c>
    </row>
    <row r="126" spans="1:3" x14ac:dyDescent="0.2">
      <c r="A126" s="1" t="s">
        <v>35</v>
      </c>
      <c r="B126" s="1" t="s">
        <v>49</v>
      </c>
      <c r="C126" s="2">
        <v>44257.392175925925</v>
      </c>
    </row>
    <row r="127" spans="1:3" x14ac:dyDescent="0.2">
      <c r="A127" s="1" t="s">
        <v>35</v>
      </c>
      <c r="B127" s="1" t="s">
        <v>50</v>
      </c>
      <c r="C127" s="2">
        <v>44257.392523148148</v>
      </c>
    </row>
    <row r="128" spans="1:3" x14ac:dyDescent="0.2">
      <c r="A128" s="1" t="s">
        <v>35</v>
      </c>
      <c r="B128" s="1" t="s">
        <v>49</v>
      </c>
      <c r="C128" s="2">
        <v>44257.392800925925</v>
      </c>
    </row>
    <row r="129" spans="1:3" x14ac:dyDescent="0.2">
      <c r="A129" s="1" t="s">
        <v>35</v>
      </c>
      <c r="B129" s="1" t="s">
        <v>49</v>
      </c>
      <c r="C129" s="2">
        <v>44257.393657407411</v>
      </c>
    </row>
    <row r="130" spans="1:3" x14ac:dyDescent="0.2">
      <c r="A130" s="1" t="s">
        <v>35</v>
      </c>
      <c r="B130" s="1" t="s">
        <v>50</v>
      </c>
      <c r="C130" s="2">
        <v>44257.393946759257</v>
      </c>
    </row>
    <row r="131" spans="1:3" x14ac:dyDescent="0.2">
      <c r="A131" s="1" t="s">
        <v>35</v>
      </c>
      <c r="B131" s="1" t="s">
        <v>50</v>
      </c>
      <c r="C131" s="2">
        <v>44257.394317129627</v>
      </c>
    </row>
    <row r="132" spans="1:3" x14ac:dyDescent="0.2">
      <c r="A132" s="1" t="s">
        <v>35</v>
      </c>
      <c r="B132" s="1" t="s">
        <v>50</v>
      </c>
      <c r="C132" s="2">
        <v>44257.395138888889</v>
      </c>
    </row>
    <row r="133" spans="1:3" x14ac:dyDescent="0.2">
      <c r="A133" s="1" t="s">
        <v>35</v>
      </c>
      <c r="B133" s="1" t="s">
        <v>50</v>
      </c>
      <c r="C133" s="2">
        <v>44257.395462962966</v>
      </c>
    </row>
    <row r="134" spans="1:3" x14ac:dyDescent="0.2">
      <c r="A134" s="1" t="s">
        <v>35</v>
      </c>
      <c r="B134" s="1" t="s">
        <v>50</v>
      </c>
      <c r="C134" s="2">
        <v>44257.396226851852</v>
      </c>
    </row>
    <row r="135" spans="1:3" x14ac:dyDescent="0.2">
      <c r="A135" s="1" t="s">
        <v>35</v>
      </c>
      <c r="B135" s="1" t="s">
        <v>50</v>
      </c>
      <c r="C135" s="2">
        <v>44257.398043981484</v>
      </c>
    </row>
    <row r="136" spans="1:3" x14ac:dyDescent="0.2">
      <c r="A136" s="1" t="s">
        <v>35</v>
      </c>
      <c r="B136" s="1" t="s">
        <v>49</v>
      </c>
      <c r="C136" s="2">
        <v>44257.398159722223</v>
      </c>
    </row>
    <row r="137" spans="1:3" x14ac:dyDescent="0.2">
      <c r="A137" s="1" t="s">
        <v>35</v>
      </c>
      <c r="B137" s="1" t="s">
        <v>50</v>
      </c>
      <c r="C137" s="2">
        <v>44257.398425925923</v>
      </c>
    </row>
    <row r="138" spans="1:3" x14ac:dyDescent="0.2">
      <c r="A138" s="1" t="s">
        <v>35</v>
      </c>
      <c r="B138" s="1" t="s">
        <v>50</v>
      </c>
      <c r="C138" s="2">
        <v>44257.3987037037</v>
      </c>
    </row>
    <row r="139" spans="1:3" x14ac:dyDescent="0.2">
      <c r="A139" s="1" t="s">
        <v>35</v>
      </c>
      <c r="B139" s="1" t="s">
        <v>49</v>
      </c>
      <c r="C139" s="2">
        <v>44257.398831018516</v>
      </c>
    </row>
    <row r="140" spans="1:3" x14ac:dyDescent="0.2">
      <c r="A140" s="1" t="s">
        <v>35</v>
      </c>
      <c r="B140" s="1" t="s">
        <v>50</v>
      </c>
      <c r="C140" s="2">
        <v>44257.399155092593</v>
      </c>
    </row>
    <row r="141" spans="1:3" x14ac:dyDescent="0.2">
      <c r="A141" s="1" t="s">
        <v>35</v>
      </c>
      <c r="B141" s="1" t="s">
        <v>50</v>
      </c>
      <c r="C141" s="2">
        <v>44257.399618055555</v>
      </c>
    </row>
    <row r="142" spans="1:3" x14ac:dyDescent="0.2">
      <c r="A142" s="1" t="s">
        <v>35</v>
      </c>
      <c r="B142" s="1" t="s">
        <v>50</v>
      </c>
      <c r="C142" s="2">
        <v>44257.400636574072</v>
      </c>
    </row>
    <row r="143" spans="1:3" x14ac:dyDescent="0.2">
      <c r="A143" s="1" t="s">
        <v>35</v>
      </c>
      <c r="B143" s="1" t="s">
        <v>49</v>
      </c>
      <c r="C143" s="2">
        <v>44257.400810185187</v>
      </c>
    </row>
    <row r="144" spans="1:3" x14ac:dyDescent="0.2">
      <c r="A144" s="1" t="s">
        <v>35</v>
      </c>
      <c r="B144" s="1" t="s">
        <v>50</v>
      </c>
      <c r="C144" s="2">
        <v>44257.401053240741</v>
      </c>
    </row>
    <row r="145" spans="1:3" x14ac:dyDescent="0.2">
      <c r="A145" s="1" t="s">
        <v>35</v>
      </c>
      <c r="B145" s="1" t="s">
        <v>50</v>
      </c>
      <c r="C145" s="2">
        <v>44257.401354166665</v>
      </c>
    </row>
    <row r="146" spans="1:3" x14ac:dyDescent="0.2">
      <c r="A146" s="1" t="s">
        <v>35</v>
      </c>
      <c r="B146" s="1" t="s">
        <v>50</v>
      </c>
      <c r="C146" s="2">
        <v>44257.402395833335</v>
      </c>
    </row>
    <row r="147" spans="1:3" x14ac:dyDescent="0.2">
      <c r="A147" s="1" t="s">
        <v>35</v>
      </c>
      <c r="B147" s="1" t="s">
        <v>50</v>
      </c>
      <c r="C147" s="2">
        <v>44257.402754629627</v>
      </c>
    </row>
    <row r="148" spans="1:3" x14ac:dyDescent="0.2">
      <c r="A148" s="1" t="s">
        <v>35</v>
      </c>
      <c r="B148" s="1" t="s">
        <v>50</v>
      </c>
      <c r="C148" s="2">
        <v>44257.404675925929</v>
      </c>
    </row>
    <row r="149" spans="1:3" x14ac:dyDescent="0.2">
      <c r="A149" s="1" t="s">
        <v>35</v>
      </c>
      <c r="B149" s="1" t="s">
        <v>50</v>
      </c>
      <c r="C149" s="2">
        <v>44257.404733796298</v>
      </c>
    </row>
    <row r="150" spans="1:3" x14ac:dyDescent="0.2">
      <c r="A150" s="1" t="s">
        <v>35</v>
      </c>
      <c r="B150" s="1" t="s">
        <v>50</v>
      </c>
      <c r="C150" s="2">
        <v>44257.410671296297</v>
      </c>
    </row>
    <row r="151" spans="1:3" x14ac:dyDescent="0.2">
      <c r="A151" s="1" t="s">
        <v>35</v>
      </c>
      <c r="B151" s="1" t="s">
        <v>49</v>
      </c>
      <c r="C151" s="2">
        <v>44257.410729166666</v>
      </c>
    </row>
    <row r="152" spans="1:3" x14ac:dyDescent="0.2">
      <c r="A152" s="1" t="s">
        <v>35</v>
      </c>
      <c r="B152" s="1" t="s">
        <v>49</v>
      </c>
      <c r="C152" s="2">
        <v>44257.411469907405</v>
      </c>
    </row>
    <row r="153" spans="1:3" x14ac:dyDescent="0.2">
      <c r="A153" s="1" t="s">
        <v>35</v>
      </c>
      <c r="B153" s="1" t="s">
        <v>49</v>
      </c>
      <c r="C153" s="2">
        <v>44257.412499999999</v>
      </c>
    </row>
    <row r="154" spans="1:3" x14ac:dyDescent="0.2">
      <c r="A154" s="1" t="s">
        <v>35</v>
      </c>
      <c r="B154" s="1" t="s">
        <v>50</v>
      </c>
      <c r="C154" s="2">
        <v>44257.412557870368</v>
      </c>
    </row>
    <row r="155" spans="1:3" x14ac:dyDescent="0.2">
      <c r="A155" s="1" t="s">
        <v>35</v>
      </c>
      <c r="B155" s="1" t="s">
        <v>49</v>
      </c>
      <c r="C155" s="2">
        <v>44257.413807870369</v>
      </c>
    </row>
    <row r="156" spans="1:3" x14ac:dyDescent="0.2">
      <c r="A156" s="1" t="s">
        <v>35</v>
      </c>
      <c r="B156" s="1" t="s">
        <v>50</v>
      </c>
      <c r="C156" s="2">
        <v>44257.413865740738</v>
      </c>
    </row>
    <row r="157" spans="1:3" x14ac:dyDescent="0.2">
      <c r="A157" s="1" t="s">
        <v>35</v>
      </c>
      <c r="B157" s="1" t="s">
        <v>49</v>
      </c>
      <c r="C157" s="2">
        <v>44257.414606481485</v>
      </c>
    </row>
    <row r="158" spans="1:3" x14ac:dyDescent="0.2">
      <c r="A158" s="1" t="s">
        <v>35</v>
      </c>
      <c r="B158" s="1" t="s">
        <v>49</v>
      </c>
      <c r="C158" s="2">
        <v>44257.414664351854</v>
      </c>
    </row>
    <row r="159" spans="1:3" x14ac:dyDescent="0.2">
      <c r="A159" s="1" t="s">
        <v>35</v>
      </c>
      <c r="B159" s="1" t="s">
        <v>49</v>
      </c>
      <c r="C159" s="2">
        <v>44257.415671296294</v>
      </c>
    </row>
    <row r="160" spans="1:3" x14ac:dyDescent="0.2">
      <c r="A160" s="1" t="s">
        <v>35</v>
      </c>
      <c r="B160" s="1" t="s">
        <v>49</v>
      </c>
      <c r="C160" s="2">
        <v>44257.415717592594</v>
      </c>
    </row>
    <row r="161" spans="1:3" x14ac:dyDescent="0.2">
      <c r="A161" s="1" t="s">
        <v>35</v>
      </c>
      <c r="B161" s="1" t="s">
        <v>49</v>
      </c>
      <c r="C161" s="2">
        <v>44257.415949074071</v>
      </c>
    </row>
    <row r="162" spans="1:3" x14ac:dyDescent="0.2">
      <c r="A162" s="1" t="s">
        <v>35</v>
      </c>
      <c r="B162" s="1" t="s">
        <v>50</v>
      </c>
      <c r="C162" s="2">
        <v>44257.416238425925</v>
      </c>
    </row>
    <row r="163" spans="1:3" x14ac:dyDescent="0.2">
      <c r="A163" s="1" t="s">
        <v>35</v>
      </c>
      <c r="B163" s="1" t="s">
        <v>49</v>
      </c>
      <c r="C163" s="2">
        <v>44257.417280092595</v>
      </c>
    </row>
    <row r="164" spans="1:3" x14ac:dyDescent="0.2">
      <c r="A164" s="1" t="s">
        <v>35</v>
      </c>
      <c r="B164" s="1" t="s">
        <v>49</v>
      </c>
      <c r="C164" s="2">
        <v>44257.417928240742</v>
      </c>
    </row>
    <row r="165" spans="1:3" x14ac:dyDescent="0.2">
      <c r="A165" s="1" t="s">
        <v>35</v>
      </c>
      <c r="B165" s="1" t="s">
        <v>49</v>
      </c>
      <c r="C165" s="2">
        <v>44257.419282407405</v>
      </c>
    </row>
    <row r="166" spans="1:3" x14ac:dyDescent="0.2">
      <c r="A166" s="1" t="s">
        <v>35</v>
      </c>
      <c r="B166" s="1" t="s">
        <v>49</v>
      </c>
      <c r="C166" s="2">
        <v>44257.419328703705</v>
      </c>
    </row>
    <row r="167" spans="1:3" x14ac:dyDescent="0.2">
      <c r="A167" s="1" t="s">
        <v>35</v>
      </c>
      <c r="B167" s="1" t="s">
        <v>50</v>
      </c>
      <c r="C167" s="2">
        <v>44257.420138888891</v>
      </c>
    </row>
    <row r="168" spans="1:3" x14ac:dyDescent="0.2">
      <c r="A168" s="1" t="s">
        <v>35</v>
      </c>
      <c r="B168" s="1" t="s">
        <v>50</v>
      </c>
      <c r="C168" s="2">
        <v>44257.420185185183</v>
      </c>
    </row>
    <row r="169" spans="1:3" x14ac:dyDescent="0.2">
      <c r="A169" s="1" t="s">
        <v>35</v>
      </c>
      <c r="B169" s="1" t="s">
        <v>50</v>
      </c>
      <c r="C169" s="2">
        <v>44257.421111111114</v>
      </c>
    </row>
    <row r="170" spans="1:3" x14ac:dyDescent="0.2">
      <c r="A170" s="1" t="s">
        <v>35</v>
      </c>
      <c r="B170" s="1" t="s">
        <v>49</v>
      </c>
      <c r="C170" s="2">
        <v>44257.421180555553</v>
      </c>
    </row>
    <row r="171" spans="1:3" x14ac:dyDescent="0.2">
      <c r="A171" s="1" t="s">
        <v>35</v>
      </c>
      <c r="B171" s="1" t="s">
        <v>50</v>
      </c>
      <c r="C171" s="2">
        <v>44257.422407407408</v>
      </c>
    </row>
    <row r="172" spans="1:3" x14ac:dyDescent="0.2">
      <c r="A172" s="1" t="s">
        <v>35</v>
      </c>
      <c r="B172" s="1" t="s">
        <v>50</v>
      </c>
      <c r="C172" s="2">
        <v>44257.422465277778</v>
      </c>
    </row>
    <row r="173" spans="1:3" x14ac:dyDescent="0.2">
      <c r="A173" s="1" t="s">
        <v>35</v>
      </c>
      <c r="B173" s="1" t="s">
        <v>50</v>
      </c>
      <c r="C173" s="2">
        <v>44257.424212962964</v>
      </c>
    </row>
    <row r="174" spans="1:3" x14ac:dyDescent="0.2">
      <c r="A174" s="1" t="s">
        <v>35</v>
      </c>
      <c r="B174" s="1" t="s">
        <v>49</v>
      </c>
      <c r="C174" s="2">
        <v>44257.424305555556</v>
      </c>
    </row>
    <row r="175" spans="1:3" x14ac:dyDescent="0.2">
      <c r="A175" s="1" t="s">
        <v>35</v>
      </c>
      <c r="B175" s="1" t="s">
        <v>49</v>
      </c>
      <c r="C175" s="2">
        <v>44257.42465277778</v>
      </c>
    </row>
    <row r="176" spans="1:3" x14ac:dyDescent="0.2">
      <c r="A176" s="1" t="s">
        <v>35</v>
      </c>
      <c r="B176" s="1" t="s">
        <v>50</v>
      </c>
      <c r="C176" s="2">
        <v>44257.425023148149</v>
      </c>
    </row>
    <row r="177" spans="1:3" x14ac:dyDescent="0.2">
      <c r="A177" s="1" t="s">
        <v>35</v>
      </c>
      <c r="B177" s="1" t="s">
        <v>50</v>
      </c>
      <c r="C177" s="2">
        <v>44257.426770833335</v>
      </c>
    </row>
    <row r="178" spans="1:3" x14ac:dyDescent="0.2">
      <c r="A178" s="1" t="s">
        <v>35</v>
      </c>
      <c r="B178" s="1" t="s">
        <v>49</v>
      </c>
      <c r="C178" s="2">
        <v>44257.42696759259</v>
      </c>
    </row>
    <row r="179" spans="1:3" x14ac:dyDescent="0.2">
      <c r="A179" s="1" t="s">
        <v>35</v>
      </c>
      <c r="B179" s="1" t="s">
        <v>49</v>
      </c>
      <c r="C179" s="2">
        <v>44257.427268518521</v>
      </c>
    </row>
    <row r="180" spans="1:3" x14ac:dyDescent="0.2">
      <c r="A180" s="1" t="s">
        <v>35</v>
      </c>
      <c r="B180" s="1" t="s">
        <v>49</v>
      </c>
      <c r="C180" s="2">
        <v>44257.428020833337</v>
      </c>
    </row>
    <row r="181" spans="1:3" x14ac:dyDescent="0.2">
      <c r="A181" s="1" t="s">
        <v>35</v>
      </c>
      <c r="B181" s="1" t="s">
        <v>49</v>
      </c>
      <c r="C181" s="2">
        <v>44257.428252314814</v>
      </c>
    </row>
    <row r="182" spans="1:3" x14ac:dyDescent="0.2">
      <c r="A182" s="1" t="s">
        <v>35</v>
      </c>
      <c r="B182" s="1" t="s">
        <v>49</v>
      </c>
      <c r="C182" s="2">
        <v>44257.428877314815</v>
      </c>
    </row>
    <row r="183" spans="1:3" x14ac:dyDescent="0.2">
      <c r="A183" s="1" t="s">
        <v>35</v>
      </c>
      <c r="B183" s="1" t="s">
        <v>49</v>
      </c>
      <c r="C183" s="2">
        <v>44257.428946759261</v>
      </c>
    </row>
    <row r="184" spans="1:3" x14ac:dyDescent="0.2">
      <c r="A184" s="1" t="s">
        <v>35</v>
      </c>
      <c r="B184" s="1" t="s">
        <v>49</v>
      </c>
      <c r="C184" s="2">
        <v>44257.429780092592</v>
      </c>
    </row>
    <row r="185" spans="1:3" x14ac:dyDescent="0.2">
      <c r="A185" s="1" t="s">
        <v>35</v>
      </c>
      <c r="B185" s="1" t="s">
        <v>49</v>
      </c>
      <c r="C185" s="2">
        <v>44257.430694444447</v>
      </c>
    </row>
    <row r="186" spans="1:3" x14ac:dyDescent="0.2">
      <c r="A186" s="1" t="s">
        <v>35</v>
      </c>
      <c r="B186" s="1" t="s">
        <v>49</v>
      </c>
      <c r="C186" s="2">
        <v>44257.43074074074</v>
      </c>
    </row>
    <row r="187" spans="1:3" x14ac:dyDescent="0.2">
      <c r="A187" s="1" t="s">
        <v>35</v>
      </c>
      <c r="B187" s="1" t="s">
        <v>50</v>
      </c>
      <c r="C187" s="2">
        <v>44257.430787037039</v>
      </c>
    </row>
    <row r="188" spans="1:3" x14ac:dyDescent="0.2">
      <c r="A188" s="1" t="s">
        <v>35</v>
      </c>
      <c r="B188" s="1" t="s">
        <v>50</v>
      </c>
      <c r="C188" s="2">
        <v>44257.43236111111</v>
      </c>
    </row>
    <row r="189" spans="1:3" x14ac:dyDescent="0.2">
      <c r="A189" s="1" t="s">
        <v>35</v>
      </c>
      <c r="B189" s="1" t="s">
        <v>50</v>
      </c>
      <c r="C189" s="2">
        <v>44257.432638888888</v>
      </c>
    </row>
    <row r="190" spans="1:3" x14ac:dyDescent="0.2">
      <c r="A190" s="1" t="s">
        <v>35</v>
      </c>
      <c r="B190" s="1" t="s">
        <v>49</v>
      </c>
      <c r="C190" s="2">
        <v>44257.434201388889</v>
      </c>
    </row>
    <row r="191" spans="1:3" x14ac:dyDescent="0.2">
      <c r="A191" s="1" t="s">
        <v>35</v>
      </c>
      <c r="B191" s="1" t="s">
        <v>49</v>
      </c>
      <c r="C191" s="2">
        <v>44257.434918981482</v>
      </c>
    </row>
    <row r="192" spans="1:3" x14ac:dyDescent="0.2">
      <c r="A192" s="1" t="s">
        <v>35</v>
      </c>
      <c r="B192" s="1" t="s">
        <v>49</v>
      </c>
      <c r="C192" s="2">
        <v>44257.434999999998</v>
      </c>
    </row>
  </sheetData>
  <phoneticPr fontId="35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91B013-5A97-4043-80A0-2173ED0052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Totals</vt:lpstr>
      <vt:lpstr>Rev Log</vt:lpstr>
      <vt:lpstr>Query</vt:lpstr>
      <vt:lpstr>TODAY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15198</cp:lastModifiedBy>
  <cp:lastPrinted>2021-03-03T12:26:02Z</cp:lastPrinted>
  <dcterms:created xsi:type="dcterms:W3CDTF">2012-08-13T15:26:39Z</dcterms:created>
  <dcterms:modified xsi:type="dcterms:W3CDTF">2021-03-31T16:26:47Z</dcterms:modified>
</cp:coreProperties>
</file>