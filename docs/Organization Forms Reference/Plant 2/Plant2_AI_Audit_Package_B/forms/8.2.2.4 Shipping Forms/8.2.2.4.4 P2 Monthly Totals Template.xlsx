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Shipping Forms\"/>
    </mc:Choice>
  </mc:AlternateContent>
  <xr:revisionPtr revIDLastSave="0" documentId="13_ncr:1_{40C7DF59-5E1F-4CEF-A2EC-EA4C098C473F}" xr6:coauthVersionLast="47" xr6:coauthVersionMax="47" xr10:uidLastSave="{00000000-0000-0000-0000-000000000000}"/>
  <bookViews>
    <workbookView xWindow="-120" yWindow="-120" windowWidth="29040" windowHeight="15720" xr2:uid="{96B743EA-7062-4B49-A9CE-F958FDD4AAA9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Sheet1!$A$3:$AN$17</definedName>
    <definedName name="_xlnm._FilterDatabase" localSheetId="1" hidden="1">Sheet2!$O$1:$P$1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0" i="1" l="1"/>
  <c r="AF10" i="1"/>
  <c r="AC10" i="1"/>
  <c r="Z10" i="1"/>
  <c r="W10" i="1"/>
  <c r="T10" i="1"/>
  <c r="AI9" i="1" l="1"/>
  <c r="AF9" i="1"/>
  <c r="AC9" i="1"/>
  <c r="Z9" i="1"/>
  <c r="W9" i="1"/>
  <c r="T9" i="1"/>
  <c r="AI8" i="1" l="1"/>
  <c r="AF8" i="1"/>
  <c r="AC8" i="1"/>
  <c r="Z8" i="1"/>
  <c r="W8" i="1"/>
  <c r="T8" i="1"/>
  <c r="AI7" i="1" l="1"/>
  <c r="AF7" i="1"/>
  <c r="AC7" i="1"/>
  <c r="Z7" i="1"/>
  <c r="W7" i="1"/>
  <c r="T7" i="1"/>
  <c r="AI6" i="1" l="1"/>
  <c r="AF6" i="1"/>
  <c r="AC6" i="1"/>
  <c r="Z6" i="1"/>
  <c r="W6" i="1"/>
  <c r="T6" i="1"/>
  <c r="AI5" i="1" l="1"/>
  <c r="AF5" i="1"/>
  <c r="AC5" i="1"/>
  <c r="Z5" i="1"/>
  <c r="W5" i="1"/>
  <c r="T5" i="1"/>
  <c r="AI4" i="1" l="1"/>
  <c r="AF4" i="1"/>
  <c r="AC4" i="1"/>
  <c r="Z4" i="1"/>
  <c r="W4" i="1"/>
  <c r="T4" i="1"/>
  <c r="AJ17" i="1"/>
  <c r="AG17" i="1"/>
  <c r="AD17" i="1"/>
  <c r="AA17" i="1"/>
  <c r="X17" i="1"/>
  <c r="U17" i="1"/>
  <c r="R17" i="1"/>
  <c r="O17" i="1"/>
  <c r="L17" i="1"/>
  <c r="I17" i="1"/>
  <c r="F17" i="1" l="1"/>
  <c r="AM8" i="1" l="1"/>
  <c r="AI17" i="1"/>
  <c r="AK17" i="1" s="1"/>
  <c r="W17" i="1"/>
  <c r="Y17" i="1" s="1"/>
  <c r="K17" i="1"/>
  <c r="M17" i="1" s="1"/>
  <c r="AM6" i="1"/>
  <c r="AM7" i="1"/>
  <c r="AM9" i="1"/>
  <c r="AM10" i="1"/>
  <c r="AM11" i="1"/>
  <c r="AM12" i="1"/>
  <c r="AM13" i="1"/>
  <c r="AM14" i="1"/>
  <c r="AM15" i="1"/>
  <c r="AM16" i="1"/>
  <c r="AM5" i="1"/>
  <c r="N17" i="1" l="1"/>
  <c r="P17" i="1" s="1"/>
  <c r="Z17" i="1"/>
  <c r="AB17" i="1" s="1"/>
  <c r="Q17" i="1"/>
  <c r="S17" i="1" s="1"/>
  <c r="AC17" i="1"/>
  <c r="AE17" i="1" s="1"/>
  <c r="H17" i="1"/>
  <c r="J17" i="1" s="1"/>
  <c r="T17" i="1"/>
  <c r="V17" i="1" s="1"/>
  <c r="AF17" i="1"/>
  <c r="AH17" i="1" s="1"/>
  <c r="E17" i="1"/>
  <c r="G17" i="1" s="1"/>
  <c r="AL10" i="1" l="1"/>
  <c r="AN10" i="1" s="1"/>
  <c r="AL12" i="1"/>
  <c r="AN12" i="1" s="1"/>
  <c r="AL13" i="1"/>
  <c r="AN13" i="1" s="1"/>
  <c r="AL14" i="1"/>
  <c r="AN14" i="1" s="1"/>
  <c r="AL15" i="1"/>
  <c r="AN15" i="1" s="1"/>
  <c r="AL5" i="1"/>
  <c r="AN5" i="1" s="1"/>
  <c r="AL6" i="1" l="1"/>
  <c r="AN6" i="1" s="1"/>
  <c r="AL7" i="1"/>
  <c r="AN7" i="1" s="1"/>
  <c r="AL8" i="1"/>
  <c r="AN8" i="1" s="1"/>
  <c r="AL9" i="1"/>
  <c r="AN9" i="1" s="1"/>
  <c r="AL11" i="1"/>
  <c r="AN11" i="1" s="1"/>
  <c r="AL16" i="1"/>
  <c r="AN16" i="1" s="1"/>
  <c r="AM4" i="1"/>
  <c r="AM17" i="1" s="1"/>
  <c r="AL4" i="1"/>
  <c r="AK7" i="1"/>
  <c r="AK6" i="1"/>
  <c r="AK4" i="1"/>
  <c r="AH7" i="1"/>
  <c r="AH6" i="1"/>
  <c r="AH4" i="1"/>
  <c r="AL17" i="1" l="1"/>
  <c r="AN17" i="1" s="1"/>
  <c r="C17" i="1"/>
  <c r="AN4" i="1"/>
  <c r="B17" i="1" l="1"/>
  <c r="D17" i="1" s="1"/>
</calcChain>
</file>

<file path=xl/sharedStrings.xml><?xml version="1.0" encoding="utf-8"?>
<sst xmlns="http://schemas.openxmlformats.org/spreadsheetml/2006/main" count="140" uniqueCount="67">
  <si>
    <t>Monthly Totals</t>
  </si>
  <si>
    <t>ABM</t>
  </si>
  <si>
    <t>Accuride</t>
  </si>
  <si>
    <t>Anton</t>
  </si>
  <si>
    <t>FNG</t>
  </si>
  <si>
    <t>GWA</t>
  </si>
  <si>
    <t>Maglin</t>
  </si>
  <si>
    <t xml:space="preserve">Maple Stamping </t>
  </si>
  <si>
    <t>Mark II</t>
  </si>
  <si>
    <t>MSSC</t>
  </si>
  <si>
    <t>Muma</t>
  </si>
  <si>
    <t>Polycon</t>
  </si>
  <si>
    <t>Rollstamp</t>
  </si>
  <si>
    <t>Warren</t>
  </si>
  <si>
    <t>Watered Edge</t>
  </si>
  <si>
    <t>WMT</t>
  </si>
  <si>
    <t>BCF</t>
  </si>
  <si>
    <t>Feddes Fabricating</t>
  </si>
  <si>
    <t>JBC</t>
  </si>
  <si>
    <t>Marquee</t>
  </si>
  <si>
    <t>Shurlok</t>
  </si>
  <si>
    <t>JAN</t>
  </si>
  <si>
    <t>FEB</t>
  </si>
  <si>
    <t>Specialty Aluminum</t>
  </si>
  <si>
    <t>Veriform</t>
  </si>
  <si>
    <t>TOTALS</t>
  </si>
  <si>
    <t>Presstran</t>
  </si>
  <si>
    <t xml:space="preserve">Shipped </t>
  </si>
  <si>
    <t xml:space="preserve">Returned </t>
  </si>
  <si>
    <t>Customer RPPM</t>
  </si>
  <si>
    <t>Total Shipped</t>
  </si>
  <si>
    <t xml:space="preserve">Total Returned </t>
  </si>
  <si>
    <t xml:space="preserve">Total RPPM </t>
  </si>
  <si>
    <t>Yearly Totals</t>
  </si>
  <si>
    <t>Mercury</t>
  </si>
  <si>
    <t>APE</t>
  </si>
  <si>
    <t>Multimatic Mfg</t>
  </si>
  <si>
    <t>Rock Technical</t>
  </si>
  <si>
    <t>MONTH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</si>
  <si>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</si>
  <si>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</si>
  <si>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</si>
  <si>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</si>
  <si>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</si>
  <si>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</si>
  <si>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</si>
  <si>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</si>
  <si>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</si>
  <si>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</si>
  <si>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AGS Cambridge</t>
  </si>
  <si>
    <t>AGS Windsor</t>
  </si>
  <si>
    <t>ADP</t>
  </si>
  <si>
    <t>Cmech</t>
  </si>
  <si>
    <t>Ultra Fit</t>
  </si>
  <si>
    <t>Ursa</t>
  </si>
  <si>
    <t>PPM</t>
  </si>
  <si>
    <t>Accurcast</t>
  </si>
  <si>
    <t>Forest City Casting</t>
  </si>
  <si>
    <t xml:space="preserve">Customer </t>
  </si>
  <si>
    <t>QTY</t>
  </si>
  <si>
    <t>Falcon Lakeside</t>
  </si>
  <si>
    <t>Manterra</t>
  </si>
  <si>
    <t>Metelix</t>
  </si>
  <si>
    <t>Mitchell</t>
  </si>
  <si>
    <t>Mytox</t>
  </si>
  <si>
    <t>Seastar Solutions</t>
  </si>
  <si>
    <t xml:space="preserve">Laval Tools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</si>
</sst>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4" borderId="2" xfId="0" applyFill="1" applyBorder="1"/>
    <xf numFmtId="0" fontId="0" fillId="0" borderId="3" xfId="0" applyBorder="1" applyAlignment="1">
      <alignment horizontal="center"/>
    </xf>
    <xf numFmtId="0" fontId="1" fillId="3" borderId="2" xfId="0" applyFont="1" applyFill="1" applyBorder="1"/>
    <xf numFmtId="0" fontId="3" fillId="2" borderId="5" xfId="0" applyFont="1" applyFill="1" applyBorder="1" applyAlignment="1">
      <alignment vertical="center"/>
    </xf>
    <xf numFmtId="0" fontId="0" fillId="0" borderId="1" xfId="0" applyBorder="1"/>
    <xf numFmtId="0" fontId="8" fillId="0" borderId="0" xfId="0" applyFont="1" applyAlignment="1">
      <alignment horizontal="center" vertical="top" textRotation="90"/>
    </xf>
    <xf numFmtId="0" fontId="7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top" textRotation="90" wrapText="1"/>
    </xf>
    <xf numFmtId="0" fontId="0" fillId="5" borderId="3" xfId="0" applyFill="1" applyBorder="1" applyAlignment="1">
      <alignment horizontal="center"/>
    </xf>
    <xf numFmtId="1" fontId="5" fillId="5" borderId="3" xfId="0" applyNumberFormat="1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top" textRotation="90" wrapText="1"/>
    </xf>
    <xf numFmtId="0" fontId="4" fillId="6" borderId="11" xfId="0" applyFont="1" applyFill="1" applyBorder="1" applyAlignment="1">
      <alignment horizontal="center" vertical="top" textRotation="90" wrapText="1"/>
    </xf>
    <xf numFmtId="0" fontId="0" fillId="6" borderId="1" xfId="0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/>
    </xf>
    <xf numFmtId="1" fontId="5" fillId="6" borderId="1" xfId="0" applyNumberFormat="1" applyFont="1" applyFill="1" applyBorder="1"/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PARTS SHIPPED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Sheet2!$P$1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Sheet2!$O$2:$O$38</c:f>
              <c:strCache>
                <c:ptCount val="35"/>
                <c:pt idx="0">
                  <c:v>Mark II</c:v>
                </c:pt>
                <c:pt idx="1">
                  <c:v>ABM</c:v>
                </c:pt>
                <c:pt idx="2">
                  <c:v>Presstran</c:v>
                </c:pt>
                <c:pt idx="3">
                  <c:v>Warren</c:v>
                </c:pt>
                <c:pt idx="4">
                  <c:v>FNG</c:v>
                </c:pt>
                <c:pt idx="5">
                  <c:v>Mercury</c:v>
                </c:pt>
                <c:pt idx="6">
                  <c:v>Rollstamp</c:v>
                </c:pt>
                <c:pt idx="7">
                  <c:v>Anton</c:v>
                </c:pt>
                <c:pt idx="8">
                  <c:v>Maple Stamping </c:v>
                </c:pt>
                <c:pt idx="9">
                  <c:v>WMT</c:v>
                </c:pt>
                <c:pt idx="10">
                  <c:v>ADP</c:v>
                </c:pt>
                <c:pt idx="11">
                  <c:v>AGS Windsor</c:v>
                </c:pt>
                <c:pt idx="12">
                  <c:v>Cmech</c:v>
                </c:pt>
                <c:pt idx="13">
                  <c:v>Muma</c:v>
                </c:pt>
                <c:pt idx="14">
                  <c:v>Accuride</c:v>
                </c:pt>
                <c:pt idx="15">
                  <c:v>Ursa</c:v>
                </c:pt>
                <c:pt idx="16">
                  <c:v>Maglin</c:v>
                </c:pt>
                <c:pt idx="17">
                  <c:v>Multimatic Mfg</c:v>
                </c:pt>
                <c:pt idx="18">
                  <c:v>Accurcast</c:v>
                </c:pt>
                <c:pt idx="19">
                  <c:v>GWA</c:v>
                </c:pt>
                <c:pt idx="20">
                  <c:v>Shurlok</c:v>
                </c:pt>
                <c:pt idx="21">
                  <c:v>AGS Cambridge</c:v>
                </c:pt>
                <c:pt idx="22">
                  <c:v>Ultra Fit</c:v>
                </c:pt>
                <c:pt idx="23">
                  <c:v>MSSC</c:v>
                </c:pt>
                <c:pt idx="24">
                  <c:v>Forest City Casting</c:v>
                </c:pt>
                <c:pt idx="25">
                  <c:v>Veriform</c:v>
                </c:pt>
                <c:pt idx="26">
                  <c:v>Polycon</c:v>
                </c:pt>
                <c:pt idx="27">
                  <c:v>Watered Edge</c:v>
                </c:pt>
                <c:pt idx="28">
                  <c:v>Rock Technical</c:v>
                </c:pt>
                <c:pt idx="29">
                  <c:v>Specialty Aluminum</c:v>
                </c:pt>
                <c:pt idx="30">
                  <c:v>JBC</c:v>
                </c:pt>
                <c:pt idx="31">
                  <c:v>BCF</c:v>
                </c:pt>
                <c:pt idx="32">
                  <c:v>APE</c:v>
                </c:pt>
                <c:pt idx="33">
                  <c:v>Marquee</c:v>
                </c:pt>
                <c:pt idx="34">
                  <c:v>Feddes Fabricating</c:v>
                </c:pt>
              </c:strCache>
            </c:strRef>
          </c:cat>
          <c:val>
            <c:numRef>
              <c:f>Sheet2!$P$2:$P$38</c:f>
              <c:numCache>
                <c:formatCode>General</c:formatCode>
                <c:ptCount val="37"/>
                <c:pt idx="0">
                  <c:v>154263</c:v>
                </c:pt>
                <c:pt idx="1">
                  <c:v>149520</c:v>
                </c:pt>
                <c:pt idx="2">
                  <c:v>116306</c:v>
                </c:pt>
                <c:pt idx="3">
                  <c:v>110700</c:v>
                </c:pt>
                <c:pt idx="4">
                  <c:v>87432</c:v>
                </c:pt>
                <c:pt idx="5">
                  <c:v>82881</c:v>
                </c:pt>
                <c:pt idx="6">
                  <c:v>60959</c:v>
                </c:pt>
                <c:pt idx="7">
                  <c:v>53478</c:v>
                </c:pt>
                <c:pt idx="8">
                  <c:v>48957</c:v>
                </c:pt>
                <c:pt idx="9">
                  <c:v>41510</c:v>
                </c:pt>
                <c:pt idx="10">
                  <c:v>23887</c:v>
                </c:pt>
                <c:pt idx="11">
                  <c:v>19152</c:v>
                </c:pt>
                <c:pt idx="12">
                  <c:v>15535</c:v>
                </c:pt>
                <c:pt idx="13">
                  <c:v>15074</c:v>
                </c:pt>
                <c:pt idx="14">
                  <c:v>11363</c:v>
                </c:pt>
                <c:pt idx="15">
                  <c:v>10678</c:v>
                </c:pt>
                <c:pt idx="16">
                  <c:v>8611</c:v>
                </c:pt>
                <c:pt idx="17">
                  <c:v>6524</c:v>
                </c:pt>
                <c:pt idx="18">
                  <c:v>3864</c:v>
                </c:pt>
                <c:pt idx="19">
                  <c:v>3477</c:v>
                </c:pt>
                <c:pt idx="20">
                  <c:v>1405</c:v>
                </c:pt>
                <c:pt idx="21">
                  <c:v>1110</c:v>
                </c:pt>
                <c:pt idx="22">
                  <c:v>704</c:v>
                </c:pt>
                <c:pt idx="23">
                  <c:v>702</c:v>
                </c:pt>
                <c:pt idx="24">
                  <c:v>500</c:v>
                </c:pt>
                <c:pt idx="25">
                  <c:v>343</c:v>
                </c:pt>
                <c:pt idx="26">
                  <c:v>288</c:v>
                </c:pt>
                <c:pt idx="27">
                  <c:v>213</c:v>
                </c:pt>
                <c:pt idx="28">
                  <c:v>72</c:v>
                </c:pt>
                <c:pt idx="29">
                  <c:v>38</c:v>
                </c:pt>
                <c:pt idx="30">
                  <c:v>19</c:v>
                </c:pt>
                <c:pt idx="31">
                  <c:v>15</c:v>
                </c:pt>
                <c:pt idx="32">
                  <c:v>11</c:v>
                </c:pt>
                <c:pt idx="33">
                  <c:v>9</c:v>
                </c:pt>
                <c:pt idx="3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F-4AF1-A7AA-610F3602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0720"/>
        <c:axId val="1042202703"/>
      </c:barChart>
      <c:catAx>
        <c:axId val="1981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202703"/>
        <c:crosses val="autoZero"/>
        <c:auto val="1"/>
        <c:lblAlgn val="ctr"/>
        <c:lblOffset val="100"/>
        <c:noMultiLvlLbl val="0"/>
      </c:catAx>
      <c:valAx>
        <c:axId val="10422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149541</xdr:colOff>
      <xdr:row>0</xdr:row>
      <xdr:rowOff>124776</xdr:rowOff>
    </xdr:from>
    <xdr:to>
      <xdr:col>13</xdr:col>
      <xdr:colOff>104775</xdr:colOff>
      <xdr:row>22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9F397-099F-2216-C5A4-5FB2872D3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Falcon%20Lakeside\2023%20Falcon%20Lakeside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Falcon%20Lakeside\2023%20Falcon%20Lakeside%20Daily%20Shipping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Manterra\2023%20Manterra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Manterra\2023%20Manterra%20Daily%20Shipping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Metelix\2023%20Metelix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Metelix\2023%20Metelix%20Daily%20Shipping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Mitchell\2023%20Mitchell%20Plastics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Mitchell\2023%20Mitchell%20Plastics%20Daily%20Shipping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Mytox\2023%20Mytox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Mytox\2023%20Mytox%20Daily%20Shipping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Rollstamp\2023%20Rollstamp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Rollstamp\2023%20Rollstamp%20Daily%20Shipping%20Repor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f-srv-18\select\8.0%20Production\8.4%20Shipping%20&amp;%20Receiving\8.4.2%20Plant%202\2023%20Shipping%20and%20Receiving\Seastar%20Solutions\2023%20Seastar%20Solutions%20Daily%20Shipping%20Report.xlsx" TargetMode="External"/><Relationship Id="rId1" Type="http://schemas.openxmlformats.org/officeDocument/2006/relationships/externalLinkPath" Target="file:///\\sf-srv-18\select\8.0%20Production\8.4%20Shipping%20&amp;%20Receiving\8.4.2%20Plant%202\2023%20Shipping%20and%20Receiving\Seastar%20Solutions\2023%20Seastar%20Solutions%20Daily%20Shippin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695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3703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14236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e"/>
      <sheetName val="July"/>
      <sheetName val="Aug"/>
      <sheetName val="Sept"/>
      <sheetName val="Oct"/>
      <sheetName val="Nov"/>
      <sheetName val="Dec"/>
      <sheetName val="Tot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B2">
            <v>480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7AA2-C232-4416-8840-3D4118C1A099}">
  <dimension ref="A1:AN17"/>
  <sheetViews>
    <sheetView showGridLines="0" showZeros="0"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11" sqref="B11"/>
    </sheetView>
  </sheetViews>
  <sheetFormatPr defaultRowHeight="14.25" x14ac:dyDescent="0.2"/>
  <cols>
    <col min="1" max="1" width="16.625" bestFit="1" customWidth="1"/>
    <col min="2" max="37" width="8.375" style="1" customWidth="1"/>
    <col min="38" max="40" width="8.375" customWidth="1"/>
  </cols>
  <sheetData>
    <row r="1" spans="1:40" s="2" customFormat="1" ht="14.25" customHeight="1" x14ac:dyDescent="0.2">
      <c r="A1" s="6" t="s">
        <v>0</v>
      </c>
      <c r="B1" s="22" t="s">
        <v>21</v>
      </c>
      <c r="C1" s="23"/>
      <c r="D1" s="24"/>
      <c r="E1" s="22" t="s">
        <v>22</v>
      </c>
      <c r="F1" s="23"/>
      <c r="G1" s="24"/>
      <c r="H1" s="22" t="s">
        <v>39</v>
      </c>
      <c r="I1" s="23"/>
      <c r="J1" s="24"/>
      <c r="K1" s="22" t="s">
        <v>40</v>
      </c>
      <c r="L1" s="23"/>
      <c r="M1" s="24"/>
      <c r="N1" s="22" t="s">
        <v>41</v>
      </c>
      <c r="O1" s="23"/>
      <c r="P1" s="24"/>
      <c r="Q1" s="22" t="s">
        <v>42</v>
      </c>
      <c r="R1" s="23"/>
      <c r="S1" s="24"/>
      <c r="T1" s="22" t="s">
        <v>43</v>
      </c>
      <c r="U1" s="23"/>
      <c r="V1" s="24"/>
      <c r="W1" s="22" t="s">
        <v>44</v>
      </c>
      <c r="X1" s="23"/>
      <c r="Y1" s="24"/>
      <c r="Z1" s="22" t="s">
        <v>45</v>
      </c>
      <c r="AA1" s="23"/>
      <c r="AB1" s="24"/>
      <c r="AC1" s="22" t="s">
        <v>46</v>
      </c>
      <c r="AD1" s="23"/>
      <c r="AE1" s="24"/>
      <c r="AF1" s="22" t="s">
        <v>47</v>
      </c>
      <c r="AG1" s="23"/>
      <c r="AH1" s="24"/>
      <c r="AI1" s="22" t="s">
        <v>48</v>
      </c>
      <c r="AJ1" s="23"/>
      <c r="AK1" s="24"/>
      <c r="AL1" s="22" t="s">
        <v>33</v>
      </c>
      <c r="AM1" s="23"/>
      <c r="AN1" s="24"/>
    </row>
    <row r="2" spans="1:40" s="10" customFormat="1" ht="15.75" thickBot="1" x14ac:dyDescent="0.25">
      <c r="A2" s="9" t="s">
        <v>38</v>
      </c>
      <c r="B2" s="11" t="s">
        <v>27</v>
      </c>
      <c r="C2" s="15" t="s">
        <v>28</v>
      </c>
      <c r="D2" s="16" t="s">
        <v>55</v>
      </c>
      <c r="E2" s="11" t="s">
        <v>27</v>
      </c>
      <c r="F2" s="15" t="s">
        <v>28</v>
      </c>
      <c r="G2" s="16" t="s">
        <v>55</v>
      </c>
      <c r="H2" s="11" t="s">
        <v>27</v>
      </c>
      <c r="I2" s="15" t="s">
        <v>28</v>
      </c>
      <c r="J2" s="16" t="s">
        <v>55</v>
      </c>
      <c r="K2" s="11" t="s">
        <v>27</v>
      </c>
      <c r="L2" s="15" t="s">
        <v>28</v>
      </c>
      <c r="M2" s="16" t="s">
        <v>55</v>
      </c>
      <c r="N2" s="11" t="s">
        <v>27</v>
      </c>
      <c r="O2" s="15" t="s">
        <v>28</v>
      </c>
      <c r="P2" s="16" t="s">
        <v>55</v>
      </c>
      <c r="Q2" s="11" t="s">
        <v>27</v>
      </c>
      <c r="R2" s="15" t="s">
        <v>28</v>
      </c>
      <c r="S2" s="16" t="s">
        <v>55</v>
      </c>
      <c r="T2" s="11" t="s">
        <v>27</v>
      </c>
      <c r="U2" s="15" t="s">
        <v>28</v>
      </c>
      <c r="V2" s="16" t="s">
        <v>55</v>
      </c>
      <c r="W2" s="11" t="s">
        <v>27</v>
      </c>
      <c r="X2" s="15" t="s">
        <v>28</v>
      </c>
      <c r="Y2" s="16" t="s">
        <v>55</v>
      </c>
      <c r="Z2" s="11" t="s">
        <v>27</v>
      </c>
      <c r="AA2" s="15" t="s">
        <v>28</v>
      </c>
      <c r="AB2" s="16" t="s">
        <v>55</v>
      </c>
      <c r="AC2" s="11" t="s">
        <v>27</v>
      </c>
      <c r="AD2" s="15" t="s">
        <v>28</v>
      </c>
      <c r="AE2" s="16" t="s">
        <v>55</v>
      </c>
      <c r="AF2" s="11" t="s">
        <v>27</v>
      </c>
      <c r="AG2" s="15" t="s">
        <v>28</v>
      </c>
      <c r="AH2" s="16" t="s">
        <v>55</v>
      </c>
      <c r="AI2" s="11" t="s">
        <v>27</v>
      </c>
      <c r="AJ2" s="15" t="s">
        <v>28</v>
      </c>
      <c r="AK2" s="16" t="s">
        <v>55</v>
      </c>
      <c r="AL2" s="11" t="s">
        <v>27</v>
      </c>
      <c r="AM2" s="15" t="s">
        <v>28</v>
      </c>
      <c r="AN2" s="16" t="s">
        <v>55</v>
      </c>
    </row>
    <row r="3" spans="1:40" s="8" customFormat="1" ht="47.25" x14ac:dyDescent="0.2">
      <c r="A3" s="9" t="s">
        <v>58</v>
      </c>
      <c r="B3" s="12" t="s">
        <v>27</v>
      </c>
      <c r="C3" s="17" t="s">
        <v>28</v>
      </c>
      <c r="D3" s="18" t="s">
        <v>29</v>
      </c>
      <c r="E3" s="12" t="s">
        <v>27</v>
      </c>
      <c r="F3" s="17" t="s">
        <v>28</v>
      </c>
      <c r="G3" s="18" t="s">
        <v>29</v>
      </c>
      <c r="H3" s="12" t="s">
        <v>27</v>
      </c>
      <c r="I3" s="17" t="s">
        <v>28</v>
      </c>
      <c r="J3" s="18" t="s">
        <v>29</v>
      </c>
      <c r="K3" s="12" t="s">
        <v>27</v>
      </c>
      <c r="L3" s="17" t="s">
        <v>28</v>
      </c>
      <c r="M3" s="18" t="s">
        <v>29</v>
      </c>
      <c r="N3" s="12" t="s">
        <v>27</v>
      </c>
      <c r="O3" s="17" t="s">
        <v>28</v>
      </c>
      <c r="P3" s="18" t="s">
        <v>29</v>
      </c>
      <c r="Q3" s="12" t="s">
        <v>27</v>
      </c>
      <c r="R3" s="17" t="s">
        <v>28</v>
      </c>
      <c r="S3" s="18" t="s">
        <v>29</v>
      </c>
      <c r="T3" s="12" t="s">
        <v>27</v>
      </c>
      <c r="U3" s="17" t="s">
        <v>28</v>
      </c>
      <c r="V3" s="18" t="s">
        <v>29</v>
      </c>
      <c r="W3" s="12" t="s">
        <v>27</v>
      </c>
      <c r="X3" s="17" t="s">
        <v>28</v>
      </c>
      <c r="Y3" s="18" t="s">
        <v>29</v>
      </c>
      <c r="Z3" s="12" t="s">
        <v>27</v>
      </c>
      <c r="AA3" s="17" t="s">
        <v>28</v>
      </c>
      <c r="AB3" s="18" t="s">
        <v>29</v>
      </c>
      <c r="AC3" s="12" t="s">
        <v>27</v>
      </c>
      <c r="AD3" s="17" t="s">
        <v>28</v>
      </c>
      <c r="AE3" s="18" t="s">
        <v>29</v>
      </c>
      <c r="AF3" s="12" t="s">
        <v>27</v>
      </c>
      <c r="AG3" s="17" t="s">
        <v>28</v>
      </c>
      <c r="AH3" s="18" t="s">
        <v>29</v>
      </c>
      <c r="AI3" s="12" t="s">
        <v>27</v>
      </c>
      <c r="AJ3" s="17" t="s">
        <v>28</v>
      </c>
      <c r="AK3" s="18" t="s">
        <v>29</v>
      </c>
      <c r="AL3" s="12" t="s">
        <v>30</v>
      </c>
      <c r="AM3" s="17" t="s">
        <v>31</v>
      </c>
      <c r="AN3" s="18" t="s">
        <v>32</v>
      </c>
    </row>
    <row r="4" spans="1:40" x14ac:dyDescent="0.2">
      <c r="A4" s="3" t="s">
        <v>60</v>
      </c>
      <c r="B4" s="13"/>
      <c r="C4" s="19"/>
      <c r="D4" s="20"/>
      <c r="E4" s="13"/>
      <c r="F4" s="19"/>
      <c r="G4" s="20"/>
      <c r="H4" s="13"/>
      <c r="I4" s="19"/>
      <c r="J4" s="20"/>
      <c r="K4" s="13"/>
      <c r="L4" s="19"/>
      <c r="M4" s="20"/>
      <c r="N4" s="13"/>
      <c r="O4" s="19"/>
      <c r="P4" s="20"/>
      <c r="Q4" s="13"/>
      <c r="R4" s="19"/>
      <c r="S4" s="20"/>
      <c r="T4" s="13">
        <f>[1]Totals!$B$8</f>
        <v>0</v>
      </c>
      <c r="U4" s="19"/>
      <c r="V4" s="20"/>
      <c r="W4" s="13">
        <f>[1]Totals!$B$9</f>
        <v>0</v>
      </c>
      <c r="X4" s="19"/>
      <c r="Y4" s="20"/>
      <c r="Z4" s="13">
        <f>[1]Totals!$B$10</f>
        <v>0</v>
      </c>
      <c r="AA4" s="19"/>
      <c r="AB4" s="20"/>
      <c r="AC4" s="13">
        <f>[1]Totals!$B$11</f>
        <v>0</v>
      </c>
      <c r="AD4" s="19"/>
      <c r="AE4" s="20"/>
      <c r="AF4" s="13">
        <f>[1]Totals!$B$12</f>
        <v>0</v>
      </c>
      <c r="AG4" s="19"/>
      <c r="AH4" s="20">
        <f>IFERROR(AG4*1000000/AF4,0)</f>
        <v>0</v>
      </c>
      <c r="AI4" s="13">
        <f>[1]Totals!$B$13</f>
        <v>0</v>
      </c>
      <c r="AJ4" s="19"/>
      <c r="AK4" s="20">
        <f>IFERROR(AJ4*1000000/AI4,0)</f>
        <v>0</v>
      </c>
      <c r="AL4" s="13">
        <f t="shared" ref="AL4:AL16" si="0">AI4+AF4+AC4+Z4+W4+T4+Q4+N4+K4+H4+E4+B4</f>
        <v>0</v>
      </c>
      <c r="AM4" s="19">
        <f t="shared" ref="AM4:AM16" si="1">AJ4+AG4+AD4+AA4+X4+U4+R4+O4+L4+I4+F4+C4</f>
        <v>0</v>
      </c>
      <c r="AN4" s="20">
        <f t="shared" ref="AN4:AN16" si="2">IFERROR(AM4*1000000/AL4,0)</f>
        <v>0</v>
      </c>
    </row>
    <row r="5" spans="1:40" x14ac:dyDescent="0.2">
      <c r="A5" s="3" t="s">
        <v>61</v>
      </c>
      <c r="B5" s="13"/>
      <c r="C5" s="19"/>
      <c r="D5" s="20"/>
      <c r="E5" s="13"/>
      <c r="F5" s="19"/>
      <c r="G5" s="20"/>
      <c r="H5" s="13"/>
      <c r="I5" s="19"/>
      <c r="J5" s="20"/>
      <c r="K5" s="13"/>
      <c r="L5" s="19"/>
      <c r="M5" s="20"/>
      <c r="N5" s="13"/>
      <c r="O5" s="19"/>
      <c r="P5" s="20"/>
      <c r="Q5" s="13"/>
      <c r="R5" s="19"/>
      <c r="S5" s="20"/>
      <c r="T5" s="13">
        <f>[2]Totals!$B$8</f>
        <v>0</v>
      </c>
      <c r="U5" s="19"/>
      <c r="V5" s="20"/>
      <c r="W5" s="13">
        <f>[2]Totals!$B$9</f>
        <v>0</v>
      </c>
      <c r="X5" s="19"/>
      <c r="Y5" s="20"/>
      <c r="Z5" s="13">
        <f>[2]Totals!$B$10</f>
        <v>0</v>
      </c>
      <c r="AA5" s="19"/>
      <c r="AB5" s="20"/>
      <c r="AC5" s="13">
        <f>[2]Totals!$B$11</f>
        <v>0</v>
      </c>
      <c r="AD5" s="19"/>
      <c r="AE5" s="20"/>
      <c r="AF5" s="13">
        <f>[2]Totals!$B$12</f>
        <v>0</v>
      </c>
      <c r="AG5" s="19"/>
      <c r="AH5" s="20"/>
      <c r="AI5" s="13">
        <f>[2]Totals!$B$13</f>
        <v>0</v>
      </c>
      <c r="AJ5" s="19"/>
      <c r="AK5" s="20"/>
      <c r="AL5" s="13">
        <f t="shared" si="0"/>
        <v>0</v>
      </c>
      <c r="AM5" s="19">
        <f t="shared" si="1"/>
        <v>0</v>
      </c>
      <c r="AN5" s="20">
        <f t="shared" si="2"/>
        <v>0</v>
      </c>
    </row>
    <row r="6" spans="1:40" x14ac:dyDescent="0.2">
      <c r="A6" s="3" t="s">
        <v>62</v>
      </c>
      <c r="B6" s="13"/>
      <c r="C6" s="19"/>
      <c r="D6" s="20"/>
      <c r="E6" s="13"/>
      <c r="F6" s="19"/>
      <c r="G6" s="20"/>
      <c r="H6" s="13"/>
      <c r="I6" s="19"/>
      <c r="J6" s="20"/>
      <c r="K6" s="13"/>
      <c r="L6" s="19"/>
      <c r="M6" s="20"/>
      <c r="N6" s="13"/>
      <c r="O6" s="19"/>
      <c r="P6" s="20"/>
      <c r="Q6" s="13"/>
      <c r="R6" s="19"/>
      <c r="S6" s="20"/>
      <c r="T6" s="13">
        <f>[3]Totals!$B$8</f>
        <v>0</v>
      </c>
      <c r="U6" s="19"/>
      <c r="V6" s="20"/>
      <c r="W6" s="13">
        <f>[3]Totals!$B$9</f>
        <v>0</v>
      </c>
      <c r="X6" s="19"/>
      <c r="Y6" s="20"/>
      <c r="Z6" s="13">
        <f>[3]Totals!$B$10</f>
        <v>0</v>
      </c>
      <c r="AA6" s="19"/>
      <c r="AB6" s="20"/>
      <c r="AC6" s="13">
        <f>[3]Totals!$B$11</f>
        <v>0</v>
      </c>
      <c r="AD6" s="19"/>
      <c r="AE6" s="20"/>
      <c r="AF6" s="13">
        <f>[3]Totals!$B$12</f>
        <v>0</v>
      </c>
      <c r="AG6" s="19"/>
      <c r="AH6" s="20">
        <f>IFERROR(AG6*1000000/AF6,0)</f>
        <v>0</v>
      </c>
      <c r="AI6" s="13">
        <f>[3]Totals!$B$13</f>
        <v>0</v>
      </c>
      <c r="AJ6" s="19"/>
      <c r="AK6" s="20">
        <f>IFERROR(AJ6*1000000/AI6,0)</f>
        <v>0</v>
      </c>
      <c r="AL6" s="13">
        <f t="shared" si="0"/>
        <v>0</v>
      </c>
      <c r="AM6" s="19">
        <f t="shared" si="1"/>
        <v>0</v>
      </c>
      <c r="AN6" s="20">
        <f t="shared" si="2"/>
        <v>0</v>
      </c>
    </row>
    <row r="7" spans="1:40" x14ac:dyDescent="0.2">
      <c r="A7" s="3" t="s">
        <v>63</v>
      </c>
      <c r="B7" s="13"/>
      <c r="C7" s="19"/>
      <c r="D7" s="20"/>
      <c r="E7" s="13"/>
      <c r="F7" s="19"/>
      <c r="G7" s="20"/>
      <c r="H7" s="13"/>
      <c r="I7" s="19"/>
      <c r="J7" s="20"/>
      <c r="K7" s="13"/>
      <c r="L7" s="19"/>
      <c r="M7" s="20"/>
      <c r="N7" s="13"/>
      <c r="O7" s="19"/>
      <c r="P7" s="20"/>
      <c r="Q7" s="13"/>
      <c r="R7" s="19"/>
      <c r="S7" s="20"/>
      <c r="T7" s="13">
        <f>[4]Totals!$B$8</f>
        <v>0</v>
      </c>
      <c r="U7" s="19"/>
      <c r="V7" s="20"/>
      <c r="W7" s="13">
        <f>[4]Totals!$B$9</f>
        <v>0</v>
      </c>
      <c r="X7" s="19"/>
      <c r="Y7" s="20"/>
      <c r="Z7" s="13">
        <f>[4]Totals!$B$10</f>
        <v>0</v>
      </c>
      <c r="AA7" s="19"/>
      <c r="AB7" s="20"/>
      <c r="AC7" s="13">
        <f>[4]Totals!$B$11</f>
        <v>0</v>
      </c>
      <c r="AD7" s="19"/>
      <c r="AE7" s="20"/>
      <c r="AF7" s="13">
        <f>[4]Totals!$B$12</f>
        <v>0</v>
      </c>
      <c r="AG7" s="19"/>
      <c r="AH7" s="20">
        <f>IFERROR(AG7*1000000/AF7,0)</f>
        <v>0</v>
      </c>
      <c r="AI7" s="13">
        <f>[4]Totals!$B$13</f>
        <v>0</v>
      </c>
      <c r="AJ7" s="19"/>
      <c r="AK7" s="20">
        <f>IFERROR(AJ7*1000000/AI7,0)</f>
        <v>0</v>
      </c>
      <c r="AL7" s="13">
        <f t="shared" si="0"/>
        <v>0</v>
      </c>
      <c r="AM7" s="19">
        <f t="shared" si="1"/>
        <v>0</v>
      </c>
      <c r="AN7" s="20">
        <f t="shared" si="2"/>
        <v>0</v>
      </c>
    </row>
    <row r="8" spans="1:40" x14ac:dyDescent="0.2">
      <c r="A8" s="3" t="s">
        <v>64</v>
      </c>
      <c r="B8" s="13"/>
      <c r="C8" s="19"/>
      <c r="D8" s="20"/>
      <c r="E8" s="13"/>
      <c r="F8" s="19"/>
      <c r="G8" s="20"/>
      <c r="H8" s="13"/>
      <c r="I8" s="19"/>
      <c r="J8" s="20"/>
      <c r="K8" s="13"/>
      <c r="L8" s="19"/>
      <c r="M8" s="20"/>
      <c r="N8" s="13"/>
      <c r="O8" s="19"/>
      <c r="P8" s="20"/>
      <c r="Q8" s="13"/>
      <c r="R8" s="19"/>
      <c r="S8" s="20"/>
      <c r="T8" s="13">
        <f>[5]Totals!$B$8</f>
        <v>0</v>
      </c>
      <c r="U8" s="19"/>
      <c r="V8" s="20"/>
      <c r="W8" s="13">
        <f>[5]Totals!$B$9</f>
        <v>0</v>
      </c>
      <c r="X8" s="19"/>
      <c r="Y8" s="20"/>
      <c r="Z8" s="13">
        <f>[5]Totals!$B$10</f>
        <v>0</v>
      </c>
      <c r="AA8" s="19"/>
      <c r="AB8" s="20"/>
      <c r="AC8" s="13">
        <f>[5]Totals!$B$11</f>
        <v>0</v>
      </c>
      <c r="AD8" s="19"/>
      <c r="AE8" s="20"/>
      <c r="AF8" s="13">
        <f>[5]Totals!$B$12</f>
        <v>0</v>
      </c>
      <c r="AG8" s="19"/>
      <c r="AH8" s="20"/>
      <c r="AI8" s="13">
        <f>[5]Totals!$B$13</f>
        <v>0</v>
      </c>
      <c r="AJ8" s="19"/>
      <c r="AK8" s="20"/>
      <c r="AL8" s="13">
        <f t="shared" si="0"/>
        <v>0</v>
      </c>
      <c r="AM8" s="19">
        <f t="shared" si="1"/>
        <v>0</v>
      </c>
      <c r="AN8" s="20">
        <f t="shared" si="2"/>
        <v>0</v>
      </c>
    </row>
    <row r="9" spans="1:40" x14ac:dyDescent="0.2">
      <c r="A9" s="3" t="s">
        <v>12</v>
      </c>
      <c r="B9" s="13"/>
      <c r="C9" s="19"/>
      <c r="D9" s="20"/>
      <c r="E9" s="13"/>
      <c r="F9" s="19"/>
      <c r="G9" s="20"/>
      <c r="H9" s="13"/>
      <c r="I9" s="19"/>
      <c r="J9" s="20"/>
      <c r="K9" s="13"/>
      <c r="L9" s="19"/>
      <c r="M9" s="20"/>
      <c r="N9" s="13"/>
      <c r="O9" s="19"/>
      <c r="P9" s="20"/>
      <c r="Q9" s="13"/>
      <c r="R9" s="19"/>
      <c r="S9" s="20"/>
      <c r="T9" s="13">
        <f>[6]Totals!$B$8</f>
        <v>0</v>
      </c>
      <c r="U9" s="19"/>
      <c r="V9" s="20"/>
      <c r="W9" s="13">
        <f>[6]Totals!$B$9</f>
        <v>0</v>
      </c>
      <c r="X9" s="19"/>
      <c r="Y9" s="20"/>
      <c r="Z9" s="13">
        <f>[6]Totals!$B$10</f>
        <v>0</v>
      </c>
      <c r="AA9" s="19"/>
      <c r="AB9" s="20"/>
      <c r="AC9" s="13">
        <f>[6]Totals!$B$11</f>
        <v>0</v>
      </c>
      <c r="AD9" s="19"/>
      <c r="AE9" s="20"/>
      <c r="AF9" s="13">
        <f>[6]Totals!$B$12</f>
        <v>0</v>
      </c>
      <c r="AG9" s="19"/>
      <c r="AH9" s="20"/>
      <c r="AI9" s="13">
        <f>[6]Totals!$B$13</f>
        <v>0</v>
      </c>
      <c r="AJ9" s="19"/>
      <c r="AK9" s="20"/>
      <c r="AL9" s="13">
        <f t="shared" si="0"/>
        <v>0</v>
      </c>
      <c r="AM9" s="19">
        <f t="shared" si="1"/>
        <v>0</v>
      </c>
      <c r="AN9" s="20">
        <f t="shared" si="2"/>
        <v>0</v>
      </c>
    </row>
    <row r="10" spans="1:40" x14ac:dyDescent="0.2">
      <c r="A10" s="3" t="s">
        <v>65</v>
      </c>
      <c r="B10" s="13"/>
      <c r="C10" s="19"/>
      <c r="D10" s="20"/>
      <c r="E10" s="13"/>
      <c r="F10" s="19"/>
      <c r="G10" s="20"/>
      <c r="H10" s="13"/>
      <c r="I10" s="19"/>
      <c r="J10" s="20"/>
      <c r="K10" s="13"/>
      <c r="L10" s="19"/>
      <c r="M10" s="20"/>
      <c r="N10" s="13"/>
      <c r="O10" s="19"/>
      <c r="P10" s="20"/>
      <c r="Q10" s="13"/>
      <c r="R10" s="19"/>
      <c r="S10" s="20"/>
      <c r="T10" s="13">
        <f>[7]Totals!$B$8</f>
        <v>0</v>
      </c>
      <c r="U10" s="19"/>
      <c r="V10" s="20"/>
      <c r="W10" s="13">
        <f>[7]Totals!$B$9</f>
        <v>0</v>
      </c>
      <c r="X10" s="19"/>
      <c r="Y10" s="20"/>
      <c r="Z10" s="13">
        <f>[7]Totals!$B$10</f>
        <v>0</v>
      </c>
      <c r="AA10" s="19"/>
      <c r="AB10" s="20"/>
      <c r="AC10" s="13">
        <f>[7]Totals!$B$11</f>
        <v>0</v>
      </c>
      <c r="AD10" s="19"/>
      <c r="AE10" s="20"/>
      <c r="AF10" s="13">
        <f>[7]Totals!$B$12</f>
        <v>0</v>
      </c>
      <c r="AG10" s="19"/>
      <c r="AH10" s="20"/>
      <c r="AI10" s="13">
        <f>[7]Totals!$B$13</f>
        <v>0</v>
      </c>
      <c r="AJ10" s="19"/>
      <c r="AK10" s="20"/>
      <c r="AL10" s="13">
        <f t="shared" si="0"/>
        <v>0</v>
      </c>
      <c r="AM10" s="19">
        <f t="shared" si="1"/>
        <v>0</v>
      </c>
      <c r="AN10" s="20">
        <f t="shared" si="2"/>
        <v>0</v>
      </c>
    </row>
    <row r="11" spans="1:40" x14ac:dyDescent="0.2">
      <c r="A11" s="3" t="s">
        <v>66</v>
      </c>
      <c r="B11" s="13"/>
      <c r="C11" s="19"/>
      <c r="D11" s="20"/>
      <c r="E11" s="13"/>
      <c r="F11" s="19"/>
      <c r="G11" s="20"/>
      <c r="H11" s="13"/>
      <c r="I11" s="19"/>
      <c r="J11" s="20"/>
      <c r="K11" s="13"/>
      <c r="L11" s="19"/>
      <c r="M11" s="20"/>
      <c r="N11" s="13"/>
      <c r="O11" s="19"/>
      <c r="P11" s="20"/>
      <c r="Q11" s="13"/>
      <c r="R11" s="19"/>
      <c r="S11" s="20"/>
      <c r="T11" s="13"/>
      <c r="U11" s="19"/>
      <c r="V11" s="20"/>
      <c r="W11" s="13"/>
      <c r="X11" s="19"/>
      <c r="Y11" s="20"/>
      <c r="Z11" s="13"/>
      <c r="AA11" s="19"/>
      <c r="AB11" s="20"/>
      <c r="AC11" s="13"/>
      <c r="AD11" s="19"/>
      <c r="AE11" s="20"/>
      <c r="AF11" s="13"/>
      <c r="AG11" s="19"/>
      <c r="AH11" s="20"/>
      <c r="AI11" s="13"/>
      <c r="AJ11" s="19"/>
      <c r="AK11" s="20"/>
      <c r="AL11" s="13">
        <f t="shared" si="0"/>
        <v>0</v>
      </c>
      <c r="AM11" s="19">
        <f t="shared" si="1"/>
        <v>0</v>
      </c>
      <c r="AN11" s="20">
        <f t="shared" si="2"/>
        <v>0</v>
      </c>
    </row>
    <row r="12" spans="1:40" x14ac:dyDescent="0.2">
      <c r="A12" s="3"/>
      <c r="B12" s="13"/>
      <c r="C12" s="19"/>
      <c r="D12" s="20"/>
      <c r="E12" s="13"/>
      <c r="F12" s="19"/>
      <c r="G12" s="20"/>
      <c r="H12" s="13"/>
      <c r="I12" s="19"/>
      <c r="J12" s="20"/>
      <c r="K12" s="13"/>
      <c r="L12" s="19"/>
      <c r="M12" s="20"/>
      <c r="N12" s="13"/>
      <c r="O12" s="19"/>
      <c r="P12" s="20"/>
      <c r="Q12" s="13"/>
      <c r="R12" s="19"/>
      <c r="S12" s="20"/>
      <c r="T12" s="13"/>
      <c r="U12" s="19"/>
      <c r="V12" s="20"/>
      <c r="W12" s="13"/>
      <c r="X12" s="19"/>
      <c r="Y12" s="20"/>
      <c r="Z12" s="13"/>
      <c r="AA12" s="19"/>
      <c r="AB12" s="20"/>
      <c r="AC12" s="13"/>
      <c r="AD12" s="19"/>
      <c r="AE12" s="20"/>
      <c r="AF12" s="13"/>
      <c r="AG12" s="19"/>
      <c r="AH12" s="20"/>
      <c r="AI12" s="13"/>
      <c r="AJ12" s="19"/>
      <c r="AK12" s="20"/>
      <c r="AL12" s="13">
        <f t="shared" si="0"/>
        <v>0</v>
      </c>
      <c r="AM12" s="19">
        <f t="shared" si="1"/>
        <v>0</v>
      </c>
      <c r="AN12" s="20">
        <f t="shared" si="2"/>
        <v>0</v>
      </c>
    </row>
    <row r="13" spans="1:40" x14ac:dyDescent="0.2">
      <c r="A13" s="3"/>
      <c r="B13" s="13"/>
      <c r="C13" s="19"/>
      <c r="D13" s="20"/>
      <c r="E13" s="13"/>
      <c r="F13" s="19"/>
      <c r="G13" s="20"/>
      <c r="H13" s="13"/>
      <c r="I13" s="19"/>
      <c r="J13" s="20"/>
      <c r="K13" s="13"/>
      <c r="L13" s="19"/>
      <c r="M13" s="20"/>
      <c r="N13" s="13"/>
      <c r="O13" s="19"/>
      <c r="P13" s="20"/>
      <c r="Q13" s="13"/>
      <c r="R13" s="19"/>
      <c r="S13" s="20"/>
      <c r="T13" s="13"/>
      <c r="U13" s="19"/>
      <c r="V13" s="20"/>
      <c r="W13" s="13"/>
      <c r="X13" s="19"/>
      <c r="Y13" s="20"/>
      <c r="Z13" s="13"/>
      <c r="AA13" s="19"/>
      <c r="AB13" s="20"/>
      <c r="AC13" s="13"/>
      <c r="AD13" s="19"/>
      <c r="AE13" s="20"/>
      <c r="AF13" s="13"/>
      <c r="AG13" s="19"/>
      <c r="AH13" s="20"/>
      <c r="AI13" s="13"/>
      <c r="AJ13" s="19"/>
      <c r="AK13" s="20"/>
      <c r="AL13" s="13">
        <f t="shared" si="0"/>
        <v>0</v>
      </c>
      <c r="AM13" s="19">
        <f t="shared" si="1"/>
        <v>0</v>
      </c>
      <c r="AN13" s="20">
        <f t="shared" si="2"/>
        <v>0</v>
      </c>
    </row>
    <row r="14" spans="1:40" x14ac:dyDescent="0.2">
      <c r="A14" s="3"/>
      <c r="B14" s="13"/>
      <c r="C14" s="19"/>
      <c r="D14" s="20"/>
      <c r="E14" s="13"/>
      <c r="F14" s="19"/>
      <c r="G14" s="20"/>
      <c r="H14" s="13"/>
      <c r="I14" s="19"/>
      <c r="J14" s="20"/>
      <c r="K14" s="13"/>
      <c r="L14" s="19"/>
      <c r="M14" s="20"/>
      <c r="N14" s="13"/>
      <c r="O14" s="19"/>
      <c r="P14" s="20"/>
      <c r="Q14" s="13"/>
      <c r="R14" s="19"/>
      <c r="S14" s="20"/>
      <c r="T14" s="13"/>
      <c r="U14" s="19"/>
      <c r="V14" s="20"/>
      <c r="W14" s="13"/>
      <c r="X14" s="19"/>
      <c r="Y14" s="20"/>
      <c r="Z14" s="13"/>
      <c r="AA14" s="19"/>
      <c r="AB14" s="20"/>
      <c r="AC14" s="13"/>
      <c r="AD14" s="19"/>
      <c r="AE14" s="20"/>
      <c r="AF14" s="13"/>
      <c r="AG14" s="19"/>
      <c r="AH14" s="20"/>
      <c r="AI14" s="13"/>
      <c r="AJ14" s="19"/>
      <c r="AK14" s="20"/>
      <c r="AL14" s="13">
        <f t="shared" si="0"/>
        <v>0</v>
      </c>
      <c r="AM14" s="19">
        <f t="shared" si="1"/>
        <v>0</v>
      </c>
      <c r="AN14" s="20">
        <f t="shared" si="2"/>
        <v>0</v>
      </c>
    </row>
    <row r="15" spans="1:40" x14ac:dyDescent="0.2">
      <c r="A15" s="3"/>
      <c r="B15" s="13"/>
      <c r="C15" s="19"/>
      <c r="D15" s="20"/>
      <c r="E15" s="13"/>
      <c r="F15" s="19"/>
      <c r="G15" s="20"/>
      <c r="H15" s="13"/>
      <c r="I15" s="19"/>
      <c r="J15" s="20"/>
      <c r="K15" s="13"/>
      <c r="L15" s="19"/>
      <c r="M15" s="20"/>
      <c r="N15" s="13"/>
      <c r="O15" s="19"/>
      <c r="P15" s="20"/>
      <c r="Q15" s="13"/>
      <c r="R15" s="19"/>
      <c r="S15" s="20"/>
      <c r="T15" s="13"/>
      <c r="U15" s="19"/>
      <c r="V15" s="20"/>
      <c r="W15" s="13"/>
      <c r="X15" s="19"/>
      <c r="Y15" s="20"/>
      <c r="Z15" s="13"/>
      <c r="AA15" s="19"/>
      <c r="AB15" s="20"/>
      <c r="AC15" s="13"/>
      <c r="AD15" s="19"/>
      <c r="AE15" s="20"/>
      <c r="AF15" s="13"/>
      <c r="AG15" s="19"/>
      <c r="AH15" s="20"/>
      <c r="AI15" s="13"/>
      <c r="AJ15" s="19"/>
      <c r="AK15" s="20"/>
      <c r="AL15" s="13">
        <f t="shared" si="0"/>
        <v>0</v>
      </c>
      <c r="AM15" s="19">
        <f t="shared" si="1"/>
        <v>0</v>
      </c>
      <c r="AN15" s="20">
        <f t="shared" si="2"/>
        <v>0</v>
      </c>
    </row>
    <row r="16" spans="1:40" x14ac:dyDescent="0.2">
      <c r="A16" s="3"/>
      <c r="B16" s="13"/>
      <c r="C16" s="19"/>
      <c r="D16" s="20"/>
      <c r="E16" s="13"/>
      <c r="F16" s="19"/>
      <c r="G16" s="20"/>
      <c r="H16" s="13"/>
      <c r="I16" s="19"/>
      <c r="J16" s="20"/>
      <c r="K16" s="13"/>
      <c r="L16" s="19"/>
      <c r="M16" s="20"/>
      <c r="N16" s="13"/>
      <c r="O16" s="19"/>
      <c r="P16" s="20"/>
      <c r="Q16" s="13"/>
      <c r="R16" s="19"/>
      <c r="S16" s="20"/>
      <c r="T16" s="13"/>
      <c r="U16" s="19"/>
      <c r="V16" s="20"/>
      <c r="W16" s="13"/>
      <c r="X16" s="19"/>
      <c r="Y16" s="20"/>
      <c r="Z16" s="13"/>
      <c r="AA16" s="19"/>
      <c r="AB16" s="20"/>
      <c r="AC16" s="13"/>
      <c r="AD16" s="19"/>
      <c r="AE16" s="20"/>
      <c r="AF16" s="13"/>
      <c r="AG16" s="19"/>
      <c r="AH16" s="20"/>
      <c r="AI16" s="13"/>
      <c r="AJ16" s="19"/>
      <c r="AK16" s="20"/>
      <c r="AL16" s="13">
        <f t="shared" si="0"/>
        <v>0</v>
      </c>
      <c r="AM16" s="19">
        <f t="shared" si="1"/>
        <v>0</v>
      </c>
      <c r="AN16" s="20">
        <f t="shared" si="2"/>
        <v>0</v>
      </c>
    </row>
    <row r="17" spans="1:40" ht="15" x14ac:dyDescent="0.25">
      <c r="A17" s="5" t="s">
        <v>25</v>
      </c>
      <c r="B17" s="14">
        <f>SUM(B1:B16)</f>
        <v>0</v>
      </c>
      <c r="C17" s="21">
        <f>SUM(C1:C16)</f>
        <v>0</v>
      </c>
      <c r="D17" s="20">
        <f>IFERROR(C17*1000000/B17,0)</f>
        <v>0</v>
      </c>
      <c r="E17" s="14">
        <f>SUM(E1:E16)</f>
        <v>0</v>
      </c>
      <c r="F17" s="21">
        <f>SUM(F1:F16)</f>
        <v>0</v>
      </c>
      <c r="G17" s="20">
        <f t="shared" ref="G17" si="3">IFERROR(F17*1000000/E17,0)</f>
        <v>0</v>
      </c>
      <c r="H17" s="14">
        <f>SUM(H1:H16)</f>
        <v>0</v>
      </c>
      <c r="I17" s="21">
        <f>SUM(I1:I16)</f>
        <v>0</v>
      </c>
      <c r="J17" s="20">
        <f>IFERROR(I17*1000000/H17,0)</f>
        <v>0</v>
      </c>
      <c r="K17" s="14">
        <f>SUM(K1:K16)</f>
        <v>0</v>
      </c>
      <c r="L17" s="21">
        <f>SUM(L1:L16)</f>
        <v>0</v>
      </c>
      <c r="M17" s="20">
        <f>IFERROR(L17*1000000/K17,0)</f>
        <v>0</v>
      </c>
      <c r="N17" s="14">
        <f>SUM(N1:N16)</f>
        <v>0</v>
      </c>
      <c r="O17" s="21">
        <f>SUM(O1:O16)</f>
        <v>0</v>
      </c>
      <c r="P17" s="20">
        <f>IFERROR(O17*1000000/N17,0)</f>
        <v>0</v>
      </c>
      <c r="Q17" s="14">
        <f>SUM(Q1:Q16)</f>
        <v>0</v>
      </c>
      <c r="R17" s="21">
        <f>SUM(R1:R16)</f>
        <v>0</v>
      </c>
      <c r="S17" s="20">
        <f>IFERROR(R17*1000000/Q17,0)</f>
        <v>0</v>
      </c>
      <c r="T17" s="14">
        <f>SUM(T1:T16)</f>
        <v>0</v>
      </c>
      <c r="U17" s="21">
        <f>SUM(U1:U16)</f>
        <v>0</v>
      </c>
      <c r="V17" s="20">
        <f>IFERROR(U17*1000000/T17,0)</f>
        <v>0</v>
      </c>
      <c r="W17" s="14">
        <f>SUM(W1:W16)</f>
        <v>0</v>
      </c>
      <c r="X17" s="21">
        <f>SUM(X1:X16)</f>
        <v>0</v>
      </c>
      <c r="Y17" s="20">
        <f>IFERROR(X17*1000000/W17,0)</f>
        <v>0</v>
      </c>
      <c r="Z17" s="14">
        <f>SUM(Z1:Z16)</f>
        <v>0</v>
      </c>
      <c r="AA17" s="21">
        <f>SUM(AA1:AA16)</f>
        <v>0</v>
      </c>
      <c r="AB17" s="20">
        <f>IFERROR(AA17*1000000/Z17,0)</f>
        <v>0</v>
      </c>
      <c r="AC17" s="14">
        <f>SUM(AC1:AC16)</f>
        <v>0</v>
      </c>
      <c r="AD17" s="21">
        <f>SUM(AD1:AD16)</f>
        <v>0</v>
      </c>
      <c r="AE17" s="20">
        <f>IFERROR(AD17*1000000/AC17,0)</f>
        <v>0</v>
      </c>
      <c r="AF17" s="14">
        <f>SUM(AF1:AF16)</f>
        <v>0</v>
      </c>
      <c r="AG17" s="21">
        <f>SUM(AG1:AG16)</f>
        <v>0</v>
      </c>
      <c r="AH17" s="20">
        <f>IFERROR(AG17*1000000/AF17,0)</f>
        <v>0</v>
      </c>
      <c r="AI17" s="14">
        <f>SUM(AI1:AI16)</f>
        <v>0</v>
      </c>
      <c r="AJ17" s="21">
        <f>SUM(AJ1:AJ16)</f>
        <v>0</v>
      </c>
      <c r="AK17" s="20">
        <f>IFERROR(AJ17*1000000/AI17,0)</f>
        <v>0</v>
      </c>
      <c r="AL17" s="14">
        <f>SUM(AL1:AL16)</f>
        <v>0</v>
      </c>
      <c r="AM17" s="21">
        <f>SUM(AM1:AM16)</f>
        <v>0</v>
      </c>
      <c r="AN17" s="20">
        <f t="shared" ref="AN17" si="4">IFERROR(AM17*1000000/AL17,0)</f>
        <v>0</v>
      </c>
    </row>
  </sheetData>
  <autoFilter ref="A3:AN17" xr:uid="{D6BD7AA2-C232-4416-8840-3D4118C1A099}">
    <sortState xmlns:xlrd2="http://schemas.microsoft.com/office/spreadsheetml/2017/richdata2" ref="A4:AN17">
      <sortCondition ref="A3:A17"/>
    </sortState>
  </autoFilter>
  <sortState xmlns:xlrd2="http://schemas.microsoft.com/office/spreadsheetml/2017/richdata2" ref="A4:AN17">
    <sortCondition ref="A4:A17"/>
  </sortState>
  <mergeCells count="13">
    <mergeCell ref="B1:D1"/>
    <mergeCell ref="E1:G1"/>
    <mergeCell ref="H1:J1"/>
    <mergeCell ref="K1:M1"/>
    <mergeCell ref="AC1:AE1"/>
    <mergeCell ref="AF1:AH1"/>
    <mergeCell ref="AI1:AK1"/>
    <mergeCell ref="AL1:AN1"/>
    <mergeCell ref="N1:P1"/>
    <mergeCell ref="Q1:S1"/>
    <mergeCell ref="T1:V1"/>
    <mergeCell ref="W1:Y1"/>
    <mergeCell ref="Z1:AB1"/>
  </mergeCells>
  <phoneticPr fontId="2" type="noConversion"/>
  <pageMargins left="0.70866141732283472" right="0.70866141732283472" top="0.74803149606299213" bottom="0.74803149606299213" header="0.31496062992125984" footer="0.31496062992125984"/>
  <pageSetup scale="77" orientation="portrait" verticalDpi="203" r:id="rId1"/>
  <headerFooter>
    <oddFooter>&amp;L&amp;8&amp;F&amp;R&amp;8Created: 2/1/21 BT
Revised: 11/29/23 AS</oddFooter>
  </headerFooter>
  <colBreaks count="3" manualBreakCount="3">
    <brk id="10" max="1048575" man="1"/>
    <brk id="22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B9FB-9EA2-4C81-B101-847FA0E2339C}">
  <dimension ref="O1:P38"/>
  <sheetViews>
    <sheetView workbookViewId="0">
      <selection activeCell="U22" sqref="U22"/>
    </sheetView>
  </sheetViews>
  <sheetFormatPr defaultRowHeight="14.25" x14ac:dyDescent="0.2"/>
  <sheetData>
    <row r="1" spans="15:16" x14ac:dyDescent="0.2">
      <c r="O1" s="7" t="s">
        <v>58</v>
      </c>
      <c r="P1" s="7" t="s">
        <v>59</v>
      </c>
    </row>
    <row r="2" spans="15:16" x14ac:dyDescent="0.2">
      <c r="O2" s="3" t="s">
        <v>8</v>
      </c>
      <c r="P2" s="4">
        <v>154263</v>
      </c>
    </row>
    <row r="3" spans="15:16" x14ac:dyDescent="0.2">
      <c r="O3" s="3" t="s">
        <v>1</v>
      </c>
      <c r="P3" s="4">
        <v>149520</v>
      </c>
    </row>
    <row r="4" spans="15:16" x14ac:dyDescent="0.2">
      <c r="O4" s="3" t="s">
        <v>26</v>
      </c>
      <c r="P4" s="4">
        <v>116306</v>
      </c>
    </row>
    <row r="5" spans="15:16" x14ac:dyDescent="0.2">
      <c r="O5" s="3" t="s">
        <v>13</v>
      </c>
      <c r="P5" s="4">
        <v>110700</v>
      </c>
    </row>
    <row r="6" spans="15:16" x14ac:dyDescent="0.2">
      <c r="O6" s="3" t="s">
        <v>4</v>
      </c>
      <c r="P6" s="4">
        <v>87432</v>
      </c>
    </row>
    <row r="7" spans="15:16" x14ac:dyDescent="0.2">
      <c r="O7" s="3" t="s">
        <v>34</v>
      </c>
      <c r="P7" s="4">
        <v>82881</v>
      </c>
    </row>
    <row r="8" spans="15:16" x14ac:dyDescent="0.2">
      <c r="O8" s="3" t="s">
        <v>12</v>
      </c>
      <c r="P8" s="4">
        <v>60959</v>
      </c>
    </row>
    <row r="9" spans="15:16" x14ac:dyDescent="0.2">
      <c r="O9" s="3" t="s">
        <v>3</v>
      </c>
      <c r="P9" s="4">
        <v>53478</v>
      </c>
    </row>
    <row r="10" spans="15:16" x14ac:dyDescent="0.2">
      <c r="O10" s="3" t="s">
        <v>7</v>
      </c>
      <c r="P10" s="4">
        <v>48957</v>
      </c>
    </row>
    <row r="11" spans="15:16" x14ac:dyDescent="0.2">
      <c r="O11" s="3" t="s">
        <v>15</v>
      </c>
      <c r="P11" s="4">
        <v>41510</v>
      </c>
    </row>
    <row r="12" spans="15:16" x14ac:dyDescent="0.2">
      <c r="O12" s="3" t="s">
        <v>51</v>
      </c>
      <c r="P12" s="4">
        <v>23887</v>
      </c>
    </row>
    <row r="13" spans="15:16" x14ac:dyDescent="0.2">
      <c r="O13" s="3" t="s">
        <v>50</v>
      </c>
      <c r="P13" s="4">
        <v>19152</v>
      </c>
    </row>
    <row r="14" spans="15:16" x14ac:dyDescent="0.2">
      <c r="O14" s="3" t="s">
        <v>52</v>
      </c>
      <c r="P14" s="4">
        <v>15535</v>
      </c>
    </row>
    <row r="15" spans="15:16" x14ac:dyDescent="0.2">
      <c r="O15" s="3" t="s">
        <v>10</v>
      </c>
      <c r="P15" s="4">
        <v>15074</v>
      </c>
    </row>
    <row r="16" spans="15:16" x14ac:dyDescent="0.2">
      <c r="O16" s="3" t="s">
        <v>2</v>
      </c>
      <c r="P16" s="4">
        <v>11363</v>
      </c>
    </row>
    <row r="17" spans="15:16" x14ac:dyDescent="0.2">
      <c r="O17" s="3" t="s">
        <v>54</v>
      </c>
      <c r="P17" s="4">
        <v>10678</v>
      </c>
    </row>
    <row r="18" spans="15:16" x14ac:dyDescent="0.2">
      <c r="O18" s="3" t="s">
        <v>6</v>
      </c>
      <c r="P18" s="4">
        <v>8611</v>
      </c>
    </row>
    <row r="19" spans="15:16" x14ac:dyDescent="0.2">
      <c r="O19" s="3" t="s">
        <v>36</v>
      </c>
      <c r="P19" s="4">
        <v>6524</v>
      </c>
    </row>
    <row r="20" spans="15:16" x14ac:dyDescent="0.2">
      <c r="O20" s="3" t="s">
        <v>56</v>
      </c>
      <c r="P20" s="4">
        <v>3864</v>
      </c>
    </row>
    <row r="21" spans="15:16" x14ac:dyDescent="0.2">
      <c r="O21" s="3" t="s">
        <v>5</v>
      </c>
      <c r="P21" s="4">
        <v>3477</v>
      </c>
    </row>
    <row r="22" spans="15:16" x14ac:dyDescent="0.2">
      <c r="O22" s="3" t="s">
        <v>20</v>
      </c>
      <c r="P22" s="4">
        <v>1405</v>
      </c>
    </row>
    <row r="23" spans="15:16" x14ac:dyDescent="0.2">
      <c r="O23" s="3" t="s">
        <v>49</v>
      </c>
      <c r="P23" s="4">
        <v>1110</v>
      </c>
    </row>
    <row r="24" spans="15:16" x14ac:dyDescent="0.2">
      <c r="O24" s="3" t="s">
        <v>53</v>
      </c>
      <c r="P24" s="4">
        <v>704</v>
      </c>
    </row>
    <row r="25" spans="15:16" x14ac:dyDescent="0.2">
      <c r="O25" s="3" t="s">
        <v>9</v>
      </c>
      <c r="P25" s="4">
        <v>702</v>
      </c>
    </row>
    <row r="26" spans="15:16" x14ac:dyDescent="0.2">
      <c r="O26" s="3" t="s">
        <v>57</v>
      </c>
      <c r="P26" s="4">
        <v>500</v>
      </c>
    </row>
    <row r="27" spans="15:16" x14ac:dyDescent="0.2">
      <c r="O27" s="3" t="s">
        <v>24</v>
      </c>
      <c r="P27" s="4">
        <v>343</v>
      </c>
    </row>
    <row r="28" spans="15:16" x14ac:dyDescent="0.2">
      <c r="O28" s="3" t="s">
        <v>11</v>
      </c>
      <c r="P28" s="4">
        <v>288</v>
      </c>
    </row>
    <row r="29" spans="15:16" x14ac:dyDescent="0.2">
      <c r="O29" s="3" t="s">
        <v>14</v>
      </c>
      <c r="P29" s="4">
        <v>213</v>
      </c>
    </row>
    <row r="30" spans="15:16" x14ac:dyDescent="0.2">
      <c r="O30" s="3" t="s">
        <v>37</v>
      </c>
      <c r="P30" s="4">
        <v>72</v>
      </c>
    </row>
    <row r="31" spans="15:16" x14ac:dyDescent="0.2">
      <c r="O31" s="3" t="s">
        <v>23</v>
      </c>
      <c r="P31" s="4">
        <v>38</v>
      </c>
    </row>
    <row r="32" spans="15:16" x14ac:dyDescent="0.2">
      <c r="O32" s="3" t="s">
        <v>18</v>
      </c>
      <c r="P32" s="4">
        <v>19</v>
      </c>
    </row>
    <row r="33" spans="15:16" x14ac:dyDescent="0.2">
      <c r="O33" s="3" t="s">
        <v>16</v>
      </c>
      <c r="P33" s="4">
        <v>15</v>
      </c>
    </row>
    <row r="34" spans="15:16" x14ac:dyDescent="0.2">
      <c r="O34" s="3" t="s">
        <v>35</v>
      </c>
      <c r="P34" s="4">
        <v>11</v>
      </c>
    </row>
    <row r="35" spans="15:16" x14ac:dyDescent="0.2">
      <c r="O35" s="3" t="s">
        <v>19</v>
      </c>
      <c r="P35" s="4">
        <v>9</v>
      </c>
    </row>
    <row r="36" spans="15:16" x14ac:dyDescent="0.2">
      <c r="O36" s="3" t="s">
        <v>17</v>
      </c>
      <c r="P36" s="4">
        <v>4</v>
      </c>
    </row>
    <row r="37" spans="15:16" x14ac:dyDescent="0.2">
      <c r="O37" s="3"/>
      <c r="P37" s="4"/>
    </row>
    <row r="38" spans="15:16" x14ac:dyDescent="0.2">
      <c r="O38" s="3"/>
      <c r="P38" s="4"/>
    </row>
  </sheetData>
  <autoFilter ref="O1:P1" xr:uid="{BC54B9FB-9EA2-4C81-B101-847FA0E2339C}">
    <sortState xmlns:xlrd2="http://schemas.microsoft.com/office/spreadsheetml/2017/richdata2" ref="O2:P36">
      <sortCondition descending="1" ref="P1"/>
    </sortState>
  </autoFilter>
  <sortState xmlns:xlrd2="http://schemas.microsoft.com/office/spreadsheetml/2017/richdata2" ref="O2:P38">
    <sortCondition descending="1" ref="P2:P3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Amit Shinde</cp:lastModifiedBy>
  <cp:lastPrinted>2023-11-29T16:08:28Z</cp:lastPrinted>
  <dcterms:created xsi:type="dcterms:W3CDTF">2021-02-01T12:20:08Z</dcterms:created>
  <dcterms:modified xsi:type="dcterms:W3CDTF">2023-11-29T16:08:36Z</dcterms:modified>
</cp:coreProperties>
</file>