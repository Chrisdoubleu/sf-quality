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1 Line 101-103 Operating Forms\"/>
    </mc:Choice>
  </mc:AlternateContent>
  <xr:revisionPtr revIDLastSave="0" documentId="13_ncr:1_{770E0CC0-5408-43EC-94DE-EA205F5D8923}" xr6:coauthVersionLast="47" xr6:coauthVersionMax="47" xr10:uidLastSave="{00000000-0000-0000-0000-000000000000}"/>
  <bookViews>
    <workbookView xWindow="-28920" yWindow="-3600" windowWidth="23280" windowHeight="12480" xr2:uid="{00000000-000D-0000-FFFF-FFFF00000000}"/>
  </bookViews>
  <sheets>
    <sheet name="Weekly Plan" sheetId="56" r:id="rId1"/>
    <sheet name="Paint Usage" sheetId="72" state="hidden" r:id="rId2"/>
    <sheet name="Time Matrix" sheetId="57" state="hidden" r:id="rId3"/>
    <sheet name="Mon (103)" sheetId="49" r:id="rId4"/>
    <sheet name="Tue (103)" sheetId="78" r:id="rId5"/>
    <sheet name="Wed (103)" sheetId="79" r:id="rId6"/>
    <sheet name="Thur (103)" sheetId="80" r:id="rId7"/>
    <sheet name="Fri (103)" sheetId="81" r:id="rId8"/>
    <sheet name="Sat (103)" sheetId="82" r:id="rId9"/>
    <sheet name="Painter Matrix" sheetId="64" state="hidden" r:id="rId10"/>
    <sheet name="Part Info" sheetId="37" state="hidden" r:id="rId11"/>
  </sheets>
  <definedNames>
    <definedName name="_xlnm.Print_Area" localSheetId="7">'Fri (103)'!$A$1:$P$56</definedName>
    <definedName name="_xlnm.Print_Area" localSheetId="3">'Mon (103)'!$A$1:$P$56</definedName>
    <definedName name="_xlnm.Print_Area" localSheetId="8">'Sat (103)'!$A$1:$P$56</definedName>
    <definedName name="_xlnm.Print_Area" localSheetId="6">'Thur (103)'!$A$1:$P$56</definedName>
    <definedName name="_xlnm.Print_Area" localSheetId="4">'Tue (103)'!$A$1:$P$56</definedName>
    <definedName name="_xlnm.Print_Area" localSheetId="5">'Wed (103)'!$A$1:$P$56</definedName>
    <definedName name="_xlnm.Print_Area" localSheetId="0">'Weekly Plan'!$F$1:$M$103</definedName>
  </definedNames>
  <calcPr calcId="181029"/>
</workbook>
</file>

<file path=xl/calcChain.xml><?xml version="1.0" encoding="utf-8"?>
<calcChain xmlns="http://schemas.openxmlformats.org/spreadsheetml/2006/main">
  <c r="Z32" i="56" l="1"/>
  <c r="Z33" i="56"/>
  <c r="Z34" i="56"/>
  <c r="Z36" i="56"/>
  <c r="Z38" i="56"/>
  <c r="Z40" i="56"/>
  <c r="Z20" i="56"/>
  <c r="O30" i="82"/>
  <c r="O31" i="82"/>
  <c r="O32" i="82"/>
  <c r="O29" i="82"/>
  <c r="O24" i="82"/>
  <c r="O25" i="82"/>
  <c r="O26" i="82"/>
  <c r="O23" i="82"/>
  <c r="O19" i="82"/>
  <c r="O20" i="82"/>
  <c r="O18" i="82"/>
  <c r="O14" i="82"/>
  <c r="O15" i="82"/>
  <c r="O13" i="82"/>
  <c r="O6" i="82"/>
  <c r="O7" i="82"/>
  <c r="O8" i="82"/>
  <c r="O9" i="82"/>
  <c r="O10" i="82"/>
  <c r="O5" i="82"/>
  <c r="J32" i="82"/>
  <c r="J20" i="82"/>
  <c r="J21" i="82"/>
  <c r="J22" i="82"/>
  <c r="J23" i="82"/>
  <c r="J24" i="82"/>
  <c r="J25" i="82"/>
  <c r="J26" i="82"/>
  <c r="J27" i="82"/>
  <c r="J28" i="82"/>
  <c r="J29" i="82"/>
  <c r="J30" i="82"/>
  <c r="J31" i="82"/>
  <c r="J19" i="82"/>
  <c r="J14" i="82"/>
  <c r="J15" i="82"/>
  <c r="J16" i="82"/>
  <c r="J13" i="82"/>
  <c r="J6" i="82"/>
  <c r="J7" i="82"/>
  <c r="J8" i="82"/>
  <c r="J9" i="82"/>
  <c r="J10" i="82"/>
  <c r="J5" i="82"/>
  <c r="D46" i="82"/>
  <c r="D47" i="82"/>
  <c r="D48" i="82"/>
  <c r="D49" i="82"/>
  <c r="D50" i="82"/>
  <c r="D51" i="82"/>
  <c r="D52" i="82"/>
  <c r="D53" i="82"/>
  <c r="D54" i="82"/>
  <c r="D55" i="82"/>
  <c r="D56" i="82"/>
  <c r="D45" i="82"/>
  <c r="D22" i="82"/>
  <c r="D23" i="82"/>
  <c r="D24" i="82"/>
  <c r="D25" i="82"/>
  <c r="D26" i="82"/>
  <c r="D27" i="82"/>
  <c r="D28" i="82"/>
  <c r="D29" i="82"/>
  <c r="D30" i="82"/>
  <c r="D31" i="82"/>
  <c r="D32" i="82"/>
  <c r="D33" i="82"/>
  <c r="D34" i="82"/>
  <c r="D35" i="82"/>
  <c r="D36" i="82"/>
  <c r="D37" i="82"/>
  <c r="D38" i="82"/>
  <c r="D39" i="82"/>
  <c r="D21" i="82"/>
  <c r="D6" i="82"/>
  <c r="D7" i="82"/>
  <c r="D8" i="82"/>
  <c r="D9" i="82"/>
  <c r="D10" i="82"/>
  <c r="D11" i="82"/>
  <c r="D12" i="82"/>
  <c r="D13" i="82"/>
  <c r="D14" i="82"/>
  <c r="D15" i="82"/>
  <c r="D16" i="82"/>
  <c r="D17" i="82"/>
  <c r="D18" i="82"/>
  <c r="D5" i="82"/>
  <c r="C56" i="82"/>
  <c r="A56" i="82"/>
  <c r="C55" i="82"/>
  <c r="A55" i="82"/>
  <c r="C54" i="82"/>
  <c r="A54" i="82"/>
  <c r="C53" i="82"/>
  <c r="A53" i="82"/>
  <c r="C52" i="82"/>
  <c r="A52" i="82"/>
  <c r="C51" i="82"/>
  <c r="A51" i="82"/>
  <c r="C50" i="82"/>
  <c r="A50" i="82"/>
  <c r="C49" i="82"/>
  <c r="A49" i="82"/>
  <c r="C48" i="82"/>
  <c r="A48" i="82"/>
  <c r="C47" i="82"/>
  <c r="A47" i="82"/>
  <c r="M46" i="82"/>
  <c r="C46" i="82"/>
  <c r="A46" i="82"/>
  <c r="M45" i="82"/>
  <c r="C45" i="82"/>
  <c r="A45" i="82"/>
  <c r="M44" i="82"/>
  <c r="M43" i="82"/>
  <c r="M42" i="82"/>
  <c r="D42" i="82"/>
  <c r="M41" i="82"/>
  <c r="D41" i="82"/>
  <c r="M40" i="82"/>
  <c r="D40" i="82"/>
  <c r="M39" i="82"/>
  <c r="C39" i="82"/>
  <c r="A39" i="82"/>
  <c r="M38" i="82"/>
  <c r="C38" i="82"/>
  <c r="A38" i="82"/>
  <c r="M37" i="82"/>
  <c r="C37" i="82"/>
  <c r="A37" i="82"/>
  <c r="M36" i="82"/>
  <c r="C36" i="82"/>
  <c r="A36" i="82"/>
  <c r="C35" i="82"/>
  <c r="A35" i="82"/>
  <c r="C34" i="82"/>
  <c r="A34" i="82"/>
  <c r="C33" i="82"/>
  <c r="A33" i="82"/>
  <c r="N32" i="82"/>
  <c r="M32" i="82"/>
  <c r="I32" i="82"/>
  <c r="G32" i="82"/>
  <c r="C32" i="82"/>
  <c r="A32" i="82"/>
  <c r="N31" i="82"/>
  <c r="M31" i="82"/>
  <c r="I31" i="82"/>
  <c r="G31" i="82"/>
  <c r="C31" i="82"/>
  <c r="A31" i="82"/>
  <c r="N30" i="82"/>
  <c r="M30" i="82"/>
  <c r="I30" i="82"/>
  <c r="G30" i="82"/>
  <c r="C30" i="82"/>
  <c r="A30" i="82"/>
  <c r="N29" i="82"/>
  <c r="M29" i="82"/>
  <c r="I29" i="82"/>
  <c r="G29" i="82"/>
  <c r="C29" i="82"/>
  <c r="A29" i="82"/>
  <c r="I28" i="82"/>
  <c r="G28" i="82"/>
  <c r="C28" i="82"/>
  <c r="A28" i="82"/>
  <c r="I27" i="82"/>
  <c r="G27" i="82"/>
  <c r="C27" i="82"/>
  <c r="A27" i="82"/>
  <c r="N26" i="82"/>
  <c r="M26" i="82"/>
  <c r="I26" i="82"/>
  <c r="G26" i="82"/>
  <c r="C26" i="82"/>
  <c r="A26" i="82"/>
  <c r="N25" i="82"/>
  <c r="M25" i="82"/>
  <c r="I25" i="82"/>
  <c r="G25" i="82"/>
  <c r="C25" i="82"/>
  <c r="A25" i="82"/>
  <c r="N24" i="82"/>
  <c r="M24" i="82"/>
  <c r="I24" i="82"/>
  <c r="G24" i="82"/>
  <c r="C24" i="82"/>
  <c r="A24" i="82"/>
  <c r="N23" i="82"/>
  <c r="M23" i="82"/>
  <c r="I23" i="82"/>
  <c r="G23" i="82"/>
  <c r="C23" i="82"/>
  <c r="A23" i="82"/>
  <c r="I22" i="82"/>
  <c r="G22" i="82"/>
  <c r="C22" i="82"/>
  <c r="A22" i="82"/>
  <c r="I21" i="82"/>
  <c r="G21" i="82"/>
  <c r="C21" i="82"/>
  <c r="A21" i="82"/>
  <c r="N20" i="82"/>
  <c r="M20" i="82"/>
  <c r="I20" i="82"/>
  <c r="G20" i="82"/>
  <c r="N19" i="82"/>
  <c r="M19" i="82"/>
  <c r="I19" i="82"/>
  <c r="G19" i="82"/>
  <c r="N18" i="82"/>
  <c r="M18" i="82"/>
  <c r="C18" i="82"/>
  <c r="A18" i="82"/>
  <c r="C17" i="82"/>
  <c r="A17" i="82"/>
  <c r="I16" i="82"/>
  <c r="G16" i="82"/>
  <c r="C16" i="82"/>
  <c r="A16" i="82"/>
  <c r="N15" i="82"/>
  <c r="M15" i="82"/>
  <c r="I15" i="82"/>
  <c r="G15" i="82"/>
  <c r="C15" i="82"/>
  <c r="A15" i="82"/>
  <c r="N14" i="82"/>
  <c r="M14" i="82"/>
  <c r="I14" i="82"/>
  <c r="G14" i="82"/>
  <c r="C14" i="82"/>
  <c r="A14" i="82"/>
  <c r="N13" i="82"/>
  <c r="M13" i="82"/>
  <c r="I13" i="82"/>
  <c r="G13" i="82"/>
  <c r="C13" i="82"/>
  <c r="A13" i="82"/>
  <c r="C12" i="82"/>
  <c r="A12" i="82"/>
  <c r="C11" i="82"/>
  <c r="A11" i="82"/>
  <c r="N10" i="82"/>
  <c r="M10" i="82"/>
  <c r="I10" i="82"/>
  <c r="G10" i="82"/>
  <c r="C10" i="82"/>
  <c r="A10" i="82"/>
  <c r="N9" i="82"/>
  <c r="M9" i="82"/>
  <c r="I9" i="82"/>
  <c r="G9" i="82"/>
  <c r="C9" i="82"/>
  <c r="A9" i="82"/>
  <c r="N8" i="82"/>
  <c r="M8" i="82"/>
  <c r="I8" i="82"/>
  <c r="G8" i="82"/>
  <c r="C8" i="82"/>
  <c r="A8" i="82"/>
  <c r="N7" i="82"/>
  <c r="M7" i="82"/>
  <c r="I7" i="82"/>
  <c r="G7" i="82"/>
  <c r="C7" i="82"/>
  <c r="A7" i="82"/>
  <c r="N6" i="82"/>
  <c r="M6" i="82"/>
  <c r="I6" i="82"/>
  <c r="G6" i="82"/>
  <c r="C6" i="82"/>
  <c r="A6" i="82"/>
  <c r="N5" i="82"/>
  <c r="M5" i="82"/>
  <c r="I5" i="82"/>
  <c r="G5" i="82"/>
  <c r="C5" i="82"/>
  <c r="A5" i="82"/>
  <c r="X32" i="56"/>
  <c r="X33" i="56"/>
  <c r="X34" i="56"/>
  <c r="X36" i="56"/>
  <c r="X38" i="56"/>
  <c r="X40" i="56"/>
  <c r="X20" i="56"/>
  <c r="O30" i="81"/>
  <c r="O31" i="81"/>
  <c r="O32" i="81"/>
  <c r="O29" i="81"/>
  <c r="O24" i="81"/>
  <c r="O25" i="81"/>
  <c r="O26" i="81"/>
  <c r="O23" i="81"/>
  <c r="O19" i="81"/>
  <c r="O20" i="81"/>
  <c r="O18" i="81"/>
  <c r="O14" i="81"/>
  <c r="O15" i="81"/>
  <c r="O13" i="81"/>
  <c r="O6" i="81"/>
  <c r="O7" i="81"/>
  <c r="O8" i="81"/>
  <c r="O9" i="81"/>
  <c r="O10" i="81"/>
  <c r="O5" i="81"/>
  <c r="J20" i="81"/>
  <c r="J21" i="81"/>
  <c r="J22" i="81"/>
  <c r="J23" i="81"/>
  <c r="J24" i="81"/>
  <c r="J25" i="81"/>
  <c r="J26" i="81"/>
  <c r="J27" i="81"/>
  <c r="J28" i="81"/>
  <c r="J29" i="81"/>
  <c r="J30" i="81"/>
  <c r="J31" i="81"/>
  <c r="J32" i="81"/>
  <c r="J19" i="81"/>
  <c r="J14" i="81"/>
  <c r="J15" i="81"/>
  <c r="J16" i="81"/>
  <c r="J13" i="81"/>
  <c r="J6" i="81"/>
  <c r="J7" i="81"/>
  <c r="J8" i="81"/>
  <c r="J9" i="81"/>
  <c r="J10" i="81"/>
  <c r="J5" i="81"/>
  <c r="D46" i="81"/>
  <c r="D47" i="81"/>
  <c r="D48" i="81"/>
  <c r="D49" i="81"/>
  <c r="D50" i="81"/>
  <c r="D51" i="81"/>
  <c r="D52" i="81"/>
  <c r="D53" i="81"/>
  <c r="D54" i="81"/>
  <c r="D55" i="81"/>
  <c r="D56" i="81"/>
  <c r="D45" i="81"/>
  <c r="D22" i="81"/>
  <c r="D23" i="81"/>
  <c r="D24" i="81"/>
  <c r="D25" i="81"/>
  <c r="D26" i="81"/>
  <c r="D27" i="81"/>
  <c r="D28" i="81"/>
  <c r="D29" i="81"/>
  <c r="D30" i="81"/>
  <c r="D31" i="81"/>
  <c r="D32" i="81"/>
  <c r="D33" i="81"/>
  <c r="D34" i="81"/>
  <c r="D35" i="81"/>
  <c r="D36" i="81"/>
  <c r="D37" i="81"/>
  <c r="D38" i="81"/>
  <c r="D39" i="81"/>
  <c r="D21" i="81"/>
  <c r="D6" i="81"/>
  <c r="D7" i="81"/>
  <c r="D8" i="81"/>
  <c r="D9" i="81"/>
  <c r="D10" i="81"/>
  <c r="D11" i="81"/>
  <c r="D12" i="81"/>
  <c r="D13" i="81"/>
  <c r="D14" i="81"/>
  <c r="D15" i="81"/>
  <c r="D16" i="81"/>
  <c r="D17" i="81"/>
  <c r="D18" i="81"/>
  <c r="D5" i="81"/>
  <c r="C56" i="81"/>
  <c r="A56" i="81"/>
  <c r="C55" i="81"/>
  <c r="A55" i="81"/>
  <c r="C54" i="81"/>
  <c r="A54" i="81"/>
  <c r="C53" i="81"/>
  <c r="A53" i="81"/>
  <c r="C52" i="81"/>
  <c r="A52" i="81"/>
  <c r="C51" i="81"/>
  <c r="A51" i="81"/>
  <c r="C50" i="81"/>
  <c r="A50" i="81"/>
  <c r="C49" i="81"/>
  <c r="A49" i="81"/>
  <c r="C48" i="81"/>
  <c r="A48" i="81"/>
  <c r="C47" i="81"/>
  <c r="A47" i="81"/>
  <c r="M46" i="81"/>
  <c r="C46" i="81"/>
  <c r="A46" i="81"/>
  <c r="M45" i="81"/>
  <c r="C45" i="81"/>
  <c r="A45" i="81"/>
  <c r="M44" i="81"/>
  <c r="M43" i="81"/>
  <c r="M42" i="81"/>
  <c r="D42" i="81"/>
  <c r="M41" i="81"/>
  <c r="D41" i="81"/>
  <c r="M40" i="81"/>
  <c r="D40" i="81"/>
  <c r="M39" i="81"/>
  <c r="C39" i="81"/>
  <c r="A39" i="81"/>
  <c r="M38" i="81"/>
  <c r="C38" i="81"/>
  <c r="A38" i="81"/>
  <c r="M37" i="81"/>
  <c r="C37" i="81"/>
  <c r="A37" i="81"/>
  <c r="M36" i="81"/>
  <c r="C36" i="81"/>
  <c r="A36" i="81"/>
  <c r="C35" i="81"/>
  <c r="A35" i="81"/>
  <c r="C34" i="81"/>
  <c r="A34" i="81"/>
  <c r="C33" i="81"/>
  <c r="A33" i="81"/>
  <c r="N32" i="81"/>
  <c r="M32" i="81"/>
  <c r="I32" i="81"/>
  <c r="G32" i="81"/>
  <c r="C32" i="81"/>
  <c r="A32" i="81"/>
  <c r="N31" i="81"/>
  <c r="M31" i="81"/>
  <c r="I31" i="81"/>
  <c r="G31" i="81"/>
  <c r="C31" i="81"/>
  <c r="A31" i="81"/>
  <c r="N30" i="81"/>
  <c r="M30" i="81"/>
  <c r="I30" i="81"/>
  <c r="G30" i="81"/>
  <c r="C30" i="81"/>
  <c r="A30" i="81"/>
  <c r="N29" i="81"/>
  <c r="M29" i="81"/>
  <c r="I29" i="81"/>
  <c r="G29" i="81"/>
  <c r="C29" i="81"/>
  <c r="A29" i="81"/>
  <c r="I28" i="81"/>
  <c r="G28" i="81"/>
  <c r="C28" i="81"/>
  <c r="A28" i="81"/>
  <c r="I27" i="81"/>
  <c r="G27" i="81"/>
  <c r="C27" i="81"/>
  <c r="A27" i="81"/>
  <c r="N26" i="81"/>
  <c r="M26" i="81"/>
  <c r="I26" i="81"/>
  <c r="G26" i="81"/>
  <c r="C26" i="81"/>
  <c r="A26" i="81"/>
  <c r="N25" i="81"/>
  <c r="M25" i="81"/>
  <c r="I25" i="81"/>
  <c r="G25" i="81"/>
  <c r="C25" i="81"/>
  <c r="A25" i="81"/>
  <c r="N24" i="81"/>
  <c r="M24" i="81"/>
  <c r="I24" i="81"/>
  <c r="G24" i="81"/>
  <c r="C24" i="81"/>
  <c r="A24" i="81"/>
  <c r="N23" i="81"/>
  <c r="M23" i="81"/>
  <c r="I23" i="81"/>
  <c r="G23" i="81"/>
  <c r="C23" i="81"/>
  <c r="A23" i="81"/>
  <c r="I22" i="81"/>
  <c r="G22" i="81"/>
  <c r="C22" i="81"/>
  <c r="A22" i="81"/>
  <c r="I21" i="81"/>
  <c r="G21" i="81"/>
  <c r="C21" i="81"/>
  <c r="A21" i="81"/>
  <c r="N20" i="81"/>
  <c r="M20" i="81"/>
  <c r="I20" i="81"/>
  <c r="G20" i="81"/>
  <c r="N19" i="81"/>
  <c r="M19" i="81"/>
  <c r="I19" i="81"/>
  <c r="G19" i="81"/>
  <c r="N18" i="81"/>
  <c r="M18" i="81"/>
  <c r="C18" i="81"/>
  <c r="A18" i="81"/>
  <c r="C17" i="81"/>
  <c r="A17" i="81"/>
  <c r="I16" i="81"/>
  <c r="G16" i="81"/>
  <c r="C16" i="81"/>
  <c r="A16" i="81"/>
  <c r="N15" i="81"/>
  <c r="M15" i="81"/>
  <c r="I15" i="81"/>
  <c r="G15" i="81"/>
  <c r="C15" i="81"/>
  <c r="A15" i="81"/>
  <c r="N14" i="81"/>
  <c r="M14" i="81"/>
  <c r="I14" i="81"/>
  <c r="G14" i="81"/>
  <c r="C14" i="81"/>
  <c r="A14" i="81"/>
  <c r="N13" i="81"/>
  <c r="M13" i="81"/>
  <c r="I13" i="81"/>
  <c r="G13" i="81"/>
  <c r="C13" i="81"/>
  <c r="A13" i="81"/>
  <c r="C12" i="81"/>
  <c r="A12" i="81"/>
  <c r="C11" i="81"/>
  <c r="A11" i="81"/>
  <c r="N10" i="81"/>
  <c r="M10" i="81"/>
  <c r="I10" i="81"/>
  <c r="G10" i="81"/>
  <c r="C10" i="81"/>
  <c r="A10" i="81"/>
  <c r="N9" i="81"/>
  <c r="M9" i="81"/>
  <c r="I9" i="81"/>
  <c r="G9" i="81"/>
  <c r="C9" i="81"/>
  <c r="A9" i="81"/>
  <c r="N8" i="81"/>
  <c r="M8" i="81"/>
  <c r="I8" i="81"/>
  <c r="G8" i="81"/>
  <c r="C8" i="81"/>
  <c r="A8" i="81"/>
  <c r="N7" i="81"/>
  <c r="M7" i="81"/>
  <c r="I7" i="81"/>
  <c r="G7" i="81"/>
  <c r="C7" i="81"/>
  <c r="A7" i="81"/>
  <c r="N6" i="81"/>
  <c r="M6" i="81"/>
  <c r="I6" i="81"/>
  <c r="G6" i="81"/>
  <c r="C6" i="81"/>
  <c r="A6" i="81"/>
  <c r="N5" i="81"/>
  <c r="M5" i="81"/>
  <c r="I5" i="81"/>
  <c r="G5" i="81"/>
  <c r="C5" i="81"/>
  <c r="A5" i="81"/>
  <c r="V32" i="56"/>
  <c r="V33" i="56"/>
  <c r="V34" i="56"/>
  <c r="V36" i="56"/>
  <c r="V38" i="56"/>
  <c r="V40" i="56"/>
  <c r="V20" i="56"/>
  <c r="O30" i="80"/>
  <c r="O31" i="80"/>
  <c r="O32" i="80"/>
  <c r="O29" i="80"/>
  <c r="O24" i="80"/>
  <c r="O25" i="80"/>
  <c r="O26" i="80"/>
  <c r="O23" i="80"/>
  <c r="O19" i="80"/>
  <c r="O20" i="80"/>
  <c r="O18" i="80"/>
  <c r="O14" i="80"/>
  <c r="O15" i="80"/>
  <c r="O13" i="80"/>
  <c r="O6" i="80"/>
  <c r="O7" i="80"/>
  <c r="O8" i="80"/>
  <c r="O9" i="80"/>
  <c r="O10" i="80"/>
  <c r="O5" i="80"/>
  <c r="J20" i="80"/>
  <c r="J21" i="80"/>
  <c r="J22" i="80"/>
  <c r="J23" i="80"/>
  <c r="J24" i="80"/>
  <c r="J25" i="80"/>
  <c r="J26" i="80"/>
  <c r="J27" i="80"/>
  <c r="J28" i="80"/>
  <c r="J29" i="80"/>
  <c r="J30" i="80"/>
  <c r="J31" i="80"/>
  <c r="J32" i="80"/>
  <c r="J19" i="80"/>
  <c r="J14" i="80"/>
  <c r="J15" i="80"/>
  <c r="J16" i="80"/>
  <c r="J13" i="80"/>
  <c r="J6" i="80"/>
  <c r="J7" i="80"/>
  <c r="J8" i="80"/>
  <c r="J9" i="80"/>
  <c r="J10" i="80"/>
  <c r="J5" i="80"/>
  <c r="D46" i="80"/>
  <c r="D47" i="80"/>
  <c r="D48" i="80"/>
  <c r="D49" i="80"/>
  <c r="D50" i="80"/>
  <c r="D51" i="80"/>
  <c r="D52" i="80"/>
  <c r="D53" i="80"/>
  <c r="D54" i="80"/>
  <c r="D55" i="80"/>
  <c r="D56" i="80"/>
  <c r="D45" i="80"/>
  <c r="D22" i="80"/>
  <c r="D23" i="80"/>
  <c r="D24" i="80"/>
  <c r="D25" i="80"/>
  <c r="D26" i="80"/>
  <c r="D27" i="80"/>
  <c r="D28" i="80"/>
  <c r="D29" i="80"/>
  <c r="D30" i="80"/>
  <c r="D31" i="80"/>
  <c r="D32" i="80"/>
  <c r="D33" i="80"/>
  <c r="D34" i="80"/>
  <c r="D35" i="80"/>
  <c r="D36" i="80"/>
  <c r="D37" i="80"/>
  <c r="D38" i="80"/>
  <c r="D39" i="80"/>
  <c r="D21" i="80"/>
  <c r="D6" i="80"/>
  <c r="D7" i="80"/>
  <c r="D8" i="80"/>
  <c r="D9" i="80"/>
  <c r="D10" i="80"/>
  <c r="D11" i="80"/>
  <c r="D12" i="80"/>
  <c r="D13" i="80"/>
  <c r="D14" i="80"/>
  <c r="D15" i="80"/>
  <c r="D16" i="80"/>
  <c r="D17" i="80"/>
  <c r="D18" i="80"/>
  <c r="D5" i="80"/>
  <c r="K79" i="80"/>
  <c r="C56" i="80"/>
  <c r="A56" i="80"/>
  <c r="C55" i="80"/>
  <c r="A55" i="80"/>
  <c r="C54" i="80"/>
  <c r="A54" i="80"/>
  <c r="C53" i="80"/>
  <c r="A53" i="80"/>
  <c r="C52" i="80"/>
  <c r="A52" i="80"/>
  <c r="C51" i="80"/>
  <c r="A51" i="80"/>
  <c r="C50" i="80"/>
  <c r="A50" i="80"/>
  <c r="C49" i="80"/>
  <c r="A49" i="80"/>
  <c r="C48" i="80"/>
  <c r="A48" i="80"/>
  <c r="C47" i="80"/>
  <c r="A47" i="80"/>
  <c r="M46" i="80"/>
  <c r="C46" i="80"/>
  <c r="A46" i="80"/>
  <c r="M45" i="80"/>
  <c r="C45" i="80"/>
  <c r="A45" i="80"/>
  <c r="M44" i="80"/>
  <c r="M43" i="80"/>
  <c r="M42" i="80"/>
  <c r="D42" i="80"/>
  <c r="M41" i="80"/>
  <c r="D41" i="80"/>
  <c r="M40" i="80"/>
  <c r="D40" i="80"/>
  <c r="M39" i="80"/>
  <c r="C39" i="80"/>
  <c r="A39" i="80"/>
  <c r="M38" i="80"/>
  <c r="C38" i="80"/>
  <c r="A38" i="80"/>
  <c r="M37" i="80"/>
  <c r="C37" i="80"/>
  <c r="A37" i="80"/>
  <c r="M36" i="80"/>
  <c r="C36" i="80"/>
  <c r="A36" i="80"/>
  <c r="C35" i="80"/>
  <c r="A35" i="80"/>
  <c r="C34" i="80"/>
  <c r="A34" i="80"/>
  <c r="C33" i="80"/>
  <c r="A33" i="80"/>
  <c r="N32" i="80"/>
  <c r="M32" i="80"/>
  <c r="I32" i="80"/>
  <c r="G32" i="80"/>
  <c r="C32" i="80"/>
  <c r="A32" i="80"/>
  <c r="N31" i="80"/>
  <c r="M31" i="80"/>
  <c r="I31" i="80"/>
  <c r="G31" i="80"/>
  <c r="C31" i="80"/>
  <c r="A31" i="80"/>
  <c r="N30" i="80"/>
  <c r="M30" i="80"/>
  <c r="I30" i="80"/>
  <c r="G30" i="80"/>
  <c r="C30" i="80"/>
  <c r="A30" i="80"/>
  <c r="N29" i="80"/>
  <c r="M29" i="80"/>
  <c r="I29" i="80"/>
  <c r="G29" i="80"/>
  <c r="C29" i="80"/>
  <c r="A29" i="80"/>
  <c r="I28" i="80"/>
  <c r="G28" i="80"/>
  <c r="C28" i="80"/>
  <c r="A28" i="80"/>
  <c r="I27" i="80"/>
  <c r="G27" i="80"/>
  <c r="C27" i="80"/>
  <c r="A27" i="80"/>
  <c r="N26" i="80"/>
  <c r="M26" i="80"/>
  <c r="I26" i="80"/>
  <c r="G26" i="80"/>
  <c r="C26" i="80"/>
  <c r="A26" i="80"/>
  <c r="N25" i="80"/>
  <c r="M25" i="80"/>
  <c r="I25" i="80"/>
  <c r="G25" i="80"/>
  <c r="C25" i="80"/>
  <c r="A25" i="80"/>
  <c r="N24" i="80"/>
  <c r="M24" i="80"/>
  <c r="I24" i="80"/>
  <c r="G24" i="80"/>
  <c r="C24" i="80"/>
  <c r="A24" i="80"/>
  <c r="N23" i="80"/>
  <c r="M23" i="80"/>
  <c r="I23" i="80"/>
  <c r="G23" i="80"/>
  <c r="C23" i="80"/>
  <c r="A23" i="80"/>
  <c r="I22" i="80"/>
  <c r="G22" i="80"/>
  <c r="C22" i="80"/>
  <c r="A22" i="80"/>
  <c r="I21" i="80"/>
  <c r="G21" i="80"/>
  <c r="C21" i="80"/>
  <c r="A21" i="80"/>
  <c r="N20" i="80"/>
  <c r="M20" i="80"/>
  <c r="I20" i="80"/>
  <c r="G20" i="80"/>
  <c r="N19" i="80"/>
  <c r="M19" i="80"/>
  <c r="I19" i="80"/>
  <c r="G19" i="80"/>
  <c r="N18" i="80"/>
  <c r="M18" i="80"/>
  <c r="C18" i="80"/>
  <c r="A18" i="80"/>
  <c r="C17" i="80"/>
  <c r="A17" i="80"/>
  <c r="I16" i="80"/>
  <c r="G16" i="80"/>
  <c r="C16" i="80"/>
  <c r="A16" i="80"/>
  <c r="N15" i="80"/>
  <c r="M15" i="80"/>
  <c r="I15" i="80"/>
  <c r="G15" i="80"/>
  <c r="C15" i="80"/>
  <c r="A15" i="80"/>
  <c r="N14" i="80"/>
  <c r="M14" i="80"/>
  <c r="I14" i="80"/>
  <c r="G14" i="80"/>
  <c r="C14" i="80"/>
  <c r="A14" i="80"/>
  <c r="N13" i="80"/>
  <c r="M13" i="80"/>
  <c r="I13" i="80"/>
  <c r="G13" i="80"/>
  <c r="C13" i="80"/>
  <c r="A13" i="80"/>
  <c r="C12" i="80"/>
  <c r="A12" i="80"/>
  <c r="C11" i="80"/>
  <c r="A11" i="80"/>
  <c r="N10" i="80"/>
  <c r="M10" i="80"/>
  <c r="I10" i="80"/>
  <c r="G10" i="80"/>
  <c r="C10" i="80"/>
  <c r="A10" i="80"/>
  <c r="N9" i="80"/>
  <c r="M9" i="80"/>
  <c r="I9" i="80"/>
  <c r="G9" i="80"/>
  <c r="C9" i="80"/>
  <c r="A9" i="80"/>
  <c r="N8" i="80"/>
  <c r="M8" i="80"/>
  <c r="I8" i="80"/>
  <c r="G8" i="80"/>
  <c r="C8" i="80"/>
  <c r="A8" i="80"/>
  <c r="N7" i="80"/>
  <c r="M7" i="80"/>
  <c r="I7" i="80"/>
  <c r="G7" i="80"/>
  <c r="C7" i="80"/>
  <c r="A7" i="80"/>
  <c r="N6" i="80"/>
  <c r="M6" i="80"/>
  <c r="I6" i="80"/>
  <c r="G6" i="80"/>
  <c r="C6" i="80"/>
  <c r="A6" i="80"/>
  <c r="N5" i="80"/>
  <c r="M5" i="80"/>
  <c r="I5" i="80"/>
  <c r="G5" i="80"/>
  <c r="C5" i="80"/>
  <c r="A5" i="80"/>
  <c r="T32" i="56"/>
  <c r="T33" i="56"/>
  <c r="T34" i="56"/>
  <c r="T36" i="56"/>
  <c r="T38" i="56"/>
  <c r="T40" i="56"/>
  <c r="T20" i="56"/>
  <c r="O30" i="79"/>
  <c r="O31" i="79"/>
  <c r="O32" i="79"/>
  <c r="O29" i="79"/>
  <c r="O24" i="79"/>
  <c r="O25" i="79"/>
  <c r="O26" i="79"/>
  <c r="O23" i="79"/>
  <c r="O19" i="79"/>
  <c r="O20" i="79"/>
  <c r="O18" i="79"/>
  <c r="O14" i="79"/>
  <c r="O15" i="79"/>
  <c r="O13" i="79"/>
  <c r="O6" i="79"/>
  <c r="O7" i="79"/>
  <c r="O8" i="79"/>
  <c r="O9" i="79"/>
  <c r="O10" i="79"/>
  <c r="O5" i="79"/>
  <c r="J20" i="79"/>
  <c r="J21" i="79"/>
  <c r="J22" i="79"/>
  <c r="J23" i="79"/>
  <c r="J24" i="79"/>
  <c r="J25" i="79"/>
  <c r="J26" i="79"/>
  <c r="J27" i="79"/>
  <c r="J28" i="79"/>
  <c r="J29" i="79"/>
  <c r="J30" i="79"/>
  <c r="J31" i="79"/>
  <c r="J32" i="79"/>
  <c r="J19" i="79"/>
  <c r="J14" i="79"/>
  <c r="J15" i="79"/>
  <c r="J16" i="79"/>
  <c r="J13" i="79"/>
  <c r="J6" i="79"/>
  <c r="J7" i="79"/>
  <c r="J8" i="79"/>
  <c r="J9" i="79"/>
  <c r="J10" i="79"/>
  <c r="J5" i="79"/>
  <c r="D46" i="79"/>
  <c r="D47" i="79"/>
  <c r="D48" i="79"/>
  <c r="D49" i="79"/>
  <c r="D50" i="79"/>
  <c r="D51" i="79"/>
  <c r="D52" i="79"/>
  <c r="D53" i="79"/>
  <c r="D54" i="79"/>
  <c r="D55" i="79"/>
  <c r="D56" i="79"/>
  <c r="D45" i="79"/>
  <c r="D22" i="79"/>
  <c r="D23" i="79"/>
  <c r="D24" i="79"/>
  <c r="D25" i="79"/>
  <c r="D26" i="79"/>
  <c r="D27" i="79"/>
  <c r="D28" i="79"/>
  <c r="D29" i="79"/>
  <c r="D30" i="79"/>
  <c r="D31" i="79"/>
  <c r="D32" i="79"/>
  <c r="D33" i="79"/>
  <c r="D34" i="79"/>
  <c r="D35" i="79"/>
  <c r="D36" i="79"/>
  <c r="D37" i="79"/>
  <c r="D38" i="79"/>
  <c r="D39" i="79"/>
  <c r="D21" i="79"/>
  <c r="D6" i="79"/>
  <c r="D7" i="79"/>
  <c r="D8" i="79"/>
  <c r="D9" i="79"/>
  <c r="D10" i="79"/>
  <c r="D11" i="79"/>
  <c r="D12" i="79"/>
  <c r="D13" i="79"/>
  <c r="D14" i="79"/>
  <c r="D15" i="79"/>
  <c r="D16" i="79"/>
  <c r="D17" i="79"/>
  <c r="D18" i="79"/>
  <c r="D5" i="79"/>
  <c r="K79" i="79"/>
  <c r="C56" i="79"/>
  <c r="A56" i="79"/>
  <c r="C55" i="79"/>
  <c r="A55" i="79"/>
  <c r="C54" i="79"/>
  <c r="A54" i="79"/>
  <c r="C53" i="79"/>
  <c r="A53" i="79"/>
  <c r="C52" i="79"/>
  <c r="A52" i="79"/>
  <c r="C51" i="79"/>
  <c r="A51" i="79"/>
  <c r="C50" i="79"/>
  <c r="A50" i="79"/>
  <c r="C49" i="79"/>
  <c r="A49" i="79"/>
  <c r="C48" i="79"/>
  <c r="A48" i="79"/>
  <c r="C47" i="79"/>
  <c r="A47" i="79"/>
  <c r="M46" i="79"/>
  <c r="C46" i="79"/>
  <c r="A46" i="79"/>
  <c r="M45" i="79"/>
  <c r="C45" i="79"/>
  <c r="A45" i="79"/>
  <c r="M44" i="79"/>
  <c r="M43" i="79"/>
  <c r="M42" i="79"/>
  <c r="D42" i="79"/>
  <c r="M41" i="79"/>
  <c r="D41" i="79"/>
  <c r="M40" i="79"/>
  <c r="D40" i="79"/>
  <c r="M39" i="79"/>
  <c r="C39" i="79"/>
  <c r="A39" i="79"/>
  <c r="M38" i="79"/>
  <c r="C38" i="79"/>
  <c r="A38" i="79"/>
  <c r="M37" i="79"/>
  <c r="C37" i="79"/>
  <c r="A37" i="79"/>
  <c r="M36" i="79"/>
  <c r="C36" i="79"/>
  <c r="A36" i="79"/>
  <c r="C35" i="79"/>
  <c r="A35" i="79"/>
  <c r="C34" i="79"/>
  <c r="A34" i="79"/>
  <c r="C33" i="79"/>
  <c r="A33" i="79"/>
  <c r="N32" i="79"/>
  <c r="M32" i="79"/>
  <c r="I32" i="79"/>
  <c r="G32" i="79"/>
  <c r="C32" i="79"/>
  <c r="A32" i="79"/>
  <c r="N31" i="79"/>
  <c r="M31" i="79"/>
  <c r="I31" i="79"/>
  <c r="G31" i="79"/>
  <c r="C31" i="79"/>
  <c r="A31" i="79"/>
  <c r="N30" i="79"/>
  <c r="M30" i="79"/>
  <c r="I30" i="79"/>
  <c r="G30" i="79"/>
  <c r="C30" i="79"/>
  <c r="A30" i="79"/>
  <c r="N29" i="79"/>
  <c r="M29" i="79"/>
  <c r="I29" i="79"/>
  <c r="G29" i="79"/>
  <c r="C29" i="79"/>
  <c r="A29" i="79"/>
  <c r="I28" i="79"/>
  <c r="G28" i="79"/>
  <c r="C28" i="79"/>
  <c r="A28" i="79"/>
  <c r="I27" i="79"/>
  <c r="G27" i="79"/>
  <c r="C27" i="79"/>
  <c r="A27" i="79"/>
  <c r="N26" i="79"/>
  <c r="M26" i="79"/>
  <c r="I26" i="79"/>
  <c r="G26" i="79"/>
  <c r="C26" i="79"/>
  <c r="A26" i="79"/>
  <c r="N25" i="79"/>
  <c r="M25" i="79"/>
  <c r="I25" i="79"/>
  <c r="G25" i="79"/>
  <c r="C25" i="79"/>
  <c r="A25" i="79"/>
  <c r="N24" i="79"/>
  <c r="M24" i="79"/>
  <c r="I24" i="79"/>
  <c r="G24" i="79"/>
  <c r="C24" i="79"/>
  <c r="A24" i="79"/>
  <c r="N23" i="79"/>
  <c r="M23" i="79"/>
  <c r="I23" i="79"/>
  <c r="G23" i="79"/>
  <c r="C23" i="79"/>
  <c r="A23" i="79"/>
  <c r="I22" i="79"/>
  <c r="G22" i="79"/>
  <c r="C22" i="79"/>
  <c r="A22" i="79"/>
  <c r="I21" i="79"/>
  <c r="G21" i="79"/>
  <c r="C21" i="79"/>
  <c r="A21" i="79"/>
  <c r="N20" i="79"/>
  <c r="M20" i="79"/>
  <c r="I20" i="79"/>
  <c r="G20" i="79"/>
  <c r="N19" i="79"/>
  <c r="M19" i="79"/>
  <c r="I19" i="79"/>
  <c r="G19" i="79"/>
  <c r="N18" i="79"/>
  <c r="M18" i="79"/>
  <c r="C18" i="79"/>
  <c r="A18" i="79"/>
  <c r="C17" i="79"/>
  <c r="A17" i="79"/>
  <c r="I16" i="79"/>
  <c r="G16" i="79"/>
  <c r="C16" i="79"/>
  <c r="A16" i="79"/>
  <c r="N15" i="79"/>
  <c r="M15" i="79"/>
  <c r="I15" i="79"/>
  <c r="G15" i="79"/>
  <c r="C15" i="79"/>
  <c r="A15" i="79"/>
  <c r="N14" i="79"/>
  <c r="M14" i="79"/>
  <c r="I14" i="79"/>
  <c r="G14" i="79"/>
  <c r="C14" i="79"/>
  <c r="A14" i="79"/>
  <c r="N13" i="79"/>
  <c r="M13" i="79"/>
  <c r="I13" i="79"/>
  <c r="G13" i="79"/>
  <c r="C13" i="79"/>
  <c r="A13" i="79"/>
  <c r="C12" i="79"/>
  <c r="A12" i="79"/>
  <c r="C11" i="79"/>
  <c r="A11" i="79"/>
  <c r="N10" i="79"/>
  <c r="M10" i="79"/>
  <c r="I10" i="79"/>
  <c r="G10" i="79"/>
  <c r="C10" i="79"/>
  <c r="A10" i="79"/>
  <c r="N9" i="79"/>
  <c r="M9" i="79"/>
  <c r="I9" i="79"/>
  <c r="G9" i="79"/>
  <c r="C9" i="79"/>
  <c r="A9" i="79"/>
  <c r="N8" i="79"/>
  <c r="M8" i="79"/>
  <c r="I8" i="79"/>
  <c r="G8" i="79"/>
  <c r="C8" i="79"/>
  <c r="A8" i="79"/>
  <c r="N7" i="79"/>
  <c r="M7" i="79"/>
  <c r="I7" i="79"/>
  <c r="G7" i="79"/>
  <c r="C7" i="79"/>
  <c r="A7" i="79"/>
  <c r="N6" i="79"/>
  <c r="M6" i="79"/>
  <c r="I6" i="79"/>
  <c r="G6" i="79"/>
  <c r="C6" i="79"/>
  <c r="A6" i="79"/>
  <c r="N5" i="79"/>
  <c r="M5" i="79"/>
  <c r="I5" i="79"/>
  <c r="G5" i="79"/>
  <c r="C5" i="79"/>
  <c r="A5" i="79"/>
  <c r="A81" i="56"/>
  <c r="P13" i="81" s="1"/>
  <c r="Q13" i="81" s="1"/>
  <c r="P32" i="56"/>
  <c r="P33" i="56"/>
  <c r="P34" i="56"/>
  <c r="R32" i="56"/>
  <c r="R33" i="56"/>
  <c r="R34" i="56"/>
  <c r="R36" i="56"/>
  <c r="R38" i="56"/>
  <c r="R40" i="56"/>
  <c r="O30" i="78"/>
  <c r="O31" i="78"/>
  <c r="O32" i="78"/>
  <c r="O29" i="78"/>
  <c r="O24" i="78"/>
  <c r="O25" i="78"/>
  <c r="O26" i="78"/>
  <c r="O23" i="78"/>
  <c r="O19" i="78"/>
  <c r="O20" i="78"/>
  <c r="O18" i="78"/>
  <c r="O14" i="78"/>
  <c r="O15" i="78"/>
  <c r="O13" i="78"/>
  <c r="O6" i="78"/>
  <c r="O7" i="78"/>
  <c r="O8" i="78"/>
  <c r="O9" i="78"/>
  <c r="O10" i="78"/>
  <c r="O5" i="78"/>
  <c r="J20" i="78"/>
  <c r="J21" i="78"/>
  <c r="J22" i="78"/>
  <c r="J23" i="78"/>
  <c r="J24" i="78"/>
  <c r="J25" i="78"/>
  <c r="J26" i="78"/>
  <c r="J27" i="78"/>
  <c r="J28" i="78"/>
  <c r="J29" i="78"/>
  <c r="J30" i="78"/>
  <c r="J31" i="78"/>
  <c r="J32" i="78"/>
  <c r="J19" i="78"/>
  <c r="J14" i="78"/>
  <c r="J15" i="78"/>
  <c r="J16" i="78"/>
  <c r="A43" i="56"/>
  <c r="E30" i="82" s="1"/>
  <c r="J13" i="78"/>
  <c r="J6" i="78"/>
  <c r="J7" i="78"/>
  <c r="J8" i="78"/>
  <c r="J9" i="78"/>
  <c r="J10" i="78"/>
  <c r="J5" i="78"/>
  <c r="D46" i="78"/>
  <c r="D47" i="78"/>
  <c r="D48" i="78"/>
  <c r="D49" i="78"/>
  <c r="D50" i="78"/>
  <c r="D51" i="78"/>
  <c r="D52" i="78"/>
  <c r="D53" i="78"/>
  <c r="D54" i="78"/>
  <c r="D55" i="78"/>
  <c r="D56" i="78"/>
  <c r="D45" i="78"/>
  <c r="D22" i="78"/>
  <c r="D23" i="78"/>
  <c r="D24" i="78"/>
  <c r="D25" i="78"/>
  <c r="D26" i="78"/>
  <c r="D27" i="78"/>
  <c r="D28" i="78"/>
  <c r="D29" i="78"/>
  <c r="D30" i="78"/>
  <c r="D31" i="78"/>
  <c r="D32" i="78"/>
  <c r="D33" i="78"/>
  <c r="D34" i="78"/>
  <c r="D35" i="78"/>
  <c r="D36" i="78"/>
  <c r="D37" i="78"/>
  <c r="D38" i="78"/>
  <c r="D39" i="78"/>
  <c r="D21" i="78"/>
  <c r="D6" i="78"/>
  <c r="D7" i="78"/>
  <c r="D8" i="78"/>
  <c r="D9" i="78"/>
  <c r="D10" i="78"/>
  <c r="D11" i="78"/>
  <c r="D12" i="78"/>
  <c r="D13" i="78"/>
  <c r="D14" i="78"/>
  <c r="D15" i="78"/>
  <c r="D16" i="78"/>
  <c r="D17" i="78"/>
  <c r="D18" i="78"/>
  <c r="D5" i="78"/>
  <c r="R20" i="56"/>
  <c r="K79" i="78"/>
  <c r="C56" i="78"/>
  <c r="A56" i="78"/>
  <c r="C55" i="78"/>
  <c r="A55" i="78"/>
  <c r="C54" i="78"/>
  <c r="A54" i="78"/>
  <c r="C53" i="78"/>
  <c r="A53" i="78"/>
  <c r="C52" i="78"/>
  <c r="A52" i="78"/>
  <c r="C51" i="78"/>
  <c r="A51" i="78"/>
  <c r="C50" i="78"/>
  <c r="A50" i="78"/>
  <c r="C49" i="78"/>
  <c r="A49" i="78"/>
  <c r="C48" i="78"/>
  <c r="A48" i="78"/>
  <c r="C47" i="78"/>
  <c r="A47" i="78"/>
  <c r="M46" i="78"/>
  <c r="C46" i="78"/>
  <c r="A46" i="78"/>
  <c r="M45" i="78"/>
  <c r="C45" i="78"/>
  <c r="A45" i="78"/>
  <c r="M44" i="78"/>
  <c r="M43" i="78"/>
  <c r="M42" i="78"/>
  <c r="D42" i="78"/>
  <c r="M41" i="78"/>
  <c r="D41" i="78"/>
  <c r="M40" i="78"/>
  <c r="D40" i="78"/>
  <c r="M39" i="78"/>
  <c r="C39" i="78"/>
  <c r="A39" i="78"/>
  <c r="M38" i="78"/>
  <c r="C38" i="78"/>
  <c r="A38" i="78"/>
  <c r="M37" i="78"/>
  <c r="C37" i="78"/>
  <c r="A37" i="78"/>
  <c r="M36" i="78"/>
  <c r="C36" i="78"/>
  <c r="A36" i="78"/>
  <c r="C35" i="78"/>
  <c r="A35" i="78"/>
  <c r="C34" i="78"/>
  <c r="A34" i="78"/>
  <c r="C33" i="78"/>
  <c r="A33" i="78"/>
  <c r="N32" i="78"/>
  <c r="M32" i="78"/>
  <c r="I32" i="78"/>
  <c r="G32" i="78"/>
  <c r="C32" i="78"/>
  <c r="A32" i="78"/>
  <c r="N31" i="78"/>
  <c r="M31" i="78"/>
  <c r="I31" i="78"/>
  <c r="G31" i="78"/>
  <c r="C31" i="78"/>
  <c r="A31" i="78"/>
  <c r="N30" i="78"/>
  <c r="M30" i="78"/>
  <c r="I30" i="78"/>
  <c r="G30" i="78"/>
  <c r="C30" i="78"/>
  <c r="A30" i="78"/>
  <c r="N29" i="78"/>
  <c r="M29" i="78"/>
  <c r="I29" i="78"/>
  <c r="G29" i="78"/>
  <c r="C29" i="78"/>
  <c r="A29" i="78"/>
  <c r="I28" i="78"/>
  <c r="G28" i="78"/>
  <c r="C28" i="78"/>
  <c r="A28" i="78"/>
  <c r="I27" i="78"/>
  <c r="G27" i="78"/>
  <c r="C27" i="78"/>
  <c r="A27" i="78"/>
  <c r="N26" i="78"/>
  <c r="M26" i="78"/>
  <c r="I26" i="78"/>
  <c r="G26" i="78"/>
  <c r="C26" i="78"/>
  <c r="A26" i="78"/>
  <c r="N25" i="78"/>
  <c r="M25" i="78"/>
  <c r="I25" i="78"/>
  <c r="G25" i="78"/>
  <c r="C25" i="78"/>
  <c r="A25" i="78"/>
  <c r="N24" i="78"/>
  <c r="M24" i="78"/>
  <c r="I24" i="78"/>
  <c r="G24" i="78"/>
  <c r="C24" i="78"/>
  <c r="A24" i="78"/>
  <c r="N23" i="78"/>
  <c r="M23" i="78"/>
  <c r="I23" i="78"/>
  <c r="G23" i="78"/>
  <c r="C23" i="78"/>
  <c r="A23" i="78"/>
  <c r="I22" i="78"/>
  <c r="G22" i="78"/>
  <c r="C22" i="78"/>
  <c r="A22" i="78"/>
  <c r="I21" i="78"/>
  <c r="G21" i="78"/>
  <c r="C21" i="78"/>
  <c r="A21" i="78"/>
  <c r="N20" i="78"/>
  <c r="M20" i="78"/>
  <c r="I20" i="78"/>
  <c r="G20" i="78"/>
  <c r="N19" i="78"/>
  <c r="M19" i="78"/>
  <c r="I19" i="78"/>
  <c r="G19" i="78"/>
  <c r="N18" i="78"/>
  <c r="M18" i="78"/>
  <c r="C18" i="78"/>
  <c r="A18" i="78"/>
  <c r="C17" i="78"/>
  <c r="A17" i="78"/>
  <c r="I16" i="78"/>
  <c r="G16" i="78"/>
  <c r="C16" i="78"/>
  <c r="A16" i="78"/>
  <c r="N15" i="78"/>
  <c r="M15" i="78"/>
  <c r="I15" i="78"/>
  <c r="G15" i="78"/>
  <c r="C15" i="78"/>
  <c r="A15" i="78"/>
  <c r="N14" i="78"/>
  <c r="M14" i="78"/>
  <c r="I14" i="78"/>
  <c r="G14" i="78"/>
  <c r="C14" i="78"/>
  <c r="A14" i="78"/>
  <c r="N13" i="78"/>
  <c r="M13" i="78"/>
  <c r="I13" i="78"/>
  <c r="G13" i="78"/>
  <c r="C13" i="78"/>
  <c r="A13" i="78"/>
  <c r="C12" i="78"/>
  <c r="A12" i="78"/>
  <c r="C11" i="78"/>
  <c r="A11" i="78"/>
  <c r="N10" i="78"/>
  <c r="M10" i="78"/>
  <c r="I10" i="78"/>
  <c r="G10" i="78"/>
  <c r="C10" i="78"/>
  <c r="A10" i="78"/>
  <c r="N9" i="78"/>
  <c r="M9" i="78"/>
  <c r="I9" i="78"/>
  <c r="G9" i="78"/>
  <c r="C9" i="78"/>
  <c r="A9" i="78"/>
  <c r="N8" i="78"/>
  <c r="M8" i="78"/>
  <c r="I8" i="78"/>
  <c r="G8" i="78"/>
  <c r="C8" i="78"/>
  <c r="A8" i="78"/>
  <c r="N7" i="78"/>
  <c r="M7" i="78"/>
  <c r="I7" i="78"/>
  <c r="G7" i="78"/>
  <c r="C7" i="78"/>
  <c r="A7" i="78"/>
  <c r="N6" i="78"/>
  <c r="M6" i="78"/>
  <c r="I6" i="78"/>
  <c r="G6" i="78"/>
  <c r="C6" i="78"/>
  <c r="A6" i="78"/>
  <c r="N5" i="78"/>
  <c r="M5" i="78"/>
  <c r="I5" i="78"/>
  <c r="G5" i="78"/>
  <c r="C5" i="78"/>
  <c r="A5" i="78"/>
  <c r="M46" i="49"/>
  <c r="M45" i="49"/>
  <c r="M44" i="49"/>
  <c r="M43" i="49"/>
  <c r="M42" i="49"/>
  <c r="M41" i="49"/>
  <c r="M40" i="49"/>
  <c r="M39" i="49"/>
  <c r="M38" i="49"/>
  <c r="M37" i="49"/>
  <c r="M36" i="49"/>
  <c r="G21" i="49"/>
  <c r="I21" i="49"/>
  <c r="J21" i="49"/>
  <c r="G22" i="49"/>
  <c r="I22" i="49"/>
  <c r="J22" i="49"/>
  <c r="G23" i="49"/>
  <c r="I23" i="49"/>
  <c r="J23" i="49"/>
  <c r="G24" i="49"/>
  <c r="I24" i="49"/>
  <c r="J24" i="49"/>
  <c r="G25" i="49"/>
  <c r="I25" i="49"/>
  <c r="J25" i="49"/>
  <c r="G26" i="49"/>
  <c r="I26" i="49"/>
  <c r="J26" i="49"/>
  <c r="G27" i="49"/>
  <c r="I27" i="49"/>
  <c r="J27" i="49"/>
  <c r="G28" i="49"/>
  <c r="I28" i="49"/>
  <c r="J28" i="49"/>
  <c r="G29" i="49"/>
  <c r="I29" i="49"/>
  <c r="J29" i="49"/>
  <c r="G30" i="49"/>
  <c r="I30" i="49"/>
  <c r="J30" i="49"/>
  <c r="G31" i="49"/>
  <c r="I31" i="49"/>
  <c r="J31" i="49"/>
  <c r="G32" i="49"/>
  <c r="I32" i="49"/>
  <c r="J32" i="49"/>
  <c r="D41" i="49"/>
  <c r="D42" i="49"/>
  <c r="A45" i="49"/>
  <c r="C45" i="49"/>
  <c r="D45" i="49"/>
  <c r="A46" i="49"/>
  <c r="C46" i="49"/>
  <c r="D46" i="49"/>
  <c r="A47" i="49"/>
  <c r="C47" i="49"/>
  <c r="D47" i="49"/>
  <c r="A48" i="49"/>
  <c r="C48" i="49"/>
  <c r="D48" i="49"/>
  <c r="A49" i="49"/>
  <c r="C49" i="49"/>
  <c r="D49" i="49"/>
  <c r="A50" i="49"/>
  <c r="C50" i="49"/>
  <c r="D50" i="49"/>
  <c r="A51" i="49"/>
  <c r="C51" i="49"/>
  <c r="D51" i="49"/>
  <c r="A52" i="49"/>
  <c r="C52" i="49"/>
  <c r="D52" i="49"/>
  <c r="A53" i="49"/>
  <c r="C53" i="49"/>
  <c r="D53" i="49"/>
  <c r="A31" i="49"/>
  <c r="C31" i="49"/>
  <c r="D31" i="49"/>
  <c r="A32" i="49"/>
  <c r="C32" i="49"/>
  <c r="D32" i="49"/>
  <c r="A33" i="49"/>
  <c r="C33" i="49"/>
  <c r="D33" i="49"/>
  <c r="A34" i="49"/>
  <c r="C34" i="49"/>
  <c r="D34" i="49"/>
  <c r="A35" i="49"/>
  <c r="C35" i="49"/>
  <c r="D35" i="49"/>
  <c r="A36" i="49"/>
  <c r="C36" i="49"/>
  <c r="D36" i="49"/>
  <c r="A37" i="49"/>
  <c r="C37" i="49"/>
  <c r="D37" i="49"/>
  <c r="A38" i="49"/>
  <c r="C38" i="49"/>
  <c r="D38" i="49"/>
  <c r="A39" i="49"/>
  <c r="C39" i="49"/>
  <c r="D39" i="49"/>
  <c r="D40" i="49"/>
  <c r="A32" i="56"/>
  <c r="K32" i="81" s="1"/>
  <c r="K32" i="78" l="1"/>
  <c r="P13" i="82"/>
  <c r="P13" i="79"/>
  <c r="Q13" i="79" s="1"/>
  <c r="P13" i="80"/>
  <c r="Q13" i="80" s="1"/>
  <c r="E30" i="81"/>
  <c r="K32" i="49"/>
  <c r="L32" i="49" s="1"/>
  <c r="K32" i="80"/>
  <c r="L32" i="80" s="1"/>
  <c r="K32" i="79"/>
  <c r="L32" i="79" s="1"/>
  <c r="K32" i="82"/>
  <c r="L32" i="82" s="1"/>
  <c r="L32" i="78"/>
  <c r="E30" i="78"/>
  <c r="F30" i="78" s="1"/>
  <c r="E30" i="80"/>
  <c r="F30" i="80" s="1"/>
  <c r="F30" i="82"/>
  <c r="E30" i="79"/>
  <c r="F30" i="79" s="1"/>
  <c r="F30" i="81"/>
  <c r="Q13" i="82"/>
  <c r="P13" i="78"/>
  <c r="P13" i="49"/>
  <c r="L32" i="81"/>
  <c r="Q13" i="78"/>
  <c r="A5" i="56"/>
  <c r="A6" i="56"/>
  <c r="A7" i="56"/>
  <c r="A8" i="56"/>
  <c r="A9" i="56"/>
  <c r="A10" i="56"/>
  <c r="A11" i="56"/>
  <c r="A12" i="56"/>
  <c r="A13" i="56"/>
  <c r="A14" i="56"/>
  <c r="A15" i="56"/>
  <c r="A16" i="56"/>
  <c r="A17" i="56"/>
  <c r="A18" i="56"/>
  <c r="A19" i="56"/>
  <c r="A20" i="56"/>
  <c r="A21" i="56"/>
  <c r="A22" i="56"/>
  <c r="A23" i="56"/>
  <c r="A24" i="56"/>
  <c r="A25" i="56"/>
  <c r="A26" i="56"/>
  <c r="A27" i="56"/>
  <c r="A28" i="56"/>
  <c r="A29" i="56"/>
  <c r="A30" i="56"/>
  <c r="A31" i="56"/>
  <c r="A33" i="56"/>
  <c r="A34" i="56"/>
  <c r="A35" i="56"/>
  <c r="A36" i="56"/>
  <c r="A37" i="56"/>
  <c r="A38" i="56"/>
  <c r="A39" i="56"/>
  <c r="A40" i="56"/>
  <c r="A41" i="56"/>
  <c r="A42" i="56"/>
  <c r="A44" i="56"/>
  <c r="A45" i="56"/>
  <c r="A46" i="56"/>
  <c r="A47" i="56"/>
  <c r="A48" i="56"/>
  <c r="A49" i="56"/>
  <c r="A50" i="56"/>
  <c r="A51" i="56"/>
  <c r="A52" i="56"/>
  <c r="A53" i="56"/>
  <c r="A54" i="56"/>
  <c r="A55" i="56"/>
  <c r="A56" i="56"/>
  <c r="A57" i="56"/>
  <c r="A58" i="56"/>
  <c r="A59" i="56"/>
  <c r="A60" i="56"/>
  <c r="A61" i="56"/>
  <c r="A62" i="56"/>
  <c r="A63" i="56"/>
  <c r="A64" i="56"/>
  <c r="A65" i="56"/>
  <c r="A66" i="56"/>
  <c r="A67" i="56"/>
  <c r="A68" i="56"/>
  <c r="A69" i="56"/>
  <c r="A70" i="56"/>
  <c r="A71" i="56"/>
  <c r="A72" i="56"/>
  <c r="A73" i="56"/>
  <c r="A74" i="56"/>
  <c r="A75" i="56"/>
  <c r="A76" i="56"/>
  <c r="A77" i="56"/>
  <c r="A78" i="56"/>
  <c r="A79" i="56"/>
  <c r="A80" i="56"/>
  <c r="A82" i="56"/>
  <c r="A83" i="56"/>
  <c r="A84" i="56"/>
  <c r="A85" i="56"/>
  <c r="A86" i="56"/>
  <c r="A87" i="56"/>
  <c r="A88" i="56"/>
  <c r="A89" i="56"/>
  <c r="A90" i="56"/>
  <c r="A91" i="56"/>
  <c r="A92" i="56"/>
  <c r="A93" i="56"/>
  <c r="A94" i="56"/>
  <c r="A95" i="56"/>
  <c r="A96" i="56"/>
  <c r="A97" i="56"/>
  <c r="A98" i="56"/>
  <c r="A99" i="56"/>
  <c r="A100" i="56"/>
  <c r="A101" i="56"/>
  <c r="A102" i="56"/>
  <c r="A103" i="56"/>
  <c r="A104" i="56"/>
  <c r="A4" i="56"/>
  <c r="E5" i="78" l="1"/>
  <c r="F5" i="78" s="1"/>
  <c r="E5" i="82"/>
  <c r="F5" i="82" s="1"/>
  <c r="E5" i="80"/>
  <c r="F5" i="80" s="1"/>
  <c r="E5" i="81"/>
  <c r="F5" i="81" s="1"/>
  <c r="E5" i="79"/>
  <c r="F5" i="79" s="1"/>
  <c r="P23" i="82"/>
  <c r="Q23" i="82" s="1"/>
  <c r="P23" i="79"/>
  <c r="Q23" i="79" s="1"/>
  <c r="P23" i="80"/>
  <c r="Q23" i="80" s="1"/>
  <c r="P23" i="78"/>
  <c r="Q23" i="78" s="1"/>
  <c r="P23" i="81"/>
  <c r="Q23" i="81" s="1"/>
  <c r="K8" i="79"/>
  <c r="L8" i="79" s="1"/>
  <c r="K8" i="78"/>
  <c r="L8" i="78" s="1"/>
  <c r="K8" i="80"/>
  <c r="L8" i="80" s="1"/>
  <c r="K8" i="82"/>
  <c r="L8" i="82" s="1"/>
  <c r="K8" i="81"/>
  <c r="L8" i="81" s="1"/>
  <c r="E44" i="80"/>
  <c r="F44" i="80" s="1"/>
  <c r="E45" i="81"/>
  <c r="F45" i="81" s="1"/>
  <c r="E44" i="78"/>
  <c r="F44" i="78" s="1"/>
  <c r="E45" i="82"/>
  <c r="F45" i="82" s="1"/>
  <c r="E44" i="81"/>
  <c r="F44" i="81" s="1"/>
  <c r="E45" i="79"/>
  <c r="F45" i="79" s="1"/>
  <c r="E44" i="82"/>
  <c r="F44" i="82" s="1"/>
  <c r="E45" i="80"/>
  <c r="F45" i="80" s="1"/>
  <c r="E44" i="79"/>
  <c r="F44" i="79" s="1"/>
  <c r="E45" i="78"/>
  <c r="F45" i="78" s="1"/>
  <c r="E26" i="79"/>
  <c r="F26" i="79" s="1"/>
  <c r="E26" i="82"/>
  <c r="F26" i="82" s="1"/>
  <c r="E26" i="80"/>
  <c r="F26" i="80" s="1"/>
  <c r="E26" i="78"/>
  <c r="F26" i="78" s="1"/>
  <c r="E26" i="81"/>
  <c r="F26" i="81" s="1"/>
  <c r="K22" i="81"/>
  <c r="L22" i="81" s="1"/>
  <c r="K22" i="49"/>
  <c r="L22" i="49" s="1"/>
  <c r="K22" i="82"/>
  <c r="L22" i="82" s="1"/>
  <c r="K22" i="80"/>
  <c r="L22" i="80" s="1"/>
  <c r="K22" i="79"/>
  <c r="L22" i="79" s="1"/>
  <c r="K22" i="78"/>
  <c r="L22" i="78" s="1"/>
  <c r="E7" i="78"/>
  <c r="F7" i="78" s="1"/>
  <c r="E7" i="80"/>
  <c r="F7" i="80" s="1"/>
  <c r="E7" i="82"/>
  <c r="F7" i="82" s="1"/>
  <c r="E7" i="79"/>
  <c r="F7" i="79" s="1"/>
  <c r="E7" i="81"/>
  <c r="F7" i="81" s="1"/>
  <c r="K7" i="78"/>
  <c r="L7" i="78" s="1"/>
  <c r="K7" i="82"/>
  <c r="L7" i="82" s="1"/>
  <c r="K7" i="80"/>
  <c r="L7" i="80" s="1"/>
  <c r="K7" i="79"/>
  <c r="L7" i="79" s="1"/>
  <c r="K7" i="81"/>
  <c r="L7" i="81" s="1"/>
  <c r="P31" i="82"/>
  <c r="Q31" i="82" s="1"/>
  <c r="P31" i="79"/>
  <c r="Q31" i="79" s="1"/>
  <c r="P31" i="80"/>
  <c r="Q31" i="80" s="1"/>
  <c r="P31" i="78"/>
  <c r="Q31" i="78" s="1"/>
  <c r="P31" i="81"/>
  <c r="Q31" i="81" s="1"/>
  <c r="E23" i="82"/>
  <c r="F23" i="82" s="1"/>
  <c r="E23" i="79"/>
  <c r="F23" i="79" s="1"/>
  <c r="E23" i="80"/>
  <c r="F23" i="80" s="1"/>
  <c r="E23" i="78"/>
  <c r="F23" i="78" s="1"/>
  <c r="E23" i="81"/>
  <c r="F23" i="81" s="1"/>
  <c r="P20" i="81"/>
  <c r="Q20" i="81" s="1"/>
  <c r="P20" i="82"/>
  <c r="Q20" i="82" s="1"/>
  <c r="P20" i="79"/>
  <c r="Q20" i="79" s="1"/>
  <c r="P20" i="80"/>
  <c r="Q20" i="80" s="1"/>
  <c r="P20" i="78"/>
  <c r="Q20" i="78" s="1"/>
  <c r="E40" i="81"/>
  <c r="F40" i="81" s="1"/>
  <c r="E40" i="49"/>
  <c r="F40" i="49" s="1"/>
  <c r="E40" i="82"/>
  <c r="F40" i="82" s="1"/>
  <c r="E40" i="79"/>
  <c r="F40" i="79" s="1"/>
  <c r="E40" i="80"/>
  <c r="F40" i="80" s="1"/>
  <c r="E40" i="78"/>
  <c r="F40" i="78" s="1"/>
  <c r="K9" i="78"/>
  <c r="L9" i="78" s="1"/>
  <c r="K9" i="79"/>
  <c r="L9" i="79" s="1"/>
  <c r="K9" i="80"/>
  <c r="L9" i="80" s="1"/>
  <c r="K9" i="82"/>
  <c r="L9" i="82" s="1"/>
  <c r="K9" i="81"/>
  <c r="L9" i="81" s="1"/>
  <c r="K23" i="82"/>
  <c r="L23" i="82" s="1"/>
  <c r="K23" i="79"/>
  <c r="L23" i="79" s="1"/>
  <c r="K23" i="80"/>
  <c r="L23" i="80" s="1"/>
  <c r="K23" i="78"/>
  <c r="L23" i="78" s="1"/>
  <c r="K23" i="49"/>
  <c r="L23" i="49" s="1"/>
  <c r="K23" i="81"/>
  <c r="L23" i="81" s="1"/>
  <c r="P19" i="82"/>
  <c r="Q19" i="82" s="1"/>
  <c r="P19" i="79"/>
  <c r="Q19" i="79" s="1"/>
  <c r="P19" i="80"/>
  <c r="Q19" i="80" s="1"/>
  <c r="P19" i="78"/>
  <c r="Q19" i="78" s="1"/>
  <c r="P19" i="81"/>
  <c r="Q19" i="81" s="1"/>
  <c r="K21" i="49"/>
  <c r="L21" i="49" s="1"/>
  <c r="K21" i="82"/>
  <c r="L21" i="82" s="1"/>
  <c r="K21" i="80"/>
  <c r="L21" i="80" s="1"/>
  <c r="K21" i="79"/>
  <c r="L21" i="79" s="1"/>
  <c r="K21" i="78"/>
  <c r="L21" i="78" s="1"/>
  <c r="K21" i="81"/>
  <c r="L21" i="81" s="1"/>
  <c r="K20" i="78"/>
  <c r="L20" i="78" s="1"/>
  <c r="K20" i="81"/>
  <c r="L20" i="81" s="1"/>
  <c r="K20" i="82"/>
  <c r="L20" i="82" s="1"/>
  <c r="K20" i="79"/>
  <c r="L20" i="79" s="1"/>
  <c r="K20" i="80"/>
  <c r="L20" i="80" s="1"/>
  <c r="P30" i="79"/>
  <c r="Q30" i="79" s="1"/>
  <c r="P30" i="81"/>
  <c r="Q30" i="81" s="1"/>
  <c r="P30" i="82"/>
  <c r="Q30" i="82" s="1"/>
  <c r="P30" i="80"/>
  <c r="Q30" i="80" s="1"/>
  <c r="P30" i="78"/>
  <c r="Q30" i="78" s="1"/>
  <c r="E22" i="78"/>
  <c r="F22" i="78" s="1"/>
  <c r="E22" i="81"/>
  <c r="F22" i="81" s="1"/>
  <c r="E22" i="82"/>
  <c r="F22" i="82" s="1"/>
  <c r="E22" i="80"/>
  <c r="F22" i="80" s="1"/>
  <c r="E22" i="79"/>
  <c r="F22" i="79" s="1"/>
  <c r="P10" i="82"/>
  <c r="Q10" i="82" s="1"/>
  <c r="P10" i="81"/>
  <c r="Q10" i="81" s="1"/>
  <c r="P10" i="79"/>
  <c r="Q10" i="79" s="1"/>
  <c r="P10" i="78"/>
  <c r="Q10" i="78" s="1"/>
  <c r="P10" i="80"/>
  <c r="Q10" i="80" s="1"/>
  <c r="E55" i="82"/>
  <c r="F55" i="82" s="1"/>
  <c r="E55" i="79"/>
  <c r="F55" i="79" s="1"/>
  <c r="E55" i="78"/>
  <c r="F55" i="78" s="1"/>
  <c r="E55" i="80"/>
  <c r="F55" i="80" s="1"/>
  <c r="E55" i="81"/>
  <c r="F55" i="81" s="1"/>
  <c r="P8" i="79"/>
  <c r="Q8" i="79" s="1"/>
  <c r="P8" i="78"/>
  <c r="Q8" i="78" s="1"/>
  <c r="P8" i="81"/>
  <c r="Q8" i="81" s="1"/>
  <c r="P8" i="80"/>
  <c r="Q8" i="80" s="1"/>
  <c r="P8" i="82"/>
  <c r="Q8" i="82" s="1"/>
  <c r="E53" i="78"/>
  <c r="F53" i="78" s="1"/>
  <c r="E53" i="81"/>
  <c r="F53" i="81" s="1"/>
  <c r="E53" i="82"/>
  <c r="F53" i="82" s="1"/>
  <c r="E53" i="79"/>
  <c r="F53" i="79" s="1"/>
  <c r="E53" i="80"/>
  <c r="F53" i="80" s="1"/>
  <c r="E35" i="78"/>
  <c r="F35" i="78" s="1"/>
  <c r="E35" i="81"/>
  <c r="F35" i="81" s="1"/>
  <c r="E35" i="79"/>
  <c r="F35" i="79" s="1"/>
  <c r="E35" i="82"/>
  <c r="F35" i="82" s="1"/>
  <c r="E35" i="80"/>
  <c r="F35" i="80" s="1"/>
  <c r="E35" i="49"/>
  <c r="F35" i="49" s="1"/>
  <c r="K30" i="80"/>
  <c r="L30" i="80" s="1"/>
  <c r="K30" i="78"/>
  <c r="L30" i="78" s="1"/>
  <c r="K30" i="49"/>
  <c r="L30" i="49" s="1"/>
  <c r="K30" i="81"/>
  <c r="L30" i="81" s="1"/>
  <c r="K30" i="82"/>
  <c r="L30" i="82" s="1"/>
  <c r="K30" i="79"/>
  <c r="L30" i="79" s="1"/>
  <c r="E15" i="82"/>
  <c r="F15" i="82" s="1"/>
  <c r="E15" i="80"/>
  <c r="F15" i="80" s="1"/>
  <c r="E15" i="78"/>
  <c r="F15" i="78" s="1"/>
  <c r="E15" i="81"/>
  <c r="F15" i="81" s="1"/>
  <c r="E15" i="79"/>
  <c r="F15" i="79" s="1"/>
  <c r="E46" i="81"/>
  <c r="F46" i="81" s="1"/>
  <c r="E46" i="82"/>
  <c r="F46" i="82" s="1"/>
  <c r="E46" i="79"/>
  <c r="F46" i="79" s="1"/>
  <c r="E46" i="78"/>
  <c r="F46" i="78" s="1"/>
  <c r="E46" i="80"/>
  <c r="F46" i="80" s="1"/>
  <c r="E8" i="80"/>
  <c r="F8" i="80" s="1"/>
  <c r="E8" i="79"/>
  <c r="F8" i="79" s="1"/>
  <c r="E8" i="78"/>
  <c r="F8" i="78" s="1"/>
  <c r="E8" i="82"/>
  <c r="F8" i="82" s="1"/>
  <c r="E8" i="81"/>
  <c r="F8" i="81" s="1"/>
  <c r="K6" i="78"/>
  <c r="L6" i="78" s="1"/>
  <c r="K6" i="82"/>
  <c r="L6" i="82" s="1"/>
  <c r="K6" i="80"/>
  <c r="L6" i="80" s="1"/>
  <c r="K6" i="81"/>
  <c r="L6" i="81" s="1"/>
  <c r="K6" i="79"/>
  <c r="L6" i="79" s="1"/>
  <c r="P29" i="81"/>
  <c r="Q29" i="81" s="1"/>
  <c r="P29" i="82"/>
  <c r="Q29" i="82" s="1"/>
  <c r="P29" i="78"/>
  <c r="Q29" i="78" s="1"/>
  <c r="P29" i="79"/>
  <c r="Q29" i="79" s="1"/>
  <c r="P29" i="80"/>
  <c r="Q29" i="80" s="1"/>
  <c r="K33" i="82"/>
  <c r="L33" i="82" s="1"/>
  <c r="K33" i="79"/>
  <c r="L33" i="79" s="1"/>
  <c r="K33" i="80"/>
  <c r="L33" i="80" s="1"/>
  <c r="K33" i="81"/>
  <c r="L33" i="81" s="1"/>
  <c r="K33" i="49"/>
  <c r="L33" i="49" s="1"/>
  <c r="K33" i="78"/>
  <c r="L33" i="78" s="1"/>
  <c r="E54" i="81"/>
  <c r="F54" i="81" s="1"/>
  <c r="E54" i="82"/>
  <c r="F54" i="82" s="1"/>
  <c r="E54" i="79"/>
  <c r="F54" i="79" s="1"/>
  <c r="E54" i="80"/>
  <c r="F54" i="80" s="1"/>
  <c r="E54" i="78"/>
  <c r="F54" i="78" s="1"/>
  <c r="E16" i="82"/>
  <c r="F16" i="82" s="1"/>
  <c r="E16" i="80"/>
  <c r="F16" i="80" s="1"/>
  <c r="E16" i="79"/>
  <c r="F16" i="79" s="1"/>
  <c r="E16" i="78"/>
  <c r="F16" i="78" s="1"/>
  <c r="E16" i="81"/>
  <c r="F16" i="81" s="1"/>
  <c r="P7" i="82"/>
  <c r="Q7" i="82" s="1"/>
  <c r="P7" i="80"/>
  <c r="Q7" i="80" s="1"/>
  <c r="P7" i="79"/>
  <c r="Q7" i="79" s="1"/>
  <c r="P7" i="81"/>
  <c r="Q7" i="81" s="1"/>
  <c r="P7" i="78"/>
  <c r="Q7" i="78" s="1"/>
  <c r="K16" i="80"/>
  <c r="L16" i="80" s="1"/>
  <c r="K16" i="79"/>
  <c r="L16" i="79" s="1"/>
  <c r="K16" i="82"/>
  <c r="L16" i="82" s="1"/>
  <c r="K16" i="78"/>
  <c r="L16" i="78" s="1"/>
  <c r="K16" i="81"/>
  <c r="L16" i="81" s="1"/>
  <c r="E52" i="80"/>
  <c r="F52" i="80" s="1"/>
  <c r="E52" i="78"/>
  <c r="F52" i="78" s="1"/>
  <c r="E52" i="81"/>
  <c r="F52" i="81" s="1"/>
  <c r="E52" i="82"/>
  <c r="F52" i="82" s="1"/>
  <c r="E52" i="79"/>
  <c r="F52" i="79" s="1"/>
  <c r="E34" i="80"/>
  <c r="F34" i="80" s="1"/>
  <c r="E34" i="78"/>
  <c r="F34" i="78" s="1"/>
  <c r="E34" i="49"/>
  <c r="F34" i="49" s="1"/>
  <c r="E34" i="81"/>
  <c r="F34" i="81" s="1"/>
  <c r="E34" i="82"/>
  <c r="F34" i="82" s="1"/>
  <c r="E34" i="79"/>
  <c r="F34" i="79" s="1"/>
  <c r="K29" i="49"/>
  <c r="L29" i="49" s="1"/>
  <c r="K29" i="81"/>
  <c r="L29" i="81" s="1"/>
  <c r="K29" i="82"/>
  <c r="L29" i="82" s="1"/>
  <c r="K29" i="79"/>
  <c r="L29" i="79" s="1"/>
  <c r="K29" i="80"/>
  <c r="L29" i="80" s="1"/>
  <c r="K29" i="78"/>
  <c r="L29" i="78" s="1"/>
  <c r="E14" i="78"/>
  <c r="F14" i="78" s="1"/>
  <c r="E14" i="80"/>
  <c r="F14" i="80" s="1"/>
  <c r="N36" i="80" s="1"/>
  <c r="V21" i="56" s="1"/>
  <c r="E14" i="82"/>
  <c r="F14" i="82" s="1"/>
  <c r="E14" i="79"/>
  <c r="F14" i="79" s="1"/>
  <c r="E14" i="81"/>
  <c r="F14" i="81" s="1"/>
  <c r="E41" i="82"/>
  <c r="F41" i="82" s="1"/>
  <c r="E41" i="79"/>
  <c r="F41" i="79" s="1"/>
  <c r="E41" i="49"/>
  <c r="F41" i="49" s="1"/>
  <c r="E41" i="80"/>
  <c r="F41" i="80" s="1"/>
  <c r="E41" i="81"/>
  <c r="F41" i="81" s="1"/>
  <c r="E41" i="78"/>
  <c r="F41" i="78" s="1"/>
  <c r="E13" i="78"/>
  <c r="F13" i="78" s="1"/>
  <c r="E13" i="80"/>
  <c r="F13" i="80" s="1"/>
  <c r="E13" i="79"/>
  <c r="F13" i="79" s="1"/>
  <c r="E13" i="82"/>
  <c r="F13" i="82" s="1"/>
  <c r="E13" i="81"/>
  <c r="F13" i="81" s="1"/>
  <c r="E27" i="80"/>
  <c r="F27" i="80" s="1"/>
  <c r="E27" i="78"/>
  <c r="F27" i="78" s="1"/>
  <c r="E27" i="79"/>
  <c r="F27" i="79" s="1"/>
  <c r="E27" i="81"/>
  <c r="F27" i="81" s="1"/>
  <c r="E27" i="82"/>
  <c r="F27" i="82" s="1"/>
  <c r="P18" i="79"/>
  <c r="Q18" i="79" s="1"/>
  <c r="N44" i="79" s="1"/>
  <c r="T29" i="56" s="1"/>
  <c r="P18" i="82"/>
  <c r="Q18" i="82" s="1"/>
  <c r="N44" i="82" s="1"/>
  <c r="Z29" i="56" s="1"/>
  <c r="P18" i="80"/>
  <c r="Q18" i="80" s="1"/>
  <c r="P18" i="78"/>
  <c r="Q18" i="78" s="1"/>
  <c r="P18" i="81"/>
  <c r="Q18" i="81" s="1"/>
  <c r="N44" i="81" s="1"/>
  <c r="X29" i="56" s="1"/>
  <c r="E56" i="80"/>
  <c r="F56" i="80" s="1"/>
  <c r="E56" i="78"/>
  <c r="F56" i="78" s="1"/>
  <c r="E56" i="81"/>
  <c r="F56" i="81" s="1"/>
  <c r="E56" i="82"/>
  <c r="F56" i="82" s="1"/>
  <c r="E56" i="79"/>
  <c r="F56" i="79" s="1"/>
  <c r="E21" i="82"/>
  <c r="F21" i="82" s="1"/>
  <c r="E21" i="80"/>
  <c r="F21" i="80" s="1"/>
  <c r="E21" i="79"/>
  <c r="F21" i="79" s="1"/>
  <c r="E21" i="78"/>
  <c r="F21" i="78" s="1"/>
  <c r="E21" i="81"/>
  <c r="F21" i="81" s="1"/>
  <c r="E18" i="82"/>
  <c r="F18" i="82" s="1"/>
  <c r="E18" i="80"/>
  <c r="F18" i="80" s="1"/>
  <c r="E18" i="79"/>
  <c r="F18" i="79" s="1"/>
  <c r="E18" i="78"/>
  <c r="F18" i="78" s="1"/>
  <c r="E18" i="81"/>
  <c r="F18" i="81" s="1"/>
  <c r="E37" i="82"/>
  <c r="F37" i="82" s="1"/>
  <c r="E37" i="79"/>
  <c r="F37" i="79" s="1"/>
  <c r="E37" i="80"/>
  <c r="F37" i="80" s="1"/>
  <c r="E37" i="49"/>
  <c r="F37" i="49" s="1"/>
  <c r="E37" i="81"/>
  <c r="F37" i="81" s="1"/>
  <c r="E37" i="78"/>
  <c r="F37" i="78" s="1"/>
  <c r="E33" i="82"/>
  <c r="F33" i="82" s="1"/>
  <c r="E33" i="79"/>
  <c r="F33" i="79" s="1"/>
  <c r="E33" i="49"/>
  <c r="F33" i="49" s="1"/>
  <c r="E33" i="80"/>
  <c r="F33" i="80" s="1"/>
  <c r="E33" i="78"/>
  <c r="F33" i="78" s="1"/>
  <c r="E33" i="81"/>
  <c r="F33" i="81" s="1"/>
  <c r="K14" i="80"/>
  <c r="L14" i="80" s="1"/>
  <c r="K14" i="82"/>
  <c r="L14" i="82" s="1"/>
  <c r="K14" i="79"/>
  <c r="L14" i="79" s="1"/>
  <c r="K14" i="78"/>
  <c r="L14" i="78" s="1"/>
  <c r="K14" i="81"/>
  <c r="L14" i="81" s="1"/>
  <c r="K27" i="81"/>
  <c r="L27" i="81" s="1"/>
  <c r="K27" i="82"/>
  <c r="L27" i="82" s="1"/>
  <c r="K27" i="79"/>
  <c r="L27" i="79" s="1"/>
  <c r="K27" i="49"/>
  <c r="L27" i="49" s="1"/>
  <c r="K27" i="80"/>
  <c r="L27" i="80" s="1"/>
  <c r="K27" i="78"/>
  <c r="L27" i="78" s="1"/>
  <c r="E12" i="79"/>
  <c r="F12" i="79" s="1"/>
  <c r="E12" i="78"/>
  <c r="F12" i="78" s="1"/>
  <c r="E12" i="80"/>
  <c r="F12" i="80" s="1"/>
  <c r="E12" i="82"/>
  <c r="F12" i="82" s="1"/>
  <c r="E12" i="81"/>
  <c r="F12" i="81" s="1"/>
  <c r="E6" i="82"/>
  <c r="F6" i="82" s="1"/>
  <c r="E6" i="81"/>
  <c r="F6" i="81" s="1"/>
  <c r="E6" i="80"/>
  <c r="F6" i="80" s="1"/>
  <c r="E6" i="79"/>
  <c r="F6" i="79" s="1"/>
  <c r="E6" i="78"/>
  <c r="F6" i="78" s="1"/>
  <c r="K5" i="78"/>
  <c r="L5" i="78" s="1"/>
  <c r="K5" i="82"/>
  <c r="L5" i="82" s="1"/>
  <c r="K5" i="80"/>
  <c r="L5" i="80" s="1"/>
  <c r="K5" i="81"/>
  <c r="L5" i="81" s="1"/>
  <c r="K5" i="79"/>
  <c r="L5" i="79" s="1"/>
  <c r="P15" i="78"/>
  <c r="Q15" i="78" s="1"/>
  <c r="P15" i="80"/>
  <c r="Q15" i="80" s="1"/>
  <c r="P15" i="79"/>
  <c r="Q15" i="79" s="1"/>
  <c r="N43" i="79" s="1"/>
  <c r="T28" i="56" s="1"/>
  <c r="P15" i="82"/>
  <c r="Q15" i="82" s="1"/>
  <c r="P15" i="81"/>
  <c r="Q15" i="81" s="1"/>
  <c r="P14" i="80"/>
  <c r="Q14" i="80" s="1"/>
  <c r="N43" i="80" s="1"/>
  <c r="V28" i="56" s="1"/>
  <c r="P14" i="79"/>
  <c r="Q14" i="79" s="1"/>
  <c r="P14" i="82"/>
  <c r="Q14" i="82" s="1"/>
  <c r="N43" i="82" s="1"/>
  <c r="Z28" i="56" s="1"/>
  <c r="P14" i="78"/>
  <c r="Q14" i="78" s="1"/>
  <c r="P14" i="81"/>
  <c r="Q14" i="81" s="1"/>
  <c r="P6" i="78"/>
  <c r="Q6" i="78" s="1"/>
  <c r="P6" i="82"/>
  <c r="Q6" i="82" s="1"/>
  <c r="P6" i="81"/>
  <c r="Q6" i="81" s="1"/>
  <c r="N42" i="81" s="1"/>
  <c r="X27" i="56" s="1"/>
  <c r="P6" i="79"/>
  <c r="Q6" i="79" s="1"/>
  <c r="P6" i="80"/>
  <c r="Q6" i="80" s="1"/>
  <c r="E51" i="82"/>
  <c r="F51" i="82" s="1"/>
  <c r="E51" i="79"/>
  <c r="F51" i="79" s="1"/>
  <c r="E51" i="80"/>
  <c r="F51" i="80" s="1"/>
  <c r="E51" i="78"/>
  <c r="F51" i="78" s="1"/>
  <c r="E51" i="81"/>
  <c r="F51" i="81" s="1"/>
  <c r="K26" i="79"/>
  <c r="L26" i="79" s="1"/>
  <c r="K26" i="82"/>
  <c r="L26" i="82" s="1"/>
  <c r="K26" i="49"/>
  <c r="L26" i="49" s="1"/>
  <c r="K26" i="80"/>
  <c r="L26" i="80" s="1"/>
  <c r="K26" i="78"/>
  <c r="L26" i="78" s="1"/>
  <c r="K26" i="81"/>
  <c r="L26" i="81" s="1"/>
  <c r="E39" i="49"/>
  <c r="F39" i="49" s="1"/>
  <c r="E39" i="78"/>
  <c r="F39" i="78" s="1"/>
  <c r="E39" i="81"/>
  <c r="F39" i="81" s="1"/>
  <c r="E39" i="82"/>
  <c r="F39" i="82" s="1"/>
  <c r="E39" i="80"/>
  <c r="F39" i="80" s="1"/>
  <c r="E39" i="79"/>
  <c r="F39" i="79" s="1"/>
  <c r="E17" i="81"/>
  <c r="F17" i="81" s="1"/>
  <c r="E17" i="80"/>
  <c r="F17" i="80" s="1"/>
  <c r="E17" i="82"/>
  <c r="F17" i="82" s="1"/>
  <c r="E17" i="79"/>
  <c r="F17" i="79" s="1"/>
  <c r="E17" i="78"/>
  <c r="F17" i="78" s="1"/>
  <c r="K31" i="82"/>
  <c r="L31" i="82" s="1"/>
  <c r="K31" i="79"/>
  <c r="L31" i="79" s="1"/>
  <c r="K31" i="49"/>
  <c r="L31" i="49" s="1"/>
  <c r="K31" i="80"/>
  <c r="L31" i="80" s="1"/>
  <c r="K31" i="78"/>
  <c r="L31" i="78" s="1"/>
  <c r="K31" i="81"/>
  <c r="L31" i="81" s="1"/>
  <c r="K15" i="79"/>
  <c r="L15" i="79" s="1"/>
  <c r="K15" i="82"/>
  <c r="L15" i="82" s="1"/>
  <c r="K15" i="80"/>
  <c r="L15" i="80" s="1"/>
  <c r="K15" i="81"/>
  <c r="L15" i="81" s="1"/>
  <c r="K15" i="78"/>
  <c r="L15" i="78" s="1"/>
  <c r="N43" i="78"/>
  <c r="R28" i="56" s="1"/>
  <c r="P5" i="78"/>
  <c r="Q5" i="78" s="1"/>
  <c r="P28" i="80"/>
  <c r="P5" i="82"/>
  <c r="Q5" i="82" s="1"/>
  <c r="P5" i="81"/>
  <c r="Q5" i="81" s="1"/>
  <c r="P5" i="80"/>
  <c r="Q5" i="80" s="1"/>
  <c r="P28" i="78"/>
  <c r="P5" i="79"/>
  <c r="Q5" i="79" s="1"/>
  <c r="P28" i="81"/>
  <c r="P28" i="82"/>
  <c r="P28" i="79"/>
  <c r="E50" i="81"/>
  <c r="F50" i="81" s="1"/>
  <c r="E50" i="82"/>
  <c r="F50" i="82" s="1"/>
  <c r="E50" i="79"/>
  <c r="F50" i="79" s="1"/>
  <c r="E50" i="80"/>
  <c r="F50" i="80" s="1"/>
  <c r="E50" i="78"/>
  <c r="F50" i="78" s="1"/>
  <c r="E32" i="49"/>
  <c r="F32" i="49" s="1"/>
  <c r="E32" i="80"/>
  <c r="F32" i="80" s="1"/>
  <c r="E32" i="78"/>
  <c r="F32" i="78" s="1"/>
  <c r="E32" i="81"/>
  <c r="F32" i="81" s="1"/>
  <c r="E32" i="82"/>
  <c r="F32" i="82" s="1"/>
  <c r="E32" i="79"/>
  <c r="F32" i="79" s="1"/>
  <c r="P27" i="81"/>
  <c r="P27" i="80"/>
  <c r="P27" i="82"/>
  <c r="P27" i="79"/>
  <c r="P27" i="78"/>
  <c r="K13" i="79"/>
  <c r="L13" i="79" s="1"/>
  <c r="N41" i="79" s="1"/>
  <c r="T26" i="56" s="1"/>
  <c r="K13" i="78"/>
  <c r="L13" i="78" s="1"/>
  <c r="K13" i="82"/>
  <c r="L13" i="82" s="1"/>
  <c r="K13" i="80"/>
  <c r="L13" i="80" s="1"/>
  <c r="K13" i="81"/>
  <c r="L13" i="81" s="1"/>
  <c r="N41" i="81" s="1"/>
  <c r="X26" i="56" s="1"/>
  <c r="E49" i="81"/>
  <c r="F49" i="81" s="1"/>
  <c r="E49" i="82"/>
  <c r="F49" i="82" s="1"/>
  <c r="E49" i="79"/>
  <c r="F49" i="79" s="1"/>
  <c r="E49" i="80"/>
  <c r="F49" i="80" s="1"/>
  <c r="E49" i="78"/>
  <c r="F49" i="78" s="1"/>
  <c r="E31" i="81"/>
  <c r="F31" i="81" s="1"/>
  <c r="E31" i="82"/>
  <c r="F31" i="82" s="1"/>
  <c r="E31" i="79"/>
  <c r="F31" i="79" s="1"/>
  <c r="E31" i="80"/>
  <c r="F31" i="80" s="1"/>
  <c r="E31" i="78"/>
  <c r="F31" i="78" s="1"/>
  <c r="E31" i="49"/>
  <c r="F31" i="49" s="1"/>
  <c r="E11" i="78"/>
  <c r="F11" i="78" s="1"/>
  <c r="E11" i="79"/>
  <c r="F11" i="79" s="1"/>
  <c r="E11" i="80"/>
  <c r="F11" i="80" s="1"/>
  <c r="E11" i="82"/>
  <c r="F11" i="82" s="1"/>
  <c r="E11" i="81"/>
  <c r="F11" i="81" s="1"/>
  <c r="P26" i="80"/>
  <c r="Q26" i="80" s="1"/>
  <c r="P26" i="78"/>
  <c r="Q26" i="78" s="1"/>
  <c r="P26" i="81"/>
  <c r="Q26" i="81" s="1"/>
  <c r="N45" i="81" s="1"/>
  <c r="X30" i="56" s="1"/>
  <c r="P26" i="79"/>
  <c r="Q26" i="79" s="1"/>
  <c r="P26" i="82"/>
  <c r="Q26" i="82" s="1"/>
  <c r="E29" i="80"/>
  <c r="F29" i="80" s="1"/>
  <c r="E29" i="78"/>
  <c r="F29" i="78" s="1"/>
  <c r="E29" i="81"/>
  <c r="F29" i="81" s="1"/>
  <c r="E29" i="82"/>
  <c r="F29" i="82" s="1"/>
  <c r="E29" i="79"/>
  <c r="F29" i="79" s="1"/>
  <c r="K25" i="80"/>
  <c r="L25" i="80" s="1"/>
  <c r="K25" i="49"/>
  <c r="L25" i="49" s="1"/>
  <c r="K25" i="78"/>
  <c r="L25" i="78" s="1"/>
  <c r="K25" i="81"/>
  <c r="L25" i="81" s="1"/>
  <c r="K25" i="79"/>
  <c r="L25" i="79" s="1"/>
  <c r="K25" i="82"/>
  <c r="L25" i="82" s="1"/>
  <c r="P24" i="82"/>
  <c r="Q24" i="82" s="1"/>
  <c r="P24" i="78"/>
  <c r="Q24" i="78" s="1"/>
  <c r="P24" i="79"/>
  <c r="Q24" i="79" s="1"/>
  <c r="P24" i="80"/>
  <c r="Q24" i="80" s="1"/>
  <c r="P24" i="81"/>
  <c r="Q24" i="81" s="1"/>
  <c r="P32" i="81"/>
  <c r="Q32" i="81" s="1"/>
  <c r="P32" i="78"/>
  <c r="Q32" i="78" s="1"/>
  <c r="P32" i="82"/>
  <c r="Q32" i="82" s="1"/>
  <c r="P32" i="79"/>
  <c r="Q32" i="79" s="1"/>
  <c r="P32" i="80"/>
  <c r="Q32" i="80" s="1"/>
  <c r="E25" i="82"/>
  <c r="F25" i="82" s="1"/>
  <c r="E25" i="79"/>
  <c r="F25" i="79" s="1"/>
  <c r="E25" i="80"/>
  <c r="F25" i="80" s="1"/>
  <c r="E25" i="78"/>
  <c r="F25" i="78" s="1"/>
  <c r="E25" i="81"/>
  <c r="F25" i="81" s="1"/>
  <c r="E24" i="78"/>
  <c r="F24" i="78" s="1"/>
  <c r="E24" i="81"/>
  <c r="F24" i="81" s="1"/>
  <c r="E24" i="82"/>
  <c r="F24" i="82" s="1"/>
  <c r="E24" i="79"/>
  <c r="F24" i="79" s="1"/>
  <c r="E24" i="80"/>
  <c r="F24" i="80" s="1"/>
  <c r="K19" i="82"/>
  <c r="L19" i="82" s="1"/>
  <c r="K19" i="79"/>
  <c r="L19" i="79" s="1"/>
  <c r="K19" i="80"/>
  <c r="L19" i="80" s="1"/>
  <c r="K19" i="78"/>
  <c r="L19" i="78" s="1"/>
  <c r="K19" i="81"/>
  <c r="L19" i="81" s="1"/>
  <c r="E38" i="80"/>
  <c r="F38" i="80" s="1"/>
  <c r="E38" i="78"/>
  <c r="F38" i="78" s="1"/>
  <c r="E38" i="81"/>
  <c r="F38" i="81" s="1"/>
  <c r="E38" i="82"/>
  <c r="F38" i="82" s="1"/>
  <c r="E38" i="49"/>
  <c r="F38" i="49" s="1"/>
  <c r="E38" i="79"/>
  <c r="F38" i="79" s="1"/>
  <c r="P9" i="80"/>
  <c r="Q9" i="80" s="1"/>
  <c r="P9" i="79"/>
  <c r="Q9" i="79" s="1"/>
  <c r="P9" i="78"/>
  <c r="Q9" i="78" s="1"/>
  <c r="P9" i="82"/>
  <c r="Q9" i="82" s="1"/>
  <c r="P9" i="81"/>
  <c r="Q9" i="81" s="1"/>
  <c r="E36" i="81"/>
  <c r="F36" i="81" s="1"/>
  <c r="E36" i="49"/>
  <c r="F36" i="49" s="1"/>
  <c r="E36" i="80"/>
  <c r="F36" i="80" s="1"/>
  <c r="E36" i="82"/>
  <c r="F36" i="82" s="1"/>
  <c r="E36" i="79"/>
  <c r="F36" i="79" s="1"/>
  <c r="E36" i="78"/>
  <c r="F36" i="78" s="1"/>
  <c r="K28" i="82"/>
  <c r="L28" i="82" s="1"/>
  <c r="K28" i="79"/>
  <c r="L28" i="79" s="1"/>
  <c r="K28" i="80"/>
  <c r="L28" i="80" s="1"/>
  <c r="K28" i="78"/>
  <c r="L28" i="78" s="1"/>
  <c r="K28" i="81"/>
  <c r="L28" i="81" s="1"/>
  <c r="K28" i="49"/>
  <c r="L28" i="49" s="1"/>
  <c r="E48" i="78"/>
  <c r="F48" i="78" s="1"/>
  <c r="E48" i="81"/>
  <c r="F48" i="81" s="1"/>
  <c r="E48" i="82"/>
  <c r="F48" i="82" s="1"/>
  <c r="E48" i="79"/>
  <c r="F48" i="79" s="1"/>
  <c r="E48" i="80"/>
  <c r="F48" i="80" s="1"/>
  <c r="E10" i="80"/>
  <c r="F10" i="80" s="1"/>
  <c r="E10" i="78"/>
  <c r="F10" i="78" s="1"/>
  <c r="E10" i="79"/>
  <c r="F10" i="79" s="1"/>
  <c r="E10" i="82"/>
  <c r="F10" i="82" s="1"/>
  <c r="E10" i="81"/>
  <c r="F10" i="81" s="1"/>
  <c r="P25" i="81"/>
  <c r="Q25" i="81" s="1"/>
  <c r="P25" i="79"/>
  <c r="Q25" i="79" s="1"/>
  <c r="P25" i="82"/>
  <c r="Q25" i="82" s="1"/>
  <c r="P25" i="80"/>
  <c r="Q25" i="80" s="1"/>
  <c r="P25" i="78"/>
  <c r="Q25" i="78" s="1"/>
  <c r="K10" i="78"/>
  <c r="L10" i="78" s="1"/>
  <c r="K10" i="80"/>
  <c r="L10" i="80" s="1"/>
  <c r="K10" i="82"/>
  <c r="L10" i="82" s="1"/>
  <c r="K10" i="79"/>
  <c r="L10" i="79" s="1"/>
  <c r="K10" i="81"/>
  <c r="L10" i="81" s="1"/>
  <c r="E47" i="79"/>
  <c r="F47" i="79" s="1"/>
  <c r="E47" i="80"/>
  <c r="F47" i="80" s="1"/>
  <c r="E47" i="78"/>
  <c r="F47" i="78" s="1"/>
  <c r="E47" i="81"/>
  <c r="F47" i="81" s="1"/>
  <c r="E47" i="82"/>
  <c r="F47" i="82" s="1"/>
  <c r="E28" i="82"/>
  <c r="F28" i="82" s="1"/>
  <c r="E28" i="79"/>
  <c r="F28" i="79" s="1"/>
  <c r="E28" i="80"/>
  <c r="F28" i="80" s="1"/>
  <c r="E28" i="78"/>
  <c r="F28" i="78" s="1"/>
  <c r="E28" i="81"/>
  <c r="F28" i="81" s="1"/>
  <c r="K24" i="81"/>
  <c r="L24" i="81" s="1"/>
  <c r="K24" i="79"/>
  <c r="L24" i="79" s="1"/>
  <c r="K24" i="82"/>
  <c r="L24" i="82" s="1"/>
  <c r="K24" i="80"/>
  <c r="L24" i="80" s="1"/>
  <c r="K24" i="49"/>
  <c r="L24" i="49" s="1"/>
  <c r="K24" i="78"/>
  <c r="L24" i="78" s="1"/>
  <c r="E9" i="78"/>
  <c r="F9" i="78" s="1"/>
  <c r="E9" i="80"/>
  <c r="F9" i="80" s="1"/>
  <c r="E9" i="79"/>
  <c r="F9" i="79" s="1"/>
  <c r="E9" i="81"/>
  <c r="F9" i="81" s="1"/>
  <c r="E9" i="82"/>
  <c r="F9" i="82" s="1"/>
  <c r="D30" i="49"/>
  <c r="E9" i="49"/>
  <c r="E13" i="49"/>
  <c r="E17" i="49"/>
  <c r="E24" i="49"/>
  <c r="E28" i="49"/>
  <c r="E46" i="49"/>
  <c r="E50" i="49"/>
  <c r="E54" i="49"/>
  <c r="K9" i="49"/>
  <c r="K14" i="49"/>
  <c r="K15" i="49"/>
  <c r="K16" i="49"/>
  <c r="I14" i="49"/>
  <c r="I15" i="49"/>
  <c r="I16" i="49"/>
  <c r="I13" i="49"/>
  <c r="G14" i="49"/>
  <c r="G15" i="49"/>
  <c r="G16" i="49"/>
  <c r="G13" i="49"/>
  <c r="J6" i="49"/>
  <c r="J7" i="49"/>
  <c r="J8" i="49"/>
  <c r="J9" i="49"/>
  <c r="J10" i="49"/>
  <c r="K6" i="49"/>
  <c r="K7" i="49"/>
  <c r="K8" i="49"/>
  <c r="K10" i="49"/>
  <c r="I6" i="49"/>
  <c r="I7" i="49"/>
  <c r="I8" i="49"/>
  <c r="I9" i="49"/>
  <c r="I10" i="49"/>
  <c r="I5" i="49"/>
  <c r="G6" i="49"/>
  <c r="G7" i="49"/>
  <c r="G8" i="49"/>
  <c r="G9" i="49"/>
  <c r="G10" i="49"/>
  <c r="G5" i="49"/>
  <c r="E47" i="49"/>
  <c r="E48" i="49"/>
  <c r="E49" i="49"/>
  <c r="E51" i="49"/>
  <c r="E52" i="49"/>
  <c r="E53" i="49"/>
  <c r="E55" i="49"/>
  <c r="E56" i="49"/>
  <c r="E45" i="49"/>
  <c r="E22" i="49"/>
  <c r="E23" i="49"/>
  <c r="E25" i="49"/>
  <c r="E26" i="49"/>
  <c r="E27" i="49"/>
  <c r="E29" i="49"/>
  <c r="E30" i="49"/>
  <c r="A22" i="49"/>
  <c r="C22" i="49"/>
  <c r="A23" i="49"/>
  <c r="C23" i="49"/>
  <c r="A24" i="49"/>
  <c r="C24" i="49"/>
  <c r="A25" i="49"/>
  <c r="C25" i="49"/>
  <c r="A26" i="49"/>
  <c r="C26" i="49"/>
  <c r="A27" i="49"/>
  <c r="C27" i="49"/>
  <c r="A28" i="49"/>
  <c r="C28" i="49"/>
  <c r="A29" i="49"/>
  <c r="C29" i="49"/>
  <c r="A30" i="49"/>
  <c r="C30" i="49"/>
  <c r="E6" i="49"/>
  <c r="E7" i="49"/>
  <c r="E8" i="49"/>
  <c r="E10" i="49"/>
  <c r="E11" i="49"/>
  <c r="E12" i="49"/>
  <c r="E14" i="49"/>
  <c r="E15" i="49"/>
  <c r="E16" i="49"/>
  <c r="E18" i="49"/>
  <c r="N38" i="80" l="1"/>
  <c r="V23" i="56" s="1"/>
  <c r="N42" i="78"/>
  <c r="R27" i="56" s="1"/>
  <c r="N46" i="81"/>
  <c r="X31" i="56" s="1"/>
  <c r="N37" i="82"/>
  <c r="Z22" i="56" s="1"/>
  <c r="N40" i="79"/>
  <c r="T25" i="56" s="1"/>
  <c r="N40" i="81"/>
  <c r="X25" i="56" s="1"/>
  <c r="N41" i="82"/>
  <c r="Z26" i="56" s="1"/>
  <c r="N40" i="80"/>
  <c r="V25" i="56" s="1"/>
  <c r="N36" i="81"/>
  <c r="N45" i="78"/>
  <c r="R30" i="56" s="1"/>
  <c r="N41" i="78"/>
  <c r="R26" i="56" s="1"/>
  <c r="N40" i="82"/>
  <c r="Z25" i="56" s="1"/>
  <c r="N37" i="80"/>
  <c r="V22" i="56" s="1"/>
  <c r="N45" i="80"/>
  <c r="V30" i="56" s="1"/>
  <c r="N40" i="78"/>
  <c r="R25" i="56" s="1"/>
  <c r="N39" i="80"/>
  <c r="V24" i="56" s="1"/>
  <c r="N45" i="79"/>
  <c r="T30" i="56" s="1"/>
  <c r="N36" i="82"/>
  <c r="N45" i="82"/>
  <c r="Z30" i="56" s="1"/>
  <c r="L8" i="49"/>
  <c r="N43" i="81"/>
  <c r="X28" i="56" s="1"/>
  <c r="N44" i="78"/>
  <c r="R29" i="56" s="1"/>
  <c r="N39" i="79"/>
  <c r="T24" i="56" s="1"/>
  <c r="N36" i="79"/>
  <c r="F30" i="49"/>
  <c r="N38" i="81"/>
  <c r="X23" i="56" s="1"/>
  <c r="N44" i="80"/>
  <c r="V29" i="56" s="1"/>
  <c r="N38" i="78"/>
  <c r="R23" i="56" s="1"/>
  <c r="N42" i="79"/>
  <c r="T27" i="56" s="1"/>
  <c r="N39" i="82"/>
  <c r="Z24" i="56" s="1"/>
  <c r="N42" i="80"/>
  <c r="V27" i="56" s="1"/>
  <c r="N46" i="80"/>
  <c r="V31" i="56" s="1"/>
  <c r="N46" i="82"/>
  <c r="Z31" i="56" s="1"/>
  <c r="N39" i="81"/>
  <c r="X24" i="56" s="1"/>
  <c r="N36" i="78"/>
  <c r="N41" i="80"/>
  <c r="V26" i="56" s="1"/>
  <c r="N38" i="82"/>
  <c r="Z23" i="56" s="1"/>
  <c r="N37" i="81"/>
  <c r="X22" i="56" s="1"/>
  <c r="N46" i="79"/>
  <c r="T31" i="56" s="1"/>
  <c r="N38" i="79"/>
  <c r="T23" i="56" s="1"/>
  <c r="N39" i="78"/>
  <c r="R24" i="56" s="1"/>
  <c r="N42" i="82"/>
  <c r="Z27" i="56" s="1"/>
  <c r="N37" i="78"/>
  <c r="R22" i="56" s="1"/>
  <c r="N46" i="78"/>
  <c r="R31" i="56" s="1"/>
  <c r="N37" i="79"/>
  <c r="T22" i="56" s="1"/>
  <c r="L10" i="49"/>
  <c r="L7" i="49"/>
  <c r="L6" i="49"/>
  <c r="L9" i="49"/>
  <c r="I1" i="56"/>
  <c r="X21" i="56" l="1"/>
  <c r="N50" i="81"/>
  <c r="T21" i="56"/>
  <c r="N50" i="79"/>
  <c r="J1" i="56"/>
  <c r="M1" i="78"/>
  <c r="R21" i="56"/>
  <c r="N50" i="78"/>
  <c r="Z21" i="56"/>
  <c r="N50" i="82"/>
  <c r="N50" i="80"/>
  <c r="D8" i="49"/>
  <c r="F8" i="49" s="1"/>
  <c r="J14" i="49"/>
  <c r="L14" i="49" s="1"/>
  <c r="J15" i="49"/>
  <c r="L15" i="49" s="1"/>
  <c r="J16" i="49"/>
  <c r="L16" i="49" s="1"/>
  <c r="N18" i="49"/>
  <c r="M18" i="49"/>
  <c r="V35" i="56" l="1"/>
  <c r="N52" i="80"/>
  <c r="N52" i="82"/>
  <c r="Z35" i="56"/>
  <c r="K1" i="56"/>
  <c r="M1" i="79"/>
  <c r="X35" i="56"/>
  <c r="N52" i="81"/>
  <c r="N52" i="78"/>
  <c r="R35" i="56"/>
  <c r="T35" i="56"/>
  <c r="N52" i="79"/>
  <c r="O13" i="49"/>
  <c r="J20" i="49"/>
  <c r="J19" i="49"/>
  <c r="D18" i="49"/>
  <c r="F18" i="49" s="1"/>
  <c r="D16" i="49"/>
  <c r="F16" i="49" s="1"/>
  <c r="D15" i="49"/>
  <c r="F15" i="49" s="1"/>
  <c r="D14" i="49"/>
  <c r="F14" i="49" s="1"/>
  <c r="D13" i="49"/>
  <c r="F13" i="49" s="1"/>
  <c r="D12" i="49"/>
  <c r="F12" i="49" s="1"/>
  <c r="D11" i="49"/>
  <c r="F11" i="49" s="1"/>
  <c r="D10" i="49"/>
  <c r="F10" i="49" s="1"/>
  <c r="D9" i="49"/>
  <c r="F9" i="49" s="1"/>
  <c r="D7" i="49"/>
  <c r="F7" i="49" s="1"/>
  <c r="D6" i="49"/>
  <c r="F6" i="49" s="1"/>
  <c r="D5" i="49"/>
  <c r="D17" i="49"/>
  <c r="F17" i="49" s="1"/>
  <c r="N54" i="81" l="1"/>
  <c r="X39" i="56" s="1"/>
  <c r="X37" i="56"/>
  <c r="N54" i="79"/>
  <c r="T39" i="56" s="1"/>
  <c r="T37" i="56"/>
  <c r="N54" i="82"/>
  <c r="Z39" i="56" s="1"/>
  <c r="Z37" i="56"/>
  <c r="N54" i="80"/>
  <c r="V39" i="56" s="1"/>
  <c r="V37" i="56"/>
  <c r="R37" i="56"/>
  <c r="N54" i="78"/>
  <c r="R39" i="56" s="1"/>
  <c r="L1" i="56"/>
  <c r="M1" i="80"/>
  <c r="O6" i="49"/>
  <c r="O7" i="49"/>
  <c r="O5" i="49"/>
  <c r="Q34" i="56"/>
  <c r="Q35" i="56"/>
  <c r="P36" i="56"/>
  <c r="P37" i="56"/>
  <c r="Q37" i="56"/>
  <c r="P38" i="56"/>
  <c r="P39" i="56"/>
  <c r="Q39" i="56"/>
  <c r="P40" i="56"/>
  <c r="P31" i="56"/>
  <c r="P30" i="49"/>
  <c r="P31" i="49"/>
  <c r="P32" i="49"/>
  <c r="P29" i="49"/>
  <c r="O30" i="49"/>
  <c r="Q30" i="49" s="1"/>
  <c r="O31" i="49"/>
  <c r="O32" i="49"/>
  <c r="O29" i="49"/>
  <c r="P27" i="49"/>
  <c r="P28" i="49"/>
  <c r="M30" i="49"/>
  <c r="N30" i="49"/>
  <c r="M31" i="49"/>
  <c r="N31" i="49"/>
  <c r="M32" i="49"/>
  <c r="N32" i="49"/>
  <c r="N29" i="49"/>
  <c r="M29" i="49"/>
  <c r="M1" i="49"/>
  <c r="P30" i="56"/>
  <c r="P29" i="56"/>
  <c r="P28" i="56"/>
  <c r="P27" i="56"/>
  <c r="P26" i="56"/>
  <c r="P25" i="56"/>
  <c r="P24" i="56"/>
  <c r="P23" i="56"/>
  <c r="P22" i="56"/>
  <c r="P24" i="49"/>
  <c r="P25" i="49"/>
  <c r="P26" i="49"/>
  <c r="P23" i="49"/>
  <c r="O24" i="49"/>
  <c r="Q24" i="49" s="1"/>
  <c r="O25" i="49"/>
  <c r="Q25" i="49" s="1"/>
  <c r="O26" i="49"/>
  <c r="O23" i="49"/>
  <c r="Q23" i="49" s="1"/>
  <c r="N24" i="49"/>
  <c r="N25" i="49"/>
  <c r="N26" i="49"/>
  <c r="N23" i="49"/>
  <c r="M24" i="49"/>
  <c r="M25" i="49"/>
  <c r="M26" i="49"/>
  <c r="M23" i="49"/>
  <c r="P19" i="49"/>
  <c r="P20" i="49"/>
  <c r="P18" i="49"/>
  <c r="O19" i="49"/>
  <c r="O20" i="49"/>
  <c r="O18" i="49"/>
  <c r="N19" i="49"/>
  <c r="N20" i="49"/>
  <c r="M19" i="49"/>
  <c r="M20" i="49"/>
  <c r="P14" i="49"/>
  <c r="P15" i="49"/>
  <c r="O14" i="49"/>
  <c r="O15" i="49"/>
  <c r="N14" i="49"/>
  <c r="N15" i="49"/>
  <c r="N13" i="49"/>
  <c r="M14" i="49"/>
  <c r="M15" i="49"/>
  <c r="M13" i="49"/>
  <c r="P6" i="49"/>
  <c r="P7" i="49"/>
  <c r="P8" i="49"/>
  <c r="P9" i="49"/>
  <c r="P10" i="49"/>
  <c r="P5" i="49"/>
  <c r="N6" i="49"/>
  <c r="N7" i="49"/>
  <c r="N8" i="49"/>
  <c r="N9" i="49"/>
  <c r="N10" i="49"/>
  <c r="N5" i="49"/>
  <c r="M6" i="49"/>
  <c r="M7" i="49"/>
  <c r="M8" i="49"/>
  <c r="M9" i="49"/>
  <c r="M10" i="49"/>
  <c r="M5" i="49"/>
  <c r="K20" i="49"/>
  <c r="L20" i="49" s="1"/>
  <c r="K19" i="49"/>
  <c r="I20" i="49"/>
  <c r="I19" i="49"/>
  <c r="G20" i="49"/>
  <c r="G19" i="49"/>
  <c r="K13" i="49"/>
  <c r="K5" i="49"/>
  <c r="E44" i="49"/>
  <c r="C54" i="49"/>
  <c r="C55" i="49"/>
  <c r="C56" i="49"/>
  <c r="A54" i="49"/>
  <c r="A55" i="49"/>
  <c r="A56" i="49"/>
  <c r="E21" i="49"/>
  <c r="C21" i="49"/>
  <c r="A21" i="49"/>
  <c r="E5" i="49"/>
  <c r="C5" i="49"/>
  <c r="C6" i="49"/>
  <c r="C7" i="49"/>
  <c r="C8" i="49"/>
  <c r="C9" i="49"/>
  <c r="C10" i="49"/>
  <c r="C11" i="49"/>
  <c r="C12" i="49"/>
  <c r="C13" i="49"/>
  <c r="C14" i="49"/>
  <c r="C15" i="49"/>
  <c r="C16" i="49"/>
  <c r="C17" i="49"/>
  <c r="C18" i="49"/>
  <c r="A5" i="49"/>
  <c r="A6" i="49"/>
  <c r="A7" i="49"/>
  <c r="A8" i="49"/>
  <c r="A9" i="49"/>
  <c r="A10" i="49"/>
  <c r="A11" i="49"/>
  <c r="A12" i="49"/>
  <c r="A13" i="49"/>
  <c r="A14" i="49"/>
  <c r="A15" i="49"/>
  <c r="A16" i="49"/>
  <c r="A17" i="49"/>
  <c r="A18" i="49"/>
  <c r="J5" i="49"/>
  <c r="M1" i="56" l="1"/>
  <c r="M1" i="82" s="1"/>
  <c r="M1" i="81"/>
  <c r="Q29" i="49"/>
  <c r="Q31" i="49"/>
  <c r="Q32" i="49"/>
  <c r="Q26" i="49"/>
  <c r="N45" i="49" s="1"/>
  <c r="L19" i="49"/>
  <c r="N38" i="49" s="1"/>
  <c r="Q15" i="49"/>
  <c r="Q20" i="49"/>
  <c r="L5" i="49"/>
  <c r="N40" i="49" s="1"/>
  <c r="Q14" i="49"/>
  <c r="Q19" i="49"/>
  <c r="Q13" i="49"/>
  <c r="N43" i="49" s="1"/>
  <c r="Q18" i="49"/>
  <c r="D26" i="49"/>
  <c r="F26" i="49" s="1"/>
  <c r="D27" i="49"/>
  <c r="F27" i="49" s="1"/>
  <c r="D28" i="49"/>
  <c r="F28" i="49" s="1"/>
  <c r="D29" i="49"/>
  <c r="F29" i="49" s="1"/>
  <c r="P20" i="56"/>
  <c r="Q20" i="56"/>
  <c r="P21" i="56"/>
  <c r="N44" i="49" l="1"/>
  <c r="N46" i="49"/>
  <c r="Q31" i="56" s="1"/>
  <c r="Q30" i="56"/>
  <c r="Q28" i="56" l="1"/>
  <c r="Q29" i="56"/>
  <c r="O8" i="49" l="1"/>
  <c r="O9" i="49"/>
  <c r="O10" i="49"/>
  <c r="J13" i="49"/>
  <c r="F46" i="49"/>
  <c r="F47" i="49"/>
  <c r="F48" i="49"/>
  <c r="F49" i="49"/>
  <c r="F50" i="49"/>
  <c r="F51" i="49"/>
  <c r="F52" i="49"/>
  <c r="F53" i="49"/>
  <c r="D54" i="49"/>
  <c r="F54" i="49" s="1"/>
  <c r="D55" i="49"/>
  <c r="F55" i="49" s="1"/>
  <c r="D56" i="49"/>
  <c r="F56" i="49" s="1"/>
  <c r="F45" i="49"/>
  <c r="N39" i="49" s="1"/>
  <c r="D22" i="49"/>
  <c r="F22" i="49" s="1"/>
  <c r="D23" i="49"/>
  <c r="F23" i="49" s="1"/>
  <c r="D24" i="49"/>
  <c r="F24" i="49" s="1"/>
  <c r="D25" i="49"/>
  <c r="F25" i="49" s="1"/>
  <c r="D21" i="49"/>
  <c r="Q8" i="49" l="1"/>
  <c r="L13" i="49"/>
  <c r="N41" i="49" s="1"/>
  <c r="Q5" i="49"/>
  <c r="Q7" i="49"/>
  <c r="Q9" i="49"/>
  <c r="Q10" i="49"/>
  <c r="Q6" i="49"/>
  <c r="F5" i="49"/>
  <c r="N36" i="49" s="1"/>
  <c r="F44" i="49"/>
  <c r="F21" i="49"/>
  <c r="N37" i="49" s="1"/>
  <c r="N42" i="49" l="1"/>
  <c r="N50" i="49" s="1"/>
  <c r="N52" i="49" s="1"/>
  <c r="N54" i="49" s="1"/>
  <c r="Q26" i="56"/>
  <c r="Q33" i="56"/>
  <c r="H119" i="72"/>
  <c r="H111" i="72"/>
  <c r="H107" i="72"/>
  <c r="H99" i="72"/>
  <c r="H84" i="72"/>
  <c r="H59" i="72"/>
  <c r="H63" i="72"/>
  <c r="H49" i="72"/>
  <c r="H33" i="72"/>
  <c r="H38" i="72"/>
  <c r="H30" i="72"/>
  <c r="H21" i="72"/>
  <c r="H11" i="72"/>
  <c r="H14" i="72"/>
  <c r="H15" i="72"/>
  <c r="H3" i="72"/>
  <c r="G149" i="72"/>
  <c r="G143" i="72"/>
  <c r="G136" i="72"/>
  <c r="G122" i="72"/>
  <c r="G123" i="72"/>
  <c r="G107" i="72"/>
  <c r="G103" i="72"/>
  <c r="G99" i="72"/>
  <c r="G96" i="72"/>
  <c r="G84" i="72"/>
  <c r="G45" i="72"/>
  <c r="G48" i="72"/>
  <c r="G49" i="72"/>
  <c r="G41" i="72"/>
  <c r="G34" i="72"/>
  <c r="G25" i="72"/>
  <c r="G5" i="72"/>
  <c r="G6" i="72"/>
  <c r="G7" i="72"/>
  <c r="G9" i="72"/>
  <c r="G11" i="72"/>
  <c r="G15" i="72"/>
  <c r="G17" i="72"/>
  <c r="G3" i="72"/>
  <c r="G151" i="72"/>
  <c r="G150" i="72"/>
  <c r="G52" i="72"/>
  <c r="G51" i="72"/>
  <c r="G50" i="72"/>
  <c r="G146" i="72"/>
  <c r="G145" i="72"/>
  <c r="G144" i="72"/>
  <c r="G46" i="72"/>
  <c r="G43" i="72"/>
  <c r="G139" i="72"/>
  <c r="G42" i="72"/>
  <c r="F143" i="72"/>
  <c r="F136" i="72"/>
  <c r="F131" i="72"/>
  <c r="F130" i="72"/>
  <c r="F118" i="72"/>
  <c r="F119" i="72"/>
  <c r="F123" i="72"/>
  <c r="F126" i="72"/>
  <c r="F115" i="72"/>
  <c r="F107" i="72"/>
  <c r="F99" i="72"/>
  <c r="F93" i="72"/>
  <c r="F88" i="72"/>
  <c r="F84" i="72"/>
  <c r="F63" i="72"/>
  <c r="F55" i="72"/>
  <c r="F45" i="72"/>
  <c r="F49" i="72"/>
  <c r="F33" i="72"/>
  <c r="F34" i="72"/>
  <c r="F38" i="72"/>
  <c r="F30" i="72"/>
  <c r="F25" i="72"/>
  <c r="F7" i="72"/>
  <c r="F9" i="72"/>
  <c r="F11" i="72"/>
  <c r="F13" i="72"/>
  <c r="F15" i="72"/>
  <c r="F94" i="72"/>
  <c r="F37" i="72"/>
  <c r="F81" i="72"/>
  <c r="F122" i="72"/>
  <c r="F74" i="72"/>
  <c r="F116" i="72"/>
  <c r="F18" i="72"/>
  <c r="F16" i="72"/>
  <c r="F66" i="72"/>
  <c r="F10" i="72"/>
  <c r="F60" i="72"/>
  <c r="F101" i="72"/>
  <c r="F56" i="72"/>
  <c r="F3" i="72"/>
  <c r="E136" i="72"/>
  <c r="E119" i="72"/>
  <c r="E123" i="72"/>
  <c r="E111" i="72"/>
  <c r="E107" i="72"/>
  <c r="E103" i="72"/>
  <c r="E88" i="72"/>
  <c r="E83" i="72"/>
  <c r="E84" i="72"/>
  <c r="E80" i="72"/>
  <c r="E74" i="72"/>
  <c r="E59" i="72"/>
  <c r="E45" i="72"/>
  <c r="E49" i="72"/>
  <c r="E34" i="72"/>
  <c r="E38" i="72"/>
  <c r="E30" i="72"/>
  <c r="E25" i="72"/>
  <c r="E7" i="72"/>
  <c r="E11" i="72"/>
  <c r="E15" i="72"/>
  <c r="E94" i="72"/>
  <c r="E37" i="72"/>
  <c r="E131" i="72"/>
  <c r="E81" i="72"/>
  <c r="E122" i="72"/>
  <c r="E116" i="72"/>
  <c r="E18" i="72"/>
  <c r="E16" i="72"/>
  <c r="E66" i="72"/>
  <c r="E13" i="72"/>
  <c r="E10" i="72"/>
  <c r="E60" i="72"/>
  <c r="E101" i="72"/>
  <c r="E56" i="72"/>
  <c r="E3" i="72"/>
  <c r="D149" i="72"/>
  <c r="D143" i="72"/>
  <c r="D133" i="72"/>
  <c r="D130" i="72"/>
  <c r="D119" i="72"/>
  <c r="D123" i="72"/>
  <c r="D109" i="72"/>
  <c r="D111" i="72"/>
  <c r="D107" i="72"/>
  <c r="D93" i="72"/>
  <c r="D88" i="72"/>
  <c r="D82" i="72"/>
  <c r="D84" i="72"/>
  <c r="D74" i="72"/>
  <c r="D56" i="72"/>
  <c r="D66" i="72"/>
  <c r="D55" i="72"/>
  <c r="D44" i="72"/>
  <c r="D45" i="72"/>
  <c r="D49" i="72"/>
  <c r="D33" i="72"/>
  <c r="D34" i="72"/>
  <c r="D37" i="72"/>
  <c r="D38" i="72"/>
  <c r="D24" i="72"/>
  <c r="D25" i="72"/>
  <c r="D7" i="72"/>
  <c r="D15" i="72"/>
  <c r="D18" i="72"/>
  <c r="D112" i="72"/>
  <c r="D16" i="72"/>
  <c r="D110" i="72"/>
  <c r="D65" i="72"/>
  <c r="D13" i="72"/>
  <c r="D12" i="72"/>
  <c r="D10" i="72"/>
  <c r="D6" i="72"/>
  <c r="D101" i="72"/>
  <c r="D100" i="72"/>
  <c r="D11" i="72"/>
  <c r="C149" i="72"/>
  <c r="C144" i="72"/>
  <c r="C138" i="72"/>
  <c r="C139" i="72"/>
  <c r="C136" i="72"/>
  <c r="C133" i="72"/>
  <c r="C130" i="72"/>
  <c r="C118" i="72"/>
  <c r="C119" i="72"/>
  <c r="C122" i="72"/>
  <c r="C123" i="72"/>
  <c r="C125" i="72"/>
  <c r="C126" i="72"/>
  <c r="C115" i="72"/>
  <c r="C111" i="72"/>
  <c r="C104" i="72"/>
  <c r="C103" i="72"/>
  <c r="C101" i="72"/>
  <c r="C99" i="72"/>
  <c r="C95" i="72"/>
  <c r="C93" i="72"/>
  <c r="C89" i="72"/>
  <c r="C90" i="72"/>
  <c r="C88" i="72"/>
  <c r="C81" i="72"/>
  <c r="C82" i="72"/>
  <c r="C83" i="72"/>
  <c r="C84" i="72"/>
  <c r="C85" i="72"/>
  <c r="C75" i="72"/>
  <c r="C77" i="72"/>
  <c r="C74" i="72"/>
  <c r="C56" i="72"/>
  <c r="C58" i="72"/>
  <c r="C59" i="72"/>
  <c r="C61" i="72"/>
  <c r="C62" i="72"/>
  <c r="C63" i="72"/>
  <c r="C65" i="72"/>
  <c r="C66" i="72"/>
  <c r="C44" i="72"/>
  <c r="C45" i="72"/>
  <c r="C49" i="72"/>
  <c r="C50" i="72"/>
  <c r="C33" i="72"/>
  <c r="C34" i="72"/>
  <c r="C38" i="72"/>
  <c r="C30" i="72"/>
  <c r="C23" i="72"/>
  <c r="C24" i="72"/>
  <c r="C25" i="72"/>
  <c r="C27" i="72"/>
  <c r="C21" i="72"/>
  <c r="C5" i="72"/>
  <c r="C6" i="72"/>
  <c r="C7" i="72"/>
  <c r="C10" i="72"/>
  <c r="C11" i="72"/>
  <c r="C13" i="72"/>
  <c r="C14" i="72"/>
  <c r="C15" i="72"/>
  <c r="C18" i="72"/>
  <c r="C3" i="72"/>
  <c r="H152" i="72"/>
  <c r="H151" i="72"/>
  <c r="H52" i="72"/>
  <c r="H149" i="72"/>
  <c r="H51" i="72"/>
  <c r="H50" i="72"/>
  <c r="H146" i="72"/>
  <c r="H145" i="72"/>
  <c r="H48" i="72"/>
  <c r="H144" i="72"/>
  <c r="H47" i="72"/>
  <c r="H143" i="72"/>
  <c r="H46" i="72"/>
  <c r="H45" i="72"/>
  <c r="H44" i="72"/>
  <c r="H96" i="72"/>
  <c r="H43" i="72"/>
  <c r="H139" i="72"/>
  <c r="H95" i="72"/>
  <c r="H42" i="72"/>
  <c r="H138" i="72"/>
  <c r="H94" i="72"/>
  <c r="H41" i="72"/>
  <c r="H137" i="72"/>
  <c r="H93" i="72"/>
  <c r="H136" i="72"/>
  <c r="H133" i="72"/>
  <c r="H90" i="72"/>
  <c r="H37" i="72"/>
  <c r="H132" i="72"/>
  <c r="H89" i="72"/>
  <c r="H36" i="72"/>
  <c r="H131" i="72"/>
  <c r="H88" i="72"/>
  <c r="H35" i="72"/>
  <c r="H130" i="72"/>
  <c r="H34" i="72"/>
  <c r="H85" i="72"/>
  <c r="H32" i="72"/>
  <c r="H31" i="72"/>
  <c r="H126" i="72"/>
  <c r="H83" i="72"/>
  <c r="H125" i="72"/>
  <c r="H82" i="72"/>
  <c r="H124" i="72"/>
  <c r="H81" i="72"/>
  <c r="H123" i="72"/>
  <c r="H80" i="72"/>
  <c r="H27" i="72"/>
  <c r="H122" i="72"/>
  <c r="H26" i="72"/>
  <c r="H121" i="72"/>
  <c r="H77" i="72"/>
  <c r="H25" i="72"/>
  <c r="H120" i="72"/>
  <c r="H76" i="72"/>
  <c r="H24" i="72"/>
  <c r="H75" i="72"/>
  <c r="H23" i="72"/>
  <c r="H118" i="72"/>
  <c r="H74" i="72"/>
  <c r="H22" i="72"/>
  <c r="H117" i="72"/>
  <c r="H116" i="72"/>
  <c r="H115" i="72"/>
  <c r="H71" i="72"/>
  <c r="H70" i="72"/>
  <c r="H18" i="72"/>
  <c r="H17" i="72"/>
  <c r="H112" i="72"/>
  <c r="H16" i="72"/>
  <c r="H110" i="72"/>
  <c r="H66" i="72"/>
  <c r="H109" i="72"/>
  <c r="H65" i="72"/>
  <c r="H13" i="72"/>
  <c r="H108" i="72"/>
  <c r="H64" i="72"/>
  <c r="H12" i="72"/>
  <c r="H62" i="72"/>
  <c r="H10" i="72"/>
  <c r="H61" i="72"/>
  <c r="H9" i="72"/>
  <c r="H104" i="72"/>
  <c r="H60" i="72"/>
  <c r="H8" i="72"/>
  <c r="H103" i="72"/>
  <c r="H7" i="72"/>
  <c r="H102" i="72"/>
  <c r="H58" i="72"/>
  <c r="H6" i="72"/>
  <c r="H101" i="72"/>
  <c r="H57" i="72"/>
  <c r="H5" i="72"/>
  <c r="H100" i="72"/>
  <c r="H56" i="72"/>
  <c r="H4" i="72"/>
  <c r="H55" i="72"/>
  <c r="G152" i="72"/>
  <c r="G47" i="72"/>
  <c r="G44" i="72"/>
  <c r="G95" i="72"/>
  <c r="G138" i="72"/>
  <c r="G94" i="72"/>
  <c r="G137" i="72"/>
  <c r="G93" i="72"/>
  <c r="G38" i="72"/>
  <c r="G133" i="72"/>
  <c r="G90" i="72"/>
  <c r="G37" i="72"/>
  <c r="G132" i="72"/>
  <c r="G89" i="72"/>
  <c r="G36" i="72"/>
  <c r="G131" i="72"/>
  <c r="G88" i="72"/>
  <c r="G35" i="72"/>
  <c r="G130" i="72"/>
  <c r="G33" i="72"/>
  <c r="G85" i="72"/>
  <c r="G32" i="72"/>
  <c r="G31" i="72"/>
  <c r="G126" i="72"/>
  <c r="G83" i="72"/>
  <c r="G30" i="72"/>
  <c r="G125" i="72"/>
  <c r="G82" i="72"/>
  <c r="G124" i="72"/>
  <c r="G81" i="72"/>
  <c r="G80" i="72"/>
  <c r="G27" i="72"/>
  <c r="G26" i="72"/>
  <c r="G121" i="72"/>
  <c r="G77" i="72"/>
  <c r="G120" i="72"/>
  <c r="G76" i="72"/>
  <c r="G24" i="72"/>
  <c r="G119" i="72"/>
  <c r="G75" i="72"/>
  <c r="G23" i="72"/>
  <c r="G118" i="72"/>
  <c r="G74" i="72"/>
  <c r="G22" i="72"/>
  <c r="G117" i="72"/>
  <c r="G21" i="72"/>
  <c r="G116" i="72"/>
  <c r="G115" i="72"/>
  <c r="G71" i="72"/>
  <c r="G70" i="72"/>
  <c r="G18" i="72"/>
  <c r="G69" i="72"/>
  <c r="G112" i="72"/>
  <c r="G16" i="72"/>
  <c r="G111" i="72"/>
  <c r="G110" i="72"/>
  <c r="G66" i="72"/>
  <c r="G14" i="72"/>
  <c r="G109" i="72"/>
  <c r="G65" i="72"/>
  <c r="G13" i="72"/>
  <c r="G108" i="72"/>
  <c r="G64" i="72"/>
  <c r="G12" i="72"/>
  <c r="G63" i="72"/>
  <c r="G62" i="72"/>
  <c r="G10" i="72"/>
  <c r="G61" i="72"/>
  <c r="G104" i="72"/>
  <c r="G60" i="72"/>
  <c r="G8" i="72"/>
  <c r="G59" i="72"/>
  <c r="G102" i="72"/>
  <c r="G58" i="72"/>
  <c r="G101" i="72"/>
  <c r="G57" i="72"/>
  <c r="G100" i="72"/>
  <c r="G56" i="72"/>
  <c r="G4" i="72"/>
  <c r="G55" i="72"/>
  <c r="F152" i="72"/>
  <c r="F151" i="72"/>
  <c r="F150" i="72"/>
  <c r="F52" i="72"/>
  <c r="F149" i="72"/>
  <c r="F51" i="72"/>
  <c r="F50" i="72"/>
  <c r="F146" i="72"/>
  <c r="F145" i="72"/>
  <c r="F48" i="72"/>
  <c r="F144" i="72"/>
  <c r="F47" i="72"/>
  <c r="F46" i="72"/>
  <c r="F44" i="72"/>
  <c r="F96" i="72"/>
  <c r="F43" i="72"/>
  <c r="F139" i="72"/>
  <c r="F95" i="72"/>
  <c r="F42" i="72"/>
  <c r="F138" i="72"/>
  <c r="F41" i="72"/>
  <c r="F137" i="72"/>
  <c r="F133" i="72"/>
  <c r="F90" i="72"/>
  <c r="F132" i="72"/>
  <c r="F89" i="72"/>
  <c r="F36" i="72"/>
  <c r="F35" i="72"/>
  <c r="F85" i="72"/>
  <c r="F32" i="72"/>
  <c r="F31" i="72"/>
  <c r="F83" i="72"/>
  <c r="F125" i="72"/>
  <c r="F82" i="72"/>
  <c r="F124" i="72"/>
  <c r="F80" i="72"/>
  <c r="F27" i="72"/>
  <c r="F26" i="72"/>
  <c r="F121" i="72"/>
  <c r="F77" i="72"/>
  <c r="F120" i="72"/>
  <c r="F76" i="72"/>
  <c r="F24" i="72"/>
  <c r="F75" i="72"/>
  <c r="F23" i="72"/>
  <c r="F22" i="72"/>
  <c r="F117" i="72"/>
  <c r="F21" i="72"/>
  <c r="F71" i="72"/>
  <c r="F70" i="72"/>
  <c r="F69" i="72"/>
  <c r="F17" i="72"/>
  <c r="F112" i="72"/>
  <c r="F111" i="72"/>
  <c r="F110" i="72"/>
  <c r="F14" i="72"/>
  <c r="F109" i="72"/>
  <c r="F65" i="72"/>
  <c r="F108" i="72"/>
  <c r="F64" i="72"/>
  <c r="F12" i="72"/>
  <c r="F62" i="72"/>
  <c r="F61" i="72"/>
  <c r="F104" i="72"/>
  <c r="F8" i="72"/>
  <c r="F103" i="72"/>
  <c r="F59" i="72"/>
  <c r="F102" i="72"/>
  <c r="F58" i="72"/>
  <c r="F6" i="72"/>
  <c r="F57" i="72"/>
  <c r="F5" i="72"/>
  <c r="F100" i="72"/>
  <c r="F4" i="72"/>
  <c r="E152" i="72"/>
  <c r="E151" i="72"/>
  <c r="E150" i="72"/>
  <c r="E52" i="72"/>
  <c r="E149" i="72"/>
  <c r="E51" i="72"/>
  <c r="E50" i="72"/>
  <c r="E146" i="72"/>
  <c r="E145" i="72"/>
  <c r="E48" i="72"/>
  <c r="E144" i="72"/>
  <c r="E47" i="72"/>
  <c r="E143" i="72"/>
  <c r="E46" i="72"/>
  <c r="E44" i="72"/>
  <c r="E96" i="72"/>
  <c r="E43" i="72"/>
  <c r="E139" i="72"/>
  <c r="E95" i="72"/>
  <c r="E42" i="72"/>
  <c r="E138" i="72"/>
  <c r="E41" i="72"/>
  <c r="E137" i="72"/>
  <c r="E93" i="72"/>
  <c r="E133" i="72"/>
  <c r="E90" i="72"/>
  <c r="E132" i="72"/>
  <c r="E89" i="72"/>
  <c r="E36" i="72"/>
  <c r="E35" i="72"/>
  <c r="E130" i="72"/>
  <c r="E33" i="72"/>
  <c r="E85" i="72"/>
  <c r="E32" i="72"/>
  <c r="E31" i="72"/>
  <c r="E126" i="72"/>
  <c r="E125" i="72"/>
  <c r="E82" i="72"/>
  <c r="E124" i="72"/>
  <c r="E27" i="72"/>
  <c r="E26" i="72"/>
  <c r="E121" i="72"/>
  <c r="E77" i="72"/>
  <c r="E120" i="72"/>
  <c r="E76" i="72"/>
  <c r="E24" i="72"/>
  <c r="E75" i="72"/>
  <c r="E23" i="72"/>
  <c r="E118" i="72"/>
  <c r="E22" i="72"/>
  <c r="E117" i="72"/>
  <c r="E21" i="72"/>
  <c r="E115" i="72"/>
  <c r="E71" i="72"/>
  <c r="E70" i="72"/>
  <c r="E69" i="72"/>
  <c r="E17" i="72"/>
  <c r="E112" i="72"/>
  <c r="E110" i="72"/>
  <c r="E14" i="72"/>
  <c r="E109" i="72"/>
  <c r="E65" i="72"/>
  <c r="E108" i="72"/>
  <c r="E64" i="72"/>
  <c r="E12" i="72"/>
  <c r="E63" i="72"/>
  <c r="E62" i="72"/>
  <c r="E61" i="72"/>
  <c r="E9" i="72"/>
  <c r="E104" i="72"/>
  <c r="E8" i="72"/>
  <c r="E102" i="72"/>
  <c r="E58" i="72"/>
  <c r="E6" i="72"/>
  <c r="E57" i="72"/>
  <c r="E5" i="72"/>
  <c r="E100" i="72"/>
  <c r="E4" i="72"/>
  <c r="E99" i="72"/>
  <c r="E55" i="72"/>
  <c r="D152" i="72"/>
  <c r="D151" i="72"/>
  <c r="D150" i="72"/>
  <c r="D52" i="72"/>
  <c r="D51" i="72"/>
  <c r="D50" i="72"/>
  <c r="D146" i="72"/>
  <c r="D145" i="72"/>
  <c r="D48" i="72"/>
  <c r="D144" i="72"/>
  <c r="D47" i="72"/>
  <c r="D46" i="72"/>
  <c r="D96" i="72"/>
  <c r="D43" i="72"/>
  <c r="D139" i="72"/>
  <c r="D95" i="72"/>
  <c r="D42" i="72"/>
  <c r="D138" i="72"/>
  <c r="D94" i="72"/>
  <c r="D41" i="72"/>
  <c r="D137" i="72"/>
  <c r="D136" i="72"/>
  <c r="D90" i="72"/>
  <c r="D132" i="72"/>
  <c r="D89" i="72"/>
  <c r="D36" i="72"/>
  <c r="D131" i="72"/>
  <c r="D35" i="72"/>
  <c r="D85" i="72"/>
  <c r="D32" i="72"/>
  <c r="D31" i="72"/>
  <c r="D126" i="72"/>
  <c r="D83" i="72"/>
  <c r="D30" i="72"/>
  <c r="D125" i="72"/>
  <c r="D124" i="72"/>
  <c r="D81" i="72"/>
  <c r="D80" i="72"/>
  <c r="D27" i="72"/>
  <c r="D122" i="72"/>
  <c r="D26" i="72"/>
  <c r="D121" i="72"/>
  <c r="D77" i="72"/>
  <c r="D120" i="72"/>
  <c r="D76" i="72"/>
  <c r="D75" i="72"/>
  <c r="D23" i="72"/>
  <c r="D118" i="72"/>
  <c r="D22" i="72"/>
  <c r="D117" i="72"/>
  <c r="D21" i="72"/>
  <c r="D116" i="72"/>
  <c r="D115" i="72"/>
  <c r="D71" i="72"/>
  <c r="D70" i="72"/>
  <c r="D17" i="72"/>
  <c r="D14" i="72"/>
  <c r="D108" i="72"/>
  <c r="D64" i="72"/>
  <c r="D63" i="72"/>
  <c r="D62" i="72"/>
  <c r="D61" i="72"/>
  <c r="D9" i="72"/>
  <c r="D104" i="72"/>
  <c r="D60" i="72"/>
  <c r="D8" i="72"/>
  <c r="D103" i="72"/>
  <c r="D59" i="72"/>
  <c r="D102" i="72"/>
  <c r="D58" i="72"/>
  <c r="D57" i="72"/>
  <c r="D5" i="72"/>
  <c r="D4" i="72"/>
  <c r="D99" i="72"/>
  <c r="C60" i="72"/>
  <c r="C64" i="72"/>
  <c r="C151" i="72"/>
  <c r="C152" i="72"/>
  <c r="C145" i="72"/>
  <c r="C146" i="72"/>
  <c r="C143" i="72"/>
  <c r="C137" i="72"/>
  <c r="C131" i="72"/>
  <c r="C132" i="72"/>
  <c r="C116" i="72"/>
  <c r="C117" i="72"/>
  <c r="C120" i="72"/>
  <c r="C121" i="72"/>
  <c r="C124" i="72"/>
  <c r="C108" i="72"/>
  <c r="C109" i="72"/>
  <c r="C110" i="72"/>
  <c r="C112" i="72"/>
  <c r="C107" i="72"/>
  <c r="C100" i="72"/>
  <c r="C102" i="72"/>
  <c r="C94" i="72"/>
  <c r="C96" i="72"/>
  <c r="C80" i="72"/>
  <c r="C76" i="72"/>
  <c r="C70" i="72"/>
  <c r="C71" i="72"/>
  <c r="C57" i="72"/>
  <c r="C42" i="72"/>
  <c r="C43" i="72"/>
  <c r="C46" i="72"/>
  <c r="C47" i="72"/>
  <c r="C48" i="72"/>
  <c r="C51" i="72"/>
  <c r="C52" i="72"/>
  <c r="C32" i="72"/>
  <c r="C35" i="72"/>
  <c r="C36" i="72"/>
  <c r="C37" i="72"/>
  <c r="C22" i="72"/>
  <c r="C26" i="72"/>
  <c r="C4" i="72"/>
  <c r="C8" i="72"/>
  <c r="C9" i="72"/>
  <c r="C12" i="72"/>
  <c r="C16" i="72"/>
  <c r="C17" i="72"/>
  <c r="Q23" i="56" l="1"/>
  <c r="Q24" i="56"/>
  <c r="Q22" i="56"/>
  <c r="Q27" i="56"/>
  <c r="Q25" i="56"/>
  <c r="E72" i="72"/>
  <c r="D91" i="72"/>
  <c r="E127" i="72"/>
  <c r="E147" i="72"/>
  <c r="E153" i="72"/>
  <c r="F53" i="72"/>
  <c r="F153" i="72"/>
  <c r="D53" i="72"/>
  <c r="G97" i="72"/>
  <c r="H147" i="72"/>
  <c r="C147" i="72"/>
  <c r="G91" i="72"/>
  <c r="H127" i="72"/>
  <c r="H78" i="72"/>
  <c r="H97" i="72"/>
  <c r="F97" i="72"/>
  <c r="H28" i="72"/>
  <c r="H134" i="72"/>
  <c r="H39" i="72"/>
  <c r="H105" i="72"/>
  <c r="H53" i="72"/>
  <c r="H19" i="72"/>
  <c r="H67" i="72"/>
  <c r="H91" i="72"/>
  <c r="H140" i="72"/>
  <c r="H150" i="72"/>
  <c r="C150" i="72"/>
  <c r="H113" i="72"/>
  <c r="H69" i="72"/>
  <c r="H86" i="72"/>
  <c r="G67" i="72"/>
  <c r="G72" i="72"/>
  <c r="G78" i="72"/>
  <c r="G86" i="72"/>
  <c r="G134" i="72"/>
  <c r="G19" i="72"/>
  <c r="G105" i="72"/>
  <c r="G127" i="72"/>
  <c r="G28" i="72"/>
  <c r="G39" i="72"/>
  <c r="G140" i="72"/>
  <c r="G53" i="72"/>
  <c r="G113" i="72"/>
  <c r="G147" i="72"/>
  <c r="G153" i="72"/>
  <c r="F67" i="72"/>
  <c r="F134" i="72"/>
  <c r="F72" i="72"/>
  <c r="F19" i="72"/>
  <c r="F39" i="72"/>
  <c r="F113" i="72"/>
  <c r="F140" i="72"/>
  <c r="F28" i="72"/>
  <c r="F86" i="72"/>
  <c r="F105" i="72"/>
  <c r="F78" i="72"/>
  <c r="F91" i="72"/>
  <c r="F147" i="72"/>
  <c r="F127" i="72"/>
  <c r="E28" i="72"/>
  <c r="E97" i="72"/>
  <c r="E140" i="72"/>
  <c r="E134" i="72"/>
  <c r="E19" i="72"/>
  <c r="E86" i="72"/>
  <c r="E78" i="72"/>
  <c r="E91" i="72"/>
  <c r="E53" i="72"/>
  <c r="E105" i="72"/>
  <c r="E113" i="72"/>
  <c r="E67" i="72"/>
  <c r="E39" i="72"/>
  <c r="D28" i="72"/>
  <c r="D78" i="72"/>
  <c r="D97" i="72"/>
  <c r="D147" i="72"/>
  <c r="D105" i="72"/>
  <c r="D113" i="72"/>
  <c r="D86" i="72"/>
  <c r="D39" i="72"/>
  <c r="D140" i="72"/>
  <c r="D67" i="72"/>
  <c r="D153" i="72"/>
  <c r="D127" i="72"/>
  <c r="D134" i="72"/>
  <c r="C140" i="72"/>
  <c r="C134" i="72"/>
  <c r="C127" i="72"/>
  <c r="C113" i="72"/>
  <c r="C105" i="72"/>
  <c r="C97" i="72"/>
  <c r="C91" i="72"/>
  <c r="C86" i="72"/>
  <c r="C28" i="72"/>
  <c r="C78" i="72"/>
  <c r="D69" i="72"/>
  <c r="C31" i="72"/>
  <c r="C69" i="72"/>
  <c r="C55" i="72"/>
  <c r="C41" i="72"/>
  <c r="D3" i="72"/>
  <c r="C19" i="72"/>
  <c r="Q21" i="56"/>
  <c r="C153" i="72" l="1"/>
  <c r="C39" i="72"/>
  <c r="C72" i="72"/>
  <c r="C67" i="72"/>
  <c r="H72" i="72"/>
  <c r="H153" i="72"/>
  <c r="C53" i="72"/>
  <c r="D72" i="72"/>
  <c r="D19" i="72"/>
  <c r="Q36" i="56" l="1"/>
  <c r="K79" i="49"/>
  <c r="C42" i="37"/>
  <c r="C43" i="37"/>
  <c r="C44" i="37"/>
  <c r="C45" i="37"/>
  <c r="C46" i="37"/>
  <c r="C47" i="37"/>
  <c r="C48" i="37"/>
  <c r="C49" i="37"/>
  <c r="C50" i="37"/>
  <c r="C51" i="37"/>
  <c r="C52" i="37"/>
  <c r="C41" i="37"/>
  <c r="Q38" i="56" l="1"/>
  <c r="Q40" i="56" l="1"/>
  <c r="R41" i="56" s="1"/>
</calcChain>
</file>

<file path=xl/sharedStrings.xml><?xml version="1.0" encoding="utf-8"?>
<sst xmlns="http://schemas.openxmlformats.org/spreadsheetml/2006/main" count="1227" uniqueCount="263">
  <si>
    <t>V6 CAP</t>
  </si>
  <si>
    <t>V4 CAP</t>
  </si>
  <si>
    <t>V6 HOOD</t>
  </si>
  <si>
    <t>PORT</t>
  </si>
  <si>
    <t>STBD</t>
  </si>
  <si>
    <t>V4 HOOD</t>
  </si>
  <si>
    <t>TALON HOOD</t>
  </si>
  <si>
    <t>FALCON HOOD</t>
  </si>
  <si>
    <t>TAL/FAL PORT</t>
  </si>
  <si>
    <t>TAL/FAL STBD</t>
  </si>
  <si>
    <t>FAL/TAL CAP</t>
  </si>
  <si>
    <t>ROPE HOOD</t>
  </si>
  <si>
    <t>Vegas White</t>
  </si>
  <si>
    <t>Tank Cover</t>
  </si>
  <si>
    <t>Order of Colours:</t>
  </si>
  <si>
    <t>Colour</t>
  </si>
  <si>
    <t>Time (mins)</t>
  </si>
  <si>
    <t>Gaps</t>
  </si>
  <si>
    <t>Total Time (hrs)</t>
  </si>
  <si>
    <t>Top Cap</t>
  </si>
  <si>
    <t>Port</t>
  </si>
  <si>
    <t>Smoke Grey</t>
  </si>
  <si>
    <t>Front Frame Cover</t>
  </si>
  <si>
    <t>Starboard</t>
  </si>
  <si>
    <t>Smoke Grey (Evinrude)</t>
  </si>
  <si>
    <t>Front RH</t>
  </si>
  <si>
    <t>Front LH</t>
  </si>
  <si>
    <t>Rear RH</t>
  </si>
  <si>
    <t>Rear LH</t>
  </si>
  <si>
    <t xml:space="preserve">Date: </t>
  </si>
  <si>
    <t>Evinrude White</t>
  </si>
  <si>
    <t>A0449</t>
  </si>
  <si>
    <t>A0450</t>
  </si>
  <si>
    <t>A0451</t>
  </si>
  <si>
    <t>A0452</t>
  </si>
  <si>
    <t>A0447</t>
  </si>
  <si>
    <t>A0448</t>
  </si>
  <si>
    <t>A0015</t>
  </si>
  <si>
    <t>A0016</t>
  </si>
  <si>
    <t>0686</t>
  </si>
  <si>
    <t>0689</t>
  </si>
  <si>
    <t>0685</t>
  </si>
  <si>
    <t>0685-IR</t>
  </si>
  <si>
    <t>A0467</t>
  </si>
  <si>
    <t>A0510</t>
  </si>
  <si>
    <t>A0506</t>
  </si>
  <si>
    <t>Splash Guards - Black Carbon</t>
  </si>
  <si>
    <t>Vegas White (Spyder)</t>
  </si>
  <si>
    <t>Snipe</t>
  </si>
  <si>
    <t>Osprey</t>
  </si>
  <si>
    <t>Splash Guards</t>
  </si>
  <si>
    <t>Manterra</t>
  </si>
  <si>
    <t>Red Mica (Evinrude)</t>
  </si>
  <si>
    <t>Orbital Blue (Evinrude)</t>
  </si>
  <si>
    <t>Hyper Silver</t>
  </si>
  <si>
    <t>Red Mica</t>
  </si>
  <si>
    <t>Orbital Blue</t>
  </si>
  <si>
    <t>LH Fender</t>
  </si>
  <si>
    <t>RH Fender</t>
  </si>
  <si>
    <t>LH Mirror Shell</t>
  </si>
  <si>
    <t>RH Mirror Shell</t>
  </si>
  <si>
    <t>Electrolux</t>
  </si>
  <si>
    <t>A06387</t>
  </si>
  <si>
    <t>CTRL PAN Rev G</t>
  </si>
  <si>
    <t>CTRL PAN Rev I</t>
  </si>
  <si>
    <t>CTRL PAN Rev H</t>
  </si>
  <si>
    <t>Electrolux (Smoke)</t>
  </si>
  <si>
    <t>Customer</t>
  </si>
  <si>
    <t>Rear Fairing</t>
  </si>
  <si>
    <t>R66 Hood</t>
  </si>
  <si>
    <t>Deep Black (Spyder)</t>
  </si>
  <si>
    <t>Tail Fairing</t>
  </si>
  <si>
    <t>LH F3T Panel</t>
  </si>
  <si>
    <t>RH F3T Panel</t>
  </si>
  <si>
    <t>LH Consol Panel</t>
  </si>
  <si>
    <t>RH Consol Panel</t>
  </si>
  <si>
    <t>LH Upper Fairing</t>
  </si>
  <si>
    <t>RH Upper Fairing</t>
  </si>
  <si>
    <t>Tank Cover with Hole</t>
  </si>
  <si>
    <t>Deep Black</t>
  </si>
  <si>
    <t>Raw Part #</t>
  </si>
  <si>
    <t>Comments</t>
  </si>
  <si>
    <t>LH LOW FAIRING</t>
  </si>
  <si>
    <t>RH LOW FAIRING</t>
  </si>
  <si>
    <t>LH FAIRING</t>
  </si>
  <si>
    <t>RH FAIRING</t>
  </si>
  <si>
    <t>HOOD</t>
  </si>
  <si>
    <t>LH VENT PANEL</t>
  </si>
  <si>
    <t>RH VENT PANEL</t>
  </si>
  <si>
    <t>FRONT FASCIA</t>
  </si>
  <si>
    <t>COVER BOX</t>
  </si>
  <si>
    <t xml:space="preserve">Main Upper Cover </t>
  </si>
  <si>
    <t xml:space="preserve">Vent Cover </t>
  </si>
  <si>
    <t xml:space="preserve">Rear Belt </t>
  </si>
  <si>
    <t xml:space="preserve">Laval Summit White </t>
  </si>
  <si>
    <t xml:space="preserve">Rear Plate </t>
  </si>
  <si>
    <t xml:space="preserve">Bezel </t>
  </si>
  <si>
    <t xml:space="preserve">IR Cover RH </t>
  </si>
  <si>
    <t xml:space="preserve">IR Cover LH </t>
  </si>
  <si>
    <t xml:space="preserve">Laterial Belt LH </t>
  </si>
  <si>
    <t>Laterial Belt RH</t>
  </si>
  <si>
    <t xml:space="preserve">RH Consol Fairing </t>
  </si>
  <si>
    <t xml:space="preserve">LH Consol Fairing </t>
  </si>
  <si>
    <t>Manterra - Hyper Silver</t>
  </si>
  <si>
    <t>Base Dual, SSR, cw inserts</t>
  </si>
  <si>
    <t>Face Plate, DTM, SSR</t>
  </si>
  <si>
    <t>Face Plate, STM, SSR</t>
  </si>
  <si>
    <t>Hyper Silver (Spyder)</t>
  </si>
  <si>
    <t>Laval</t>
  </si>
  <si>
    <t>Main Lower Cover</t>
  </si>
  <si>
    <t>Manta Green (Spyder F3 / F3T)</t>
  </si>
  <si>
    <t>LH Box Cover</t>
  </si>
  <si>
    <t>RH Box Cover</t>
  </si>
  <si>
    <t>LH Front Fairing</t>
  </si>
  <si>
    <t>RH Front Fairing</t>
  </si>
  <si>
    <t>Name</t>
  </si>
  <si>
    <t>Color</t>
  </si>
  <si>
    <t>BRP</t>
  </si>
  <si>
    <t>PAPP</t>
  </si>
  <si>
    <t xml:space="preserve">Deep Black </t>
  </si>
  <si>
    <t xml:space="preserve">Hyper Silver </t>
  </si>
  <si>
    <t>Manta Green</t>
  </si>
  <si>
    <t>Black Carbon</t>
  </si>
  <si>
    <t>Summit White</t>
  </si>
  <si>
    <t>Waymo Black</t>
  </si>
  <si>
    <t>Colors</t>
  </si>
  <si>
    <t># UP</t>
  </si>
  <si>
    <t>Rack Qty</t>
  </si>
  <si>
    <t>Laval Waymo Black</t>
  </si>
  <si>
    <t>Spoilers</t>
  </si>
  <si>
    <t xml:space="preserve"> BLACK</t>
  </si>
  <si>
    <t xml:space="preserve"> CHERRY BOMB</t>
  </si>
  <si>
    <t xml:space="preserve"> LG BLACK</t>
  </si>
  <si>
    <t>CARBON FLASH</t>
  </si>
  <si>
    <t xml:space="preserve"> OCONUS MET</t>
  </si>
  <si>
    <t xml:space="preserve"> PRIMER</t>
  </si>
  <si>
    <t xml:space="preserve"> PULL ME OVER RED</t>
  </si>
  <si>
    <t xml:space="preserve"> SUMMIT WHITE</t>
  </si>
  <si>
    <t>RAPID</t>
  </si>
  <si>
    <t>VIVID</t>
  </si>
  <si>
    <t>Spoiler</t>
  </si>
  <si>
    <t xml:space="preserve"> DARK SHADOW</t>
  </si>
  <si>
    <t xml:space="preserve"> SATIN STEEL</t>
  </si>
  <si>
    <t>Mitchell Plastics</t>
  </si>
  <si>
    <t>Black - RH</t>
  </si>
  <si>
    <t>Black - LH</t>
  </si>
  <si>
    <t>Red - RH</t>
  </si>
  <si>
    <t>Red - LH</t>
  </si>
  <si>
    <t>Other</t>
  </si>
  <si>
    <t>Metelix - Spoilers</t>
  </si>
  <si>
    <t>Mitchell</t>
  </si>
  <si>
    <t>Metelix</t>
  </si>
  <si>
    <t>LH Trim</t>
  </si>
  <si>
    <t>RH Trim</t>
  </si>
  <si>
    <t>LH Console Panel</t>
  </si>
  <si>
    <t>RH Console Panel</t>
  </si>
  <si>
    <t>LH Console Fairing</t>
  </si>
  <si>
    <t>RH Console Fairing</t>
  </si>
  <si>
    <t>LH F3T LOW FAIRING</t>
  </si>
  <si>
    <t>RH F3T LOW FAIRING</t>
  </si>
  <si>
    <t xml:space="preserve">RH FENDER </t>
  </si>
  <si>
    <t xml:space="preserve">LH FENDER </t>
  </si>
  <si>
    <t xml:space="preserve">RH VENT PANEL </t>
  </si>
  <si>
    <t>RH F3T PANEL</t>
  </si>
  <si>
    <t>LH F3T PANEL</t>
  </si>
  <si>
    <t>Total:</t>
  </si>
  <si>
    <t>LG Black</t>
  </si>
  <si>
    <t>Black</t>
  </si>
  <si>
    <t>Cherry Bomb</t>
  </si>
  <si>
    <t>Dk Shdw</t>
  </si>
  <si>
    <t>Oconus</t>
  </si>
  <si>
    <t>Pull Me Over Red</t>
  </si>
  <si>
    <t>Rapid</t>
  </si>
  <si>
    <t>Shock</t>
  </si>
  <si>
    <t>Service Prime</t>
  </si>
  <si>
    <t>Sat Steel Grey</t>
  </si>
  <si>
    <t>Vivid Met</t>
  </si>
  <si>
    <t>Part Num</t>
  </si>
  <si>
    <t>Part</t>
  </si>
  <si>
    <t>Mon</t>
  </si>
  <si>
    <t>Tue</t>
  </si>
  <si>
    <t>Wed</t>
  </si>
  <si>
    <t>Thur</t>
  </si>
  <si>
    <t>Friday</t>
  </si>
  <si>
    <t>Sat</t>
  </si>
  <si>
    <t>Gun on Time</t>
  </si>
  <si>
    <t>Red Mica Snipe</t>
  </si>
  <si>
    <t>Red Mica Osprey</t>
  </si>
  <si>
    <t>Orbital Blue Snipe</t>
  </si>
  <si>
    <t>Orbital Blue Osprey</t>
  </si>
  <si>
    <t>Prime</t>
  </si>
  <si>
    <t>Stack</t>
  </si>
  <si>
    <t xml:space="preserve">Nic </t>
  </si>
  <si>
    <t xml:space="preserve">Jared </t>
  </si>
  <si>
    <t xml:space="preserve">Quinn </t>
  </si>
  <si>
    <t xml:space="preserve">Mike </t>
  </si>
  <si>
    <t xml:space="preserve">Jeremy H </t>
  </si>
  <si>
    <t xml:space="preserve">Mike/Jeremy M </t>
  </si>
  <si>
    <t xml:space="preserve">Jesse </t>
  </si>
  <si>
    <t>Weekly Timing</t>
  </si>
  <si>
    <t>Total Week Run Time:</t>
  </si>
  <si>
    <t>Monday</t>
  </si>
  <si>
    <t>Tuesday</t>
  </si>
  <si>
    <t>Wednesday</t>
  </si>
  <si>
    <t>Thursday</t>
  </si>
  <si>
    <t>Saturday</t>
  </si>
  <si>
    <t>Tesla High Gloss Black</t>
  </si>
  <si>
    <t>MX Applique</t>
  </si>
  <si>
    <t>MS Applique</t>
  </si>
  <si>
    <t>Tesla - High Gloss Black</t>
  </si>
  <si>
    <t>White - LH</t>
  </si>
  <si>
    <t>White - RH</t>
  </si>
  <si>
    <t>5.5ft</t>
  </si>
  <si>
    <t>Seastar</t>
  </si>
  <si>
    <t>Handles</t>
  </si>
  <si>
    <t>MS Applique Rework</t>
  </si>
  <si>
    <t>MX Applique Rework</t>
  </si>
  <si>
    <t>Falcon Lakeside Hyper Silver</t>
  </si>
  <si>
    <t>LH Side Puck</t>
  </si>
  <si>
    <t>RH Side Puck</t>
  </si>
  <si>
    <t>Front Puck</t>
  </si>
  <si>
    <t>4.5ft</t>
  </si>
  <si>
    <t>pcs/rack</t>
  </si>
  <si>
    <t>New Tank Cover</t>
  </si>
  <si>
    <t>RH Consol Fairing</t>
  </si>
  <si>
    <t>LH Consol Fairing</t>
  </si>
  <si>
    <t>New LH Console Panel</t>
  </si>
  <si>
    <t>New RH Console Panel</t>
  </si>
  <si>
    <t>New Nose Fairing</t>
  </si>
  <si>
    <t>New Tail Fairing</t>
  </si>
  <si>
    <t>LH F3T Low Fairing</t>
  </si>
  <si>
    <t>RH F3T Low Fairing</t>
  </si>
  <si>
    <t>RH Fairing</t>
  </si>
  <si>
    <t>LH Fairing</t>
  </si>
  <si>
    <t>Hood</t>
  </si>
  <si>
    <t>LH Vent Panel</t>
  </si>
  <si>
    <t>RH Vent Panel</t>
  </si>
  <si>
    <t>Fascia</t>
  </si>
  <si>
    <t>LH Cover</t>
  </si>
  <si>
    <t>RH Cover</t>
  </si>
  <si>
    <t>Base Dual</t>
  </si>
  <si>
    <t>Summit White - Laval</t>
  </si>
  <si>
    <t>Black - Laval</t>
  </si>
  <si>
    <t>Bezel</t>
  </si>
  <si>
    <t>IR Cover LH</t>
  </si>
  <si>
    <t>IR Cover RH</t>
  </si>
  <si>
    <t>Lateral Belt LH</t>
  </si>
  <si>
    <t>Lateral Belt RH</t>
  </si>
  <si>
    <t>Rear Belt</t>
  </si>
  <si>
    <t>Main Upper Cover</t>
  </si>
  <si>
    <t>Rear Plate</t>
  </si>
  <si>
    <t>Vent Cover</t>
  </si>
  <si>
    <t>British Green (Spyder)</t>
  </si>
  <si>
    <t>British Green</t>
  </si>
  <si>
    <t>LH Mirror Shell -No Hole</t>
  </si>
  <si>
    <t xml:space="preserve">RH Mirror Shell - No Hole </t>
  </si>
  <si>
    <t xml:space="preserve">LH Mirror Shell - No Hole </t>
  </si>
  <si>
    <t>LH Scoop</t>
  </si>
  <si>
    <t>RH Scoop</t>
  </si>
  <si>
    <t>LH Access Panel</t>
  </si>
  <si>
    <t>RH Access Panel</t>
  </si>
  <si>
    <t xml:space="preserve">British Green </t>
  </si>
  <si>
    <t>103 LINE LOAD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</si>
</sst>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41" x14ac:knownFonts="1">
    <font>
      <sz val="10"/>
      <name val="Arial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8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8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4"/>
        <bgColor indexed="42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3"/>
      </patternFill>
    </fill>
    <fill>
      <patternFill patternType="solid">
        <fgColor indexed="31"/>
        <bgColor indexed="27"/>
      </patternFill>
    </fill>
    <fill>
      <patternFill patternType="solid">
        <fgColor indexed="42"/>
        <bgColor indexed="44"/>
      </patternFill>
    </fill>
    <fill>
      <patternFill patternType="solid">
        <fgColor indexed="43"/>
        <bgColor indexed="26"/>
      </patternFill>
    </fill>
    <fill>
      <patternFill patternType="solid">
        <fgColor indexed="45"/>
        <bgColor indexed="46"/>
      </patternFill>
    </fill>
    <fill>
      <patternFill patternType="solid">
        <fgColor indexed="25"/>
        <bgColor indexed="23"/>
      </patternFill>
    </fill>
    <fill>
      <patternFill patternType="solid">
        <fgColor indexed="50"/>
        <bgColor indexed="19"/>
      </patternFill>
    </fill>
    <fill>
      <patternFill patternType="solid">
        <fgColor indexed="48"/>
        <bgColor indexed="62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60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2"/>
      </bottom>
      <diagonal/>
    </border>
    <border>
      <left/>
      <right/>
      <top/>
      <bottom style="medium">
        <color indexed="4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7">
    <xf numFmtId="0" fontId="0" fillId="0" borderId="0"/>
    <xf numFmtId="0" fontId="8" fillId="0" borderId="0"/>
    <xf numFmtId="164" fontId="8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8" fillId="0" borderId="0"/>
    <xf numFmtId="0" fontId="3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4" borderId="0" applyNumberFormat="0" applyBorder="0" applyAlignment="0" applyProtection="0"/>
    <xf numFmtId="0" fontId="16" fillId="6" borderId="0" applyNumberFormat="0" applyBorder="0" applyAlignment="0" applyProtection="0"/>
    <xf numFmtId="0" fontId="16" fillId="3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6" borderId="0" applyNumberFormat="0" applyBorder="0" applyAlignment="0" applyProtection="0"/>
    <xf numFmtId="0" fontId="16" fillId="4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8" borderId="0" applyNumberFormat="0" applyBorder="0" applyAlignment="0" applyProtection="0"/>
    <xf numFmtId="0" fontId="17" fillId="6" borderId="0" applyNumberFormat="0" applyBorder="0" applyAlignment="0" applyProtection="0"/>
    <xf numFmtId="0" fontId="17" fillId="3" borderId="0" applyNumberFormat="0" applyBorder="0" applyAlignment="0" applyProtection="0"/>
    <xf numFmtId="0" fontId="17" fillId="11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8" fillId="15" borderId="0" applyNumberFormat="0" applyBorder="0" applyAlignment="0" applyProtection="0"/>
    <xf numFmtId="0" fontId="19" fillId="16" borderId="32" applyNumberFormat="0" applyAlignment="0" applyProtection="0"/>
    <xf numFmtId="0" fontId="20" fillId="17" borderId="33" applyNumberFormat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0" borderId="34" applyNumberFormat="0" applyFill="0" applyAlignment="0" applyProtection="0"/>
    <xf numFmtId="0" fontId="24" fillId="0" borderId="35" applyNumberFormat="0" applyFill="0" applyAlignment="0" applyProtection="0"/>
    <xf numFmtId="0" fontId="25" fillId="0" borderId="36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32" applyNumberFormat="0" applyAlignment="0" applyProtection="0"/>
    <xf numFmtId="0" fontId="27" fillId="0" borderId="37" applyNumberFormat="0" applyFill="0" applyAlignment="0" applyProtection="0"/>
    <xf numFmtId="0" fontId="28" fillId="7" borderId="0" applyNumberFormat="0" applyBorder="0" applyAlignment="0" applyProtection="0"/>
    <xf numFmtId="0" fontId="15" fillId="4" borderId="38" applyNumberFormat="0" applyAlignment="0" applyProtection="0"/>
    <xf numFmtId="0" fontId="29" fillId="16" borderId="39" applyNumberFormat="0" applyAlignment="0" applyProtection="0"/>
    <xf numFmtId="0" fontId="30" fillId="0" borderId="0" applyNumberFormat="0" applyFill="0" applyBorder="0" applyAlignment="0" applyProtection="0"/>
    <xf numFmtId="0" fontId="31" fillId="0" borderId="40" applyNumberFormat="0" applyFill="0" applyAlignment="0" applyProtection="0"/>
    <xf numFmtId="0" fontId="27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71">
    <xf numFmtId="0" fontId="0" fillId="0" borderId="0" xfId="0"/>
    <xf numFmtId="0" fontId="8" fillId="0" borderId="0" xfId="0" applyFont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5" xfId="0" applyFont="1" applyBorder="1"/>
    <xf numFmtId="0" fontId="12" fillId="0" borderId="0" xfId="0" applyFont="1" applyAlignment="1">
      <alignment horizontal="center" vertical="center" wrapText="1" shrinkToFit="1"/>
    </xf>
    <xf numFmtId="0" fontId="12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 shrinkToFit="1"/>
    </xf>
    <xf numFmtId="0" fontId="7" fillId="0" borderId="0" xfId="0" applyFont="1" applyAlignment="1">
      <alignment horizontal="center" vertical="center" wrapText="1"/>
    </xf>
    <xf numFmtId="0" fontId="3" fillId="0" borderId="0" xfId="7" applyAlignment="1">
      <alignment horizontal="center"/>
    </xf>
    <xf numFmtId="0" fontId="10" fillId="1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9" applyAlignment="1">
      <alignment horizontal="center"/>
    </xf>
    <xf numFmtId="0" fontId="0" fillId="0" borderId="5" xfId="0" applyBorder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22" xfId="0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2" xfId="0" applyBorder="1"/>
    <xf numFmtId="0" fontId="0" fillId="0" borderId="29" xfId="0" applyBorder="1"/>
    <xf numFmtId="0" fontId="0" fillId="0" borderId="29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28" xfId="0" applyBorder="1"/>
    <xf numFmtId="0" fontId="0" fillId="0" borderId="30" xfId="0" applyBorder="1"/>
    <xf numFmtId="0" fontId="8" fillId="0" borderId="19" xfId="0" applyFont="1" applyBorder="1" applyAlignment="1">
      <alignment horizontal="center"/>
    </xf>
    <xf numFmtId="165" fontId="0" fillId="19" borderId="27" xfId="0" applyNumberFormat="1" applyFill="1" applyBorder="1" applyAlignment="1">
      <alignment horizontal="center"/>
    </xf>
    <xf numFmtId="0" fontId="32" fillId="0" borderId="0" xfId="0" applyFont="1" applyAlignment="1" applyProtection="1">
      <alignment vertical="center"/>
      <protection locked="0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15" fontId="33" fillId="0" borderId="0" xfId="0" applyNumberFormat="1" applyFont="1" applyAlignment="1" applyProtection="1">
      <alignment vertical="center"/>
      <protection locked="0"/>
    </xf>
    <xf numFmtId="0" fontId="35" fillId="0" borderId="0" xfId="0" applyFont="1" applyAlignment="1">
      <alignment horizontal="center" vertical="top" wrapText="1"/>
    </xf>
    <xf numFmtId="15" fontId="0" fillId="0" borderId="0" xfId="0" applyNumberFormat="1" applyAlignment="1">
      <alignment horizontal="center"/>
    </xf>
    <xf numFmtId="15" fontId="0" fillId="18" borderId="0" xfId="0" applyNumberFormat="1" applyFill="1" applyAlignment="1">
      <alignment horizontal="center"/>
    </xf>
    <xf numFmtId="0" fontId="8" fillId="0" borderId="29" xfId="0" applyFont="1" applyBorder="1"/>
    <xf numFmtId="0" fontId="0" fillId="0" borderId="26" xfId="0" applyBorder="1"/>
    <xf numFmtId="2" fontId="0" fillId="0" borderId="2" xfId="0" applyNumberFormat="1" applyBorder="1"/>
    <xf numFmtId="0" fontId="36" fillId="0" borderId="1" xfId="0" applyFont="1" applyBorder="1" applyAlignment="1">
      <alignment horizontal="center" shrinkToFit="1"/>
    </xf>
    <xf numFmtId="0" fontId="36" fillId="0" borderId="5" xfId="0" applyFont="1" applyBorder="1" applyAlignment="1">
      <alignment horizontal="center" shrinkToFit="1"/>
    </xf>
    <xf numFmtId="0" fontId="36" fillId="0" borderId="5" xfId="0" applyFont="1" applyBorder="1" applyAlignment="1">
      <alignment horizontal="center" vertical="center" shrinkToFit="1"/>
    </xf>
    <xf numFmtId="0" fontId="36" fillId="0" borderId="2" xfId="0" applyFont="1" applyBorder="1" applyAlignment="1">
      <alignment horizontal="center" vertical="center" shrinkToFit="1"/>
    </xf>
    <xf numFmtId="0" fontId="36" fillId="0" borderId="30" xfId="0" applyFont="1" applyBorder="1" applyAlignment="1">
      <alignment horizontal="center" vertical="center" shrinkToFit="1"/>
    </xf>
    <xf numFmtId="0" fontId="36" fillId="0" borderId="1" xfId="0" applyFont="1" applyBorder="1" applyAlignment="1">
      <alignment horizontal="center" vertical="center" shrinkToFit="1"/>
    </xf>
    <xf numFmtId="0" fontId="36" fillId="0" borderId="3" xfId="0" applyFont="1" applyBorder="1" applyAlignment="1">
      <alignment horizontal="center" vertical="center" shrinkToFit="1"/>
    </xf>
    <xf numFmtId="0" fontId="36" fillId="0" borderId="6" xfId="0" applyFont="1" applyBorder="1" applyAlignment="1">
      <alignment horizontal="center" vertical="center" shrinkToFit="1"/>
    </xf>
    <xf numFmtId="0" fontId="36" fillId="0" borderId="4" xfId="0" applyFont="1" applyBorder="1" applyAlignment="1">
      <alignment horizontal="center" vertical="center" shrinkToFit="1"/>
    </xf>
    <xf numFmtId="0" fontId="34" fillId="0" borderId="0" xfId="0" applyFont="1" applyAlignment="1">
      <alignment horizontal="center" vertical="center" shrinkToFit="1"/>
    </xf>
    <xf numFmtId="0" fontId="36" fillId="0" borderId="46" xfId="0" applyFont="1" applyBorder="1" applyAlignment="1">
      <alignment horizontal="center" vertical="center" shrinkToFit="1"/>
    </xf>
    <xf numFmtId="0" fontId="36" fillId="0" borderId="0" xfId="0" applyFont="1" applyAlignment="1">
      <alignment shrinkToFit="1"/>
    </xf>
    <xf numFmtId="0" fontId="36" fillId="0" borderId="3" xfId="0" applyFont="1" applyBorder="1" applyAlignment="1">
      <alignment horizontal="center" shrinkToFit="1"/>
    </xf>
    <xf numFmtId="0" fontId="36" fillId="0" borderId="6" xfId="0" applyFont="1" applyBorder="1" applyAlignment="1">
      <alignment horizontal="center" shrinkToFit="1"/>
    </xf>
    <xf numFmtId="0" fontId="36" fillId="0" borderId="0" xfId="0" applyFont="1" applyAlignment="1">
      <alignment horizontal="center" vertical="center" shrinkToFit="1"/>
    </xf>
    <xf numFmtId="0" fontId="37" fillId="0" borderId="0" xfId="0" applyFont="1" applyAlignment="1">
      <alignment shrinkToFit="1"/>
    </xf>
    <xf numFmtId="0" fontId="37" fillId="0" borderId="5" xfId="0" applyFont="1" applyBorder="1" applyAlignment="1">
      <alignment horizontal="center" shrinkToFit="1"/>
    </xf>
    <xf numFmtId="2" fontId="37" fillId="0" borderId="5" xfId="0" applyNumberFormat="1" applyFont="1" applyBorder="1" applyAlignment="1">
      <alignment horizontal="center" shrinkToFit="1"/>
    </xf>
    <xf numFmtId="0" fontId="37" fillId="0" borderId="0" xfId="0" applyFont="1" applyAlignment="1">
      <alignment vertical="center" shrinkToFit="1"/>
    </xf>
    <xf numFmtId="0" fontId="37" fillId="0" borderId="5" xfId="0" applyFont="1" applyBorder="1" applyAlignment="1">
      <alignment horizontal="left" shrinkToFit="1"/>
    </xf>
    <xf numFmtId="2" fontId="7" fillId="0" borderId="5" xfId="0" applyNumberFormat="1" applyFont="1" applyBorder="1" applyAlignment="1">
      <alignment horizontal="center" shrinkToFit="1"/>
    </xf>
    <xf numFmtId="0" fontId="7" fillId="0" borderId="5" xfId="0" applyFont="1" applyBorder="1" applyAlignment="1">
      <alignment horizontal="center" shrinkToFit="1"/>
    </xf>
    <xf numFmtId="0" fontId="7" fillId="0" borderId="5" xfId="0" applyFont="1" applyBorder="1" applyAlignment="1">
      <alignment shrinkToFit="1"/>
    </xf>
    <xf numFmtId="165" fontId="37" fillId="0" borderId="5" xfId="0" applyNumberFormat="1" applyFont="1" applyBorder="1" applyAlignment="1">
      <alignment horizontal="center" shrinkToFit="1"/>
    </xf>
    <xf numFmtId="0" fontId="8" fillId="0" borderId="29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22" xfId="0" applyFont="1" applyBorder="1" applyAlignment="1" applyProtection="1">
      <alignment horizontal="center"/>
      <protection locked="0"/>
    </xf>
    <xf numFmtId="0" fontId="34" fillId="0" borderId="24" xfId="0" applyFont="1" applyBorder="1" applyAlignment="1" applyProtection="1">
      <alignment vertical="center" wrapText="1" shrinkToFit="1"/>
      <protection locked="0"/>
    </xf>
    <xf numFmtId="0" fontId="34" fillId="0" borderId="0" xfId="0" applyFont="1" applyAlignment="1" applyProtection="1">
      <alignment vertical="center" wrapText="1" shrinkToFit="1"/>
      <protection locked="0"/>
    </xf>
    <xf numFmtId="0" fontId="34" fillId="0" borderId="25" xfId="0" applyFont="1" applyBorder="1" applyAlignment="1" applyProtection="1">
      <alignment vertical="center" wrapText="1" shrinkToFit="1"/>
      <protection locked="0"/>
    </xf>
    <xf numFmtId="0" fontId="0" fillId="19" borderId="5" xfId="0" applyFill="1" applyBorder="1" applyAlignment="1">
      <alignment horizontal="left"/>
    </xf>
    <xf numFmtId="2" fontId="0" fillId="18" borderId="0" xfId="0" applyNumberFormat="1" applyFill="1"/>
    <xf numFmtId="0" fontId="0" fillId="0" borderId="50" xfId="0" applyBorder="1"/>
    <xf numFmtId="0" fontId="0" fillId="0" borderId="50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9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0" borderId="5" xfId="0" applyFont="1" applyBorder="1" applyAlignment="1">
      <alignment horizontal="center" shrinkToFit="1"/>
    </xf>
    <xf numFmtId="0" fontId="37" fillId="0" borderId="5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shrinkToFit="1"/>
    </xf>
    <xf numFmtId="0" fontId="1" fillId="0" borderId="5" xfId="0" applyFont="1" applyBorder="1" applyAlignment="1">
      <alignment horizontal="center" vertical="center" shrinkToFit="1"/>
    </xf>
    <xf numFmtId="0" fontId="36" fillId="0" borderId="0" xfId="0" applyFont="1" applyAlignment="1">
      <alignment horizontal="center" shrinkToFit="1"/>
    </xf>
    <xf numFmtId="0" fontId="1" fillId="0" borderId="3" xfId="0" applyFont="1" applyBorder="1" applyAlignment="1">
      <alignment horizont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shrinkToFit="1"/>
    </xf>
    <xf numFmtId="0" fontId="38" fillId="0" borderId="5" xfId="0" applyFont="1" applyBorder="1" applyAlignment="1">
      <alignment horizontal="left" shrinkToFit="1"/>
    </xf>
    <xf numFmtId="0" fontId="39" fillId="0" borderId="0" xfId="0" applyFont="1" applyAlignment="1">
      <alignment horizontal="center" vertical="center" shrinkToFit="1"/>
    </xf>
    <xf numFmtId="0" fontId="40" fillId="0" borderId="0" xfId="0" applyFont="1" applyAlignment="1">
      <alignment horizontal="right" vertical="center"/>
    </xf>
    <xf numFmtId="0" fontId="39" fillId="0" borderId="0" xfId="0" applyFont="1" applyAlignment="1">
      <alignment shrinkToFit="1"/>
    </xf>
    <xf numFmtId="0" fontId="40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0" fillId="0" borderId="44" xfId="0" applyFont="1" applyBorder="1" applyAlignment="1">
      <alignment horizontal="center" vertical="center" wrapText="1" shrinkToFit="1"/>
    </xf>
    <xf numFmtId="0" fontId="10" fillId="0" borderId="45" xfId="0" applyFont="1" applyBorder="1" applyAlignment="1">
      <alignment horizontal="center" vertical="center" wrapText="1" shrinkToFit="1"/>
    </xf>
    <xf numFmtId="0" fontId="10" fillId="0" borderId="31" xfId="0" applyFont="1" applyBorder="1" applyAlignment="1">
      <alignment horizontal="center" vertical="center" wrapText="1" shrinkToFit="1"/>
    </xf>
    <xf numFmtId="0" fontId="10" fillId="0" borderId="44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8" fillId="19" borderId="26" xfId="0" applyFont="1" applyFill="1" applyBorder="1" applyAlignment="1">
      <alignment horizontal="right"/>
    </xf>
    <xf numFmtId="0" fontId="8" fillId="19" borderId="18" xfId="0" applyFont="1" applyFill="1" applyBorder="1" applyAlignment="1">
      <alignment horizontal="right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0" fontId="10" fillId="0" borderId="26" xfId="0" applyFont="1" applyBorder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27" xfId="0" applyFont="1" applyBorder="1" applyAlignment="1">
      <alignment horizontal="center" vertical="center" shrinkToFit="1"/>
    </xf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2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4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24" xfId="0" applyFont="1" applyBorder="1" applyAlignment="1">
      <alignment horizontal="center" vertical="center" wrapText="1" shrinkToFit="1"/>
    </xf>
    <xf numFmtId="0" fontId="10" fillId="0" borderId="0" xfId="0" applyFont="1" applyAlignment="1">
      <alignment horizontal="center" vertical="center" wrapText="1" shrinkToFit="1"/>
    </xf>
    <xf numFmtId="0" fontId="34" fillId="0" borderId="8" xfId="0" applyFont="1" applyBorder="1" applyAlignment="1">
      <alignment horizontal="center" vertical="center" shrinkToFit="1"/>
    </xf>
    <xf numFmtId="0" fontId="34" fillId="0" borderId="9" xfId="0" applyFont="1" applyBorder="1" applyAlignment="1">
      <alignment horizontal="center" vertical="center" shrinkToFit="1"/>
    </xf>
    <xf numFmtId="0" fontId="34" fillId="0" borderId="10" xfId="0" applyFont="1" applyBorder="1" applyAlignment="1">
      <alignment horizontal="center" vertical="center" shrinkToFit="1"/>
    </xf>
    <xf numFmtId="15" fontId="33" fillId="0" borderId="0" xfId="0" applyNumberFormat="1" applyFont="1" applyAlignment="1">
      <alignment horizontal="center" vertical="center"/>
    </xf>
    <xf numFmtId="0" fontId="34" fillId="0" borderId="0" xfId="0" applyFont="1" applyAlignment="1" applyProtection="1">
      <alignment horizontal="center" vertical="center" wrapText="1"/>
      <protection locked="0"/>
    </xf>
    <xf numFmtId="0" fontId="34" fillId="0" borderId="13" xfId="0" applyFont="1" applyBorder="1" applyAlignment="1">
      <alignment horizontal="center" vertical="center" shrinkToFit="1"/>
    </xf>
    <xf numFmtId="0" fontId="34" fillId="0" borderId="11" xfId="0" applyFont="1" applyBorder="1" applyAlignment="1">
      <alignment horizontal="center" vertical="center" shrinkToFit="1"/>
    </xf>
    <xf numFmtId="0" fontId="34" fillId="0" borderId="14" xfId="0" applyFont="1" applyBorder="1" applyAlignment="1">
      <alignment horizontal="center" vertical="center" shrinkToFit="1"/>
    </xf>
    <xf numFmtId="0" fontId="34" fillId="0" borderId="15" xfId="0" applyFont="1" applyBorder="1" applyAlignment="1">
      <alignment horizontal="center" vertical="center" shrinkToFit="1"/>
    </xf>
    <xf numFmtId="0" fontId="34" fillId="0" borderId="16" xfId="0" applyFont="1" applyBorder="1" applyAlignment="1">
      <alignment horizontal="center" vertical="center" shrinkToFit="1"/>
    </xf>
    <xf numFmtId="0" fontId="34" fillId="0" borderId="17" xfId="0" applyFont="1" applyBorder="1" applyAlignment="1">
      <alignment horizontal="center" vertical="center" shrinkToFit="1"/>
    </xf>
    <xf numFmtId="0" fontId="35" fillId="0" borderId="0" xfId="0" applyFont="1" applyAlignment="1">
      <alignment horizontal="center" vertical="top" wrapText="1"/>
    </xf>
    <xf numFmtId="0" fontId="35" fillId="0" borderId="23" xfId="0" applyFont="1" applyBorder="1" applyAlignment="1">
      <alignment horizontal="center" vertical="top" wrapText="1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right" vertical="center"/>
    </xf>
    <xf numFmtId="0" fontId="34" fillId="0" borderId="15" xfId="0" applyFont="1" applyBorder="1" applyAlignment="1">
      <alignment horizontal="center" vertical="top" shrinkToFit="1"/>
    </xf>
    <xf numFmtId="0" fontId="34" fillId="0" borderId="16" xfId="0" applyFont="1" applyBorder="1" applyAlignment="1">
      <alignment horizontal="center" vertical="top" shrinkToFit="1"/>
    </xf>
    <xf numFmtId="0" fontId="34" fillId="0" borderId="17" xfId="0" applyFont="1" applyBorder="1" applyAlignment="1">
      <alignment horizontal="center" vertical="top" shrinkToFit="1"/>
    </xf>
    <xf numFmtId="0" fontId="1" fillId="0" borderId="47" xfId="0" applyFont="1" applyBorder="1" applyAlignment="1" applyProtection="1">
      <alignment horizontal="center" vertical="center" wrapText="1" shrinkToFit="1"/>
      <protection locked="0"/>
    </xf>
    <xf numFmtId="0" fontId="1" fillId="0" borderId="48" xfId="0" applyFont="1" applyBorder="1" applyAlignment="1" applyProtection="1">
      <alignment horizontal="center" vertical="center" wrapText="1" shrinkToFit="1"/>
      <protection locked="0"/>
    </xf>
    <xf numFmtId="0" fontId="1" fillId="0" borderId="49" xfId="0" applyFont="1" applyBorder="1" applyAlignment="1" applyProtection="1">
      <alignment horizontal="center" vertical="center" wrapText="1" shrinkToFit="1"/>
      <protection locked="0"/>
    </xf>
    <xf numFmtId="0" fontId="1" fillId="0" borderId="24" xfId="0" applyFont="1" applyBorder="1" applyAlignment="1" applyProtection="1">
      <alignment horizontal="center" vertical="center" wrapText="1" shrinkToFit="1"/>
      <protection locked="0"/>
    </xf>
    <xf numFmtId="0" fontId="1" fillId="0" borderId="0" xfId="0" applyFont="1" applyAlignment="1" applyProtection="1">
      <alignment horizontal="center" vertical="center" wrapText="1" shrinkToFit="1"/>
      <protection locked="0"/>
    </xf>
    <xf numFmtId="0" fontId="1" fillId="0" borderId="25" xfId="0" applyFont="1" applyBorder="1" applyAlignment="1" applyProtection="1">
      <alignment horizontal="center" vertical="center" wrapText="1" shrinkToFit="1"/>
      <protection locked="0"/>
    </xf>
    <xf numFmtId="0" fontId="1" fillId="0" borderId="24" xfId="0" applyFont="1" applyBorder="1" applyAlignment="1" applyProtection="1">
      <alignment horizontal="left" vertical="top" wrapText="1" shrinkToFit="1"/>
      <protection locked="0"/>
    </xf>
    <xf numFmtId="0" fontId="36" fillId="0" borderId="0" xfId="0" applyFont="1" applyAlignment="1" applyProtection="1">
      <alignment horizontal="left" vertical="top" wrapText="1" shrinkToFit="1"/>
      <protection locked="0"/>
    </xf>
    <xf numFmtId="0" fontId="36" fillId="0" borderId="25" xfId="0" applyFont="1" applyBorder="1" applyAlignment="1" applyProtection="1">
      <alignment horizontal="left" vertical="top" wrapText="1" shrinkToFit="1"/>
      <protection locked="0"/>
    </xf>
    <xf numFmtId="0" fontId="36" fillId="0" borderId="24" xfId="0" applyFont="1" applyBorder="1" applyAlignment="1" applyProtection="1">
      <alignment horizontal="left" vertical="top" wrapText="1" shrinkToFit="1"/>
      <protection locked="0"/>
    </xf>
    <xf numFmtId="0" fontId="36" fillId="0" borderId="43" xfId="0" applyFont="1" applyBorder="1" applyAlignment="1" applyProtection="1">
      <alignment horizontal="left" vertical="top" wrapText="1" shrinkToFit="1"/>
      <protection locked="0"/>
    </xf>
    <xf numFmtId="0" fontId="36" fillId="0" borderId="41" xfId="0" applyFont="1" applyBorder="1" applyAlignment="1" applyProtection="1">
      <alignment horizontal="left" vertical="top" wrapText="1" shrinkToFit="1"/>
      <protection locked="0"/>
    </xf>
    <xf numFmtId="0" fontId="36" fillId="0" borderId="42" xfId="0" applyFont="1" applyBorder="1" applyAlignment="1" applyProtection="1">
      <alignment horizontal="left" vertical="top" wrapText="1" shrinkToFit="1"/>
      <protection locked="0"/>
    </xf>
    <xf numFmtId="0" fontId="37" fillId="0" borderId="12" xfId="0" applyFont="1" applyBorder="1" applyAlignment="1">
      <alignment horizontal="center" shrinkToFit="1"/>
    </xf>
    <xf numFmtId="0" fontId="37" fillId="0" borderId="7" xfId="0" applyFont="1" applyBorder="1" applyAlignment="1">
      <alignment horizontal="center" shrinkToFit="1"/>
    </xf>
  </cellXfs>
  <cellStyles count="57">
    <cellStyle name="20% - Accent1 2" xfId="10" xr:uid="{00000000-0005-0000-0000-000000000000}"/>
    <cellStyle name="20% - Accent2 2" xfId="11" xr:uid="{00000000-0005-0000-0000-000001000000}"/>
    <cellStyle name="20% - Accent3 2" xfId="12" xr:uid="{00000000-0005-0000-0000-000002000000}"/>
    <cellStyle name="20% - Accent4 2" xfId="13" xr:uid="{00000000-0005-0000-0000-000003000000}"/>
    <cellStyle name="20% - Accent5 2" xfId="14" xr:uid="{00000000-0005-0000-0000-000004000000}"/>
    <cellStyle name="20% - Accent6 2" xfId="15" xr:uid="{00000000-0005-0000-0000-000005000000}"/>
    <cellStyle name="40% - Accent1 2" xfId="16" xr:uid="{00000000-0005-0000-0000-000006000000}"/>
    <cellStyle name="40% - Accent2 2" xfId="17" xr:uid="{00000000-0005-0000-0000-000007000000}"/>
    <cellStyle name="40% - Accent3 2" xfId="18" xr:uid="{00000000-0005-0000-0000-000008000000}"/>
    <cellStyle name="40% - Accent4 2" xfId="1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22" xr:uid="{00000000-0005-0000-0000-00000C000000}"/>
    <cellStyle name="60% - Accent2 2" xfId="23" xr:uid="{00000000-0005-0000-0000-00000D000000}"/>
    <cellStyle name="60% - Accent3 2" xfId="24" xr:uid="{00000000-0005-0000-0000-00000E000000}"/>
    <cellStyle name="60% - Accent4 2" xfId="25" xr:uid="{00000000-0005-0000-0000-00000F000000}"/>
    <cellStyle name="60% - Accent5 2" xfId="26" xr:uid="{00000000-0005-0000-0000-000010000000}"/>
    <cellStyle name="60% - Accent6 2" xfId="27" xr:uid="{00000000-0005-0000-0000-000011000000}"/>
    <cellStyle name="Accent1 2" xfId="28" xr:uid="{00000000-0005-0000-0000-000012000000}"/>
    <cellStyle name="Accent2 2" xfId="29" xr:uid="{00000000-0005-0000-0000-000013000000}"/>
    <cellStyle name="Accent3 2" xfId="30" xr:uid="{00000000-0005-0000-0000-000014000000}"/>
    <cellStyle name="Accent4 2" xfId="31" xr:uid="{00000000-0005-0000-0000-000015000000}"/>
    <cellStyle name="Accent5 2" xfId="32" xr:uid="{00000000-0005-0000-0000-000016000000}"/>
    <cellStyle name="Accent6 2" xfId="33" xr:uid="{00000000-0005-0000-0000-000017000000}"/>
    <cellStyle name="Bad 2" xfId="34" xr:uid="{00000000-0005-0000-0000-000018000000}"/>
    <cellStyle name="Calculation 2" xfId="35" xr:uid="{00000000-0005-0000-0000-000019000000}"/>
    <cellStyle name="Check Cell 2" xfId="36" xr:uid="{00000000-0005-0000-0000-00001A000000}"/>
    <cellStyle name="Comma 2" xfId="2" xr:uid="{00000000-0005-0000-0000-00001B000000}"/>
    <cellStyle name="Explanatory Text 2" xfId="37" xr:uid="{00000000-0005-0000-0000-00001C000000}"/>
    <cellStyle name="Good 2" xfId="38" xr:uid="{00000000-0005-0000-0000-00001D000000}"/>
    <cellStyle name="Heading 1 2" xfId="39" xr:uid="{00000000-0005-0000-0000-00001E000000}"/>
    <cellStyle name="Heading 2 2" xfId="40" xr:uid="{00000000-0005-0000-0000-00001F000000}"/>
    <cellStyle name="Heading 3 2" xfId="41" xr:uid="{00000000-0005-0000-0000-000020000000}"/>
    <cellStyle name="Heading 4 2" xfId="42" xr:uid="{00000000-0005-0000-0000-000021000000}"/>
    <cellStyle name="Input 2" xfId="43" xr:uid="{00000000-0005-0000-0000-000022000000}"/>
    <cellStyle name="Linked Cell 2" xfId="44" xr:uid="{00000000-0005-0000-0000-000023000000}"/>
    <cellStyle name="Neutral 2" xfId="45" xr:uid="{00000000-0005-0000-0000-000024000000}"/>
    <cellStyle name="Normal" xfId="0" builtinId="0"/>
    <cellStyle name="Normal 2" xfId="1" xr:uid="{00000000-0005-0000-0000-000026000000}"/>
    <cellStyle name="Normal 3" xfId="3" xr:uid="{00000000-0005-0000-0000-000027000000}"/>
    <cellStyle name="Normal 3 2" xfId="4" xr:uid="{00000000-0005-0000-0000-000028000000}"/>
    <cellStyle name="Normal 3 2 2" xfId="5" xr:uid="{00000000-0005-0000-0000-000029000000}"/>
    <cellStyle name="Normal 3 2 2 2" xfId="53" xr:uid="{10FE877A-2D11-4318-99DC-8EBEB0D3B498}"/>
    <cellStyle name="Normal 3 2 3" xfId="6" xr:uid="{00000000-0005-0000-0000-00002A000000}"/>
    <cellStyle name="Normal 3 2 3 2" xfId="54" xr:uid="{E1896F6D-3A73-47E2-855C-77946EA19AF4}"/>
    <cellStyle name="Normal 3 2 4" xfId="9" xr:uid="{00000000-0005-0000-0000-00002B000000}"/>
    <cellStyle name="Normal 3 2 4 2" xfId="56" xr:uid="{902B6082-3767-4982-8C72-B4284ED66321}"/>
    <cellStyle name="Normal 3 2 5" xfId="52" xr:uid="{9B8D2505-9B98-4356-9076-3F31795F081C}"/>
    <cellStyle name="Normal 3 3" xfId="51" xr:uid="{3FFCBD72-CC8E-4771-B0DC-205E10D3D3F0}"/>
    <cellStyle name="Normal 4" xfId="7" xr:uid="{00000000-0005-0000-0000-00002C000000}"/>
    <cellStyle name="Normal 4 2" xfId="55" xr:uid="{0C1A1E58-FC9D-4081-8132-11A15DDF6083}"/>
    <cellStyle name="Normal 5" xfId="8" xr:uid="{00000000-0005-0000-0000-00002D000000}"/>
    <cellStyle name="Note 2" xfId="46" xr:uid="{00000000-0005-0000-0000-00002E000000}"/>
    <cellStyle name="Output 2" xfId="47" xr:uid="{00000000-0005-0000-0000-00002F000000}"/>
    <cellStyle name="Title 2" xfId="48" xr:uid="{00000000-0005-0000-0000-000030000000}"/>
    <cellStyle name="Total 2" xfId="49" xr:uid="{00000000-0005-0000-0000-000031000000}"/>
    <cellStyle name="Warning Text 2" xfId="50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104"/>
  <sheetViews>
    <sheetView tabSelected="1" topLeftCell="E1" zoomScale="85" zoomScaleNormal="85" workbookViewId="0">
      <pane ySplit="2" topLeftCell="A3" activePane="bottomLeft" state="frozen"/>
      <selection pane="bottomLeft" activeCell="Q4" sqref="Q4"/>
    </sheetView>
  </sheetViews>
  <sheetFormatPr defaultColWidth="4" defaultRowHeight="13.9" customHeight="1" x14ac:dyDescent="0.2"/>
  <cols>
    <col min="1" max="1" width="4.85546875" hidden="1" customWidth="1"/>
    <col min="2" max="2" width="4.7109375" hidden="1" customWidth="1"/>
    <col min="3" max="3" width="5.5703125" hidden="1" customWidth="1"/>
    <col min="4" max="4" width="6.42578125" hidden="1" customWidth="1"/>
    <col min="5" max="5" width="0.42578125" customWidth="1"/>
    <col min="6" max="6" width="10.7109375" bestFit="1" customWidth="1"/>
    <col min="7" max="7" width="24.5703125" bestFit="1" customWidth="1"/>
    <col min="8" max="13" width="10" style="23" customWidth="1"/>
    <col min="16" max="16" width="22" bestFit="1" customWidth="1"/>
    <col min="17" max="17" width="10.7109375" customWidth="1"/>
    <col min="18" max="27" width="5.5703125" customWidth="1"/>
  </cols>
  <sheetData>
    <row r="1" spans="1:13" ht="13.9" customHeight="1" x14ac:dyDescent="0.2">
      <c r="A1" s="124"/>
      <c r="G1" s="3">
        <v>103</v>
      </c>
      <c r="H1" s="46">
        <v>45299</v>
      </c>
      <c r="I1" s="45">
        <f>H1+1</f>
        <v>45300</v>
      </c>
      <c r="J1" s="45">
        <f t="shared" ref="J1:M1" si="0">I1+1</f>
        <v>45301</v>
      </c>
      <c r="K1" s="45">
        <f t="shared" si="0"/>
        <v>45302</v>
      </c>
      <c r="L1" s="45">
        <f t="shared" si="0"/>
        <v>45303</v>
      </c>
      <c r="M1" s="45">
        <f t="shared" si="0"/>
        <v>45304</v>
      </c>
    </row>
    <row r="2" spans="1:13" ht="13.9" customHeight="1" thickBot="1" x14ac:dyDescent="0.25">
      <c r="A2" s="124"/>
      <c r="B2" s="1" t="s">
        <v>221</v>
      </c>
      <c r="C2" s="1" t="s">
        <v>212</v>
      </c>
      <c r="D2">
        <v>5.75</v>
      </c>
      <c r="E2" s="1" t="s">
        <v>222</v>
      </c>
      <c r="F2" s="29" t="s">
        <v>177</v>
      </c>
      <c r="G2" s="30" t="s">
        <v>178</v>
      </c>
      <c r="H2" s="29" t="s">
        <v>179</v>
      </c>
      <c r="I2" s="29" t="s">
        <v>180</v>
      </c>
      <c r="J2" s="29" t="s">
        <v>181</v>
      </c>
      <c r="K2" s="29" t="s">
        <v>182</v>
      </c>
      <c r="L2" s="29" t="s">
        <v>183</v>
      </c>
      <c r="M2" s="29" t="s">
        <v>184</v>
      </c>
    </row>
    <row r="3" spans="1:13" ht="13.9" customHeight="1" thickBot="1" x14ac:dyDescent="0.25">
      <c r="A3" s="82">
        <v>4</v>
      </c>
      <c r="F3" s="107" t="s">
        <v>107</v>
      </c>
      <c r="G3" s="108"/>
      <c r="H3" s="108"/>
      <c r="I3" s="108"/>
      <c r="J3" s="108"/>
      <c r="K3" s="108"/>
      <c r="L3" s="108"/>
      <c r="M3" s="109"/>
    </row>
    <row r="4" spans="1:13" ht="13.9" customHeight="1" x14ac:dyDescent="0.2">
      <c r="A4">
        <f>(E4*4)/$A$3</f>
        <v>2</v>
      </c>
      <c r="E4">
        <v>2</v>
      </c>
      <c r="F4" s="75">
        <v>705014100</v>
      </c>
      <c r="G4" s="25" t="s">
        <v>76</v>
      </c>
      <c r="H4" s="33"/>
      <c r="I4" s="33"/>
      <c r="J4" s="33"/>
      <c r="K4" s="33"/>
      <c r="L4" s="33"/>
      <c r="M4" s="34"/>
    </row>
    <row r="5" spans="1:13" ht="13.9" customHeight="1" x14ac:dyDescent="0.2">
      <c r="A5">
        <f t="shared" ref="A5:A69" si="1">(E5*4)/$A$3</f>
        <v>2</v>
      </c>
      <c r="E5">
        <v>2</v>
      </c>
      <c r="F5" s="75">
        <v>705014101</v>
      </c>
      <c r="G5" s="25" t="s">
        <v>77</v>
      </c>
      <c r="H5" s="33"/>
      <c r="I5" s="33"/>
      <c r="J5" s="33"/>
      <c r="K5" s="33"/>
      <c r="L5" s="33"/>
      <c r="M5" s="34"/>
    </row>
    <row r="6" spans="1:13" ht="13.9" customHeight="1" x14ac:dyDescent="0.2">
      <c r="A6">
        <f t="shared" si="1"/>
        <v>2</v>
      </c>
      <c r="E6">
        <v>2</v>
      </c>
      <c r="F6" s="75">
        <v>705012976</v>
      </c>
      <c r="G6" s="25" t="s">
        <v>57</v>
      </c>
      <c r="H6" s="33"/>
      <c r="I6" s="33"/>
      <c r="J6" s="33"/>
      <c r="K6" s="33"/>
      <c r="L6" s="33"/>
      <c r="M6" s="34"/>
    </row>
    <row r="7" spans="1:13" ht="13.9" customHeight="1" x14ac:dyDescent="0.2">
      <c r="A7">
        <f t="shared" si="1"/>
        <v>2</v>
      </c>
      <c r="E7">
        <v>2</v>
      </c>
      <c r="F7" s="75">
        <v>705012868</v>
      </c>
      <c r="G7" s="25" t="s">
        <v>58</v>
      </c>
      <c r="H7" s="33"/>
      <c r="I7" s="33"/>
      <c r="J7" s="33"/>
      <c r="K7" s="33"/>
      <c r="L7" s="33"/>
      <c r="M7" s="34"/>
    </row>
    <row r="8" spans="1:13" ht="13.9" customHeight="1" x14ac:dyDescent="0.2">
      <c r="A8">
        <f t="shared" si="1"/>
        <v>2</v>
      </c>
      <c r="E8">
        <v>2</v>
      </c>
      <c r="F8" s="75">
        <v>708003041</v>
      </c>
      <c r="G8" s="25" t="s">
        <v>68</v>
      </c>
      <c r="H8" s="33"/>
      <c r="I8" s="33"/>
      <c r="J8" s="33"/>
      <c r="K8" s="33"/>
      <c r="L8" s="33"/>
      <c r="M8" s="34"/>
    </row>
    <row r="9" spans="1:13" ht="13.9" customHeight="1" x14ac:dyDescent="0.2">
      <c r="A9">
        <f t="shared" si="1"/>
        <v>1</v>
      </c>
      <c r="E9">
        <v>1</v>
      </c>
      <c r="F9" s="75">
        <v>708200870</v>
      </c>
      <c r="G9" s="25" t="s">
        <v>113</v>
      </c>
      <c r="H9" s="33"/>
      <c r="I9" s="33"/>
      <c r="J9" s="33"/>
      <c r="K9" s="33"/>
      <c r="L9" s="33"/>
      <c r="M9" s="34"/>
    </row>
    <row r="10" spans="1:13" ht="13.9" customHeight="1" x14ac:dyDescent="0.2">
      <c r="A10">
        <f t="shared" si="1"/>
        <v>1</v>
      </c>
      <c r="E10">
        <v>1</v>
      </c>
      <c r="F10" s="75">
        <v>708200871</v>
      </c>
      <c r="G10" s="25" t="s">
        <v>114</v>
      </c>
      <c r="H10" s="33"/>
      <c r="I10" s="33"/>
      <c r="J10" s="33"/>
      <c r="K10" s="33"/>
      <c r="L10" s="33"/>
      <c r="M10" s="34"/>
    </row>
    <row r="11" spans="1:13" ht="13.9" customHeight="1" x14ac:dyDescent="0.2">
      <c r="A11">
        <f t="shared" si="1"/>
        <v>1</v>
      </c>
      <c r="E11">
        <v>1</v>
      </c>
      <c r="F11" s="75">
        <v>708200869</v>
      </c>
      <c r="G11" s="25" t="s">
        <v>69</v>
      </c>
      <c r="H11" s="33"/>
      <c r="I11" s="33"/>
      <c r="J11" s="33"/>
      <c r="K11" s="33"/>
      <c r="L11" s="33"/>
      <c r="M11" s="34"/>
    </row>
    <row r="12" spans="1:13" ht="13.9" customHeight="1" x14ac:dyDescent="0.2">
      <c r="A12">
        <f t="shared" si="1"/>
        <v>2</v>
      </c>
      <c r="E12">
        <v>2</v>
      </c>
      <c r="F12" s="75">
        <v>708302947</v>
      </c>
      <c r="G12" s="25" t="s">
        <v>111</v>
      </c>
      <c r="H12" s="33"/>
      <c r="I12" s="33"/>
      <c r="J12" s="33"/>
      <c r="K12" s="33"/>
      <c r="L12" s="33"/>
      <c r="M12" s="34"/>
    </row>
    <row r="13" spans="1:13" ht="13.9" customHeight="1" x14ac:dyDescent="0.2">
      <c r="A13">
        <f t="shared" si="1"/>
        <v>2</v>
      </c>
      <c r="E13">
        <v>2</v>
      </c>
      <c r="F13" s="75">
        <v>708302948</v>
      </c>
      <c r="G13" s="25" t="s">
        <v>112</v>
      </c>
      <c r="H13" s="33"/>
      <c r="I13" s="33"/>
      <c r="J13" s="33"/>
      <c r="K13" s="33"/>
      <c r="L13" s="33"/>
      <c r="M13" s="34"/>
    </row>
    <row r="14" spans="1:13" ht="13.9" customHeight="1" x14ac:dyDescent="0.2">
      <c r="A14">
        <f t="shared" si="1"/>
        <v>4</v>
      </c>
      <c r="E14">
        <v>4</v>
      </c>
      <c r="F14" s="75">
        <v>708303800</v>
      </c>
      <c r="G14" s="25" t="s">
        <v>72</v>
      </c>
      <c r="H14" s="33"/>
      <c r="I14" s="33"/>
      <c r="J14" s="33"/>
      <c r="K14" s="33"/>
      <c r="L14" s="33"/>
      <c r="M14" s="34"/>
    </row>
    <row r="15" spans="1:13" ht="13.9" customHeight="1" x14ac:dyDescent="0.2">
      <c r="A15">
        <f t="shared" si="1"/>
        <v>4</v>
      </c>
      <c r="E15">
        <v>4</v>
      </c>
      <c r="F15" s="75">
        <v>708303801</v>
      </c>
      <c r="G15" s="25" t="s">
        <v>73</v>
      </c>
      <c r="H15" s="33"/>
      <c r="I15" s="33"/>
      <c r="J15" s="33"/>
      <c r="K15" s="33"/>
      <c r="L15" s="33"/>
      <c r="M15" s="34"/>
    </row>
    <row r="16" spans="1:13" ht="13.9" customHeight="1" x14ac:dyDescent="0.2">
      <c r="A16">
        <f t="shared" si="1"/>
        <v>2</v>
      </c>
      <c r="E16">
        <v>2</v>
      </c>
      <c r="F16" s="25">
        <v>708400461</v>
      </c>
      <c r="G16" s="25" t="s">
        <v>254</v>
      </c>
      <c r="H16" s="33"/>
      <c r="I16" s="33"/>
      <c r="J16" s="33"/>
      <c r="K16" s="33"/>
      <c r="L16" s="33"/>
      <c r="M16" s="34"/>
    </row>
    <row r="17" spans="1:27" ht="13.9" customHeight="1" thickBot="1" x14ac:dyDescent="0.25">
      <c r="A17">
        <f t="shared" si="1"/>
        <v>2</v>
      </c>
      <c r="E17">
        <v>2</v>
      </c>
      <c r="F17" s="31">
        <v>708400463</v>
      </c>
      <c r="G17" s="31" t="s">
        <v>255</v>
      </c>
      <c r="H17" s="33"/>
      <c r="I17" s="33"/>
      <c r="J17" s="33"/>
      <c r="K17" s="33"/>
      <c r="L17" s="33"/>
      <c r="M17" s="35"/>
    </row>
    <row r="18" spans="1:27" ht="13.9" customHeight="1" thickBot="1" x14ac:dyDescent="0.3">
      <c r="A18">
        <f t="shared" si="1"/>
        <v>0</v>
      </c>
      <c r="E18">
        <v>0</v>
      </c>
      <c r="F18" s="107" t="s">
        <v>252</v>
      </c>
      <c r="G18" s="108"/>
      <c r="H18" s="108"/>
      <c r="I18" s="108"/>
      <c r="J18" s="108"/>
      <c r="K18" s="108"/>
      <c r="L18" s="108"/>
      <c r="M18" s="109"/>
      <c r="P18" s="121" t="s">
        <v>199</v>
      </c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3"/>
    </row>
    <row r="19" spans="1:27" ht="13.9" customHeight="1" thickBot="1" x14ac:dyDescent="0.25">
      <c r="A19">
        <f t="shared" si="1"/>
        <v>2</v>
      </c>
      <c r="E19">
        <v>2</v>
      </c>
      <c r="F19" s="32">
        <v>705009213</v>
      </c>
      <c r="G19" s="81" t="s">
        <v>230</v>
      </c>
      <c r="H19" s="33"/>
      <c r="I19" s="33"/>
      <c r="J19" s="33"/>
      <c r="K19" s="33"/>
      <c r="L19" s="33"/>
      <c r="M19" s="34"/>
      <c r="P19" s="48"/>
      <c r="Q19" s="48" t="s">
        <v>201</v>
      </c>
      <c r="R19" s="119" t="s">
        <v>202</v>
      </c>
      <c r="S19" s="120"/>
      <c r="T19" s="119" t="s">
        <v>203</v>
      </c>
      <c r="U19" s="120"/>
      <c r="V19" s="119" t="s">
        <v>204</v>
      </c>
      <c r="W19" s="120"/>
      <c r="X19" s="119" t="s">
        <v>183</v>
      </c>
      <c r="Y19" s="120"/>
      <c r="Z19" s="119" t="s">
        <v>205</v>
      </c>
      <c r="AA19" s="120"/>
    </row>
    <row r="20" spans="1:27" ht="13.9" customHeight="1" x14ac:dyDescent="0.2">
      <c r="A20">
        <f t="shared" si="1"/>
        <v>2</v>
      </c>
      <c r="E20">
        <v>2</v>
      </c>
      <c r="F20" s="25">
        <v>705009214</v>
      </c>
      <c r="G20" s="81" t="s">
        <v>231</v>
      </c>
      <c r="H20" s="33"/>
      <c r="I20" s="33"/>
      <c r="J20" s="33"/>
      <c r="K20" s="33"/>
      <c r="L20" s="33"/>
      <c r="M20" s="34"/>
      <c r="P20" s="36" t="str">
        <f>'Mon (103)'!M35</f>
        <v>Colour</v>
      </c>
      <c r="Q20" s="37" t="str">
        <f>'Mon (103)'!N35</f>
        <v>Time (mins)</v>
      </c>
      <c r="R20" s="117" t="str">
        <f>'Tue (103)'!N35</f>
        <v>Time (mins)</v>
      </c>
      <c r="S20" s="118"/>
      <c r="T20" s="102" t="str">
        <f>'Wed (103)'!N35</f>
        <v>Time (mins)</v>
      </c>
      <c r="U20" s="103"/>
      <c r="V20" s="102" t="str">
        <f>'Thur (103)'!N35</f>
        <v>Time (mins)</v>
      </c>
      <c r="W20" s="103"/>
      <c r="X20" s="102" t="str">
        <f>'Fri (103)'!N35</f>
        <v>Time (mins)</v>
      </c>
      <c r="Y20" s="103"/>
      <c r="Z20" s="102" t="str">
        <f>'Sat (103)'!N35</f>
        <v>Time (mins)</v>
      </c>
      <c r="AA20" s="103"/>
    </row>
    <row r="21" spans="1:27" ht="13.9" customHeight="1" x14ac:dyDescent="0.2">
      <c r="A21">
        <f t="shared" si="1"/>
        <v>1</v>
      </c>
      <c r="E21">
        <v>1</v>
      </c>
      <c r="F21" s="25">
        <v>705010835</v>
      </c>
      <c r="G21" s="81" t="s">
        <v>232</v>
      </c>
      <c r="H21" s="33"/>
      <c r="I21" s="33"/>
      <c r="J21" s="33"/>
      <c r="K21" s="33"/>
      <c r="L21" s="33"/>
      <c r="M21" s="34"/>
      <c r="P21" s="27" t="str">
        <f>'Mon (103)'!M36</f>
        <v>Hyper Silver</v>
      </c>
      <c r="Q21" s="49">
        <f>'Mon (103)'!N36</f>
        <v>0</v>
      </c>
      <c r="R21" s="113">
        <f>'Tue (103)'!N36</f>
        <v>0</v>
      </c>
      <c r="S21" s="114"/>
      <c r="T21" s="102">
        <f>'Wed (103)'!N36</f>
        <v>0</v>
      </c>
      <c r="U21" s="103"/>
      <c r="V21" s="102">
        <f>'Thur (103)'!N36</f>
        <v>0</v>
      </c>
      <c r="W21" s="103"/>
      <c r="X21" s="102">
        <f>'Fri (103)'!N36</f>
        <v>0</v>
      </c>
      <c r="Y21" s="103"/>
      <c r="Z21" s="102">
        <f>'Sat (103)'!N36</f>
        <v>0</v>
      </c>
      <c r="AA21" s="103"/>
    </row>
    <row r="22" spans="1:27" ht="13.9" customHeight="1" x14ac:dyDescent="0.2">
      <c r="A22">
        <f t="shared" si="1"/>
        <v>1</v>
      </c>
      <c r="E22">
        <v>1</v>
      </c>
      <c r="F22" s="25">
        <v>705010851</v>
      </c>
      <c r="G22" s="81" t="s">
        <v>233</v>
      </c>
      <c r="H22" s="33"/>
      <c r="I22" s="33"/>
      <c r="J22" s="33"/>
      <c r="K22" s="33"/>
      <c r="L22" s="33"/>
      <c r="M22" s="34"/>
      <c r="P22" s="27" t="str">
        <f>'Mon (103)'!M37</f>
        <v>Deep Black</v>
      </c>
      <c r="Q22" s="49">
        <f>'Mon (103)'!N37</f>
        <v>0</v>
      </c>
      <c r="R22" s="113">
        <f>'Tue (103)'!N37</f>
        <v>0</v>
      </c>
      <c r="S22" s="114"/>
      <c r="T22" s="102">
        <f>'Wed (103)'!N37</f>
        <v>0</v>
      </c>
      <c r="U22" s="103"/>
      <c r="V22" s="102">
        <f>'Thur (103)'!N37</f>
        <v>0</v>
      </c>
      <c r="W22" s="103"/>
      <c r="X22" s="102">
        <f>'Fri (103)'!N37</f>
        <v>0</v>
      </c>
      <c r="Y22" s="103"/>
      <c r="Z22" s="102">
        <f>'Sat (103)'!N37</f>
        <v>0</v>
      </c>
      <c r="AA22" s="103"/>
    </row>
    <row r="23" spans="1:27" ht="13.9" customHeight="1" x14ac:dyDescent="0.2">
      <c r="A23">
        <f t="shared" si="1"/>
        <v>2</v>
      </c>
      <c r="E23">
        <v>2</v>
      </c>
      <c r="F23" s="25">
        <v>705012976</v>
      </c>
      <c r="G23" s="81" t="s">
        <v>57</v>
      </c>
      <c r="H23" s="33"/>
      <c r="I23" s="33"/>
      <c r="J23" s="33"/>
      <c r="K23" s="33"/>
      <c r="L23" s="33"/>
      <c r="M23" s="34"/>
      <c r="P23" s="27" t="str">
        <f>'Mon (103)'!M38</f>
        <v>British Green</v>
      </c>
      <c r="Q23" s="49">
        <f>'Mon (103)'!N38</f>
        <v>0</v>
      </c>
      <c r="R23" s="113">
        <f>'Tue (103)'!N38</f>
        <v>0</v>
      </c>
      <c r="S23" s="114"/>
      <c r="T23" s="102">
        <f>'Wed (103)'!N38</f>
        <v>0</v>
      </c>
      <c r="U23" s="103"/>
      <c r="V23" s="102">
        <f>'Thur (103)'!N38</f>
        <v>0</v>
      </c>
      <c r="W23" s="103"/>
      <c r="X23" s="102">
        <f>'Fri (103)'!N38</f>
        <v>0</v>
      </c>
      <c r="Y23" s="103"/>
      <c r="Z23" s="102">
        <f>'Sat (103)'!N38</f>
        <v>0</v>
      </c>
      <c r="AA23" s="103"/>
    </row>
    <row r="24" spans="1:27" ht="13.5" customHeight="1" x14ac:dyDescent="0.2">
      <c r="A24">
        <f t="shared" si="1"/>
        <v>2</v>
      </c>
      <c r="E24">
        <v>2</v>
      </c>
      <c r="F24" s="25">
        <v>705012868</v>
      </c>
      <c r="G24" s="81" t="s">
        <v>58</v>
      </c>
      <c r="H24" s="33"/>
      <c r="I24" s="33"/>
      <c r="J24" s="33"/>
      <c r="K24" s="33"/>
      <c r="L24" s="33"/>
      <c r="M24" s="34"/>
      <c r="P24" s="27" t="str">
        <f>'Mon (103)'!M39</f>
        <v>Vegas White</v>
      </c>
      <c r="Q24" s="49">
        <f>'Mon (103)'!N39</f>
        <v>0</v>
      </c>
      <c r="R24" s="113">
        <f>'Tue (103)'!N39</f>
        <v>0</v>
      </c>
      <c r="S24" s="114"/>
      <c r="T24" s="102">
        <f>'Wed (103)'!N39</f>
        <v>0</v>
      </c>
      <c r="U24" s="103"/>
      <c r="V24" s="102">
        <f>'Thur (103)'!N39</f>
        <v>0</v>
      </c>
      <c r="W24" s="103"/>
      <c r="X24" s="102">
        <f>'Fri (103)'!N39</f>
        <v>0</v>
      </c>
      <c r="Y24" s="103"/>
      <c r="Z24" s="102">
        <f>'Sat (103)'!N39</f>
        <v>0</v>
      </c>
      <c r="AA24" s="103"/>
    </row>
    <row r="25" spans="1:27" ht="13.9" customHeight="1" x14ac:dyDescent="0.2">
      <c r="A25">
        <f t="shared" si="1"/>
        <v>1</v>
      </c>
      <c r="E25">
        <v>1</v>
      </c>
      <c r="F25" s="25">
        <v>708200366</v>
      </c>
      <c r="G25" s="81" t="s">
        <v>234</v>
      </c>
      <c r="H25" s="33"/>
      <c r="I25" s="33"/>
      <c r="J25" s="33"/>
      <c r="K25" s="33"/>
      <c r="L25" s="33"/>
      <c r="M25" s="34"/>
      <c r="P25" s="27" t="str">
        <f>'Mon (103)'!M40</f>
        <v>Black - Laval</v>
      </c>
      <c r="Q25" s="49">
        <f>'Mon (103)'!N40</f>
        <v>0</v>
      </c>
      <c r="R25" s="113">
        <f>'Tue (103)'!N40</f>
        <v>0</v>
      </c>
      <c r="S25" s="114"/>
      <c r="T25" s="102">
        <f>'Wed (103)'!N40</f>
        <v>0</v>
      </c>
      <c r="U25" s="103"/>
      <c r="V25" s="102">
        <f>'Thur (103)'!N40</f>
        <v>0</v>
      </c>
      <c r="W25" s="103"/>
      <c r="X25" s="102">
        <f>'Fri (103)'!N40</f>
        <v>0</v>
      </c>
      <c r="Y25" s="103"/>
      <c r="Z25" s="102">
        <f>'Sat (103)'!N40</f>
        <v>0</v>
      </c>
      <c r="AA25" s="103"/>
    </row>
    <row r="26" spans="1:27" ht="13.9" customHeight="1" x14ac:dyDescent="0.2">
      <c r="A26">
        <f t="shared" si="1"/>
        <v>2</v>
      </c>
      <c r="E26">
        <v>2</v>
      </c>
      <c r="F26" s="25">
        <v>708200401</v>
      </c>
      <c r="G26" s="81" t="s">
        <v>235</v>
      </c>
      <c r="H26" s="33"/>
      <c r="I26" s="33"/>
      <c r="J26" s="33"/>
      <c r="K26" s="33"/>
      <c r="L26" s="33"/>
      <c r="M26" s="34"/>
      <c r="P26" s="27" t="str">
        <f>'Mon (103)'!M41</f>
        <v>Summit White - Laval</v>
      </c>
      <c r="Q26" s="49">
        <f>'Mon (103)'!N41</f>
        <v>0</v>
      </c>
      <c r="R26" s="113">
        <f>'Tue (103)'!N41</f>
        <v>0</v>
      </c>
      <c r="S26" s="114"/>
      <c r="T26" s="102">
        <f>'Wed (103)'!N41</f>
        <v>0</v>
      </c>
      <c r="U26" s="103"/>
      <c r="V26" s="102">
        <f>'Thur (103)'!N41</f>
        <v>0</v>
      </c>
      <c r="W26" s="103"/>
      <c r="X26" s="102">
        <f>'Fri (103)'!N41</f>
        <v>0</v>
      </c>
      <c r="Y26" s="103"/>
      <c r="Z26" s="102">
        <f>'Sat (103)'!N41</f>
        <v>0</v>
      </c>
      <c r="AA26" s="103"/>
    </row>
    <row r="27" spans="1:27" ht="13.9" customHeight="1" x14ac:dyDescent="0.2">
      <c r="A27">
        <f t="shared" si="1"/>
        <v>2</v>
      </c>
      <c r="E27">
        <v>2</v>
      </c>
      <c r="F27" s="25">
        <v>708200402</v>
      </c>
      <c r="G27" s="81" t="s">
        <v>236</v>
      </c>
      <c r="H27" s="33"/>
      <c r="I27" s="33"/>
      <c r="J27" s="33"/>
      <c r="K27" s="33"/>
      <c r="L27" s="33"/>
      <c r="M27" s="34"/>
      <c r="P27" s="27" t="str">
        <f>'Mon (103)'!M42</f>
        <v>Mitchell Plastics</v>
      </c>
      <c r="Q27" s="49">
        <f>'Mon (103)'!N42</f>
        <v>0</v>
      </c>
      <c r="R27" s="113">
        <f>'Tue (103)'!N42</f>
        <v>0</v>
      </c>
      <c r="S27" s="114"/>
      <c r="T27" s="102">
        <f>'Wed (103)'!N42</f>
        <v>0</v>
      </c>
      <c r="U27" s="103"/>
      <c r="V27" s="102">
        <f>'Thur (103)'!N42</f>
        <v>0</v>
      </c>
      <c r="W27" s="103"/>
      <c r="X27" s="102">
        <f>'Fri (103)'!N42</f>
        <v>0</v>
      </c>
      <c r="Y27" s="103"/>
      <c r="Z27" s="102">
        <f>'Sat (103)'!N42</f>
        <v>0</v>
      </c>
      <c r="AA27" s="103"/>
    </row>
    <row r="28" spans="1:27" ht="13.9" customHeight="1" x14ac:dyDescent="0.2">
      <c r="A28">
        <f t="shared" si="1"/>
        <v>1</v>
      </c>
      <c r="E28">
        <v>1</v>
      </c>
      <c r="F28" s="25">
        <v>708200698</v>
      </c>
      <c r="G28" s="81" t="s">
        <v>237</v>
      </c>
      <c r="H28" s="33"/>
      <c r="I28" s="33"/>
      <c r="J28" s="33"/>
      <c r="K28" s="33"/>
      <c r="L28" s="33"/>
      <c r="M28" s="34"/>
      <c r="P28" s="27" t="str">
        <f>'Mon (103)'!M43</f>
        <v>Seastar</v>
      </c>
      <c r="Q28" s="49">
        <f>'Mon (103)'!N43</f>
        <v>0</v>
      </c>
      <c r="R28" s="113">
        <f>'Tue (103)'!N43</f>
        <v>0</v>
      </c>
      <c r="S28" s="114"/>
      <c r="T28" s="102">
        <f>'Wed (103)'!N43</f>
        <v>0</v>
      </c>
      <c r="U28" s="103"/>
      <c r="V28" s="102">
        <f>'Thur (103)'!N43</f>
        <v>0</v>
      </c>
      <c r="W28" s="103"/>
      <c r="X28" s="102">
        <f>'Fri (103)'!N43</f>
        <v>0</v>
      </c>
      <c r="Y28" s="103"/>
      <c r="Z28" s="102">
        <f>'Sat (103)'!N43</f>
        <v>0</v>
      </c>
      <c r="AA28" s="103"/>
    </row>
    <row r="29" spans="1:27" ht="13.9" customHeight="1" x14ac:dyDescent="0.2">
      <c r="A29">
        <f t="shared" si="1"/>
        <v>1</v>
      </c>
      <c r="E29">
        <v>1</v>
      </c>
      <c r="F29" s="25">
        <v>708301214</v>
      </c>
      <c r="G29" s="81" t="s">
        <v>238</v>
      </c>
      <c r="H29" s="33"/>
      <c r="I29" s="33"/>
      <c r="J29" s="33"/>
      <c r="K29" s="33"/>
      <c r="L29" s="33"/>
      <c r="M29" s="34"/>
      <c r="P29" s="27" t="str">
        <f>'Mon (103)'!M44</f>
        <v>Manterra - Hyper Silver</v>
      </c>
      <c r="Q29" s="49">
        <f>'Mon (103)'!N44</f>
        <v>0</v>
      </c>
      <c r="R29" s="113">
        <f>'Tue (103)'!N44</f>
        <v>0</v>
      </c>
      <c r="S29" s="114"/>
      <c r="T29" s="102">
        <f>'Wed (103)'!N44</f>
        <v>0</v>
      </c>
      <c r="U29" s="103"/>
      <c r="V29" s="102">
        <f>'Thur (103)'!N44</f>
        <v>0</v>
      </c>
      <c r="W29" s="103"/>
      <c r="X29" s="102">
        <f>'Fri (103)'!N44</f>
        <v>0</v>
      </c>
      <c r="Y29" s="103"/>
      <c r="Z29" s="102">
        <f>'Sat (103)'!N44</f>
        <v>0</v>
      </c>
      <c r="AA29" s="103"/>
    </row>
    <row r="30" spans="1:27" ht="13.9" customHeight="1" x14ac:dyDescent="0.2">
      <c r="A30">
        <f t="shared" si="1"/>
        <v>1</v>
      </c>
      <c r="E30">
        <v>1</v>
      </c>
      <c r="F30" s="31">
        <v>708301215</v>
      </c>
      <c r="G30" s="81" t="s">
        <v>239</v>
      </c>
      <c r="H30" s="33"/>
      <c r="I30" s="33"/>
      <c r="J30" s="33"/>
      <c r="K30" s="33"/>
      <c r="L30" s="33"/>
      <c r="M30" s="34"/>
      <c r="P30" s="27" t="str">
        <f>'Mon (103)'!M45</f>
        <v>Falcon Lakeside Hyper Silver</v>
      </c>
      <c r="Q30" s="49">
        <f>'Mon (103)'!N45</f>
        <v>0</v>
      </c>
      <c r="R30" s="113">
        <f>'Tue (103)'!N45</f>
        <v>0</v>
      </c>
      <c r="S30" s="114"/>
      <c r="T30" s="102">
        <f>'Wed (103)'!N45</f>
        <v>0</v>
      </c>
      <c r="U30" s="103"/>
      <c r="V30" s="102">
        <f>'Thur (103)'!N45</f>
        <v>0</v>
      </c>
      <c r="W30" s="103"/>
      <c r="X30" s="102">
        <f>'Fri (103)'!N45</f>
        <v>0</v>
      </c>
      <c r="Y30" s="103"/>
      <c r="Z30" s="102">
        <f>'Sat (103)'!N45</f>
        <v>0</v>
      </c>
      <c r="AA30" s="103"/>
    </row>
    <row r="31" spans="1:27" ht="13.9" customHeight="1" x14ac:dyDescent="0.2">
      <c r="A31">
        <f t="shared" si="1"/>
        <v>4</v>
      </c>
      <c r="E31">
        <v>4</v>
      </c>
      <c r="F31" s="75">
        <v>708303800</v>
      </c>
      <c r="G31" s="25" t="s">
        <v>72</v>
      </c>
      <c r="H31" s="33"/>
      <c r="I31" s="33"/>
      <c r="J31" s="33"/>
      <c r="K31" s="33"/>
      <c r="L31" s="33"/>
      <c r="M31" s="34"/>
      <c r="P31" s="27" t="str">
        <f>'Mon (103)'!M46</f>
        <v>Tesla - High Gloss Black</v>
      </c>
      <c r="Q31" s="49">
        <f>'Mon (103)'!N46</f>
        <v>0</v>
      </c>
      <c r="R31" s="113">
        <f>'Tue (103)'!N46</f>
        <v>0</v>
      </c>
      <c r="S31" s="114"/>
      <c r="T31" s="102">
        <f>'Wed (103)'!N46</f>
        <v>0</v>
      </c>
      <c r="U31" s="103"/>
      <c r="V31" s="102">
        <f>'Thur (103)'!N46</f>
        <v>0</v>
      </c>
      <c r="W31" s="103"/>
      <c r="X31" s="102">
        <f>'Fri (103)'!N46</f>
        <v>0</v>
      </c>
      <c r="Y31" s="103"/>
      <c r="Z31" s="102">
        <f>'Sat (103)'!N46</f>
        <v>0</v>
      </c>
      <c r="AA31" s="103"/>
    </row>
    <row r="32" spans="1:27" ht="13.9" customHeight="1" thickBot="1" x14ac:dyDescent="0.25">
      <c r="A32">
        <f t="shared" si="1"/>
        <v>4</v>
      </c>
      <c r="E32">
        <v>4</v>
      </c>
      <c r="F32" s="75">
        <v>708303801</v>
      </c>
      <c r="G32" s="83" t="s">
        <v>73</v>
      </c>
      <c r="H32" s="84"/>
      <c r="I32" s="84"/>
      <c r="J32" s="84"/>
      <c r="K32" s="84"/>
      <c r="L32" s="84"/>
      <c r="M32" s="85"/>
      <c r="P32" s="27">
        <f>'Mon (103)'!M47</f>
        <v>0</v>
      </c>
      <c r="Q32" s="49"/>
      <c r="R32" s="113">
        <f>'Tue (103)'!N47</f>
        <v>0</v>
      </c>
      <c r="S32" s="114"/>
      <c r="T32" s="102">
        <f>'Wed (103)'!N47</f>
        <v>0</v>
      </c>
      <c r="U32" s="103"/>
      <c r="V32" s="102">
        <f>'Thur (103)'!N47</f>
        <v>0</v>
      </c>
      <c r="W32" s="103"/>
      <c r="X32" s="102">
        <f>'Fri (103)'!N47</f>
        <v>0</v>
      </c>
      <c r="Y32" s="103"/>
      <c r="Z32" s="102">
        <f>'Sat (103)'!N47</f>
        <v>0</v>
      </c>
      <c r="AA32" s="103"/>
    </row>
    <row r="33" spans="1:27" ht="13.9" customHeight="1" thickBot="1" x14ac:dyDescent="0.25">
      <c r="A33">
        <f t="shared" si="1"/>
        <v>0</v>
      </c>
      <c r="E33">
        <v>0</v>
      </c>
      <c r="F33" s="107" t="s">
        <v>70</v>
      </c>
      <c r="G33" s="108"/>
      <c r="H33" s="108"/>
      <c r="I33" s="108"/>
      <c r="J33" s="108"/>
      <c r="K33" s="108"/>
      <c r="L33" s="108"/>
      <c r="M33" s="109"/>
      <c r="P33" s="27">
        <f>'Mon (103)'!M48</f>
        <v>0</v>
      </c>
      <c r="Q33" s="49">
        <f>'Mon (103)'!N47</f>
        <v>0</v>
      </c>
      <c r="R33" s="113">
        <f>'Tue (103)'!N48</f>
        <v>0</v>
      </c>
      <c r="S33" s="114"/>
      <c r="T33" s="102">
        <f>'Wed (103)'!N48</f>
        <v>0</v>
      </c>
      <c r="U33" s="103"/>
      <c r="V33" s="102">
        <f>'Thur (103)'!N48</f>
        <v>0</v>
      </c>
      <c r="W33" s="103"/>
      <c r="X33" s="102">
        <f>'Fri (103)'!N48</f>
        <v>0</v>
      </c>
      <c r="Y33" s="103"/>
      <c r="Z33" s="102">
        <f>'Sat (103)'!N48</f>
        <v>0</v>
      </c>
      <c r="AA33" s="103"/>
    </row>
    <row r="34" spans="1:27" ht="13.9" customHeight="1" x14ac:dyDescent="0.2">
      <c r="A34">
        <f t="shared" si="1"/>
        <v>2</v>
      </c>
      <c r="E34">
        <v>2</v>
      </c>
      <c r="F34" s="13">
        <v>708400287</v>
      </c>
      <c r="G34" s="86" t="s">
        <v>13</v>
      </c>
      <c r="H34" s="33"/>
      <c r="I34" s="33"/>
      <c r="J34" s="33"/>
      <c r="K34" s="33"/>
      <c r="L34" s="33"/>
      <c r="M34" s="33"/>
      <c r="P34" s="27">
        <f>'Mon (103)'!M49</f>
        <v>0</v>
      </c>
      <c r="Q34" s="49">
        <f>'Mon (103)'!N48</f>
        <v>0</v>
      </c>
      <c r="R34" s="113">
        <f>'Tue (103)'!N49</f>
        <v>0</v>
      </c>
      <c r="S34" s="114"/>
      <c r="T34" s="102">
        <f>'Wed (103)'!N49</f>
        <v>0</v>
      </c>
      <c r="U34" s="103"/>
      <c r="V34" s="102">
        <f>'Thur (103)'!N49</f>
        <v>0</v>
      </c>
      <c r="W34" s="103"/>
      <c r="X34" s="102">
        <f>'Fri (103)'!N49</f>
        <v>0</v>
      </c>
      <c r="Y34" s="103"/>
      <c r="Z34" s="102">
        <f>'Sat (103)'!N49</f>
        <v>0</v>
      </c>
      <c r="AA34" s="103"/>
    </row>
    <row r="35" spans="1:27" ht="13.9" customHeight="1" x14ac:dyDescent="0.2">
      <c r="A35">
        <f t="shared" si="1"/>
        <v>2</v>
      </c>
      <c r="E35">
        <v>2</v>
      </c>
      <c r="F35" s="14">
        <v>705019189</v>
      </c>
      <c r="G35" s="87" t="s">
        <v>223</v>
      </c>
      <c r="H35" s="33"/>
      <c r="I35" s="33"/>
      <c r="J35" s="33"/>
      <c r="K35" s="33"/>
      <c r="L35" s="33"/>
      <c r="M35" s="34"/>
      <c r="P35" s="27"/>
      <c r="Q35" s="49">
        <f>'Mon (103)'!N49</f>
        <v>0</v>
      </c>
      <c r="R35" s="113">
        <f>'Tue (103)'!N50</f>
        <v>0</v>
      </c>
      <c r="S35" s="114"/>
      <c r="T35" s="102">
        <f>'Wed (103)'!N50</f>
        <v>0</v>
      </c>
      <c r="U35" s="103"/>
      <c r="V35" s="102">
        <f>'Thur (103)'!N50</f>
        <v>0</v>
      </c>
      <c r="W35" s="103"/>
      <c r="X35" s="102">
        <f>'Fri (103)'!N50</f>
        <v>0</v>
      </c>
      <c r="Y35" s="103"/>
      <c r="Z35" s="102">
        <f>'Sat (103)'!N50</f>
        <v>0</v>
      </c>
      <c r="AA35" s="103"/>
    </row>
    <row r="36" spans="1:27" ht="13.9" customHeight="1" x14ac:dyDescent="0.2">
      <c r="A36">
        <f t="shared" si="1"/>
        <v>2</v>
      </c>
      <c r="E36">
        <v>2</v>
      </c>
      <c r="F36" s="14">
        <v>708001528</v>
      </c>
      <c r="G36" s="87" t="s">
        <v>71</v>
      </c>
      <c r="H36" s="33"/>
      <c r="I36" s="33"/>
      <c r="J36" s="33"/>
      <c r="K36" s="33"/>
      <c r="L36" s="33"/>
      <c r="M36" s="34"/>
      <c r="P36" s="27" t="str">
        <f>'Mon (103)'!M50</f>
        <v>Total:</v>
      </c>
      <c r="Q36" s="49">
        <f>'Mon (103)'!N50</f>
        <v>0</v>
      </c>
      <c r="R36" s="113">
        <f>'Tue (103)'!N51</f>
        <v>0</v>
      </c>
      <c r="S36" s="114"/>
      <c r="T36" s="102">
        <f>'Wed (103)'!N51</f>
        <v>0</v>
      </c>
      <c r="U36" s="103"/>
      <c r="V36" s="102">
        <f>'Thur (103)'!N51</f>
        <v>0</v>
      </c>
      <c r="W36" s="103"/>
      <c r="X36" s="102">
        <f>'Fri (103)'!N51</f>
        <v>0</v>
      </c>
      <c r="Y36" s="103"/>
      <c r="Z36" s="102">
        <f>'Sat (103)'!N51</f>
        <v>0</v>
      </c>
      <c r="AA36" s="103"/>
    </row>
    <row r="37" spans="1:27" ht="13.9" customHeight="1" x14ac:dyDescent="0.2">
      <c r="A37">
        <f t="shared" si="1"/>
        <v>2</v>
      </c>
      <c r="E37">
        <v>2</v>
      </c>
      <c r="F37" s="14">
        <v>708400069</v>
      </c>
      <c r="G37" s="87" t="s">
        <v>224</v>
      </c>
      <c r="H37" s="33"/>
      <c r="I37" s="33"/>
      <c r="J37" s="33"/>
      <c r="K37" s="33"/>
      <c r="L37" s="33"/>
      <c r="M37" s="34"/>
      <c r="P37" s="27">
        <f>'Mon (103)'!M51</f>
        <v>0</v>
      </c>
      <c r="Q37" s="49">
        <f>'Mon (103)'!N51</f>
        <v>0</v>
      </c>
      <c r="R37" s="113">
        <f>'Tue (103)'!N52</f>
        <v>0</v>
      </c>
      <c r="S37" s="114"/>
      <c r="T37" s="102">
        <f>'Wed (103)'!N52</f>
        <v>0</v>
      </c>
      <c r="U37" s="103"/>
      <c r="V37" s="102">
        <f>'Thur (103)'!N52</f>
        <v>0</v>
      </c>
      <c r="W37" s="103"/>
      <c r="X37" s="102">
        <f>'Fri (103)'!N52</f>
        <v>0</v>
      </c>
      <c r="Y37" s="103"/>
      <c r="Z37" s="102">
        <f>'Sat (103)'!N52</f>
        <v>0</v>
      </c>
      <c r="AA37" s="103"/>
    </row>
    <row r="38" spans="1:27" ht="13.9" customHeight="1" x14ac:dyDescent="0.2">
      <c r="A38">
        <f t="shared" si="1"/>
        <v>2</v>
      </c>
      <c r="E38">
        <v>2</v>
      </c>
      <c r="F38" s="14">
        <v>708400067</v>
      </c>
      <c r="G38" s="87" t="s">
        <v>225</v>
      </c>
      <c r="H38" s="33"/>
      <c r="I38" s="33"/>
      <c r="J38" s="33"/>
      <c r="K38" s="33"/>
      <c r="L38" s="33"/>
      <c r="M38" s="34"/>
      <c r="P38" s="27" t="str">
        <f>'Mon (103)'!M52</f>
        <v>Gaps</v>
      </c>
      <c r="Q38" s="28">
        <f>'Mon (103)'!N52</f>
        <v>0</v>
      </c>
      <c r="R38" s="113">
        <f>'Tue (103)'!N53</f>
        <v>0</v>
      </c>
      <c r="S38" s="114"/>
      <c r="T38" s="102">
        <f>'Wed (103)'!N53</f>
        <v>0</v>
      </c>
      <c r="U38" s="103"/>
      <c r="V38" s="102">
        <f>'Thur (103)'!N53</f>
        <v>0</v>
      </c>
      <c r="W38" s="103"/>
      <c r="X38" s="102">
        <f>'Fri (103)'!N53</f>
        <v>0</v>
      </c>
      <c r="Y38" s="103"/>
      <c r="Z38" s="102">
        <f>'Sat (103)'!N53</f>
        <v>0</v>
      </c>
      <c r="AA38" s="103"/>
    </row>
    <row r="39" spans="1:27" ht="13.9" customHeight="1" x14ac:dyDescent="0.2">
      <c r="A39">
        <f t="shared" si="1"/>
        <v>2</v>
      </c>
      <c r="E39">
        <v>2</v>
      </c>
      <c r="F39" s="14">
        <v>708400956</v>
      </c>
      <c r="G39" s="87" t="s">
        <v>226</v>
      </c>
      <c r="H39" s="33"/>
      <c r="I39" s="33"/>
      <c r="J39" s="33"/>
      <c r="K39" s="33"/>
      <c r="L39" s="33"/>
      <c r="M39" s="34"/>
      <c r="P39" s="27">
        <f>'Mon (103)'!M53</f>
        <v>0</v>
      </c>
      <c r="Q39" s="28">
        <f>'Mon (103)'!N53</f>
        <v>0</v>
      </c>
      <c r="R39" s="113">
        <f>'Tue (103)'!N54</f>
        <v>0</v>
      </c>
      <c r="S39" s="114"/>
      <c r="T39" s="102">
        <f>'Wed (103)'!N54</f>
        <v>0</v>
      </c>
      <c r="U39" s="103"/>
      <c r="V39" s="102">
        <f>'Thur (103)'!N54</f>
        <v>0</v>
      </c>
      <c r="W39" s="103"/>
      <c r="X39" s="102">
        <f>'Fri (103)'!N54</f>
        <v>0</v>
      </c>
      <c r="Y39" s="103"/>
      <c r="Z39" s="102">
        <f>'Sat (103)'!N54</f>
        <v>0</v>
      </c>
      <c r="AA39" s="103"/>
    </row>
    <row r="40" spans="1:27" ht="13.9" customHeight="1" thickBot="1" x14ac:dyDescent="0.25">
      <c r="A40">
        <f t="shared" si="1"/>
        <v>2</v>
      </c>
      <c r="E40">
        <v>2</v>
      </c>
      <c r="F40" s="38">
        <v>708400957</v>
      </c>
      <c r="G40" s="30" t="s">
        <v>227</v>
      </c>
      <c r="H40" s="33"/>
      <c r="I40" s="33"/>
      <c r="J40" s="33"/>
      <c r="K40" s="33"/>
      <c r="L40" s="33"/>
      <c r="M40" s="35"/>
      <c r="P40" s="27" t="str">
        <f>'Mon (103)'!M54</f>
        <v>Total Time (hrs)</v>
      </c>
      <c r="Q40" s="49">
        <f>'Mon (103)'!N54</f>
        <v>0</v>
      </c>
      <c r="R40" s="113">
        <f>'Tue (103)'!N55</f>
        <v>0</v>
      </c>
      <c r="S40" s="114"/>
      <c r="T40" s="102">
        <f>'Wed (103)'!N55</f>
        <v>0</v>
      </c>
      <c r="U40" s="103"/>
      <c r="V40" s="102">
        <f>'Thur (103)'!N55</f>
        <v>0</v>
      </c>
      <c r="W40" s="103"/>
      <c r="X40" s="102">
        <f>'Fri (103)'!N55</f>
        <v>0</v>
      </c>
      <c r="Y40" s="103"/>
      <c r="Z40" s="102">
        <f>'Sat (103)'!N55</f>
        <v>0</v>
      </c>
      <c r="AA40" s="103"/>
    </row>
    <row r="41" spans="1:27" ht="13.9" customHeight="1" thickBot="1" x14ac:dyDescent="0.25">
      <c r="A41">
        <f t="shared" si="1"/>
        <v>2</v>
      </c>
      <c r="E41">
        <v>2</v>
      </c>
      <c r="F41" s="38">
        <v>708400722</v>
      </c>
      <c r="G41" s="87" t="s">
        <v>228</v>
      </c>
      <c r="H41" s="33"/>
      <c r="I41" s="33"/>
      <c r="J41" s="33"/>
      <c r="K41" s="33"/>
      <c r="L41" s="33"/>
      <c r="M41" s="35"/>
      <c r="P41" s="115" t="s">
        <v>200</v>
      </c>
      <c r="Q41" s="116"/>
      <c r="R41" s="39">
        <f>SUM(Q40:AA40)</f>
        <v>0</v>
      </c>
    </row>
    <row r="42" spans="1:27" ht="13.9" customHeight="1" x14ac:dyDescent="0.2">
      <c r="A42">
        <f t="shared" si="1"/>
        <v>8</v>
      </c>
      <c r="E42">
        <v>8</v>
      </c>
      <c r="F42" s="14">
        <v>708400721</v>
      </c>
      <c r="G42" s="30" t="s">
        <v>229</v>
      </c>
      <c r="H42" s="33"/>
      <c r="I42" s="33"/>
      <c r="J42" s="33"/>
      <c r="K42" s="33"/>
      <c r="L42" s="33"/>
      <c r="M42" s="35"/>
    </row>
    <row r="43" spans="1:27" ht="13.9" customHeight="1" x14ac:dyDescent="0.2">
      <c r="A43">
        <f>(E43*4)/$A$3</f>
        <v>2</v>
      </c>
      <c r="E43">
        <v>2</v>
      </c>
      <c r="F43" s="38">
        <v>708400462</v>
      </c>
      <c r="G43" s="30" t="s">
        <v>59</v>
      </c>
      <c r="H43" s="33"/>
      <c r="I43" s="33"/>
      <c r="J43" s="33"/>
      <c r="K43" s="33"/>
      <c r="L43" s="33"/>
      <c r="M43" s="35"/>
    </row>
    <row r="44" spans="1:27" ht="13.9" customHeight="1" x14ac:dyDescent="0.2">
      <c r="A44">
        <f t="shared" si="1"/>
        <v>2</v>
      </c>
      <c r="E44">
        <v>2</v>
      </c>
      <c r="F44" s="38">
        <v>708400464</v>
      </c>
      <c r="G44" s="30" t="s">
        <v>60</v>
      </c>
      <c r="H44" s="33"/>
      <c r="I44" s="33"/>
      <c r="J44" s="33"/>
      <c r="K44" s="33"/>
      <c r="L44" s="33"/>
      <c r="M44" s="35"/>
    </row>
    <row r="45" spans="1:27" ht="13.9" customHeight="1" x14ac:dyDescent="0.2">
      <c r="A45">
        <f t="shared" si="1"/>
        <v>2</v>
      </c>
      <c r="E45">
        <v>2</v>
      </c>
      <c r="F45" s="38">
        <v>708400461</v>
      </c>
      <c r="G45" s="30" t="s">
        <v>256</v>
      </c>
      <c r="H45" s="33"/>
      <c r="I45" s="33"/>
      <c r="J45" s="33"/>
      <c r="K45" s="33"/>
      <c r="L45" s="33"/>
      <c r="M45" s="35"/>
    </row>
    <row r="46" spans="1:27" ht="13.9" customHeight="1" x14ac:dyDescent="0.2">
      <c r="A46">
        <f t="shared" si="1"/>
        <v>2</v>
      </c>
      <c r="E46">
        <v>2</v>
      </c>
      <c r="F46" s="38">
        <v>708400463</v>
      </c>
      <c r="G46" s="30" t="s">
        <v>255</v>
      </c>
      <c r="H46" s="33"/>
      <c r="I46" s="33"/>
      <c r="J46" s="33"/>
      <c r="K46" s="33"/>
      <c r="L46" s="33"/>
      <c r="M46" s="35"/>
    </row>
    <row r="47" spans="1:27" ht="13.9" customHeight="1" x14ac:dyDescent="0.2">
      <c r="A47">
        <f t="shared" si="1"/>
        <v>2</v>
      </c>
      <c r="E47">
        <v>2</v>
      </c>
      <c r="F47" s="36">
        <v>705012976</v>
      </c>
      <c r="G47" s="87" t="s">
        <v>57</v>
      </c>
      <c r="H47" s="33"/>
      <c r="I47" s="33"/>
      <c r="J47" s="33"/>
      <c r="K47" s="33"/>
      <c r="L47" s="33"/>
      <c r="M47" s="35"/>
    </row>
    <row r="48" spans="1:27" ht="13.9" customHeight="1" x14ac:dyDescent="0.2">
      <c r="A48">
        <f t="shared" si="1"/>
        <v>2</v>
      </c>
      <c r="E48">
        <v>2</v>
      </c>
      <c r="F48" s="27">
        <v>705012868</v>
      </c>
      <c r="G48" s="87" t="s">
        <v>58</v>
      </c>
      <c r="H48" s="34"/>
      <c r="I48" s="34"/>
      <c r="J48" s="34"/>
      <c r="K48" s="34"/>
      <c r="L48" s="34"/>
      <c r="M48" s="34"/>
    </row>
    <row r="49" spans="1:13" ht="13.9" customHeight="1" x14ac:dyDescent="0.2">
      <c r="A49">
        <f t="shared" si="1"/>
        <v>2</v>
      </c>
      <c r="E49">
        <v>2</v>
      </c>
      <c r="F49" s="27">
        <v>705011169</v>
      </c>
      <c r="G49" s="87" t="s">
        <v>257</v>
      </c>
      <c r="H49" s="34"/>
      <c r="I49" s="34"/>
      <c r="J49" s="34"/>
      <c r="K49" s="34"/>
      <c r="L49" s="34"/>
      <c r="M49" s="34"/>
    </row>
    <row r="50" spans="1:13" ht="13.9" customHeight="1" x14ac:dyDescent="0.2">
      <c r="A50">
        <f t="shared" si="1"/>
        <v>2</v>
      </c>
      <c r="E50">
        <v>2</v>
      </c>
      <c r="F50" s="27">
        <v>705011170</v>
      </c>
      <c r="G50" s="87" t="s">
        <v>258</v>
      </c>
      <c r="H50" s="34"/>
      <c r="I50" s="34"/>
      <c r="J50" s="34"/>
      <c r="K50" s="34"/>
      <c r="L50" s="34"/>
      <c r="M50" s="34"/>
    </row>
    <row r="51" spans="1:13" ht="13.9" customHeight="1" x14ac:dyDescent="0.2">
      <c r="A51">
        <f t="shared" si="1"/>
        <v>3</v>
      </c>
      <c r="E51">
        <v>3</v>
      </c>
      <c r="F51" s="27">
        <v>708400261</v>
      </c>
      <c r="G51" s="87" t="s">
        <v>259</v>
      </c>
      <c r="H51" s="34"/>
      <c r="I51" s="34"/>
      <c r="J51" s="34"/>
      <c r="K51" s="34"/>
      <c r="L51" s="34"/>
      <c r="M51" s="34"/>
    </row>
    <row r="52" spans="1:13" ht="13.9" customHeight="1" thickBot="1" x14ac:dyDescent="0.25">
      <c r="A52">
        <f t="shared" si="1"/>
        <v>3</v>
      </c>
      <c r="E52">
        <v>3</v>
      </c>
      <c r="F52" s="27">
        <v>708400262</v>
      </c>
      <c r="G52" s="87" t="s">
        <v>260</v>
      </c>
      <c r="H52" s="34"/>
      <c r="I52" s="34"/>
      <c r="J52" s="34"/>
      <c r="K52" s="34"/>
      <c r="L52" s="34"/>
      <c r="M52" s="34"/>
    </row>
    <row r="53" spans="1:13" ht="10.5" hidden="1" customHeight="1" x14ac:dyDescent="0.2">
      <c r="A53">
        <f t="shared" si="1"/>
        <v>0</v>
      </c>
      <c r="E53">
        <v>0</v>
      </c>
      <c r="F53" s="25"/>
      <c r="G53" s="25"/>
      <c r="H53" s="34"/>
      <c r="I53" s="34"/>
      <c r="J53" s="34"/>
      <c r="K53" s="34"/>
      <c r="L53" s="34"/>
      <c r="M53" s="34"/>
    </row>
    <row r="54" spans="1:13" ht="13.5" hidden="1" customHeight="1" thickBot="1" x14ac:dyDescent="0.25">
      <c r="A54">
        <f t="shared" si="1"/>
        <v>0</v>
      </c>
      <c r="E54">
        <v>0</v>
      </c>
      <c r="F54" s="31"/>
      <c r="G54" s="31"/>
      <c r="H54" s="35"/>
      <c r="I54" s="35"/>
      <c r="J54" s="35"/>
      <c r="K54" s="35"/>
      <c r="L54" s="35"/>
      <c r="M54" s="35"/>
    </row>
    <row r="55" spans="1:13" ht="13.5" customHeight="1" thickBot="1" x14ac:dyDescent="0.25">
      <c r="A55">
        <f t="shared" si="1"/>
        <v>0</v>
      </c>
      <c r="E55">
        <v>0</v>
      </c>
      <c r="F55" s="107" t="s">
        <v>47</v>
      </c>
      <c r="G55" s="108"/>
      <c r="H55" s="108"/>
      <c r="I55" s="108"/>
      <c r="J55" s="108"/>
      <c r="K55" s="108"/>
      <c r="L55" s="108"/>
      <c r="M55" s="109"/>
    </row>
    <row r="56" spans="1:13" ht="12.75" x14ac:dyDescent="0.2">
      <c r="A56">
        <f t="shared" si="1"/>
        <v>2</v>
      </c>
      <c r="E56">
        <v>2</v>
      </c>
      <c r="F56" s="32">
        <v>705009213</v>
      </c>
      <c r="G56" s="81" t="s">
        <v>230</v>
      </c>
      <c r="H56" s="33"/>
      <c r="I56" s="33"/>
      <c r="J56" s="33"/>
      <c r="K56" s="33"/>
      <c r="L56" s="34"/>
      <c r="M56" s="33"/>
    </row>
    <row r="57" spans="1:13" ht="13.9" customHeight="1" x14ac:dyDescent="0.2">
      <c r="A57">
        <f t="shared" si="1"/>
        <v>2</v>
      </c>
      <c r="E57">
        <v>2</v>
      </c>
      <c r="F57" s="25">
        <v>705009214</v>
      </c>
      <c r="G57" s="81" t="s">
        <v>231</v>
      </c>
      <c r="H57" s="34"/>
      <c r="I57" s="34"/>
      <c r="J57" s="34"/>
      <c r="K57" s="34"/>
      <c r="L57" s="34"/>
      <c r="M57" s="34"/>
    </row>
    <row r="58" spans="1:13" ht="13.9" customHeight="1" x14ac:dyDescent="0.2">
      <c r="A58">
        <f t="shared" si="1"/>
        <v>1</v>
      </c>
      <c r="E58">
        <v>1</v>
      </c>
      <c r="F58" s="25">
        <v>705010835</v>
      </c>
      <c r="G58" s="81" t="s">
        <v>232</v>
      </c>
      <c r="H58" s="34"/>
      <c r="I58" s="34"/>
      <c r="J58" s="34"/>
      <c r="K58" s="34"/>
      <c r="L58" s="34"/>
      <c r="M58" s="34"/>
    </row>
    <row r="59" spans="1:13" ht="13.9" customHeight="1" x14ac:dyDescent="0.2">
      <c r="A59">
        <f t="shared" si="1"/>
        <v>1</v>
      </c>
      <c r="E59">
        <v>1</v>
      </c>
      <c r="F59" s="25">
        <v>705010851</v>
      </c>
      <c r="G59" s="81" t="s">
        <v>233</v>
      </c>
      <c r="H59" s="34"/>
      <c r="I59" s="34"/>
      <c r="J59" s="34"/>
      <c r="K59" s="34"/>
      <c r="L59" s="34"/>
      <c r="M59" s="34"/>
    </row>
    <row r="60" spans="1:13" ht="13.9" customHeight="1" x14ac:dyDescent="0.2">
      <c r="A60">
        <f t="shared" si="1"/>
        <v>2</v>
      </c>
      <c r="E60">
        <v>2</v>
      </c>
      <c r="F60" s="25">
        <v>705012976</v>
      </c>
      <c r="G60" s="81" t="s">
        <v>57</v>
      </c>
      <c r="H60" s="34"/>
      <c r="I60" s="34"/>
      <c r="J60" s="76"/>
      <c r="K60" s="34"/>
      <c r="L60" s="34"/>
      <c r="M60" s="34"/>
    </row>
    <row r="61" spans="1:13" ht="13.9" customHeight="1" x14ac:dyDescent="0.2">
      <c r="A61">
        <f t="shared" si="1"/>
        <v>2</v>
      </c>
      <c r="E61">
        <v>2</v>
      </c>
      <c r="F61" s="25">
        <v>705012868</v>
      </c>
      <c r="G61" s="81" t="s">
        <v>58</v>
      </c>
      <c r="H61" s="34"/>
      <c r="I61" s="34"/>
      <c r="J61" s="76"/>
      <c r="K61" s="34"/>
      <c r="L61" s="34"/>
      <c r="M61" s="34"/>
    </row>
    <row r="62" spans="1:13" ht="13.9" customHeight="1" x14ac:dyDescent="0.2">
      <c r="A62">
        <f t="shared" si="1"/>
        <v>1</v>
      </c>
      <c r="E62">
        <v>1</v>
      </c>
      <c r="F62" s="25">
        <v>708200366</v>
      </c>
      <c r="G62" s="81" t="s">
        <v>234</v>
      </c>
      <c r="H62" s="34"/>
      <c r="I62" s="34"/>
      <c r="J62" s="34"/>
      <c r="K62" s="34"/>
      <c r="L62" s="34"/>
      <c r="M62" s="34"/>
    </row>
    <row r="63" spans="1:13" ht="13.9" customHeight="1" x14ac:dyDescent="0.2">
      <c r="A63">
        <f t="shared" si="1"/>
        <v>2</v>
      </c>
      <c r="E63">
        <v>2</v>
      </c>
      <c r="F63" s="25">
        <v>708200401</v>
      </c>
      <c r="G63" s="81" t="s">
        <v>235</v>
      </c>
      <c r="H63" s="34"/>
      <c r="I63" s="34"/>
      <c r="J63" s="34"/>
      <c r="K63" s="34"/>
      <c r="L63" s="34"/>
      <c r="M63" s="34"/>
    </row>
    <row r="64" spans="1:13" ht="13.9" customHeight="1" x14ac:dyDescent="0.2">
      <c r="A64">
        <f t="shared" si="1"/>
        <v>2</v>
      </c>
      <c r="E64">
        <v>2</v>
      </c>
      <c r="F64" s="25">
        <v>708200402</v>
      </c>
      <c r="G64" s="81" t="s">
        <v>236</v>
      </c>
      <c r="H64" s="34"/>
      <c r="I64" s="34"/>
      <c r="J64" s="34"/>
      <c r="K64" s="34"/>
      <c r="L64" s="34"/>
      <c r="M64" s="34"/>
    </row>
    <row r="65" spans="1:13" ht="13.9" customHeight="1" x14ac:dyDescent="0.2">
      <c r="A65">
        <f t="shared" si="1"/>
        <v>1</v>
      </c>
      <c r="E65">
        <v>1</v>
      </c>
      <c r="F65" s="25">
        <v>708200698</v>
      </c>
      <c r="G65" s="81" t="s">
        <v>237</v>
      </c>
      <c r="H65" s="34"/>
      <c r="I65" s="34"/>
      <c r="J65" s="34"/>
      <c r="K65" s="34"/>
      <c r="L65" s="34"/>
      <c r="M65" s="34"/>
    </row>
    <row r="66" spans="1:13" ht="13.9" customHeight="1" x14ac:dyDescent="0.2">
      <c r="A66">
        <f t="shared" si="1"/>
        <v>1</v>
      </c>
      <c r="E66">
        <v>1</v>
      </c>
      <c r="F66" s="25">
        <v>708301214</v>
      </c>
      <c r="G66" s="81" t="s">
        <v>238</v>
      </c>
      <c r="H66" s="34"/>
      <c r="I66" s="34"/>
      <c r="J66" s="76"/>
      <c r="K66" s="34"/>
      <c r="L66" s="34"/>
      <c r="M66" s="34"/>
    </row>
    <row r="67" spans="1:13" ht="13.9" customHeight="1" thickBot="1" x14ac:dyDescent="0.25">
      <c r="A67">
        <f t="shared" si="1"/>
        <v>1</v>
      </c>
      <c r="E67">
        <v>1</v>
      </c>
      <c r="F67" s="31">
        <v>708301215</v>
      </c>
      <c r="G67" s="81" t="s">
        <v>239</v>
      </c>
      <c r="H67" s="35"/>
      <c r="I67" s="35"/>
      <c r="J67" s="77"/>
      <c r="K67" s="35"/>
      <c r="L67" s="34"/>
      <c r="M67" s="35"/>
    </row>
    <row r="68" spans="1:13" ht="13.9" customHeight="1" thickBot="1" x14ac:dyDescent="0.25">
      <c r="A68">
        <f t="shared" si="1"/>
        <v>0</v>
      </c>
      <c r="E68">
        <v>0</v>
      </c>
      <c r="F68" s="110" t="s">
        <v>242</v>
      </c>
      <c r="G68" s="111"/>
      <c r="H68" s="111"/>
      <c r="I68" s="111"/>
      <c r="J68" s="111"/>
      <c r="K68" s="111"/>
      <c r="L68" s="111"/>
      <c r="M68" s="112"/>
    </row>
    <row r="69" spans="1:13" ht="13.9" customHeight="1" x14ac:dyDescent="0.2">
      <c r="A69">
        <f t="shared" si="1"/>
        <v>2</v>
      </c>
      <c r="E69">
        <v>2</v>
      </c>
      <c r="F69" s="32">
        <v>99944</v>
      </c>
      <c r="G69" s="32" t="s">
        <v>243</v>
      </c>
      <c r="H69" s="33"/>
      <c r="I69" s="33"/>
      <c r="J69" s="33"/>
      <c r="K69" s="33"/>
      <c r="L69" s="33"/>
      <c r="M69" s="33"/>
    </row>
    <row r="70" spans="1:13" ht="13.9" customHeight="1" x14ac:dyDescent="0.2">
      <c r="A70">
        <f t="shared" ref="A70:A104" si="2">(E70*4)/$A$3</f>
        <v>20</v>
      </c>
      <c r="E70">
        <v>20</v>
      </c>
      <c r="F70" s="25">
        <v>99633</v>
      </c>
      <c r="G70" s="25" t="s">
        <v>244</v>
      </c>
      <c r="H70" s="34"/>
      <c r="I70" s="34"/>
      <c r="J70" s="34"/>
      <c r="K70" s="34"/>
      <c r="L70" s="34"/>
      <c r="M70" s="34"/>
    </row>
    <row r="71" spans="1:13" ht="13.9" customHeight="1" x14ac:dyDescent="0.2">
      <c r="A71">
        <f t="shared" si="2"/>
        <v>20</v>
      </c>
      <c r="E71">
        <v>20</v>
      </c>
      <c r="F71" s="25">
        <v>99646</v>
      </c>
      <c r="G71" s="25" t="s">
        <v>245</v>
      </c>
      <c r="H71" s="34"/>
      <c r="I71" s="34"/>
      <c r="J71" s="34"/>
      <c r="K71" s="34"/>
      <c r="L71" s="34"/>
      <c r="M71" s="34"/>
    </row>
    <row r="72" spans="1:13" ht="13.9" customHeight="1" x14ac:dyDescent="0.2">
      <c r="A72">
        <f t="shared" si="2"/>
        <v>6</v>
      </c>
      <c r="E72">
        <v>6</v>
      </c>
      <c r="F72" s="25">
        <v>99635</v>
      </c>
      <c r="G72" s="25" t="s">
        <v>246</v>
      </c>
      <c r="H72" s="34"/>
      <c r="I72" s="34"/>
      <c r="J72" s="34"/>
      <c r="K72" s="34"/>
      <c r="L72" s="34"/>
      <c r="M72" s="34"/>
    </row>
    <row r="73" spans="1:13" ht="13.9" customHeight="1" x14ac:dyDescent="0.2">
      <c r="A73">
        <f t="shared" si="2"/>
        <v>6</v>
      </c>
      <c r="E73">
        <v>6</v>
      </c>
      <c r="F73" s="25">
        <v>99944</v>
      </c>
      <c r="G73" s="25" t="s">
        <v>247</v>
      </c>
      <c r="H73" s="34"/>
      <c r="I73" s="34"/>
      <c r="J73" s="34"/>
      <c r="K73" s="34"/>
      <c r="L73" s="34"/>
      <c r="M73" s="34"/>
    </row>
    <row r="74" spans="1:13" ht="13.9" customHeight="1" thickBot="1" x14ac:dyDescent="0.25">
      <c r="A74">
        <f t="shared" si="2"/>
        <v>20</v>
      </c>
      <c r="E74">
        <v>20</v>
      </c>
      <c r="F74" s="25">
        <v>99636</v>
      </c>
      <c r="G74" s="25" t="s">
        <v>248</v>
      </c>
      <c r="H74" s="34"/>
      <c r="I74" s="34"/>
      <c r="J74" s="34"/>
      <c r="K74" s="34"/>
      <c r="L74" s="34"/>
      <c r="M74" s="34"/>
    </row>
    <row r="75" spans="1:13" ht="13.9" customHeight="1" thickBot="1" x14ac:dyDescent="0.25">
      <c r="A75">
        <f t="shared" si="2"/>
        <v>0</v>
      </c>
      <c r="F75" s="110" t="s">
        <v>241</v>
      </c>
      <c r="G75" s="111"/>
      <c r="H75" s="111"/>
      <c r="I75" s="111"/>
      <c r="J75" s="111"/>
      <c r="K75" s="111"/>
      <c r="L75" s="111"/>
      <c r="M75" s="112"/>
    </row>
    <row r="76" spans="1:13" ht="13.9" customHeight="1" x14ac:dyDescent="0.2">
      <c r="A76">
        <f t="shared" si="2"/>
        <v>1</v>
      </c>
      <c r="E76">
        <v>1</v>
      </c>
      <c r="F76" s="25">
        <v>99629</v>
      </c>
      <c r="G76" s="10" t="s">
        <v>109</v>
      </c>
      <c r="H76" s="34"/>
      <c r="I76" s="34"/>
      <c r="J76" s="34"/>
      <c r="K76" s="34"/>
      <c r="L76" s="34"/>
      <c r="M76" s="34"/>
    </row>
    <row r="77" spans="1:13" ht="13.9" customHeight="1" x14ac:dyDescent="0.2">
      <c r="A77">
        <f t="shared" si="2"/>
        <v>1</v>
      </c>
      <c r="E77">
        <v>1</v>
      </c>
      <c r="F77" s="25">
        <v>99631</v>
      </c>
      <c r="G77" s="25" t="s">
        <v>249</v>
      </c>
      <c r="H77" s="34"/>
      <c r="I77" s="34"/>
      <c r="J77" s="34"/>
      <c r="K77" s="34"/>
      <c r="L77" s="34"/>
      <c r="M77" s="34"/>
    </row>
    <row r="78" spans="1:13" ht="13.9" customHeight="1" x14ac:dyDescent="0.2">
      <c r="A78">
        <f t="shared" si="2"/>
        <v>20</v>
      </c>
      <c r="E78">
        <v>20</v>
      </c>
      <c r="F78" s="25">
        <v>99638</v>
      </c>
      <c r="G78" s="10" t="s">
        <v>250</v>
      </c>
      <c r="H78" s="34"/>
      <c r="I78" s="34"/>
      <c r="J78" s="34"/>
      <c r="K78" s="34"/>
      <c r="L78" s="34"/>
      <c r="M78" s="34"/>
    </row>
    <row r="79" spans="1:13" ht="13.9" customHeight="1" thickBot="1" x14ac:dyDescent="0.25">
      <c r="A79">
        <f t="shared" si="2"/>
        <v>1</v>
      </c>
      <c r="E79">
        <v>1</v>
      </c>
      <c r="F79" s="31">
        <v>99630</v>
      </c>
      <c r="G79" s="31" t="s">
        <v>251</v>
      </c>
      <c r="H79" s="35"/>
      <c r="I79" s="35"/>
      <c r="J79" s="35"/>
      <c r="K79" s="35"/>
      <c r="L79" s="35"/>
      <c r="M79" s="35"/>
    </row>
    <row r="80" spans="1:13" ht="13.9" customHeight="1" thickBot="1" x14ac:dyDescent="0.25">
      <c r="A80">
        <f t="shared" si="2"/>
        <v>0</v>
      </c>
      <c r="F80" s="125" t="s">
        <v>213</v>
      </c>
      <c r="G80" s="126"/>
      <c r="H80" s="126"/>
      <c r="I80" s="126"/>
      <c r="J80" s="126"/>
      <c r="K80" s="126"/>
      <c r="L80" s="126"/>
      <c r="M80" s="127"/>
    </row>
    <row r="81" spans="1:13" ht="13.9" customHeight="1" x14ac:dyDescent="0.2">
      <c r="A81">
        <f>(E81*4)/$A$3</f>
        <v>18</v>
      </c>
      <c r="E81">
        <v>18</v>
      </c>
      <c r="F81" s="32"/>
      <c r="G81" s="32" t="s">
        <v>214</v>
      </c>
      <c r="H81" s="33"/>
      <c r="I81" s="33"/>
      <c r="J81" s="33"/>
      <c r="K81" s="33"/>
      <c r="L81" s="33"/>
      <c r="M81" s="33"/>
    </row>
    <row r="82" spans="1:13" ht="13.9" customHeight="1" x14ac:dyDescent="0.2">
      <c r="A82">
        <f t="shared" si="2"/>
        <v>0</v>
      </c>
      <c r="E82">
        <v>0</v>
      </c>
      <c r="F82" s="25"/>
      <c r="G82" s="25"/>
      <c r="H82" s="34"/>
      <c r="I82" s="34"/>
      <c r="J82" s="34"/>
      <c r="K82" s="34"/>
      <c r="L82" s="34"/>
      <c r="M82" s="34"/>
    </row>
    <row r="83" spans="1:13" ht="13.9" customHeight="1" thickBot="1" x14ac:dyDescent="0.25">
      <c r="A83">
        <f t="shared" si="2"/>
        <v>0</v>
      </c>
      <c r="E83">
        <v>0</v>
      </c>
      <c r="F83" s="31"/>
      <c r="G83" s="31"/>
      <c r="H83" s="35"/>
      <c r="I83" s="35"/>
      <c r="J83" s="35"/>
      <c r="K83" s="35"/>
      <c r="L83" s="35"/>
      <c r="M83" s="35"/>
    </row>
    <row r="84" spans="1:13" ht="13.9" customHeight="1" thickBot="1" x14ac:dyDescent="0.25">
      <c r="A84">
        <f t="shared" si="2"/>
        <v>0</v>
      </c>
      <c r="E84">
        <v>0</v>
      </c>
      <c r="F84" s="104" t="s">
        <v>103</v>
      </c>
      <c r="G84" s="105"/>
      <c r="H84" s="105"/>
      <c r="I84" s="105"/>
      <c r="J84" s="105"/>
      <c r="K84" s="105"/>
      <c r="L84" s="105"/>
      <c r="M84" s="106"/>
    </row>
    <row r="85" spans="1:13" ht="13.9" customHeight="1" x14ac:dyDescent="0.2">
      <c r="A85">
        <f t="shared" si="2"/>
        <v>6</v>
      </c>
      <c r="E85">
        <v>6</v>
      </c>
      <c r="F85" s="32"/>
      <c r="G85" s="32" t="s">
        <v>240</v>
      </c>
      <c r="H85" s="33"/>
      <c r="I85" s="33"/>
      <c r="J85" s="33"/>
      <c r="K85" s="33"/>
      <c r="L85" s="33"/>
      <c r="M85" s="33"/>
    </row>
    <row r="86" spans="1:13" ht="13.9" customHeight="1" x14ac:dyDescent="0.2">
      <c r="A86">
        <f t="shared" si="2"/>
        <v>16</v>
      </c>
      <c r="E86">
        <v>16</v>
      </c>
      <c r="F86" s="25">
        <v>500458</v>
      </c>
      <c r="G86" s="25" t="s">
        <v>105</v>
      </c>
      <c r="H86" s="34"/>
      <c r="I86" s="34"/>
      <c r="J86" s="34"/>
      <c r="K86" s="34"/>
      <c r="L86" s="34"/>
      <c r="M86" s="34"/>
    </row>
    <row r="87" spans="1:13" ht="13.9" customHeight="1" thickBot="1" x14ac:dyDescent="0.25">
      <c r="A87">
        <f t="shared" si="2"/>
        <v>16</v>
      </c>
      <c r="E87">
        <v>16</v>
      </c>
      <c r="F87" s="31">
        <v>500458</v>
      </c>
      <c r="G87" s="31" t="s">
        <v>106</v>
      </c>
      <c r="H87" s="35"/>
      <c r="I87" s="35"/>
      <c r="J87" s="35"/>
      <c r="K87" s="35"/>
      <c r="L87" s="35"/>
      <c r="M87" s="35"/>
    </row>
    <row r="88" spans="1:13" ht="13.9" customHeight="1" thickBot="1" x14ac:dyDescent="0.25">
      <c r="A88">
        <f t="shared" si="2"/>
        <v>0</v>
      </c>
      <c r="E88">
        <v>0</v>
      </c>
      <c r="F88" s="104" t="s">
        <v>217</v>
      </c>
      <c r="G88" s="105"/>
      <c r="H88" s="105"/>
      <c r="I88" s="105"/>
      <c r="J88" s="105"/>
      <c r="K88" s="105"/>
      <c r="L88" s="105"/>
      <c r="M88" s="106"/>
    </row>
    <row r="89" spans="1:13" ht="13.9" customHeight="1" x14ac:dyDescent="0.2">
      <c r="A89">
        <f t="shared" si="2"/>
        <v>6</v>
      </c>
      <c r="E89">
        <v>6</v>
      </c>
      <c r="F89" s="32">
        <v>2650</v>
      </c>
      <c r="G89" s="74" t="s">
        <v>218</v>
      </c>
      <c r="H89" s="33"/>
      <c r="I89" s="33"/>
      <c r="J89" s="33"/>
      <c r="K89" s="33"/>
      <c r="L89" s="33"/>
      <c r="M89" s="33"/>
    </row>
    <row r="90" spans="1:13" ht="13.9" customHeight="1" x14ac:dyDescent="0.2">
      <c r="A90">
        <f t="shared" si="2"/>
        <v>6</v>
      </c>
      <c r="E90">
        <v>6</v>
      </c>
      <c r="F90" s="25">
        <v>2651</v>
      </c>
      <c r="G90" s="10" t="s">
        <v>219</v>
      </c>
      <c r="H90" s="34"/>
      <c r="I90" s="34"/>
      <c r="J90" s="34"/>
      <c r="K90" s="34"/>
      <c r="L90" s="34"/>
      <c r="M90" s="34"/>
    </row>
    <row r="91" spans="1:13" ht="13.9" customHeight="1" x14ac:dyDescent="0.2">
      <c r="A91">
        <f t="shared" si="2"/>
        <v>6</v>
      </c>
      <c r="E91">
        <v>6</v>
      </c>
      <c r="F91" s="25">
        <v>2647</v>
      </c>
      <c r="G91" s="25" t="s">
        <v>220</v>
      </c>
      <c r="H91" s="34"/>
      <c r="I91" s="34"/>
      <c r="J91" s="34"/>
      <c r="K91" s="34"/>
      <c r="L91" s="34"/>
      <c r="M91" s="34"/>
    </row>
    <row r="92" spans="1:13" ht="13.9" customHeight="1" thickBot="1" x14ac:dyDescent="0.25">
      <c r="A92">
        <f t="shared" si="2"/>
        <v>0</v>
      </c>
      <c r="E92">
        <v>0</v>
      </c>
      <c r="F92" s="31"/>
      <c r="G92" s="31"/>
      <c r="H92" s="35"/>
      <c r="I92" s="35"/>
      <c r="J92" s="35"/>
      <c r="K92" s="35"/>
      <c r="L92" s="35"/>
      <c r="M92" s="35"/>
    </row>
    <row r="93" spans="1:13" ht="13.9" customHeight="1" thickBot="1" x14ac:dyDescent="0.25">
      <c r="A93">
        <f t="shared" si="2"/>
        <v>0</v>
      </c>
      <c r="E93">
        <v>0</v>
      </c>
      <c r="F93" s="104" t="s">
        <v>143</v>
      </c>
      <c r="G93" s="105"/>
      <c r="H93" s="105"/>
      <c r="I93" s="105"/>
      <c r="J93" s="105"/>
      <c r="K93" s="105"/>
      <c r="L93" s="105"/>
      <c r="M93" s="106"/>
    </row>
    <row r="94" spans="1:13" ht="13.9" customHeight="1" x14ac:dyDescent="0.2">
      <c r="A94">
        <f t="shared" si="2"/>
        <v>2</v>
      </c>
      <c r="E94">
        <v>2</v>
      </c>
      <c r="F94" s="32">
        <v>80931</v>
      </c>
      <c r="G94" s="32" t="s">
        <v>145</v>
      </c>
      <c r="H94" s="33"/>
      <c r="I94" s="33"/>
      <c r="J94" s="33"/>
      <c r="K94" s="33"/>
      <c r="L94" s="33"/>
      <c r="M94" s="33"/>
    </row>
    <row r="95" spans="1:13" ht="13.9" customHeight="1" x14ac:dyDescent="0.2">
      <c r="A95">
        <f t="shared" si="2"/>
        <v>2</v>
      </c>
      <c r="E95">
        <v>2</v>
      </c>
      <c r="F95" s="25">
        <v>80930</v>
      </c>
      <c r="G95" s="25" t="s">
        <v>144</v>
      </c>
      <c r="H95" s="34"/>
      <c r="I95" s="34"/>
      <c r="J95" s="34"/>
      <c r="K95" s="34"/>
      <c r="L95" s="34"/>
      <c r="M95" s="34"/>
    </row>
    <row r="96" spans="1:13" ht="13.9" customHeight="1" x14ac:dyDescent="0.2">
      <c r="A96">
        <f t="shared" si="2"/>
        <v>2</v>
      </c>
      <c r="E96">
        <v>2</v>
      </c>
      <c r="F96" s="25">
        <v>80933</v>
      </c>
      <c r="G96" s="25" t="s">
        <v>147</v>
      </c>
      <c r="H96" s="34"/>
      <c r="I96" s="34"/>
      <c r="J96" s="34"/>
      <c r="K96" s="34"/>
      <c r="L96" s="34"/>
      <c r="M96" s="34"/>
    </row>
    <row r="97" spans="1:13" ht="13.9" customHeight="1" x14ac:dyDescent="0.2">
      <c r="A97">
        <f t="shared" si="2"/>
        <v>2</v>
      </c>
      <c r="E97">
        <v>2</v>
      </c>
      <c r="F97" s="25">
        <v>80932</v>
      </c>
      <c r="G97" s="25" t="s">
        <v>146</v>
      </c>
      <c r="H97" s="34"/>
      <c r="I97" s="34"/>
      <c r="J97" s="34"/>
      <c r="K97" s="34"/>
      <c r="L97" s="34"/>
      <c r="M97" s="34"/>
    </row>
    <row r="98" spans="1:13" ht="13.9" customHeight="1" x14ac:dyDescent="0.2">
      <c r="A98">
        <f t="shared" si="2"/>
        <v>2</v>
      </c>
      <c r="E98">
        <v>2</v>
      </c>
      <c r="F98" s="25" t="s">
        <v>148</v>
      </c>
      <c r="G98" s="25" t="s">
        <v>210</v>
      </c>
      <c r="H98" s="34"/>
      <c r="I98" s="34"/>
      <c r="J98" s="34"/>
      <c r="K98" s="34"/>
      <c r="L98" s="34"/>
      <c r="M98" s="34"/>
    </row>
    <row r="99" spans="1:13" ht="13.9" customHeight="1" thickBot="1" x14ac:dyDescent="0.25">
      <c r="A99">
        <f t="shared" si="2"/>
        <v>2</v>
      </c>
      <c r="E99">
        <v>2</v>
      </c>
      <c r="F99" s="31" t="s">
        <v>148</v>
      </c>
      <c r="G99" s="31" t="s">
        <v>211</v>
      </c>
      <c r="H99" s="35"/>
      <c r="I99" s="35"/>
      <c r="J99" s="35"/>
      <c r="K99" s="35"/>
      <c r="L99" s="35"/>
      <c r="M99" s="35"/>
    </row>
    <row r="100" spans="1:13" ht="13.9" customHeight="1" thickBot="1" x14ac:dyDescent="0.25">
      <c r="A100">
        <f t="shared" si="2"/>
        <v>0</v>
      </c>
      <c r="E100">
        <v>0</v>
      </c>
      <c r="F100" s="104" t="s">
        <v>206</v>
      </c>
      <c r="G100" s="105"/>
      <c r="H100" s="105"/>
      <c r="I100" s="105"/>
      <c r="J100" s="105"/>
      <c r="K100" s="105"/>
      <c r="L100" s="105"/>
      <c r="M100" s="106"/>
    </row>
    <row r="101" spans="1:13" ht="13.9" customHeight="1" x14ac:dyDescent="0.2">
      <c r="A101">
        <f t="shared" si="2"/>
        <v>6</v>
      </c>
      <c r="E101">
        <v>6</v>
      </c>
      <c r="F101" s="32">
        <v>9929</v>
      </c>
      <c r="G101" s="47" t="s">
        <v>208</v>
      </c>
      <c r="H101" s="33"/>
      <c r="I101" s="33"/>
      <c r="J101" s="33"/>
      <c r="K101" s="33"/>
      <c r="L101" s="33"/>
      <c r="M101" s="33"/>
    </row>
    <row r="102" spans="1:13" ht="13.9" customHeight="1" x14ac:dyDescent="0.2">
      <c r="A102">
        <f t="shared" si="2"/>
        <v>6</v>
      </c>
      <c r="E102">
        <v>6</v>
      </c>
      <c r="F102" s="25">
        <v>9931</v>
      </c>
      <c r="G102" s="10" t="s">
        <v>207</v>
      </c>
      <c r="H102" s="34"/>
      <c r="I102" s="34"/>
      <c r="J102" s="34"/>
      <c r="K102" s="34"/>
      <c r="L102" s="34"/>
      <c r="M102" s="34"/>
    </row>
    <row r="103" spans="1:13" ht="13.9" customHeight="1" x14ac:dyDescent="0.2">
      <c r="A103">
        <f t="shared" si="2"/>
        <v>6</v>
      </c>
      <c r="E103">
        <v>6</v>
      </c>
      <c r="F103" s="25"/>
      <c r="G103" s="25" t="s">
        <v>215</v>
      </c>
      <c r="H103" s="34"/>
      <c r="I103" s="34"/>
      <c r="J103" s="34"/>
      <c r="K103" s="34"/>
      <c r="L103" s="34"/>
      <c r="M103" s="34"/>
    </row>
    <row r="104" spans="1:13" ht="13.9" customHeight="1" x14ac:dyDescent="0.2">
      <c r="A104">
        <f t="shared" si="2"/>
        <v>6</v>
      </c>
      <c r="E104">
        <v>6</v>
      </c>
      <c r="F104" s="25"/>
      <c r="G104" s="25" t="s">
        <v>216</v>
      </c>
      <c r="H104" s="34"/>
      <c r="I104" s="34"/>
      <c r="J104" s="34"/>
      <c r="K104" s="34"/>
      <c r="L104" s="34"/>
      <c r="M104" s="34"/>
    </row>
  </sheetData>
  <mergeCells count="124">
    <mergeCell ref="A1:A2"/>
    <mergeCell ref="F100:M100"/>
    <mergeCell ref="R36:S36"/>
    <mergeCell ref="R37:S37"/>
    <mergeCell ref="T36:U36"/>
    <mergeCell ref="T37:U37"/>
    <mergeCell ref="V36:W36"/>
    <mergeCell ref="V37:W37"/>
    <mergeCell ref="X36:Y36"/>
    <mergeCell ref="X37:Y37"/>
    <mergeCell ref="X39:Y39"/>
    <mergeCell ref="V38:W38"/>
    <mergeCell ref="V39:W39"/>
    <mergeCell ref="V40:W40"/>
    <mergeCell ref="T38:U38"/>
    <mergeCell ref="T39:U39"/>
    <mergeCell ref="T40:U40"/>
    <mergeCell ref="X40:Y40"/>
    <mergeCell ref="F3:M3"/>
    <mergeCell ref="F33:M33"/>
    <mergeCell ref="F80:M80"/>
    <mergeCell ref="F84:M84"/>
    <mergeCell ref="F88:M88"/>
    <mergeCell ref="F18:M18"/>
    <mergeCell ref="R19:S19"/>
    <mergeCell ref="R30:S30"/>
    <mergeCell ref="R31:S31"/>
    <mergeCell ref="R33:S33"/>
    <mergeCell ref="R34:S34"/>
    <mergeCell ref="T19:U19"/>
    <mergeCell ref="V19:W19"/>
    <mergeCell ref="P18:AA18"/>
    <mergeCell ref="Z19:AA19"/>
    <mergeCell ref="Z20:AA20"/>
    <mergeCell ref="T24:U24"/>
    <mergeCell ref="T34:U34"/>
    <mergeCell ref="Z23:AA23"/>
    <mergeCell ref="Z22:AA22"/>
    <mergeCell ref="Z21:AA21"/>
    <mergeCell ref="V23:W23"/>
    <mergeCell ref="V22:W22"/>
    <mergeCell ref="V21:W21"/>
    <mergeCell ref="X23:Y23"/>
    <mergeCell ref="X22:Y22"/>
    <mergeCell ref="X21:Y21"/>
    <mergeCell ref="V29:W29"/>
    <mergeCell ref="V27:W27"/>
    <mergeCell ref="X19:Y19"/>
    <mergeCell ref="R20:S20"/>
    <mergeCell ref="R21:S21"/>
    <mergeCell ref="X20:Y20"/>
    <mergeCell ref="V20:W20"/>
    <mergeCell ref="T20:U20"/>
    <mergeCell ref="R35:S35"/>
    <mergeCell ref="R38:S38"/>
    <mergeCell ref="R39:S39"/>
    <mergeCell ref="R29:S29"/>
    <mergeCell ref="T23:U23"/>
    <mergeCell ref="T22:U22"/>
    <mergeCell ref="T21:U21"/>
    <mergeCell ref="T25:U25"/>
    <mergeCell ref="R22:S22"/>
    <mergeCell ref="R28:S28"/>
    <mergeCell ref="T28:U28"/>
    <mergeCell ref="V26:W26"/>
    <mergeCell ref="V25:W25"/>
    <mergeCell ref="V24:W24"/>
    <mergeCell ref="V35:W35"/>
    <mergeCell ref="V34:W34"/>
    <mergeCell ref="V33:W33"/>
    <mergeCell ref="V31:W31"/>
    <mergeCell ref="V30:W30"/>
    <mergeCell ref="F93:M93"/>
    <mergeCell ref="F55:M55"/>
    <mergeCell ref="F68:M68"/>
    <mergeCell ref="R23:S23"/>
    <mergeCell ref="R24:S24"/>
    <mergeCell ref="R25:S25"/>
    <mergeCell ref="R26:S26"/>
    <mergeCell ref="R27:S27"/>
    <mergeCell ref="R40:S40"/>
    <mergeCell ref="P41:Q41"/>
    <mergeCell ref="F75:M75"/>
    <mergeCell ref="R32:S32"/>
    <mergeCell ref="Z38:AA38"/>
    <mergeCell ref="Z39:AA39"/>
    <mergeCell ref="Z40:AA40"/>
    <mergeCell ref="Z34:AA34"/>
    <mergeCell ref="Z33:AA33"/>
    <mergeCell ref="X28:Y28"/>
    <mergeCell ref="Z28:AA28"/>
    <mergeCell ref="Z36:AA36"/>
    <mergeCell ref="Z37:AA37"/>
    <mergeCell ref="X38:Y38"/>
    <mergeCell ref="Z24:AA24"/>
    <mergeCell ref="Z31:AA31"/>
    <mergeCell ref="Z30:AA30"/>
    <mergeCell ref="Z29:AA29"/>
    <mergeCell ref="Z27:AA27"/>
    <mergeCell ref="Z26:AA26"/>
    <mergeCell ref="Z35:AA35"/>
    <mergeCell ref="X35:Y35"/>
    <mergeCell ref="X34:Y34"/>
    <mergeCell ref="X33:Y33"/>
    <mergeCell ref="X31:Y31"/>
    <mergeCell ref="X30:Y30"/>
    <mergeCell ref="X29:Y29"/>
    <mergeCell ref="X27:Y27"/>
    <mergeCell ref="X26:Y26"/>
    <mergeCell ref="X25:Y25"/>
    <mergeCell ref="X24:Y24"/>
    <mergeCell ref="V28:W28"/>
    <mergeCell ref="T35:U35"/>
    <mergeCell ref="T33:U33"/>
    <mergeCell ref="T31:U31"/>
    <mergeCell ref="T30:U30"/>
    <mergeCell ref="T29:U29"/>
    <mergeCell ref="T27:U27"/>
    <mergeCell ref="T26:U26"/>
    <mergeCell ref="Z25:AA25"/>
    <mergeCell ref="T32:U32"/>
    <mergeCell ref="V32:W32"/>
    <mergeCell ref="X32:Y32"/>
    <mergeCell ref="Z32:AA32"/>
  </mergeCells>
  <printOptions horizontalCentered="1" verticalCentered="1"/>
  <pageMargins left="0.23622047244094491" right="0.23622047244094491" top="0.23622047244094491" bottom="0.23622047244094491" header="0" footer="0"/>
  <pageSetup scale="55" orientation="portrait" r:id="rId1"/>
  <headerFooter>
    <oddFooter>&amp;L8.2.2.1.11 103 Schedule Template.xlsx&amp;RCreated : 10/22/21TG
Revised: 05/24/24AS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3"/>
  <sheetViews>
    <sheetView topLeftCell="A4" workbookViewId="0">
      <selection activeCell="C55" sqref="C55"/>
    </sheetView>
  </sheetViews>
  <sheetFormatPr defaultRowHeight="12.75" x14ac:dyDescent="0.2"/>
  <cols>
    <col min="1" max="1" width="10" bestFit="1" customWidth="1"/>
    <col min="2" max="2" width="24.5703125" bestFit="1" customWidth="1"/>
    <col min="3" max="3" width="8.5703125" bestFit="1" customWidth="1"/>
    <col min="4" max="4" width="4" bestFit="1" customWidth="1"/>
    <col min="5" max="5" width="4.85546875" bestFit="1" customWidth="1"/>
    <col min="6" max="6" width="4.5703125" bestFit="1" customWidth="1"/>
    <col min="7" max="7" width="6" bestFit="1" customWidth="1"/>
    <col min="8" max="8" width="3.85546875" bestFit="1" customWidth="1"/>
  </cols>
  <sheetData>
    <row r="1" spans="1:8" x14ac:dyDescent="0.2">
      <c r="A1" s="23" t="s">
        <v>177</v>
      </c>
      <c r="B1" s="26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">
      <c r="A2" s="130" t="s">
        <v>107</v>
      </c>
      <c r="B2" s="131"/>
      <c r="C2" s="131"/>
      <c r="D2" s="131"/>
      <c r="E2" s="131"/>
      <c r="F2" s="131"/>
      <c r="G2" s="131"/>
      <c r="H2" s="131"/>
    </row>
    <row r="3" spans="1:8" x14ac:dyDescent="0.2">
      <c r="A3" s="23">
        <v>705012348</v>
      </c>
      <c r="B3" t="s">
        <v>152</v>
      </c>
      <c r="C3" t="e">
        <f>(('Time Matrix'!B3*#REF!)*'Mon (103)'!#REF!) + (('Time Matrix'!B3*#REF!)*'Mon (103)'!#REF!) + (('Time Matrix'!B3*#REF!)*'Mon (103)'!#REF!) + (('Time Matrix'!B3*#REF!)*'Mon (103)'!#REF!)</f>
        <v>#REF!</v>
      </c>
      <c r="D3" t="e">
        <f>(('Time Matrix'!B3*#REF!)*#REF!) + (('Time Matrix'!B3*#REF!)*#REF!) + (('Time Matrix'!B3*#REF!)*#REF!) + (('Time Matrix'!B3*#REF!)*#REF!)</f>
        <v>#REF!</v>
      </c>
      <c r="E3" t="e">
        <f>(('Time Matrix'!B3*#REF!)*#REF!) + (('Time Matrix'!B3*#REF!)*#REF!) + (('Time Matrix'!B3*#REF!)*#REF!) + (('Time Matrix'!B3*#REF!)*#REF!)</f>
        <v>#REF!</v>
      </c>
      <c r="F3" t="e">
        <f>(('Time Matrix'!B3*#REF!)*#REF!) + (('Time Matrix'!B3*#REF!)*#REF!) + (('Time Matrix'!B3*#REF!)*#REF!) + (('Time Matrix'!B3*#REF!)*#REF!)</f>
        <v>#REF!</v>
      </c>
      <c r="G3" t="e">
        <f>(('Time Matrix'!B3*#REF!)*#REF!) + (('Time Matrix'!B3*#REF!)*#REF!) + (('Time Matrix'!B3*#REF!)*#REF!) + (('Time Matrix'!B3*#REF!)*#REF!)</f>
        <v>#REF!</v>
      </c>
      <c r="H3" t="e">
        <f>(('Time Matrix'!B3*#REF!)*#REF!) + (('Time Matrix'!B3*#REF!)*#REF!) + (('Time Matrix'!B3*#REF!)*#REF!) + (('Time Matrix'!B3*#REF!)*#REF!)</f>
        <v>#REF!</v>
      </c>
    </row>
    <row r="4" spans="1:8" x14ac:dyDescent="0.2">
      <c r="A4" s="23">
        <v>705012350</v>
      </c>
      <c r="B4" t="s">
        <v>153</v>
      </c>
      <c r="C4" t="e">
        <f>(('Time Matrix'!B4*#REF!)*'Mon (103)'!#REF!) + (('Time Matrix'!B4*#REF!)*'Mon (103)'!#REF!) + (('Time Matrix'!B4*#REF!)*'Mon (103)'!#REF!) + (('Time Matrix'!B4*#REF!)*'Mon (103)'!#REF!)</f>
        <v>#REF!</v>
      </c>
      <c r="D4" t="e">
        <f>(('Time Matrix'!B4*#REF!)*#REF!) + (('Time Matrix'!B4*#REF!)*#REF!) + (('Time Matrix'!B4*#REF!)*#REF!) + (('Time Matrix'!B4*#REF!)*#REF!)</f>
        <v>#REF!</v>
      </c>
      <c r="E4" t="e">
        <f>(('Time Matrix'!B4*#REF!)*#REF!) + (('Time Matrix'!B4*#REF!)*#REF!) + (('Time Matrix'!B4*#REF!)*#REF!) + (('Time Matrix'!B4*#REF!)*#REF!)</f>
        <v>#REF!</v>
      </c>
      <c r="F4" t="e">
        <f>(('Time Matrix'!B4*#REF!)*#REF!) + (('Time Matrix'!B4*#REF!)*#REF!) + (('Time Matrix'!B4*#REF!)*#REF!) + (('Time Matrix'!B4*#REF!)*#REF!)</f>
        <v>#REF!</v>
      </c>
      <c r="G4" t="e">
        <f>(('Time Matrix'!B4*#REF!)*#REF!) + (('Time Matrix'!B4*#REF!)*#REF!) + (('Time Matrix'!B4*#REF!)*#REF!) + (('Time Matrix'!B4*#REF!)*#REF!)</f>
        <v>#REF!</v>
      </c>
      <c r="H4" t="e">
        <f>(('Time Matrix'!B4*#REF!)*#REF!) + (('Time Matrix'!B4*#REF!)*#REF!) + (('Time Matrix'!B4*#REF!)*#REF!) + (('Time Matrix'!B4*#REF!)*#REF!)</f>
        <v>#REF!</v>
      </c>
    </row>
    <row r="5" spans="1:8" x14ac:dyDescent="0.2">
      <c r="A5" s="23">
        <v>705012868</v>
      </c>
      <c r="B5" t="s">
        <v>58</v>
      </c>
      <c r="C5" t="e">
        <f>(('Time Matrix'!B5*#REF!)*'Mon (103)'!#REF!) + (('Time Matrix'!B5*#REF!)*'Mon (103)'!#REF!) + (('Time Matrix'!B5*#REF!)*'Mon (103)'!#REF!) + (('Time Matrix'!B5*#REF!)*'Mon (103)'!#REF!)</f>
        <v>#REF!</v>
      </c>
      <c r="D5" t="e">
        <f>(('Time Matrix'!B5*#REF!)*#REF!) + (('Time Matrix'!B5*#REF!)*#REF!) + (('Time Matrix'!B5*#REF!)*#REF!) + (('Time Matrix'!B5*#REF!)*#REF!)</f>
        <v>#REF!</v>
      </c>
      <c r="E5" t="e">
        <f>(('Time Matrix'!B5*#REF!)*#REF!) + (('Time Matrix'!B5*#REF!)*#REF!) + (('Time Matrix'!B5*#REF!)*#REF!) + (('Time Matrix'!B5*#REF!)*#REF!)</f>
        <v>#REF!</v>
      </c>
      <c r="F5" t="e">
        <f>(('Time Matrix'!B5*#REF!)*#REF!) + (('Time Matrix'!B5*#REF!)*#REF!) + (('Time Matrix'!B5*#REF!)*#REF!) + (('Time Matrix'!B5*#REF!)*#REF!)</f>
        <v>#REF!</v>
      </c>
      <c r="G5" t="e">
        <f>(('Time Matrix'!B5*#REF!)*#REF!) + (('Time Matrix'!B5*#REF!)*#REF!) + (('Time Matrix'!B5*#REF!)*#REF!) + (('Time Matrix'!B5*#REF!)*#REF!)</f>
        <v>#REF!</v>
      </c>
      <c r="H5" t="e">
        <f>(('Time Matrix'!B5*#REF!)*#REF!) + (('Time Matrix'!B5*#REF!)*#REF!) + (('Time Matrix'!B5*#REF!)*#REF!) + (('Time Matrix'!B5*#REF!)*#REF!)</f>
        <v>#REF!</v>
      </c>
    </row>
    <row r="6" spans="1:8" x14ac:dyDescent="0.2">
      <c r="A6" s="23">
        <v>705012976</v>
      </c>
      <c r="B6" t="s">
        <v>57</v>
      </c>
      <c r="C6" t="e">
        <f>(('Time Matrix'!B6*#REF!)*'Mon (103)'!#REF!) + (('Time Matrix'!B6*#REF!)*'Mon (103)'!#REF!) + (('Time Matrix'!B6*#REF!)*'Mon (103)'!#REF!) + (('Time Matrix'!B6*#REF!)*'Mon (103)'!#REF!)</f>
        <v>#REF!</v>
      </c>
      <c r="D6" t="e">
        <f>(('Time Matrix'!B6*#REF!)*#REF!) + (('Time Matrix'!B6*#REF!)*#REF!) + (('Time Matrix'!B6*#REF!)*#REF!) + (('Time Matrix'!B6*#REF!)*#REF!)</f>
        <v>#REF!</v>
      </c>
      <c r="E6" t="e">
        <f>(('Time Matrix'!B6*#REF!)*#REF!) + (('Time Matrix'!B6*#REF!)*#REF!) + (('Time Matrix'!B6*#REF!)*#REF!) + (('Time Matrix'!B6*#REF!)*#REF!)</f>
        <v>#REF!</v>
      </c>
      <c r="F6" t="e">
        <f>(('Time Matrix'!B6*#REF!)*#REF!) + (('Time Matrix'!B6*#REF!)*#REF!) + (('Time Matrix'!B6*#REF!)*#REF!) + (('Time Matrix'!B6*#REF!)*#REF!)</f>
        <v>#REF!</v>
      </c>
      <c r="G6" t="e">
        <f>(('Time Matrix'!B6*#REF!)*#REF!) + (('Time Matrix'!B6*#REF!)*#REF!) + (('Time Matrix'!B6*#REF!)*#REF!) + (('Time Matrix'!B6*#REF!)*#REF!)</f>
        <v>#REF!</v>
      </c>
      <c r="H6" t="e">
        <f>(('Time Matrix'!B6*#REF!)*#REF!) + (('Time Matrix'!B6*#REF!)*#REF!) + (('Time Matrix'!B6*#REF!)*#REF!) + (('Time Matrix'!B6*#REF!)*#REF!)</f>
        <v>#REF!</v>
      </c>
    </row>
    <row r="7" spans="1:8" x14ac:dyDescent="0.2">
      <c r="A7" s="23">
        <v>705014100</v>
      </c>
      <c r="B7" t="s">
        <v>76</v>
      </c>
      <c r="C7" t="e">
        <f>(('Time Matrix'!B7*#REF!)*'Mon (103)'!#REF!) + (('Time Matrix'!B7*#REF!)*'Mon (103)'!#REF!) + (('Time Matrix'!B7*#REF!)*'Mon (103)'!#REF!) + (('Time Matrix'!B7*#REF!)*'Mon (103)'!#REF!)</f>
        <v>#REF!</v>
      </c>
      <c r="D7" t="e">
        <f>(('Time Matrix'!B7*#REF!)*#REF!) + (('Time Matrix'!B7*#REF!)*#REF!) + (('Time Matrix'!B7*#REF!)*#REF!) + (('Time Matrix'!B7*#REF!)*#REF!)</f>
        <v>#REF!</v>
      </c>
      <c r="E7" t="e">
        <f>(('Time Matrix'!B7*#REF!)*#REF!) + (('Time Matrix'!B7*#REF!)*#REF!) + (('Time Matrix'!B7*#REF!)*#REF!) + (('Time Matrix'!B7*#REF!)*#REF!)</f>
        <v>#REF!</v>
      </c>
      <c r="F7" t="e">
        <f>(('Time Matrix'!B7*#REF!)*#REF!) + (('Time Matrix'!B7*#REF!)*#REF!) + (('Time Matrix'!B7*#REF!)*#REF!) + (('Time Matrix'!B7*#REF!)*#REF!)</f>
        <v>#REF!</v>
      </c>
      <c r="G7" t="e">
        <f>(('Time Matrix'!B7*#REF!)*#REF!) + (('Time Matrix'!B7*#REF!)*#REF!) + (('Time Matrix'!B7*#REF!)*#REF!) + (('Time Matrix'!B7*#REF!)*#REF!)</f>
        <v>#REF!</v>
      </c>
      <c r="H7" t="e">
        <f>(('Time Matrix'!B7*#REF!)*#REF!) + (('Time Matrix'!B7*#REF!)*#REF!) + (('Time Matrix'!B7*#REF!)*#REF!) + (('Time Matrix'!B7*#REF!)*#REF!)</f>
        <v>#REF!</v>
      </c>
    </row>
    <row r="8" spans="1:8" x14ac:dyDescent="0.2">
      <c r="A8" s="23">
        <v>705014101</v>
      </c>
      <c r="B8" t="s">
        <v>77</v>
      </c>
      <c r="C8" t="e">
        <f>(('Time Matrix'!B8*#REF!)*'Mon (103)'!#REF!) + (('Time Matrix'!B8*#REF!)*'Mon (103)'!#REF!) + (('Time Matrix'!B8*#REF!)*'Mon (103)'!#REF!) + (('Time Matrix'!B8*#REF!)*'Mon (103)'!#REF!)</f>
        <v>#REF!</v>
      </c>
      <c r="D8" t="e">
        <f>(('Time Matrix'!B8*#REF!)*#REF!) + (('Time Matrix'!B8*#REF!)*#REF!) + (('Time Matrix'!B8*#REF!)*#REF!) + (('Time Matrix'!B8*#REF!)*#REF!)</f>
        <v>#REF!</v>
      </c>
      <c r="E8" t="e">
        <f>(('Time Matrix'!B8*#REF!)*#REF!) + (('Time Matrix'!B8*#REF!)*#REF!) + (('Time Matrix'!B8*#REF!)*#REF!) + (('Time Matrix'!B8*#REF!)*#REF!)</f>
        <v>#REF!</v>
      </c>
      <c r="F8" t="e">
        <f>(('Time Matrix'!B8*#REF!)*#REF!) + (('Time Matrix'!B8*#REF!)*#REF!) + (('Time Matrix'!B8*#REF!)*#REF!) + (('Time Matrix'!B8*#REF!)*#REF!)</f>
        <v>#REF!</v>
      </c>
      <c r="G8" t="e">
        <f>(('Time Matrix'!B8*#REF!)*#REF!) + (('Time Matrix'!B8*#REF!)*#REF!) + (('Time Matrix'!B8*#REF!)*#REF!) + (('Time Matrix'!B8*#REF!)*#REF!)</f>
        <v>#REF!</v>
      </c>
      <c r="H8" t="e">
        <f>(('Time Matrix'!B8*#REF!)*#REF!) + (('Time Matrix'!B8*#REF!)*#REF!) + (('Time Matrix'!B8*#REF!)*#REF!) + (('Time Matrix'!B8*#REF!)*#REF!)</f>
        <v>#REF!</v>
      </c>
    </row>
    <row r="9" spans="1:8" x14ac:dyDescent="0.2">
      <c r="A9" s="23">
        <v>708003041</v>
      </c>
      <c r="B9" t="s">
        <v>68</v>
      </c>
      <c r="C9" t="e">
        <f>(('Time Matrix'!B9*#REF!)*'Mon (103)'!#REF!) + (('Time Matrix'!B9*#REF!)*'Mon (103)'!#REF!) + (('Time Matrix'!B9*#REF!)*'Mon (103)'!#REF!) + (('Time Matrix'!B9*#REF!)*'Mon (103)'!#REF!)</f>
        <v>#REF!</v>
      </c>
      <c r="D9" t="e">
        <f>(('Time Matrix'!B9*#REF!)*#REF!) + (('Time Matrix'!B9*#REF!)*#REF!) + (('Time Matrix'!B9*#REF!)*#REF!) + (('Time Matrix'!B9*#REF!)*#REF!)</f>
        <v>#REF!</v>
      </c>
      <c r="E9" t="e">
        <f>(('Time Matrix'!B9*#REF!)*#REF!) + (('Time Matrix'!B9*#REF!)*#REF!) + (('Time Matrix'!B9*#REF!)*#REF!) + (('Time Matrix'!B9*#REF!)*#REF!)</f>
        <v>#REF!</v>
      </c>
      <c r="F9" t="e">
        <f>(('Time Matrix'!B9*#REF!)*#REF!) + (('Time Matrix'!B9*#REF!)*#REF!) + (('Time Matrix'!B9*#REF!)*#REF!) + (('Time Matrix'!B9*#REF!)*#REF!)</f>
        <v>#REF!</v>
      </c>
      <c r="G9" t="e">
        <f>(('Time Matrix'!B9*#REF!)*#REF!) + (('Time Matrix'!B9*#REF!)*#REF!) + (('Time Matrix'!B9*#REF!)*#REF!) + (('Time Matrix'!B9*#REF!)*#REF!)</f>
        <v>#REF!</v>
      </c>
      <c r="H9" t="e">
        <f>(('Time Matrix'!B9*#REF!)*#REF!) + (('Time Matrix'!B9*#REF!)*#REF!) + (('Time Matrix'!B9*#REF!)*#REF!) + (('Time Matrix'!B9*#REF!)*#REF!)</f>
        <v>#REF!</v>
      </c>
    </row>
    <row r="10" spans="1:8" x14ac:dyDescent="0.2">
      <c r="A10" s="23">
        <v>708200869</v>
      </c>
      <c r="B10" t="s">
        <v>69</v>
      </c>
      <c r="C10" t="e">
        <f>(('Time Matrix'!B10*#REF!)*'Mon (103)'!#REF!) + (('Time Matrix'!B10*#REF!)*'Mon (103)'!#REF!) + (('Time Matrix'!B10*#REF!)*'Mon (103)'!#REF!) + (('Time Matrix'!B10*#REF!)*'Mon (103)'!#REF!)</f>
        <v>#REF!</v>
      </c>
      <c r="D10" t="e">
        <f>(('Time Matrix'!B10*#REF!)*#REF!) + (('Time Matrix'!B10*#REF!)*#REF!) + (('Time Matrix'!B10*#REF!)*#REF!) + (('Time Matrix'!B10*#REF!)*#REF!)</f>
        <v>#REF!</v>
      </c>
      <c r="E10" t="e">
        <f>(('Time Matrix'!B10*#REF!)*#REF!) + (('Time Matrix'!B10*#REF!)*#REF!) + (('Time Matrix'!B10*#REF!)*#REF!) + (('Time Matrix'!B10*#REF!)*#REF!)</f>
        <v>#REF!</v>
      </c>
      <c r="F10" t="e">
        <f>(('Time Matrix'!B10*#REF!)*#REF!) + (('Time Matrix'!B10*#REF!)*#REF!) + (('Time Matrix'!B10*#REF!)*#REF!) + (('Time Matrix'!B10*#REF!)*#REF!)</f>
        <v>#REF!</v>
      </c>
      <c r="G10" t="e">
        <f>(('Time Matrix'!B10*#REF!)*#REF!) + (('Time Matrix'!B10*#REF!)*#REF!) + (('Time Matrix'!B10*#REF!)*#REF!) + (('Time Matrix'!B10*#REF!)*#REF!)</f>
        <v>#REF!</v>
      </c>
      <c r="H10" t="e">
        <f>(('Time Matrix'!B10*#REF!)*#REF!) + (('Time Matrix'!B10*#REF!)*#REF!) + (('Time Matrix'!B10*#REF!)*#REF!) + (('Time Matrix'!B10*#REF!)*#REF!)</f>
        <v>#REF!</v>
      </c>
    </row>
    <row r="11" spans="1:8" x14ac:dyDescent="0.2">
      <c r="A11" s="23">
        <v>708200870</v>
      </c>
      <c r="B11" t="s">
        <v>113</v>
      </c>
      <c r="C11" t="e">
        <f>(('Time Matrix'!B11*#REF!)*'Mon (103)'!#REF!) + (('Time Matrix'!B11*#REF!)*'Mon (103)'!#REF!) + (('Time Matrix'!B11*#REF!)*'Mon (103)'!#REF!) + (('Time Matrix'!B11*#REF!)*'Mon (103)'!#REF!)</f>
        <v>#REF!</v>
      </c>
      <c r="D11" t="e">
        <f>(('Time Matrix'!B11*#REF!)*#REF!) + (('Time Matrix'!B11*#REF!)*#REF!) + (('Time Matrix'!B11*#REF!)*#REF!) + (('Time Matrix'!B11*#REF!)*#REF!)</f>
        <v>#REF!</v>
      </c>
      <c r="E11" t="e">
        <f>(('Time Matrix'!B11*#REF!)*#REF!) + (('Time Matrix'!B11*#REF!)*#REF!) + (('Time Matrix'!B11*#REF!)*#REF!) + (('Time Matrix'!B11*#REF!)*#REF!)</f>
        <v>#REF!</v>
      </c>
      <c r="F11" t="e">
        <f>(('Time Matrix'!B11*#REF!)*#REF!) + (('Time Matrix'!B11*#REF!)*#REF!) + (('Time Matrix'!B11*#REF!)*#REF!) + (('Time Matrix'!B11*#REF!)*#REF!)</f>
        <v>#REF!</v>
      </c>
      <c r="G11" t="e">
        <f>(('Time Matrix'!B11*#REF!)*#REF!) + (('Time Matrix'!B11*#REF!)*#REF!) + (('Time Matrix'!B11*#REF!)*#REF!) + (('Time Matrix'!B11*#REF!)*#REF!)</f>
        <v>#REF!</v>
      </c>
      <c r="H11" t="e">
        <f>(('Time Matrix'!B11*#REF!)*#REF!) + (('Time Matrix'!B11*#REF!)*#REF!) + (('Time Matrix'!B11*#REF!)*#REF!) + (('Time Matrix'!B11*#REF!)*#REF!)</f>
        <v>#REF!</v>
      </c>
    </row>
    <row r="12" spans="1:8" x14ac:dyDescent="0.2">
      <c r="A12" s="23">
        <v>708200871</v>
      </c>
      <c r="B12" t="s">
        <v>114</v>
      </c>
      <c r="C12" t="e">
        <f>(('Time Matrix'!B12*#REF!)*'Mon (103)'!#REF!) + (('Time Matrix'!B12*#REF!)*'Mon (103)'!#REF!) + (('Time Matrix'!B12*#REF!)*'Mon (103)'!#REF!) + (('Time Matrix'!B12*#REF!)*'Mon (103)'!#REF!)</f>
        <v>#REF!</v>
      </c>
      <c r="D12" t="e">
        <f>(('Time Matrix'!B12*#REF!)*#REF!) + (('Time Matrix'!B12*#REF!)*#REF!) + (('Time Matrix'!B12*#REF!)*#REF!) + (('Time Matrix'!B12*#REF!)*#REF!)</f>
        <v>#REF!</v>
      </c>
      <c r="E12" t="e">
        <f>(('Time Matrix'!B12*#REF!)*#REF!) + (('Time Matrix'!B12*#REF!)*#REF!) + (('Time Matrix'!B12*#REF!)*#REF!) + (('Time Matrix'!B12*#REF!)*#REF!)</f>
        <v>#REF!</v>
      </c>
      <c r="F12" t="e">
        <f>(('Time Matrix'!B12*#REF!)*#REF!) + (('Time Matrix'!B12*#REF!)*#REF!) + (('Time Matrix'!B12*#REF!)*#REF!) + (('Time Matrix'!B12*#REF!)*#REF!)</f>
        <v>#REF!</v>
      </c>
      <c r="G12" t="e">
        <f>(('Time Matrix'!B12*#REF!)*#REF!) + (('Time Matrix'!B12*#REF!)*#REF!) + (('Time Matrix'!B12*#REF!)*#REF!) + (('Time Matrix'!B12*#REF!)*#REF!)</f>
        <v>#REF!</v>
      </c>
      <c r="H12" t="e">
        <f>(('Time Matrix'!B12*#REF!)*#REF!) + (('Time Matrix'!B12*#REF!)*#REF!) + (('Time Matrix'!B12*#REF!)*#REF!) + (('Time Matrix'!B12*#REF!)*#REF!)</f>
        <v>#REF!</v>
      </c>
    </row>
    <row r="13" spans="1:8" x14ac:dyDescent="0.2">
      <c r="A13" s="23">
        <v>708302947</v>
      </c>
      <c r="B13" t="s">
        <v>111</v>
      </c>
      <c r="C13" t="e">
        <f>(('Time Matrix'!B13*#REF!)*'Mon (103)'!#REF!) + (('Time Matrix'!B13*#REF!)*'Mon (103)'!#REF!) + (('Time Matrix'!B13*#REF!)*'Mon (103)'!#REF!) + (('Time Matrix'!B13*#REF!)*'Mon (103)'!#REF!)</f>
        <v>#REF!</v>
      </c>
      <c r="D13" t="e">
        <f>(('Time Matrix'!B13*#REF!)*#REF!) + (('Time Matrix'!B13*#REF!)*#REF!) + (('Time Matrix'!B13*#REF!)*#REF!) + (('Time Matrix'!B13*#REF!)*#REF!)</f>
        <v>#REF!</v>
      </c>
      <c r="E13" t="e">
        <f>(('Time Matrix'!B13*#REF!)*#REF!) + (('Time Matrix'!B13*#REF!)*#REF!) + (('Time Matrix'!B13*#REF!)*#REF!) + (('Time Matrix'!B13*#REF!)*#REF!)</f>
        <v>#REF!</v>
      </c>
      <c r="F13" t="e">
        <f>(('Time Matrix'!B13*#REF!)*#REF!) + (('Time Matrix'!B13*#REF!)*#REF!) + (('Time Matrix'!B13*#REF!)*#REF!) + (('Time Matrix'!B13*#REF!)*#REF!)</f>
        <v>#REF!</v>
      </c>
      <c r="G13" t="e">
        <f>(('Time Matrix'!B13*#REF!)*#REF!) + (('Time Matrix'!B13*#REF!)*#REF!) + (('Time Matrix'!B13*#REF!)*#REF!) + (('Time Matrix'!B13*#REF!)*#REF!)</f>
        <v>#REF!</v>
      </c>
      <c r="H13" t="e">
        <f>(('Time Matrix'!B13*#REF!)*#REF!) + (('Time Matrix'!B13*#REF!)*#REF!) + (('Time Matrix'!B13*#REF!)*#REF!) + (('Time Matrix'!B13*#REF!)*#REF!)</f>
        <v>#REF!</v>
      </c>
    </row>
    <row r="14" spans="1:8" x14ac:dyDescent="0.2">
      <c r="A14" s="23">
        <v>708302948</v>
      </c>
      <c r="B14" t="s">
        <v>112</v>
      </c>
      <c r="C14" t="e">
        <f>(('Time Matrix'!B14*#REF!)*'Mon (103)'!#REF!) + (('Time Matrix'!B14*#REF!)*'Mon (103)'!#REF!) + (('Time Matrix'!B14*#REF!)*'Mon (103)'!#REF!) + (('Time Matrix'!B14*#REF!)*'Mon (103)'!#REF!)</f>
        <v>#REF!</v>
      </c>
      <c r="D14" t="e">
        <f>(('Time Matrix'!B14*#REF!)*#REF!) + (('Time Matrix'!B14*#REF!)*#REF!) + (('Time Matrix'!B14*#REF!)*#REF!) + (('Time Matrix'!B14*#REF!)*#REF!)</f>
        <v>#REF!</v>
      </c>
      <c r="E14" t="e">
        <f>(('Time Matrix'!B14*#REF!)*#REF!) + (('Time Matrix'!B14*#REF!)*#REF!) + (('Time Matrix'!B14*#REF!)*#REF!) + (('Time Matrix'!B14*#REF!)*#REF!)</f>
        <v>#REF!</v>
      </c>
      <c r="F14" t="e">
        <f>(('Time Matrix'!B14*#REF!)*#REF!) + (('Time Matrix'!B14*#REF!)*#REF!) + (('Time Matrix'!B14*#REF!)*#REF!) + (('Time Matrix'!B14*#REF!)*#REF!)</f>
        <v>#REF!</v>
      </c>
      <c r="G14" t="e">
        <f>(('Time Matrix'!B14*#REF!)*#REF!) + (('Time Matrix'!B14*#REF!)*#REF!) + (('Time Matrix'!B14*#REF!)*#REF!) + (('Time Matrix'!B14*#REF!)*#REF!)</f>
        <v>#REF!</v>
      </c>
      <c r="H14" t="e">
        <f>(('Time Matrix'!B14*#REF!)*#REF!) + (('Time Matrix'!B14*#REF!)*#REF!) + (('Time Matrix'!B14*#REF!)*#REF!) + (('Time Matrix'!B14*#REF!)*#REF!)</f>
        <v>#REF!</v>
      </c>
    </row>
    <row r="15" spans="1:8" x14ac:dyDescent="0.2">
      <c r="A15" s="23">
        <v>708303799</v>
      </c>
      <c r="B15" t="s">
        <v>72</v>
      </c>
      <c r="C15" t="e">
        <f>(('Time Matrix'!B15*#REF!)*'Mon (103)'!#REF!) + (('Time Matrix'!B15*#REF!)*'Mon (103)'!#REF!) + (('Time Matrix'!B15*#REF!)*'Mon (103)'!#REF!) + (('Time Matrix'!B15*#REF!)*'Mon (103)'!#REF!)</f>
        <v>#REF!</v>
      </c>
      <c r="D15" t="e">
        <f>(('Time Matrix'!B15*#REF!)*#REF!) + (('Time Matrix'!B15*#REF!)*#REF!) + (('Time Matrix'!B15*#REF!)*#REF!) + (('Time Matrix'!B15*#REF!)*#REF!)</f>
        <v>#REF!</v>
      </c>
      <c r="E15" t="e">
        <f>(('Time Matrix'!B15*#REF!)*#REF!) + (('Time Matrix'!B15*#REF!)*#REF!) + (('Time Matrix'!B15*#REF!)*#REF!) + (('Time Matrix'!B15*#REF!)*#REF!)</f>
        <v>#REF!</v>
      </c>
      <c r="F15" t="e">
        <f>(('Time Matrix'!B15*#REF!)*#REF!) + (('Time Matrix'!B15*#REF!)*#REF!) + (('Time Matrix'!B15*#REF!)*#REF!) + (('Time Matrix'!B15*#REF!)*#REF!)</f>
        <v>#REF!</v>
      </c>
      <c r="G15" t="e">
        <f>(('Time Matrix'!B15*#REF!)*#REF!) + (('Time Matrix'!B15*#REF!)*#REF!) + (('Time Matrix'!B15*#REF!)*#REF!) + (('Time Matrix'!B15*#REF!)*#REF!)</f>
        <v>#REF!</v>
      </c>
      <c r="H15" t="e">
        <f>(('Time Matrix'!B15*#REF!)*#REF!) + (('Time Matrix'!B15*#REF!)*#REF!) + (('Time Matrix'!B15*#REF!)*#REF!) + (('Time Matrix'!B15*#REF!)*#REF!)</f>
        <v>#REF!</v>
      </c>
    </row>
    <row r="16" spans="1:8" x14ac:dyDescent="0.2">
      <c r="A16" s="23">
        <v>708303801</v>
      </c>
      <c r="B16" t="s">
        <v>73</v>
      </c>
      <c r="C16" t="e">
        <f>(('Time Matrix'!B16*#REF!)*'Mon (103)'!#REF!) + (('Time Matrix'!B16*#REF!)*'Mon (103)'!#REF!) + (('Time Matrix'!B16*#REF!)*'Mon (103)'!#REF!) + (('Time Matrix'!B16*#REF!)*'Mon (103)'!#REF!)</f>
        <v>#REF!</v>
      </c>
      <c r="D16" t="e">
        <f>(('Time Matrix'!B16*#REF!)*#REF!) + (('Time Matrix'!B16*#REF!)*#REF!) + (('Time Matrix'!B16*#REF!)*#REF!) + (('Time Matrix'!B16*#REF!)*#REF!)</f>
        <v>#REF!</v>
      </c>
      <c r="E16" t="e">
        <f>(('Time Matrix'!B16*#REF!)*#REF!) + (('Time Matrix'!B16*#REF!)*#REF!) + (('Time Matrix'!B16*#REF!)*#REF!) + (('Time Matrix'!B16*#REF!)*#REF!)</f>
        <v>#REF!</v>
      </c>
      <c r="F16" t="e">
        <f>(('Time Matrix'!B16*#REF!)*#REF!) + (('Time Matrix'!B16*#REF!)*#REF!) + (('Time Matrix'!B16*#REF!)*#REF!) + (('Time Matrix'!B16*#REF!)*#REF!)</f>
        <v>#REF!</v>
      </c>
      <c r="G16" t="e">
        <f>(('Time Matrix'!B16*#REF!)*#REF!) + (('Time Matrix'!B16*#REF!)*#REF!) + (('Time Matrix'!B16*#REF!)*#REF!) + (('Time Matrix'!B16*#REF!)*#REF!)</f>
        <v>#REF!</v>
      </c>
      <c r="H16" t="e">
        <f>(('Time Matrix'!B16*#REF!)*#REF!) + (('Time Matrix'!B16*#REF!)*#REF!) + (('Time Matrix'!B16*#REF!)*#REF!) + (('Time Matrix'!B16*#REF!)*#REF!)</f>
        <v>#REF!</v>
      </c>
    </row>
    <row r="17" spans="1:8" x14ac:dyDescent="0.2">
      <c r="A17">
        <v>708400461</v>
      </c>
      <c r="B17" t="s">
        <v>59</v>
      </c>
      <c r="C17" t="e">
        <f>(('Time Matrix'!B17*#REF!)*'Mon (103)'!#REF!) + (('Time Matrix'!B17*#REF!)*'Mon (103)'!#REF!) + (('Time Matrix'!B17*#REF!)*'Mon (103)'!#REF!) + (('Time Matrix'!B17*#REF!)*'Mon (103)'!#REF!)</f>
        <v>#REF!</v>
      </c>
      <c r="D17" t="e">
        <f>(('Time Matrix'!B17*#REF!)*#REF!) + (('Time Matrix'!B17*#REF!)*#REF!) + (('Time Matrix'!B17*#REF!)*#REF!) + (('Time Matrix'!B17*#REF!)*#REF!)</f>
        <v>#REF!</v>
      </c>
      <c r="E17" t="e">
        <f>(('Time Matrix'!B17*#REF!)*#REF!) + (('Time Matrix'!B17*#REF!)*#REF!) + (('Time Matrix'!B17*#REF!)*#REF!) + (('Time Matrix'!B17*#REF!)*#REF!)</f>
        <v>#REF!</v>
      </c>
      <c r="F17" t="e">
        <f>(('Time Matrix'!B17*#REF!)*#REF!) + (('Time Matrix'!B17*#REF!)*#REF!) + (('Time Matrix'!B17*#REF!)*#REF!) + (('Time Matrix'!B17*#REF!)*#REF!)</f>
        <v>#REF!</v>
      </c>
      <c r="G17" t="e">
        <f>(('Time Matrix'!B17*#REF!)*#REF!) + (('Time Matrix'!B17*#REF!)*#REF!) + (('Time Matrix'!B17*#REF!)*#REF!) + (('Time Matrix'!B17*#REF!)*#REF!)</f>
        <v>#REF!</v>
      </c>
      <c r="H17" t="e">
        <f>(('Time Matrix'!B17*#REF!)*#REF!) + (('Time Matrix'!B17*#REF!)*#REF!) + (('Time Matrix'!B17*#REF!)*#REF!) + (('Time Matrix'!B17*#REF!)*#REF!)</f>
        <v>#REF!</v>
      </c>
    </row>
    <row r="18" spans="1:8" x14ac:dyDescent="0.2">
      <c r="A18">
        <v>708400463</v>
      </c>
      <c r="B18" t="s">
        <v>60</v>
      </c>
      <c r="C18" t="e">
        <f>(('Time Matrix'!B18*#REF!)*'Mon (103)'!#REF!) + (('Time Matrix'!B18*#REF!)*'Mon (103)'!#REF!) + (('Time Matrix'!B18*#REF!)*'Mon (103)'!#REF!) + (('Time Matrix'!B18*#REF!)*'Mon (103)'!#REF!)</f>
        <v>#REF!</v>
      </c>
      <c r="D18" t="e">
        <f>(('Time Matrix'!B18*#REF!)*#REF!) + (('Time Matrix'!B18*#REF!)*#REF!) + (('Time Matrix'!B18*#REF!)*#REF!) + (('Time Matrix'!B18*#REF!)*#REF!)</f>
        <v>#REF!</v>
      </c>
      <c r="E18" t="e">
        <f>(('Time Matrix'!B18*#REF!)*#REF!) + (('Time Matrix'!B18*#REF!)*#REF!) + (('Time Matrix'!B18*#REF!)*#REF!) + (('Time Matrix'!B18*#REF!)*#REF!)</f>
        <v>#REF!</v>
      </c>
      <c r="F18" t="e">
        <f>(('Time Matrix'!B18*#REF!)*#REF!) + (('Time Matrix'!B18*#REF!)*#REF!) + (('Time Matrix'!B18*#REF!)*#REF!) + (('Time Matrix'!B18*#REF!)*#REF!)</f>
        <v>#REF!</v>
      </c>
      <c r="G18" t="e">
        <f>(('Time Matrix'!B18*#REF!)*#REF!) + (('Time Matrix'!B18*#REF!)*#REF!) + (('Time Matrix'!B18*#REF!)*#REF!) + (('Time Matrix'!B18*#REF!)*#REF!)</f>
        <v>#REF!</v>
      </c>
      <c r="H18" t="e">
        <f>(('Time Matrix'!B18*#REF!)*#REF!) + (('Time Matrix'!B18*#REF!)*#REF!) + (('Time Matrix'!B18*#REF!)*#REF!) + (('Time Matrix'!B18*#REF!)*#REF!)</f>
        <v>#REF!</v>
      </c>
    </row>
    <row r="19" spans="1:8" x14ac:dyDescent="0.2">
      <c r="A19" s="128" t="s">
        <v>165</v>
      </c>
      <c r="B19" s="129"/>
      <c r="C19" t="e">
        <f>SUM(C3:C18)</f>
        <v>#REF!</v>
      </c>
      <c r="D19" t="e">
        <f t="shared" ref="D19:H19" si="0">SUM(D3:D18)</f>
        <v>#REF!</v>
      </c>
      <c r="E19" t="e">
        <f t="shared" si="0"/>
        <v>#REF!</v>
      </c>
      <c r="F19" t="e">
        <f t="shared" si="0"/>
        <v>#REF!</v>
      </c>
      <c r="G19" t="e">
        <f t="shared" si="0"/>
        <v>#REF!</v>
      </c>
      <c r="H19" t="e">
        <f t="shared" si="0"/>
        <v>#REF!</v>
      </c>
    </row>
    <row r="20" spans="1:8" x14ac:dyDescent="0.2">
      <c r="A20" s="130" t="s">
        <v>70</v>
      </c>
      <c r="B20" s="131"/>
      <c r="C20" s="131"/>
      <c r="D20" s="131"/>
      <c r="E20" s="131"/>
      <c r="F20" s="131"/>
      <c r="G20" s="131"/>
      <c r="H20" s="131"/>
    </row>
    <row r="21" spans="1:8" x14ac:dyDescent="0.2">
      <c r="A21" s="23">
        <v>708001528</v>
      </c>
      <c r="B21" t="s">
        <v>71</v>
      </c>
      <c r="C21" t="e">
        <f>(('Time Matrix'!C19*#REF!)*'Mon (103)'!#REF!) + (('Time Matrix'!C19*#REF!)*'Mon (103)'!#REF!) + (('Time Matrix'!C19*#REF!)*'Mon (103)'!#REF!) + (('Time Matrix'!C19*#REF!)*'Mon (103)'!#REF!)</f>
        <v>#REF!</v>
      </c>
      <c r="D21" t="e">
        <f>(('Time Matrix'!C19*#REF!)*#REF!) + (('Time Matrix'!C19*#REF!)*#REF!) + (('Time Matrix'!C19*#REF!)*#REF!) + (('Time Matrix'!C19*#REF!)*#REF!)</f>
        <v>#REF!</v>
      </c>
      <c r="E21" t="e">
        <f>(('Time Matrix'!C19*#REF!)*#REF!) + (('Time Matrix'!C19*#REF!)*#REF!) + (('Time Matrix'!C19*#REF!)*#REF!) + (('Time Matrix'!C19*#REF!)*#REF!)</f>
        <v>#REF!</v>
      </c>
      <c r="F21" t="e">
        <f>(('Time Matrix'!C19*#REF!)*#REF!) + (('Time Matrix'!C19*#REF!)*#REF!) + (('Time Matrix'!C19*#REF!)*#REF!) + (('Time Matrix'!C19*#REF!)*#REF!)</f>
        <v>#REF!</v>
      </c>
      <c r="G21" t="e">
        <f>(('Time Matrix'!C19*#REF!)*#REF!) + (('Time Matrix'!C19*#REF!)*#REF!) + (('Time Matrix'!C19*#REF!)*#REF!) + (('Time Matrix'!C19*#REF!)*#REF!)</f>
        <v>#REF!</v>
      </c>
      <c r="H21" t="e">
        <f>(('Time Matrix'!C19*#REF!)*#REF!) + (('Time Matrix'!C19*#REF!)*#REF!) + (('Time Matrix'!C19*#REF!)*#REF!) + (('Time Matrix'!C19*#REF!)*#REF!)</f>
        <v>#REF!</v>
      </c>
    </row>
    <row r="22" spans="1:8" x14ac:dyDescent="0.2">
      <c r="A22" s="23">
        <v>708400001</v>
      </c>
      <c r="B22" t="s">
        <v>154</v>
      </c>
      <c r="C22" t="e">
        <f>(('Time Matrix'!C20*#REF!)*'Mon (103)'!#REF!) + (('Time Matrix'!C20*#REF!)*'Mon (103)'!#REF!) + (('Time Matrix'!C20*#REF!)*'Mon (103)'!#REF!) + (('Time Matrix'!C20*#REF!)*'Mon (103)'!#REF!)</f>
        <v>#REF!</v>
      </c>
      <c r="D22" t="e">
        <f>(('Time Matrix'!C20*#REF!)*#REF!) + (('Time Matrix'!C20*#REF!)*#REF!) + (('Time Matrix'!C20*#REF!)*#REF!) + (('Time Matrix'!C20*#REF!)*#REF!)</f>
        <v>#REF!</v>
      </c>
      <c r="E22" t="e">
        <f>(('Time Matrix'!C20*#REF!)*#REF!) + (('Time Matrix'!C20*#REF!)*#REF!) + (('Time Matrix'!C20*#REF!)*#REF!) + (('Time Matrix'!C20*#REF!)*#REF!)</f>
        <v>#REF!</v>
      </c>
      <c r="F22" t="e">
        <f>(('Time Matrix'!C20*#REF!)*#REF!) + (('Time Matrix'!C20*#REF!)*#REF!) + (('Time Matrix'!C20*#REF!)*#REF!) + (('Time Matrix'!C20*#REF!)*#REF!)</f>
        <v>#REF!</v>
      </c>
      <c r="G22" t="e">
        <f>(('Time Matrix'!C20*#REF!)*#REF!) + (('Time Matrix'!C20*#REF!)*#REF!) + (('Time Matrix'!C20*#REF!)*#REF!) + (('Time Matrix'!C20*#REF!)*#REF!)</f>
        <v>#REF!</v>
      </c>
      <c r="H22" t="e">
        <f>(('Time Matrix'!C20*#REF!)*#REF!) + (('Time Matrix'!C20*#REF!)*#REF!) + (('Time Matrix'!C20*#REF!)*#REF!) + (('Time Matrix'!C20*#REF!)*#REF!)</f>
        <v>#REF!</v>
      </c>
    </row>
    <row r="23" spans="1:8" x14ac:dyDescent="0.2">
      <c r="A23" s="23">
        <v>708400002</v>
      </c>
      <c r="B23" t="s">
        <v>155</v>
      </c>
      <c r="C23" t="e">
        <f>(('Time Matrix'!C21*#REF!)*'Mon (103)'!#REF!) + (('Time Matrix'!C21*#REF!)*'Mon (103)'!#REF!) + (('Time Matrix'!C21*#REF!)*'Mon (103)'!#REF!) + (('Time Matrix'!C21*#REF!)*'Mon (103)'!#REF!)</f>
        <v>#REF!</v>
      </c>
      <c r="D23" t="e">
        <f>(('Time Matrix'!C21*#REF!)*#REF!) + (('Time Matrix'!C21*#REF!)*#REF!) + (('Time Matrix'!C21*#REF!)*#REF!) + (('Time Matrix'!C21*#REF!)*#REF!)</f>
        <v>#REF!</v>
      </c>
      <c r="E23" t="e">
        <f>(('Time Matrix'!C21*#REF!)*#REF!) + (('Time Matrix'!C21*#REF!)*#REF!) + (('Time Matrix'!C21*#REF!)*#REF!) + (('Time Matrix'!C21*#REF!)*#REF!)</f>
        <v>#REF!</v>
      </c>
      <c r="F23" t="e">
        <f>(('Time Matrix'!C21*#REF!)*#REF!) + (('Time Matrix'!C21*#REF!)*#REF!) + (('Time Matrix'!C21*#REF!)*#REF!) + (('Time Matrix'!C21*#REF!)*#REF!)</f>
        <v>#REF!</v>
      </c>
      <c r="G23" t="e">
        <f>(('Time Matrix'!C21*#REF!)*#REF!) + (('Time Matrix'!C21*#REF!)*#REF!) + (('Time Matrix'!C21*#REF!)*#REF!) + (('Time Matrix'!C21*#REF!)*#REF!)</f>
        <v>#REF!</v>
      </c>
      <c r="H23" t="e">
        <f>(('Time Matrix'!C21*#REF!)*#REF!) + (('Time Matrix'!C21*#REF!)*#REF!) + (('Time Matrix'!C21*#REF!)*#REF!) + (('Time Matrix'!C21*#REF!)*#REF!)</f>
        <v>#REF!</v>
      </c>
    </row>
    <row r="24" spans="1:8" x14ac:dyDescent="0.2">
      <c r="A24" s="23">
        <v>708400067</v>
      </c>
      <c r="B24" t="s">
        <v>156</v>
      </c>
      <c r="C24" t="e">
        <f>(('Time Matrix'!C22*#REF!)*'Mon (103)'!#REF!) + (('Time Matrix'!C22*#REF!)*'Mon (103)'!#REF!) + (('Time Matrix'!C22*#REF!)*'Mon (103)'!#REF!) + (('Time Matrix'!C22*#REF!)*'Mon (103)'!#REF!)</f>
        <v>#REF!</v>
      </c>
      <c r="D24" t="e">
        <f>(('Time Matrix'!C22*#REF!)*#REF!) + (('Time Matrix'!C22*#REF!)*#REF!) + (('Time Matrix'!C22*#REF!)*#REF!) + (('Time Matrix'!C22*#REF!)*#REF!)</f>
        <v>#REF!</v>
      </c>
      <c r="E24" t="e">
        <f>(('Time Matrix'!C22*#REF!)*#REF!) + (('Time Matrix'!C22*#REF!)*#REF!) + (('Time Matrix'!C22*#REF!)*#REF!) + (('Time Matrix'!C22*#REF!)*#REF!)</f>
        <v>#REF!</v>
      </c>
      <c r="F24" t="e">
        <f>(('Time Matrix'!C22*#REF!)*#REF!) + (('Time Matrix'!C22*#REF!)*#REF!) + (('Time Matrix'!C22*#REF!)*#REF!) + (('Time Matrix'!C22*#REF!)*#REF!)</f>
        <v>#REF!</v>
      </c>
      <c r="G24" t="e">
        <f>(('Time Matrix'!C22*#REF!)*#REF!) + (('Time Matrix'!C22*#REF!)*#REF!) + (('Time Matrix'!C22*#REF!)*#REF!) + (('Time Matrix'!C22*#REF!)*#REF!)</f>
        <v>#REF!</v>
      </c>
      <c r="H24" t="e">
        <f>(('Time Matrix'!C22*#REF!)*#REF!) + (('Time Matrix'!C22*#REF!)*#REF!) + (('Time Matrix'!C22*#REF!)*#REF!) + (('Time Matrix'!C22*#REF!)*#REF!)</f>
        <v>#REF!</v>
      </c>
    </row>
    <row r="25" spans="1:8" x14ac:dyDescent="0.2">
      <c r="A25" s="23">
        <v>708400069</v>
      </c>
      <c r="B25" t="s">
        <v>157</v>
      </c>
      <c r="C25" t="e">
        <f>(('Time Matrix'!C23*#REF!)*'Mon (103)'!#REF!) + (('Time Matrix'!C23*#REF!)*'Mon (103)'!#REF!) + (('Time Matrix'!C23*#REF!)*'Mon (103)'!#REF!) + (('Time Matrix'!C23*#REF!)*'Mon (103)'!#REF!)</f>
        <v>#REF!</v>
      </c>
      <c r="D25" t="e">
        <f>(('Time Matrix'!C23*#REF!)*#REF!) + (('Time Matrix'!C23*#REF!)*#REF!) + (('Time Matrix'!C23*#REF!)*#REF!) + (('Time Matrix'!C23*#REF!)*#REF!)</f>
        <v>#REF!</v>
      </c>
      <c r="E25" t="e">
        <f>(('Time Matrix'!C23*#REF!)*#REF!) + (('Time Matrix'!C23*#REF!)*#REF!) + (('Time Matrix'!C23*#REF!)*#REF!) + (('Time Matrix'!C23*#REF!)*#REF!)</f>
        <v>#REF!</v>
      </c>
      <c r="F25" t="e">
        <f>(('Time Matrix'!C23*#REF!)*#REF!) + (('Time Matrix'!C23*#REF!)*#REF!) + (('Time Matrix'!C23*#REF!)*#REF!) + (('Time Matrix'!C23*#REF!)*#REF!)</f>
        <v>#REF!</v>
      </c>
      <c r="G25" t="e">
        <f>(('Time Matrix'!C23*#REF!)*#REF!) + (('Time Matrix'!C23*#REF!)*#REF!) + (('Time Matrix'!C23*#REF!)*#REF!) + (('Time Matrix'!C23*#REF!)*#REF!)</f>
        <v>#REF!</v>
      </c>
      <c r="H25" t="e">
        <f>(('Time Matrix'!C23*#REF!)*#REF!) + (('Time Matrix'!C23*#REF!)*#REF!) + (('Time Matrix'!C23*#REF!)*#REF!) + (('Time Matrix'!C23*#REF!)*#REF!)</f>
        <v>#REF!</v>
      </c>
    </row>
    <row r="26" spans="1:8" x14ac:dyDescent="0.2">
      <c r="A26" s="23">
        <v>708400287</v>
      </c>
      <c r="B26" t="s">
        <v>13</v>
      </c>
      <c r="C26" t="e">
        <f>(('Time Matrix'!C24*#REF!)*'Mon (103)'!#REF!) + (('Time Matrix'!C24*#REF!)*'Mon (103)'!#REF!) + (('Time Matrix'!C24*#REF!)*'Mon (103)'!#REF!) + (('Time Matrix'!C24*#REF!)*'Mon (103)'!#REF!)</f>
        <v>#REF!</v>
      </c>
      <c r="D26" t="e">
        <f>(('Time Matrix'!C24*#REF!)*#REF!) + (('Time Matrix'!C24*#REF!)*#REF!) + (('Time Matrix'!C24*#REF!)*#REF!) + (('Time Matrix'!C24*#REF!)*#REF!)</f>
        <v>#REF!</v>
      </c>
      <c r="E26" t="e">
        <f>(('Time Matrix'!C24*#REF!)*#REF!) + (('Time Matrix'!C24*#REF!)*#REF!) + (('Time Matrix'!C24*#REF!)*#REF!) + (('Time Matrix'!C24*#REF!)*#REF!)</f>
        <v>#REF!</v>
      </c>
      <c r="F26" t="e">
        <f>(('Time Matrix'!C24*#REF!)*#REF!) + (('Time Matrix'!C24*#REF!)*#REF!) + (('Time Matrix'!C24*#REF!)*#REF!) + (('Time Matrix'!C24*#REF!)*#REF!)</f>
        <v>#REF!</v>
      </c>
      <c r="G26" t="e">
        <f>(('Time Matrix'!C24*#REF!)*#REF!) + (('Time Matrix'!C24*#REF!)*#REF!) + (('Time Matrix'!C24*#REF!)*#REF!) + (('Time Matrix'!C24*#REF!)*#REF!)</f>
        <v>#REF!</v>
      </c>
      <c r="H26" t="e">
        <f>(('Time Matrix'!C24*#REF!)*#REF!) + (('Time Matrix'!C24*#REF!)*#REF!) + (('Time Matrix'!C24*#REF!)*#REF!) + (('Time Matrix'!C24*#REF!)*#REF!)</f>
        <v>#REF!</v>
      </c>
    </row>
    <row r="27" spans="1:8" x14ac:dyDescent="0.2">
      <c r="A27" s="23">
        <v>708400398</v>
      </c>
      <c r="B27" t="s">
        <v>78</v>
      </c>
      <c r="C27" t="e">
        <f>(('Time Matrix'!C25*#REF!)*'Mon (103)'!#REF!) + (('Time Matrix'!C25*#REF!)*'Mon (103)'!#REF!) + (('Time Matrix'!C25*#REF!)*'Mon (103)'!#REF!) + (('Time Matrix'!C25*#REF!)*'Mon (103)'!#REF!)</f>
        <v>#REF!</v>
      </c>
      <c r="D27" t="e">
        <f>(('Time Matrix'!C25*#REF!)*#REF!) + (('Time Matrix'!C25*#REF!)*#REF!) + (('Time Matrix'!C25*#REF!)*#REF!) + (('Time Matrix'!C25*#REF!)*#REF!)</f>
        <v>#REF!</v>
      </c>
      <c r="E27" t="e">
        <f>(('Time Matrix'!C25*#REF!)*#REF!) + (('Time Matrix'!C25*#REF!)*#REF!) + (('Time Matrix'!C25*#REF!)*#REF!) + (('Time Matrix'!C25*#REF!)*#REF!)</f>
        <v>#REF!</v>
      </c>
      <c r="F27" t="e">
        <f>(('Time Matrix'!C25*#REF!)*#REF!) + (('Time Matrix'!C25*#REF!)*#REF!) + (('Time Matrix'!C25*#REF!)*#REF!) + (('Time Matrix'!C25*#REF!)*#REF!)</f>
        <v>#REF!</v>
      </c>
      <c r="G27" t="e">
        <f>(('Time Matrix'!C25*#REF!)*#REF!) + (('Time Matrix'!C25*#REF!)*#REF!) + (('Time Matrix'!C25*#REF!)*#REF!) + (('Time Matrix'!C25*#REF!)*#REF!)</f>
        <v>#REF!</v>
      </c>
      <c r="H27" t="e">
        <f>(('Time Matrix'!C25*#REF!)*#REF!) + (('Time Matrix'!C25*#REF!)*#REF!) + (('Time Matrix'!C25*#REF!)*#REF!) + (('Time Matrix'!C25*#REF!)*#REF!)</f>
        <v>#REF!</v>
      </c>
    </row>
    <row r="28" spans="1:8" x14ac:dyDescent="0.2">
      <c r="A28" s="128" t="s">
        <v>165</v>
      </c>
      <c r="B28" s="129"/>
      <c r="C28" t="e">
        <f>SUM(C21:C27)</f>
        <v>#REF!</v>
      </c>
      <c r="D28" t="e">
        <f t="shared" ref="D28:G28" si="1">SUM(D21:D27)</f>
        <v>#REF!</v>
      </c>
      <c r="E28" t="e">
        <f t="shared" si="1"/>
        <v>#REF!</v>
      </c>
      <c r="F28" t="e">
        <f t="shared" si="1"/>
        <v>#REF!</v>
      </c>
      <c r="G28" t="e">
        <f t="shared" si="1"/>
        <v>#REF!</v>
      </c>
      <c r="H28" t="e">
        <f>SUM(H21:H27)</f>
        <v>#REF!</v>
      </c>
    </row>
    <row r="29" spans="1:8" x14ac:dyDescent="0.2">
      <c r="A29" s="130" t="s">
        <v>110</v>
      </c>
      <c r="B29" s="131"/>
      <c r="C29" s="131"/>
      <c r="D29" s="131"/>
      <c r="E29" s="131"/>
      <c r="F29" s="131"/>
      <c r="G29" s="131"/>
      <c r="H29" s="131"/>
    </row>
    <row r="30" spans="1:8" x14ac:dyDescent="0.2">
      <c r="A30" s="23">
        <v>705007790</v>
      </c>
      <c r="B30" t="s">
        <v>82</v>
      </c>
      <c r="C30" t="e">
        <f>(('Time Matrix'!D26*#REF!)*'Mon (103)'!#REF!) + (('Time Matrix'!D26*#REF!)*'Mon (103)'!#REF!) + (('Time Matrix'!D26*#REF!)*'Mon (103)'!#REF!) + (('Time Matrix'!D26*#REF!)*'Mon (103)'!#REF!)</f>
        <v>#REF!</v>
      </c>
      <c r="D30" t="e">
        <f>(('Time Matrix'!D26*#REF!)*#REF!) + (('Time Matrix'!D26*#REF!)*#REF!) + (('Time Matrix'!D26*#REF!)*#REF!) + (('Time Matrix'!D26*#REF!)*#REF!)</f>
        <v>#REF!</v>
      </c>
      <c r="E30" t="e">
        <f>(('Time Matrix'!D26*#REF!)*#REF!) + (('Time Matrix'!D26*#REF!)*#REF!) + (('Time Matrix'!D26*#REF!)*#REF!) + (('Time Matrix'!D26*#REF!)*#REF!)</f>
        <v>#REF!</v>
      </c>
      <c r="F30" t="e">
        <f>(('Time Matrix'!D26*#REF!)*#REF!) + (('Time Matrix'!D26*#REF!)*#REF!) + (('Time Matrix'!D26*#REF!)*#REF!) + (('Time Matrix'!D26*#REF!)*#REF!)</f>
        <v>#REF!</v>
      </c>
      <c r="G30" t="e">
        <f>(('Time Matrix'!D26*#REF!)*#REF!) + (('Time Matrix'!D26*#REF!)*#REF!) + (('Time Matrix'!D26*#REF!)*#REF!) + (('Time Matrix'!D26*#REF!)*#REF!)</f>
        <v>#REF!</v>
      </c>
      <c r="H30" t="e">
        <f>(('Time Matrix'!D26*#REF!)*#REF!) + (('Time Matrix'!D26*#REF!)*#REF!) + (('Time Matrix'!D26*#REF!)*#REF!) + (('Time Matrix'!D26*#REF!)*#REF!)</f>
        <v>#REF!</v>
      </c>
    </row>
    <row r="31" spans="1:8" x14ac:dyDescent="0.2">
      <c r="A31" s="23">
        <v>705007791</v>
      </c>
      <c r="B31" t="s">
        <v>83</v>
      </c>
      <c r="C31" t="e">
        <f>(('Time Matrix'!D27*#REF!)*'Mon (103)'!#REF!) + (('Time Matrix'!D27*#REF!)*'Mon (103)'!#REF!) + (('Time Matrix'!D27*#REF!)*'Mon (103)'!#REF!) + (('Time Matrix'!D27*#REF!)*'Mon (103)'!#REF!)</f>
        <v>#REF!</v>
      </c>
      <c r="D31" t="e">
        <f>(('Time Matrix'!D27*#REF!)*#REF!) + (('Time Matrix'!D27*#REF!)*#REF!) + (('Time Matrix'!D27*#REF!)*#REF!) + (('Time Matrix'!D27*#REF!)*#REF!)</f>
        <v>#REF!</v>
      </c>
      <c r="E31" t="e">
        <f>(('Time Matrix'!D27*#REF!)*#REF!) + (('Time Matrix'!D27*#REF!)*#REF!) + (('Time Matrix'!D27*#REF!)*#REF!) + (('Time Matrix'!D27*#REF!)*#REF!)</f>
        <v>#REF!</v>
      </c>
      <c r="F31" t="e">
        <f>(('Time Matrix'!D27*#REF!)*#REF!) + (('Time Matrix'!D27*#REF!)*#REF!) + (('Time Matrix'!D27*#REF!)*#REF!) + (('Time Matrix'!D27*#REF!)*#REF!)</f>
        <v>#REF!</v>
      </c>
      <c r="G31" t="e">
        <f>(('Time Matrix'!D27*#REF!)*#REF!) + (('Time Matrix'!D27*#REF!)*#REF!) + (('Time Matrix'!D27*#REF!)*#REF!) + (('Time Matrix'!D27*#REF!)*#REF!)</f>
        <v>#REF!</v>
      </c>
      <c r="H31" t="e">
        <f>(('Time Matrix'!D27*#REF!)*#REF!) + (('Time Matrix'!D27*#REF!)*#REF!) + (('Time Matrix'!D27*#REF!)*#REF!) + (('Time Matrix'!D27*#REF!)*#REF!)</f>
        <v>#REF!</v>
      </c>
    </row>
    <row r="32" spans="1:8" x14ac:dyDescent="0.2">
      <c r="A32" s="23">
        <v>705010835</v>
      </c>
      <c r="B32" t="s">
        <v>85</v>
      </c>
      <c r="C32" t="e">
        <f>(('Time Matrix'!D28*#REF!)*'Mon (103)'!#REF!) + (('Time Matrix'!D28*#REF!)*'Mon (103)'!#REF!) + (('Time Matrix'!D28*#REF!)*'Mon (103)'!#REF!) + (('Time Matrix'!D28*#REF!)*'Mon (103)'!#REF!)</f>
        <v>#REF!</v>
      </c>
      <c r="D32" t="e">
        <f>(('Time Matrix'!D28*#REF!)*#REF!) + (('Time Matrix'!D28*#REF!)*#REF!) + (('Time Matrix'!D28*#REF!)*#REF!) + (('Time Matrix'!D28*#REF!)*#REF!)</f>
        <v>#REF!</v>
      </c>
      <c r="E32" t="e">
        <f>(('Time Matrix'!D28*#REF!)*#REF!) + (('Time Matrix'!D28*#REF!)*#REF!) + (('Time Matrix'!D28*#REF!)*#REF!) + (('Time Matrix'!D28*#REF!)*#REF!)</f>
        <v>#REF!</v>
      </c>
      <c r="F32" t="e">
        <f>(('Time Matrix'!D28*#REF!)*#REF!) + (('Time Matrix'!D28*#REF!)*#REF!) + (('Time Matrix'!D28*#REF!)*#REF!) + (('Time Matrix'!D28*#REF!)*#REF!)</f>
        <v>#REF!</v>
      </c>
      <c r="G32" t="e">
        <f>(('Time Matrix'!D28*#REF!)*#REF!) + (('Time Matrix'!D28*#REF!)*#REF!) + (('Time Matrix'!D28*#REF!)*#REF!) + (('Time Matrix'!D28*#REF!)*#REF!)</f>
        <v>#REF!</v>
      </c>
      <c r="H32" t="e">
        <f>(('Time Matrix'!D28*#REF!)*#REF!) + (('Time Matrix'!D28*#REF!)*#REF!) + (('Time Matrix'!D28*#REF!)*#REF!) + (('Time Matrix'!D28*#REF!)*#REF!)</f>
        <v>#REF!</v>
      </c>
    </row>
    <row r="33" spans="1:8" x14ac:dyDescent="0.2">
      <c r="A33">
        <v>705010851</v>
      </c>
      <c r="B33" t="s">
        <v>84</v>
      </c>
      <c r="C33" t="e">
        <f>(('Time Matrix'!D29*#REF!)*'Mon (103)'!#REF!) + (('Time Matrix'!D29*#REF!)*'Mon (103)'!#REF!) + (('Time Matrix'!D29*#REF!)*'Mon (103)'!#REF!) + (('Time Matrix'!D29*#REF!)*'Mon (103)'!#REF!)</f>
        <v>#REF!</v>
      </c>
      <c r="D33" t="e">
        <f>(('Time Matrix'!D29*#REF!)*#REF!) + (('Time Matrix'!D29*#REF!)*#REF!) + (('Time Matrix'!D29*#REF!)*#REF!) + (('Time Matrix'!D29*#REF!)*#REF!)</f>
        <v>#REF!</v>
      </c>
      <c r="E33" t="e">
        <f>(('Time Matrix'!D29*#REF!)*#REF!) + (('Time Matrix'!D29*#REF!)*#REF!) + (('Time Matrix'!D29*#REF!)*#REF!) + (('Time Matrix'!D29*#REF!)*#REF!)</f>
        <v>#REF!</v>
      </c>
      <c r="F33" t="e">
        <f>(('Time Matrix'!D29*#REF!)*#REF!) + (('Time Matrix'!D29*#REF!)*#REF!) + (('Time Matrix'!D29*#REF!)*#REF!) + (('Time Matrix'!D29*#REF!)*#REF!)</f>
        <v>#REF!</v>
      </c>
      <c r="G33" t="e">
        <f>(('Time Matrix'!D29*#REF!)*#REF!) + (('Time Matrix'!D29*#REF!)*#REF!) + (('Time Matrix'!D29*#REF!)*#REF!) + (('Time Matrix'!D29*#REF!)*#REF!)</f>
        <v>#REF!</v>
      </c>
      <c r="H33" t="e">
        <f>(('Time Matrix'!D29*#REF!)*#REF!) + (('Time Matrix'!D29*#REF!)*#REF!) + (('Time Matrix'!D29*#REF!)*#REF!) + (('Time Matrix'!D29*#REF!)*#REF!)</f>
        <v>#REF!</v>
      </c>
    </row>
    <row r="34" spans="1:8" x14ac:dyDescent="0.2">
      <c r="A34">
        <v>708200366</v>
      </c>
      <c r="B34" t="s">
        <v>86</v>
      </c>
      <c r="C34" t="e">
        <f>(('Time Matrix'!D30*#REF!)*'Mon (103)'!#REF!) + (('Time Matrix'!D30*#REF!)*'Mon (103)'!#REF!) + (('Time Matrix'!D30*#REF!)*'Mon (103)'!#REF!) + (('Time Matrix'!D30*#REF!)*'Mon (103)'!#REF!)</f>
        <v>#REF!</v>
      </c>
      <c r="D34" t="e">
        <f>(('Time Matrix'!D30*#REF!)*#REF!) + (('Time Matrix'!D30*#REF!)*#REF!) + (('Time Matrix'!D30*#REF!)*#REF!) + (('Time Matrix'!D30*#REF!)*#REF!)</f>
        <v>#REF!</v>
      </c>
      <c r="E34" t="e">
        <f>(('Time Matrix'!D30*#REF!)*#REF!) + (('Time Matrix'!D30*#REF!)*#REF!) + (('Time Matrix'!D30*#REF!)*#REF!) + (('Time Matrix'!D30*#REF!)*#REF!)</f>
        <v>#REF!</v>
      </c>
      <c r="F34" t="e">
        <f>(('Time Matrix'!D30*#REF!)*#REF!) + (('Time Matrix'!D30*#REF!)*#REF!) + (('Time Matrix'!D30*#REF!)*#REF!) + (('Time Matrix'!D30*#REF!)*#REF!)</f>
        <v>#REF!</v>
      </c>
      <c r="G34" t="e">
        <f>(('Time Matrix'!D30*#REF!)*#REF!) + (('Time Matrix'!D30*#REF!)*#REF!) + (('Time Matrix'!D30*#REF!)*#REF!) + (('Time Matrix'!D30*#REF!)*#REF!)</f>
        <v>#REF!</v>
      </c>
      <c r="H34" t="e">
        <f>(('Time Matrix'!D30*#REF!)*#REF!) + (('Time Matrix'!D30*#REF!)*#REF!) + (('Time Matrix'!D30*#REF!)*#REF!) + (('Time Matrix'!D30*#REF!)*#REF!)</f>
        <v>#REF!</v>
      </c>
    </row>
    <row r="35" spans="1:8" x14ac:dyDescent="0.2">
      <c r="A35">
        <v>708200401</v>
      </c>
      <c r="B35" t="s">
        <v>87</v>
      </c>
      <c r="C35" t="e">
        <f>(('Time Matrix'!D31*#REF!)*'Mon (103)'!#REF!) + (('Time Matrix'!D31*#REF!)*'Mon (103)'!#REF!) + (('Time Matrix'!D31*#REF!)*'Mon (103)'!#REF!) + (('Time Matrix'!D31*#REF!)*'Mon (103)'!#REF!)</f>
        <v>#REF!</v>
      </c>
      <c r="D35" t="e">
        <f>(('Time Matrix'!D31*#REF!)*#REF!) + (('Time Matrix'!D31*#REF!)*#REF!) + (('Time Matrix'!D31*#REF!)*#REF!) + (('Time Matrix'!D31*#REF!)*#REF!)</f>
        <v>#REF!</v>
      </c>
      <c r="E35" t="e">
        <f>(('Time Matrix'!D31*#REF!)*#REF!) + (('Time Matrix'!D31*#REF!)*#REF!) + (('Time Matrix'!D31*#REF!)*#REF!) + (('Time Matrix'!D31*#REF!)*#REF!)</f>
        <v>#REF!</v>
      </c>
      <c r="F35" t="e">
        <f>(('Time Matrix'!D31*#REF!)*#REF!) + (('Time Matrix'!D31*#REF!)*#REF!) + (('Time Matrix'!D31*#REF!)*#REF!) + (('Time Matrix'!D31*#REF!)*#REF!)</f>
        <v>#REF!</v>
      </c>
      <c r="G35" t="e">
        <f>(('Time Matrix'!D31*#REF!)*#REF!) + (('Time Matrix'!D31*#REF!)*#REF!) + (('Time Matrix'!D31*#REF!)*#REF!) + (('Time Matrix'!D31*#REF!)*#REF!)</f>
        <v>#REF!</v>
      </c>
      <c r="H35" t="e">
        <f>(('Time Matrix'!D31*#REF!)*#REF!) + (('Time Matrix'!D31*#REF!)*#REF!) + (('Time Matrix'!D31*#REF!)*#REF!) + (('Time Matrix'!D31*#REF!)*#REF!)</f>
        <v>#REF!</v>
      </c>
    </row>
    <row r="36" spans="1:8" x14ac:dyDescent="0.2">
      <c r="A36">
        <v>708200402</v>
      </c>
      <c r="B36" t="s">
        <v>88</v>
      </c>
      <c r="C36" t="e">
        <f>(('Time Matrix'!D32*#REF!)*'Mon (103)'!#REF!) + (('Time Matrix'!D32*#REF!)*'Mon (103)'!#REF!) + (('Time Matrix'!D32*#REF!)*'Mon (103)'!#REF!) + (('Time Matrix'!D32*#REF!)*'Mon (103)'!#REF!)</f>
        <v>#REF!</v>
      </c>
      <c r="D36" t="e">
        <f>(('Time Matrix'!D32*#REF!)*#REF!) + (('Time Matrix'!D32*#REF!)*#REF!) + (('Time Matrix'!D32*#REF!)*#REF!) + (('Time Matrix'!D32*#REF!)*#REF!)</f>
        <v>#REF!</v>
      </c>
      <c r="E36" t="e">
        <f>(('Time Matrix'!D32*#REF!)*#REF!) + (('Time Matrix'!D32*#REF!)*#REF!) + (('Time Matrix'!D32*#REF!)*#REF!) + (('Time Matrix'!D32*#REF!)*#REF!)</f>
        <v>#REF!</v>
      </c>
      <c r="F36" t="e">
        <f>(('Time Matrix'!D32*#REF!)*#REF!) + (('Time Matrix'!D32*#REF!)*#REF!) + (('Time Matrix'!D32*#REF!)*#REF!) + (('Time Matrix'!D32*#REF!)*#REF!)</f>
        <v>#REF!</v>
      </c>
      <c r="G36" t="e">
        <f>(('Time Matrix'!D32*#REF!)*#REF!) + (('Time Matrix'!D32*#REF!)*#REF!) + (('Time Matrix'!D32*#REF!)*#REF!) + (('Time Matrix'!D32*#REF!)*#REF!)</f>
        <v>#REF!</v>
      </c>
      <c r="H36" t="e">
        <f>(('Time Matrix'!D32*#REF!)*#REF!) + (('Time Matrix'!D32*#REF!)*#REF!) + (('Time Matrix'!D32*#REF!)*#REF!) + (('Time Matrix'!D32*#REF!)*#REF!)</f>
        <v>#REF!</v>
      </c>
    </row>
    <row r="37" spans="1:8" x14ac:dyDescent="0.2">
      <c r="A37">
        <v>708200698</v>
      </c>
      <c r="B37" t="s">
        <v>89</v>
      </c>
      <c r="C37" t="e">
        <f>(('Time Matrix'!D33*#REF!)*'Mon (103)'!#REF!) + (('Time Matrix'!D33*#REF!)*'Mon (103)'!#REF!) + (('Time Matrix'!D33*#REF!)*'Mon (103)'!#REF!) + (('Time Matrix'!D33*#REF!)*'Mon (103)'!#REF!)</f>
        <v>#REF!</v>
      </c>
      <c r="D37" t="e">
        <f>(('Time Matrix'!D33*#REF!)*#REF!) + (('Time Matrix'!D33*#REF!)*#REF!) + (('Time Matrix'!D33*#REF!)*#REF!) + (('Time Matrix'!D33*#REF!)*#REF!)</f>
        <v>#REF!</v>
      </c>
      <c r="E37" t="e">
        <f>(('Time Matrix'!D33*#REF!)*#REF!) + (('Time Matrix'!D33*#REF!)*#REF!) + (('Time Matrix'!D33*#REF!)*#REF!) + (('Time Matrix'!D33*#REF!)*#REF!)</f>
        <v>#REF!</v>
      </c>
      <c r="F37" t="e">
        <f>(('Time Matrix'!D33*#REF!)*#REF!) + (('Time Matrix'!D33*#REF!)*#REF!) + (('Time Matrix'!D33*#REF!)*#REF!) + (('Time Matrix'!D33*#REF!)*#REF!)</f>
        <v>#REF!</v>
      </c>
      <c r="G37" t="e">
        <f>(('Time Matrix'!D33*#REF!)*#REF!) + (('Time Matrix'!D33*#REF!)*#REF!) + (('Time Matrix'!D33*#REF!)*#REF!) + (('Time Matrix'!D33*#REF!)*#REF!)</f>
        <v>#REF!</v>
      </c>
      <c r="H37" t="e">
        <f>(('Time Matrix'!D33*#REF!)*#REF!) + (('Time Matrix'!D33*#REF!)*#REF!) + (('Time Matrix'!D33*#REF!)*#REF!) + (('Time Matrix'!D33*#REF!)*#REF!)</f>
        <v>#REF!</v>
      </c>
    </row>
    <row r="38" spans="1:8" x14ac:dyDescent="0.2">
      <c r="A38">
        <v>708301201</v>
      </c>
      <c r="B38" t="s">
        <v>90</v>
      </c>
      <c r="C38" t="e">
        <f>(('Time Matrix'!D34*#REF!)*'Mon (103)'!#REF!) + (('Time Matrix'!D34*#REF!)*'Mon (103)'!#REF!) + (('Time Matrix'!D34*#REF!)*'Mon (103)'!#REF!) + (('Time Matrix'!D34*#REF!)*'Mon (103)'!#REF!)</f>
        <v>#REF!</v>
      </c>
      <c r="D38" t="e">
        <f>(('Time Matrix'!D34*#REF!)*#REF!) + (('Time Matrix'!D34*#REF!)*#REF!) + (('Time Matrix'!D34*#REF!)*#REF!) + (('Time Matrix'!D34*#REF!)*#REF!)</f>
        <v>#REF!</v>
      </c>
      <c r="E38" t="e">
        <f>(('Time Matrix'!D34*#REF!)*#REF!) + (('Time Matrix'!D34*#REF!)*#REF!) + (('Time Matrix'!D34*#REF!)*#REF!) + (('Time Matrix'!D34*#REF!)*#REF!)</f>
        <v>#REF!</v>
      </c>
      <c r="F38" t="e">
        <f>(('Time Matrix'!D34*#REF!)*#REF!) + (('Time Matrix'!D34*#REF!)*#REF!) + (('Time Matrix'!D34*#REF!)*#REF!) + (('Time Matrix'!D34*#REF!)*#REF!)</f>
        <v>#REF!</v>
      </c>
      <c r="G38" t="e">
        <f>(('Time Matrix'!D34*#REF!)*#REF!) + (('Time Matrix'!D34*#REF!)*#REF!) + (('Time Matrix'!D34*#REF!)*#REF!) + (('Time Matrix'!D34*#REF!)*#REF!)</f>
        <v>#REF!</v>
      </c>
      <c r="H38" t="e">
        <f>(('Time Matrix'!D34*#REF!)*#REF!) + (('Time Matrix'!D34*#REF!)*#REF!) + (('Time Matrix'!D34*#REF!)*#REF!) + (('Time Matrix'!D34*#REF!)*#REF!)</f>
        <v>#REF!</v>
      </c>
    </row>
    <row r="39" spans="1:8" x14ac:dyDescent="0.2">
      <c r="A39" s="128" t="s">
        <v>165</v>
      </c>
      <c r="B39" s="129"/>
      <c r="C39" t="e">
        <f>SUM(C30:C38)</f>
        <v>#REF!</v>
      </c>
      <c r="D39" t="e">
        <f t="shared" ref="D39:H39" si="2">SUM(D30:D38)</f>
        <v>#REF!</v>
      </c>
      <c r="E39" t="e">
        <f t="shared" si="2"/>
        <v>#REF!</v>
      </c>
      <c r="F39" t="e">
        <f t="shared" si="2"/>
        <v>#REF!</v>
      </c>
      <c r="G39" t="e">
        <f t="shared" si="2"/>
        <v>#REF!</v>
      </c>
      <c r="H39" t="e">
        <f t="shared" si="2"/>
        <v>#REF!</v>
      </c>
    </row>
    <row r="40" spans="1:8" x14ac:dyDescent="0.2">
      <c r="A40" s="130" t="s">
        <v>47</v>
      </c>
      <c r="B40" s="131"/>
      <c r="C40" s="131"/>
      <c r="D40" s="131"/>
      <c r="E40" s="131"/>
      <c r="F40" s="131"/>
      <c r="G40" s="131"/>
      <c r="H40" s="131"/>
    </row>
    <row r="41" spans="1:8" x14ac:dyDescent="0.2">
      <c r="A41">
        <v>705009213</v>
      </c>
      <c r="B41" t="s">
        <v>158</v>
      </c>
      <c r="C41" t="e">
        <f>(('Time Matrix'!E35*#REF!)*'Mon (103)'!#REF!) + (('Time Matrix'!E35*#REF!)*'Mon (103)'!#REF!) + (('Time Matrix'!E35*#REF!)*'Mon (103)'!#REF!) + (('Time Matrix'!E35*#REF!)*'Mon (103)'!#REF!)</f>
        <v>#REF!</v>
      </c>
      <c r="D41" t="e">
        <f>(('Time Matrix'!E35*#REF!)*#REF!) + (('Time Matrix'!E35*#REF!)*#REF!) + (('Time Matrix'!E35*#REF!)*#REF!) + (('Time Matrix'!E35*#REF!)*#REF!)</f>
        <v>#REF!</v>
      </c>
      <c r="E41" t="e">
        <f>(('Time Matrix'!E35*#REF!)*#REF!) + (('Time Matrix'!E35*#REF!)*#REF!) + (('Time Matrix'!E35*#REF!)*#REF!) + (('Time Matrix'!E35*#REF!)*#REF!)</f>
        <v>#REF!</v>
      </c>
      <c r="F41" t="e">
        <f>(('Time Matrix'!E35*#REF!)*#REF!) + (('Time Matrix'!E35*#REF!)*#REF!) + (('Time Matrix'!E35*#REF!)*#REF!) + (('Time Matrix'!E35*#REF!)*#REF!)</f>
        <v>#REF!</v>
      </c>
      <c r="G41" t="e">
        <f>(('Time Matrix'!E35*#REF!)*#REF!) + (('Time Matrix'!E35*#REF!)*#REF!) + (('Time Matrix'!E35*#REF!)*#REF!) + (('Time Matrix'!E35*#REF!)*#REF!)</f>
        <v>#REF!</v>
      </c>
      <c r="H41" t="e">
        <f>(('Time Matrix'!E35*#REF!)*#REF!) + (('Time Matrix'!E35*#REF!)*#REF!) + (('Time Matrix'!E35*#REF!)*#REF!) + (('Time Matrix'!E35*#REF!)*#REF!)</f>
        <v>#REF!</v>
      </c>
    </row>
    <row r="42" spans="1:8" x14ac:dyDescent="0.2">
      <c r="A42">
        <v>705009214</v>
      </c>
      <c r="B42" t="s">
        <v>159</v>
      </c>
      <c r="C42" t="e">
        <f>(('Time Matrix'!E36*#REF!)*'Mon (103)'!#REF!) + (('Time Matrix'!E36*#REF!)*'Mon (103)'!#REF!) + (('Time Matrix'!E36*#REF!)*'Mon (103)'!#REF!) + (('Time Matrix'!E36*#REF!)*'Mon (103)'!#REF!)</f>
        <v>#REF!</v>
      </c>
      <c r="D42" t="e">
        <f>(('Time Matrix'!E36*#REF!)*#REF!) + (('Time Matrix'!E36*#REF!)*#REF!) + (('Time Matrix'!E36*#REF!)*#REF!) + (('Time Matrix'!E36*#REF!)*#REF!)</f>
        <v>#REF!</v>
      </c>
      <c r="E42" t="e">
        <f>(('Time Matrix'!E36*#REF!)*#REF!) + (('Time Matrix'!E36*#REF!)*#REF!) + (('Time Matrix'!E36*#REF!)*#REF!) + (('Time Matrix'!E36*#REF!)*#REF!)</f>
        <v>#REF!</v>
      </c>
      <c r="F42" t="e">
        <f>(('Time Matrix'!E36*#REF!)*#REF!) + (('Time Matrix'!E36*#REF!)*#REF!) + (('Time Matrix'!E36*#REF!)*#REF!) + (('Time Matrix'!E36*#REF!)*#REF!)</f>
        <v>#REF!</v>
      </c>
      <c r="G42" t="e">
        <f>(('Time Matrix'!E36*#REF!)*#REF!) + (('Time Matrix'!E36*#REF!)*#REF!) + (('Time Matrix'!E36*#REF!)*#REF!) + (('Time Matrix'!E36*#REF!)*#REF!)</f>
        <v>#REF!</v>
      </c>
      <c r="H42" t="e">
        <f>(('Time Matrix'!E36*#REF!)*#REF!) + (('Time Matrix'!E36*#REF!)*#REF!) + (('Time Matrix'!E36*#REF!)*#REF!) + (('Time Matrix'!E36*#REF!)*#REF!)</f>
        <v>#REF!</v>
      </c>
    </row>
    <row r="43" spans="1:8" x14ac:dyDescent="0.2">
      <c r="A43">
        <v>705010835</v>
      </c>
      <c r="B43" t="s">
        <v>85</v>
      </c>
      <c r="C43" t="e">
        <f>(('Time Matrix'!E37*#REF!)*'Mon (103)'!#REF!) + (('Time Matrix'!E37*#REF!)*'Mon (103)'!#REF!) + (('Time Matrix'!E37*#REF!)*'Mon (103)'!#REF!) + (('Time Matrix'!E37*#REF!)*'Mon (103)'!#REF!)</f>
        <v>#REF!</v>
      </c>
      <c r="D43" t="e">
        <f>(('Time Matrix'!E37*#REF!)*#REF!) + (('Time Matrix'!E37*#REF!)*#REF!) + (('Time Matrix'!E37*#REF!)*#REF!) + (('Time Matrix'!E37*#REF!)*#REF!)</f>
        <v>#REF!</v>
      </c>
      <c r="E43" t="e">
        <f>(('Time Matrix'!E37*#REF!)*#REF!) + (('Time Matrix'!E37*#REF!)*#REF!) + (('Time Matrix'!E37*#REF!)*#REF!) + (('Time Matrix'!E37*#REF!)*#REF!)</f>
        <v>#REF!</v>
      </c>
      <c r="F43" t="e">
        <f>(('Time Matrix'!E37*#REF!)*#REF!) + (('Time Matrix'!E37*#REF!)*#REF!) + (('Time Matrix'!E37*#REF!)*#REF!) + (('Time Matrix'!E37*#REF!)*#REF!)</f>
        <v>#REF!</v>
      </c>
      <c r="G43" t="e">
        <f>(('Time Matrix'!E37*#REF!)*#REF!) + (('Time Matrix'!E37*#REF!)*#REF!) + (('Time Matrix'!E37*#REF!)*#REF!) + (('Time Matrix'!E37*#REF!)*#REF!)</f>
        <v>#REF!</v>
      </c>
      <c r="H43" t="e">
        <f>(('Time Matrix'!E37*#REF!)*#REF!) + (('Time Matrix'!E37*#REF!)*#REF!) + (('Time Matrix'!E37*#REF!)*#REF!) + (('Time Matrix'!E37*#REF!)*#REF!)</f>
        <v>#REF!</v>
      </c>
    </row>
    <row r="44" spans="1:8" x14ac:dyDescent="0.2">
      <c r="A44">
        <v>705010851</v>
      </c>
      <c r="B44" t="s">
        <v>84</v>
      </c>
      <c r="C44" t="e">
        <f>(('Time Matrix'!E38*#REF!)*'Mon (103)'!#REF!) + (('Time Matrix'!E38*#REF!)*'Mon (103)'!#REF!) + (('Time Matrix'!E38*#REF!)*'Mon (103)'!#REF!) + (('Time Matrix'!E38*#REF!)*'Mon (103)'!#REF!)</f>
        <v>#REF!</v>
      </c>
      <c r="D44" t="e">
        <f>(('Time Matrix'!E38*#REF!)*#REF!) + (('Time Matrix'!E38*#REF!)*#REF!) + (('Time Matrix'!E38*#REF!)*#REF!) + (('Time Matrix'!E38*#REF!)*#REF!)</f>
        <v>#REF!</v>
      </c>
      <c r="E44" t="e">
        <f>(('Time Matrix'!E38*#REF!)*#REF!) + (('Time Matrix'!E38*#REF!)*#REF!) + (('Time Matrix'!E38*#REF!)*#REF!) + (('Time Matrix'!E38*#REF!)*#REF!)</f>
        <v>#REF!</v>
      </c>
      <c r="F44" t="e">
        <f>(('Time Matrix'!E38*#REF!)*#REF!) + (('Time Matrix'!E38*#REF!)*#REF!) + (('Time Matrix'!E38*#REF!)*#REF!) + (('Time Matrix'!E38*#REF!)*#REF!)</f>
        <v>#REF!</v>
      </c>
      <c r="G44" t="e">
        <f>(('Time Matrix'!E38*#REF!)*#REF!) + (('Time Matrix'!E38*#REF!)*#REF!) + (('Time Matrix'!E38*#REF!)*#REF!) + (('Time Matrix'!E38*#REF!)*#REF!)</f>
        <v>#REF!</v>
      </c>
      <c r="H44" t="e">
        <f>(('Time Matrix'!E38*#REF!)*#REF!) + (('Time Matrix'!E38*#REF!)*#REF!) + (('Time Matrix'!E38*#REF!)*#REF!) + (('Time Matrix'!E38*#REF!)*#REF!)</f>
        <v>#REF!</v>
      </c>
    </row>
    <row r="45" spans="1:8" x14ac:dyDescent="0.2">
      <c r="A45">
        <v>705012868</v>
      </c>
      <c r="B45" t="s">
        <v>160</v>
      </c>
      <c r="C45" t="e">
        <f>(('Time Matrix'!E39*#REF!)*'Mon (103)'!#REF!) + (('Time Matrix'!E39*#REF!)*'Mon (103)'!#REF!) + (('Time Matrix'!E39*#REF!)*'Mon (103)'!#REF!) + (('Time Matrix'!E39*#REF!)*'Mon (103)'!#REF!)</f>
        <v>#REF!</v>
      </c>
      <c r="D45" t="e">
        <f>(('Time Matrix'!E39*#REF!)*#REF!) + (('Time Matrix'!E39*#REF!)*#REF!) + (('Time Matrix'!E39*#REF!)*#REF!) + (('Time Matrix'!E39*#REF!)*#REF!)</f>
        <v>#REF!</v>
      </c>
      <c r="E45" t="e">
        <f>(('Time Matrix'!E39*#REF!)*#REF!) + (('Time Matrix'!E39*#REF!)*#REF!) + (('Time Matrix'!E39*#REF!)*#REF!) + (('Time Matrix'!E39*#REF!)*#REF!)</f>
        <v>#REF!</v>
      </c>
      <c r="F45" t="e">
        <f>(('Time Matrix'!E39*#REF!)*#REF!) + (('Time Matrix'!E39*#REF!)*#REF!) + (('Time Matrix'!E39*#REF!)*#REF!) + (('Time Matrix'!E39*#REF!)*#REF!)</f>
        <v>#REF!</v>
      </c>
      <c r="G45" t="e">
        <f>(('Time Matrix'!E39*#REF!)*#REF!) + (('Time Matrix'!E39*#REF!)*#REF!) + (('Time Matrix'!E39*#REF!)*#REF!) + (('Time Matrix'!E39*#REF!)*#REF!)</f>
        <v>#REF!</v>
      </c>
      <c r="H45" t="e">
        <f>(('Time Matrix'!E39*#REF!)*#REF!) + (('Time Matrix'!E39*#REF!)*#REF!) + (('Time Matrix'!E39*#REF!)*#REF!) + (('Time Matrix'!E39*#REF!)*#REF!)</f>
        <v>#REF!</v>
      </c>
    </row>
    <row r="46" spans="1:8" x14ac:dyDescent="0.2">
      <c r="A46">
        <v>705012976</v>
      </c>
      <c r="B46" t="s">
        <v>161</v>
      </c>
      <c r="C46" t="e">
        <f>(('Time Matrix'!E40*#REF!)*'Mon (103)'!#REF!) + (('Time Matrix'!E40*#REF!)*'Mon (103)'!#REF!) + (('Time Matrix'!E40*#REF!)*'Mon (103)'!#REF!) + (('Time Matrix'!E40*#REF!)*'Mon (103)'!#REF!)</f>
        <v>#REF!</v>
      </c>
      <c r="D46" t="e">
        <f>(('Time Matrix'!E40*#REF!)*#REF!) + (('Time Matrix'!E40*#REF!)*#REF!) + (('Time Matrix'!E40*#REF!)*#REF!) + (('Time Matrix'!E40*#REF!)*#REF!)</f>
        <v>#REF!</v>
      </c>
      <c r="E46" t="e">
        <f>(('Time Matrix'!E40*#REF!)*#REF!) + (('Time Matrix'!E40*#REF!)*#REF!) + (('Time Matrix'!E40*#REF!)*#REF!) + (('Time Matrix'!E40*#REF!)*#REF!)</f>
        <v>#REF!</v>
      </c>
      <c r="F46" t="e">
        <f>(('Time Matrix'!E40*#REF!)*#REF!) + (('Time Matrix'!E40*#REF!)*#REF!) + (('Time Matrix'!E40*#REF!)*#REF!) + (('Time Matrix'!E40*#REF!)*#REF!)</f>
        <v>#REF!</v>
      </c>
      <c r="G46" t="e">
        <f>(('Time Matrix'!E40*#REF!)*#REF!) + (('Time Matrix'!E40*#REF!)*#REF!) + (('Time Matrix'!E40*#REF!)*#REF!) + (('Time Matrix'!E40*#REF!)*#REF!)</f>
        <v>#REF!</v>
      </c>
      <c r="H46" t="e">
        <f>(('Time Matrix'!E40*#REF!)*#REF!) + (('Time Matrix'!E40*#REF!)*#REF!) + (('Time Matrix'!E40*#REF!)*#REF!) + (('Time Matrix'!E40*#REF!)*#REF!)</f>
        <v>#REF!</v>
      </c>
    </row>
    <row r="47" spans="1:8" x14ac:dyDescent="0.2">
      <c r="A47">
        <v>708200366</v>
      </c>
      <c r="B47" t="s">
        <v>86</v>
      </c>
      <c r="C47" t="e">
        <f>(('Time Matrix'!E41*#REF!)*'Mon (103)'!#REF!) + (('Time Matrix'!E41*#REF!)*'Mon (103)'!#REF!) + (('Time Matrix'!E41*#REF!)*'Mon (103)'!#REF!) + (('Time Matrix'!E41*#REF!)*'Mon (103)'!#REF!)</f>
        <v>#REF!</v>
      </c>
      <c r="D47" t="e">
        <f>(('Time Matrix'!E41*#REF!)*#REF!) + (('Time Matrix'!E41*#REF!)*#REF!) + (('Time Matrix'!E41*#REF!)*#REF!) + (('Time Matrix'!E41*#REF!)*#REF!)</f>
        <v>#REF!</v>
      </c>
      <c r="E47" t="e">
        <f>(('Time Matrix'!E41*#REF!)*#REF!) + (('Time Matrix'!E41*#REF!)*#REF!) + (('Time Matrix'!E41*#REF!)*#REF!) + (('Time Matrix'!E41*#REF!)*#REF!)</f>
        <v>#REF!</v>
      </c>
      <c r="F47" t="e">
        <f>(('Time Matrix'!E41*#REF!)*#REF!) + (('Time Matrix'!E41*#REF!)*#REF!) + (('Time Matrix'!E41*#REF!)*#REF!) + (('Time Matrix'!E41*#REF!)*#REF!)</f>
        <v>#REF!</v>
      </c>
      <c r="G47" t="e">
        <f>(('Time Matrix'!E41*#REF!)*#REF!) + (('Time Matrix'!E41*#REF!)*#REF!) + (('Time Matrix'!E41*#REF!)*#REF!) + (('Time Matrix'!E41*#REF!)*#REF!)</f>
        <v>#REF!</v>
      </c>
      <c r="H47" t="e">
        <f>(('Time Matrix'!E41*#REF!)*#REF!) + (('Time Matrix'!E41*#REF!)*#REF!) + (('Time Matrix'!E41*#REF!)*#REF!) + (('Time Matrix'!E41*#REF!)*#REF!)</f>
        <v>#REF!</v>
      </c>
    </row>
    <row r="48" spans="1:8" x14ac:dyDescent="0.2">
      <c r="A48">
        <v>708200401</v>
      </c>
      <c r="B48" t="s">
        <v>87</v>
      </c>
      <c r="C48" t="e">
        <f>(('Time Matrix'!E42*#REF!)*'Mon (103)'!#REF!) + (('Time Matrix'!E42*#REF!)*'Mon (103)'!#REF!) + (('Time Matrix'!E42*#REF!)*'Mon (103)'!#REF!) + (('Time Matrix'!E42*#REF!)*'Mon (103)'!#REF!)</f>
        <v>#REF!</v>
      </c>
      <c r="D48" t="e">
        <f>(('Time Matrix'!E42*#REF!)*#REF!) + (('Time Matrix'!E42*#REF!)*#REF!) + (('Time Matrix'!E42*#REF!)*#REF!) + (('Time Matrix'!E42*#REF!)*#REF!)</f>
        <v>#REF!</v>
      </c>
      <c r="E48" t="e">
        <f>(('Time Matrix'!E42*#REF!)*#REF!) + (('Time Matrix'!E42*#REF!)*#REF!) + (('Time Matrix'!E42*#REF!)*#REF!) + (('Time Matrix'!E42*#REF!)*#REF!)</f>
        <v>#REF!</v>
      </c>
      <c r="F48" t="e">
        <f>(('Time Matrix'!E42*#REF!)*#REF!) + (('Time Matrix'!E42*#REF!)*#REF!) + (('Time Matrix'!E42*#REF!)*#REF!) + (('Time Matrix'!E42*#REF!)*#REF!)</f>
        <v>#REF!</v>
      </c>
      <c r="G48" t="e">
        <f>(('Time Matrix'!E42*#REF!)*#REF!) + (('Time Matrix'!E42*#REF!)*#REF!) + (('Time Matrix'!E42*#REF!)*#REF!) + (('Time Matrix'!E42*#REF!)*#REF!)</f>
        <v>#REF!</v>
      </c>
      <c r="H48" t="e">
        <f>(('Time Matrix'!E42*#REF!)*#REF!) + (('Time Matrix'!E42*#REF!)*#REF!) + (('Time Matrix'!E42*#REF!)*#REF!) + (('Time Matrix'!E42*#REF!)*#REF!)</f>
        <v>#REF!</v>
      </c>
    </row>
    <row r="49" spans="1:8" x14ac:dyDescent="0.2">
      <c r="A49">
        <v>708200402</v>
      </c>
      <c r="B49" t="s">
        <v>162</v>
      </c>
      <c r="C49" t="e">
        <f>(('Time Matrix'!E43*#REF!)*'Mon (103)'!#REF!) + (('Time Matrix'!E43*#REF!)*'Mon (103)'!#REF!) + (('Time Matrix'!E43*#REF!)*'Mon (103)'!#REF!) + (('Time Matrix'!E43*#REF!)*'Mon (103)'!#REF!)</f>
        <v>#REF!</v>
      </c>
      <c r="D49" t="e">
        <f>(('Time Matrix'!E43*#REF!)*#REF!) + (('Time Matrix'!E43*#REF!)*#REF!) + (('Time Matrix'!E43*#REF!)*#REF!) + (('Time Matrix'!E43*#REF!)*#REF!)</f>
        <v>#REF!</v>
      </c>
      <c r="E49" t="e">
        <f>(('Time Matrix'!E43*#REF!)*#REF!) + (('Time Matrix'!E43*#REF!)*#REF!) + (('Time Matrix'!E43*#REF!)*#REF!) + (('Time Matrix'!E43*#REF!)*#REF!)</f>
        <v>#REF!</v>
      </c>
      <c r="F49" t="e">
        <f>(('Time Matrix'!E43*#REF!)*#REF!) + (('Time Matrix'!E43*#REF!)*#REF!) + (('Time Matrix'!E43*#REF!)*#REF!) + (('Time Matrix'!E43*#REF!)*#REF!)</f>
        <v>#REF!</v>
      </c>
      <c r="G49" t="e">
        <f>(('Time Matrix'!E43*#REF!)*#REF!) + (('Time Matrix'!E43*#REF!)*#REF!) + (('Time Matrix'!E43*#REF!)*#REF!) + (('Time Matrix'!E43*#REF!)*#REF!)</f>
        <v>#REF!</v>
      </c>
      <c r="H49" t="e">
        <f>(('Time Matrix'!E43*#REF!)*#REF!) + (('Time Matrix'!E43*#REF!)*#REF!) + (('Time Matrix'!E43*#REF!)*#REF!) + (('Time Matrix'!E43*#REF!)*#REF!)</f>
        <v>#REF!</v>
      </c>
    </row>
    <row r="50" spans="1:8" x14ac:dyDescent="0.2">
      <c r="A50">
        <v>708200698</v>
      </c>
      <c r="B50" t="s">
        <v>89</v>
      </c>
      <c r="C50" t="e">
        <f>(('Time Matrix'!E44*#REF!)*'Mon (103)'!#REF!) + (('Time Matrix'!E44*#REF!)*'Mon (103)'!#REF!) + (('Time Matrix'!E44*#REF!)*'Mon (103)'!#REF!) + (('Time Matrix'!E44*#REF!)*'Mon (103)'!#REF!)</f>
        <v>#REF!</v>
      </c>
      <c r="D50" t="e">
        <f>(('Time Matrix'!E44*#REF!)*#REF!) + (('Time Matrix'!E44*#REF!)*#REF!) + (('Time Matrix'!E44*#REF!)*#REF!) + (('Time Matrix'!E44*#REF!)*#REF!)</f>
        <v>#REF!</v>
      </c>
      <c r="E50" t="e">
        <f>(('Time Matrix'!E44*#REF!)*#REF!) + (('Time Matrix'!E44*#REF!)*#REF!) + (('Time Matrix'!E44*#REF!)*#REF!) + (('Time Matrix'!E44*#REF!)*#REF!)</f>
        <v>#REF!</v>
      </c>
      <c r="F50" t="e">
        <f>(('Time Matrix'!E44*#REF!)*#REF!) + (('Time Matrix'!E44*#REF!)*#REF!) + (('Time Matrix'!E44*#REF!)*#REF!) + (('Time Matrix'!E44*#REF!)*#REF!)</f>
        <v>#REF!</v>
      </c>
      <c r="G50" t="e">
        <f>(('Time Matrix'!E44*#REF!)*#REF!) + (('Time Matrix'!E44*#REF!)*#REF!) + (('Time Matrix'!E44*#REF!)*#REF!) + (('Time Matrix'!E44*#REF!)*#REF!)</f>
        <v>#REF!</v>
      </c>
      <c r="H50" t="e">
        <f>(('Time Matrix'!E44*#REF!)*#REF!) + (('Time Matrix'!E44*#REF!)*#REF!) + (('Time Matrix'!E44*#REF!)*#REF!) + (('Time Matrix'!E44*#REF!)*#REF!)</f>
        <v>#REF!</v>
      </c>
    </row>
    <row r="51" spans="1:8" x14ac:dyDescent="0.2">
      <c r="A51">
        <v>708301988</v>
      </c>
      <c r="B51" t="s">
        <v>163</v>
      </c>
      <c r="C51" t="e">
        <f>(('Time Matrix'!E45*#REF!)*'Mon (103)'!#REF!) + (('Time Matrix'!E45*#REF!)*'Mon (103)'!#REF!) + (('Time Matrix'!E45*#REF!)*'Mon (103)'!#REF!) + (('Time Matrix'!E45*#REF!)*'Mon (103)'!#REF!)</f>
        <v>#REF!</v>
      </c>
      <c r="D51" t="e">
        <f>(('Time Matrix'!E45*#REF!)*#REF!) + (('Time Matrix'!E45*#REF!)*#REF!) + (('Time Matrix'!E45*#REF!)*#REF!) + (('Time Matrix'!E45*#REF!)*#REF!)</f>
        <v>#REF!</v>
      </c>
      <c r="E51" t="e">
        <f>(('Time Matrix'!E45*#REF!)*#REF!) + (('Time Matrix'!E45*#REF!)*#REF!) + (('Time Matrix'!E45*#REF!)*#REF!) + (('Time Matrix'!E45*#REF!)*#REF!)</f>
        <v>#REF!</v>
      </c>
      <c r="F51" t="e">
        <f>(('Time Matrix'!E45*#REF!)*#REF!) + (('Time Matrix'!E45*#REF!)*#REF!) + (('Time Matrix'!E45*#REF!)*#REF!) + (('Time Matrix'!E45*#REF!)*#REF!)</f>
        <v>#REF!</v>
      </c>
      <c r="G51" t="e">
        <f>(('Time Matrix'!E45*#REF!)*#REF!) + (('Time Matrix'!E45*#REF!)*#REF!) + (('Time Matrix'!E45*#REF!)*#REF!) + (('Time Matrix'!E45*#REF!)*#REF!)</f>
        <v>#REF!</v>
      </c>
      <c r="H51" t="e">
        <f>(('Time Matrix'!E45*#REF!)*#REF!) + (('Time Matrix'!E45*#REF!)*#REF!) + (('Time Matrix'!E45*#REF!)*#REF!) + (('Time Matrix'!E45*#REF!)*#REF!)</f>
        <v>#REF!</v>
      </c>
    </row>
    <row r="52" spans="1:8" x14ac:dyDescent="0.2">
      <c r="A52">
        <v>708301990</v>
      </c>
      <c r="B52" t="s">
        <v>164</v>
      </c>
      <c r="C52" t="e">
        <f>(('Time Matrix'!E46*#REF!)*'Mon (103)'!#REF!) + (('Time Matrix'!E46*#REF!)*'Mon (103)'!#REF!) + (('Time Matrix'!E46*#REF!)*'Mon (103)'!#REF!) + (('Time Matrix'!E46*#REF!)*'Mon (103)'!#REF!)</f>
        <v>#REF!</v>
      </c>
      <c r="D52" t="e">
        <f>(('Time Matrix'!E46*#REF!)*#REF!) + (('Time Matrix'!E46*#REF!)*#REF!) + (('Time Matrix'!E46*#REF!)*#REF!) + (('Time Matrix'!E46*#REF!)*#REF!)</f>
        <v>#REF!</v>
      </c>
      <c r="E52" t="e">
        <f>(('Time Matrix'!E46*#REF!)*#REF!) + (('Time Matrix'!E46*#REF!)*#REF!) + (('Time Matrix'!E46*#REF!)*#REF!) + (('Time Matrix'!E46*#REF!)*#REF!)</f>
        <v>#REF!</v>
      </c>
      <c r="F52" t="e">
        <f>(('Time Matrix'!E46*#REF!)*#REF!) + (('Time Matrix'!E46*#REF!)*#REF!) + (('Time Matrix'!E46*#REF!)*#REF!) + (('Time Matrix'!E46*#REF!)*#REF!)</f>
        <v>#REF!</v>
      </c>
      <c r="G52" t="e">
        <f>(('Time Matrix'!E46*#REF!)*#REF!) + (('Time Matrix'!E46*#REF!)*#REF!) + (('Time Matrix'!E46*#REF!)*#REF!) + (('Time Matrix'!E46*#REF!)*#REF!)</f>
        <v>#REF!</v>
      </c>
      <c r="H52" t="e">
        <f>(('Time Matrix'!E46*#REF!)*#REF!) + (('Time Matrix'!E46*#REF!)*#REF!) + (('Time Matrix'!E46*#REF!)*#REF!) + (('Time Matrix'!E46*#REF!)*#REF!)</f>
        <v>#REF!</v>
      </c>
    </row>
    <row r="53" spans="1:8" x14ac:dyDescent="0.2">
      <c r="A53" s="128" t="s">
        <v>165</v>
      </c>
      <c r="B53" s="129"/>
      <c r="C53" t="e">
        <f>SUM(C41:C52)</f>
        <v>#REF!</v>
      </c>
      <c r="D53" t="e">
        <f t="shared" ref="D53:H53" si="3">SUM(D41:D52)</f>
        <v>#REF!</v>
      </c>
      <c r="E53" t="e">
        <f t="shared" si="3"/>
        <v>#REF!</v>
      </c>
      <c r="F53" t="e">
        <f t="shared" si="3"/>
        <v>#REF!</v>
      </c>
      <c r="G53" t="e">
        <f t="shared" si="3"/>
        <v>#REF!</v>
      </c>
      <c r="H53" t="e">
        <f t="shared" si="3"/>
        <v>#REF!</v>
      </c>
    </row>
    <row r="54" spans="1:8" x14ac:dyDescent="0.2">
      <c r="A54" s="132" t="s">
        <v>149</v>
      </c>
      <c r="B54" s="133"/>
      <c r="C54" s="133"/>
      <c r="D54" s="133"/>
      <c r="E54" s="133"/>
      <c r="F54" s="133"/>
      <c r="G54" s="133"/>
      <c r="H54" s="133"/>
    </row>
    <row r="55" spans="1:8" x14ac:dyDescent="0.2">
      <c r="B55" t="s">
        <v>166</v>
      </c>
      <c r="C55" t="e">
        <f>(('Time Matrix'!F47*#REF!)*'Mon (103)'!#REF!) + (('Time Matrix'!F47*#REF!)*'Mon (103)'!#REF!) + (('Time Matrix'!F47*#REF!)*'Mon (103)'!#REF!) + (('Time Matrix'!F47*#REF!)*'Mon (103)'!#REF!)</f>
        <v>#REF!</v>
      </c>
      <c r="D55" t="e">
        <f>(('Time Matrix'!F47*#REF!)*#REF!) + (('Time Matrix'!F47*#REF!)*#REF!) + (('Time Matrix'!F47*#REF!)*#REF!) + (('Time Matrix'!F47*#REF!)*#REF!)</f>
        <v>#REF!</v>
      </c>
      <c r="E55" t="e">
        <f>(('Time Matrix'!F47*#REF!)*#REF!) + (('Time Matrix'!F47*#REF!)*#REF!) + (('Time Matrix'!F47*#REF!)*#REF!) + (('Time Matrix'!F47*#REF!)*#REF!)</f>
        <v>#REF!</v>
      </c>
      <c r="F55" t="e">
        <f>(('Time Matrix'!F47*#REF!)*#REF!) + (('Time Matrix'!F47*#REF!)*#REF!) + (('Time Matrix'!F47*#REF!)*#REF!) + (('Time Matrix'!F47*#REF!)*#REF!)</f>
        <v>#REF!</v>
      </c>
      <c r="G55" t="e">
        <f>(('Time Matrix'!F47*#REF!)*#REF!) + (('Time Matrix'!F47*#REF!)*#REF!) + (('Time Matrix'!F47*#REF!)*#REF!) + (('Time Matrix'!F47*#REF!)*#REF!)</f>
        <v>#REF!</v>
      </c>
      <c r="H55" t="e">
        <f>(('Time Matrix'!F47*#REF!)*#REF!) + (('Time Matrix'!F47*#REF!)*#REF!) + (('Time Matrix'!F47*#REF!)*#REF!) + (('Time Matrix'!F47*#REF!)*#REF!)</f>
        <v>#REF!</v>
      </c>
    </row>
    <row r="56" spans="1:8" x14ac:dyDescent="0.2">
      <c r="B56" t="s">
        <v>167</v>
      </c>
      <c r="C56" t="e">
        <f>(('Time Matrix'!F48*#REF!)*'Mon (103)'!#REF!) + (('Time Matrix'!F48*#REF!)*'Mon (103)'!#REF!) + (('Time Matrix'!F48*#REF!)*'Mon (103)'!#REF!) + (('Time Matrix'!F48*#REF!)*'Mon (103)'!#REF!)</f>
        <v>#REF!</v>
      </c>
      <c r="D56" t="e">
        <f>(('Time Matrix'!F48*#REF!)*#REF!) + (('Time Matrix'!F48*#REF!)*#REF!) + (('Time Matrix'!F48*#REF!)*#REF!) + (('Time Matrix'!F48*#REF!)*#REF!)</f>
        <v>#REF!</v>
      </c>
      <c r="E56" t="e">
        <f>(('Time Matrix'!F48*#REF!)*#REF!) + (('Time Matrix'!F48*#REF!)*#REF!) + (('Time Matrix'!F48*#REF!)*#REF!) + (('Time Matrix'!F48*#REF!)*#REF!)</f>
        <v>#REF!</v>
      </c>
      <c r="F56" t="e">
        <f>(('Time Matrix'!F48*#REF!)*#REF!) + (('Time Matrix'!F48*#REF!)*#REF!) + (('Time Matrix'!F48*#REF!)*#REF!) + (('Time Matrix'!F48*#REF!)*#REF!)</f>
        <v>#REF!</v>
      </c>
      <c r="G56" t="e">
        <f>(('Time Matrix'!F48*#REF!)*#REF!) + (('Time Matrix'!F48*#REF!)*#REF!) + (('Time Matrix'!F48*#REF!)*#REF!) + (('Time Matrix'!F48*#REF!)*#REF!)</f>
        <v>#REF!</v>
      </c>
      <c r="H56" t="e">
        <f>(('Time Matrix'!F48*#REF!)*#REF!) + (('Time Matrix'!F48*#REF!)*#REF!) + (('Time Matrix'!F48*#REF!)*#REF!) + (('Time Matrix'!F48*#REF!)*#REF!)</f>
        <v>#REF!</v>
      </c>
    </row>
    <row r="57" spans="1:8" x14ac:dyDescent="0.2">
      <c r="B57" t="s">
        <v>168</v>
      </c>
      <c r="C57" t="e">
        <f>(('Time Matrix'!F49*#REF!)*'Mon (103)'!#REF!) + (('Time Matrix'!F49*#REF!)*'Mon (103)'!#REF!) + (('Time Matrix'!F49*#REF!)*'Mon (103)'!#REF!) + (('Time Matrix'!F49*#REF!)*'Mon (103)'!#REF!)</f>
        <v>#REF!</v>
      </c>
      <c r="D57" t="e">
        <f>(('Time Matrix'!F49*#REF!)*#REF!) + (('Time Matrix'!F49*#REF!)*#REF!) + (('Time Matrix'!F49*#REF!)*#REF!) + (('Time Matrix'!F49*#REF!)*#REF!)</f>
        <v>#REF!</v>
      </c>
      <c r="E57" t="e">
        <f>(('Time Matrix'!F49*#REF!)*#REF!) + (('Time Matrix'!F49*#REF!)*#REF!) + (('Time Matrix'!F49*#REF!)*#REF!) + (('Time Matrix'!F49*#REF!)*#REF!)</f>
        <v>#REF!</v>
      </c>
      <c r="F57" t="e">
        <f>(('Time Matrix'!F49*#REF!)*#REF!) + (('Time Matrix'!F49*#REF!)*#REF!) + (('Time Matrix'!F49*#REF!)*#REF!) + (('Time Matrix'!F49*#REF!)*#REF!)</f>
        <v>#REF!</v>
      </c>
      <c r="G57" t="e">
        <f>(('Time Matrix'!F49*#REF!)*#REF!) + (('Time Matrix'!F49*#REF!)*#REF!) + (('Time Matrix'!F49*#REF!)*#REF!) + (('Time Matrix'!F49*#REF!)*#REF!)</f>
        <v>#REF!</v>
      </c>
      <c r="H57" t="e">
        <f>(('Time Matrix'!F49*#REF!)*#REF!) + (('Time Matrix'!F49*#REF!)*#REF!) + (('Time Matrix'!F49*#REF!)*#REF!) + (('Time Matrix'!F49*#REF!)*#REF!)</f>
        <v>#REF!</v>
      </c>
    </row>
    <row r="58" spans="1:8" x14ac:dyDescent="0.2">
      <c r="B58" t="s">
        <v>169</v>
      </c>
      <c r="C58" t="e">
        <f>(('Time Matrix'!F50*#REF!)*'Mon (103)'!#REF!) + (('Time Matrix'!F50*#REF!)*'Mon (103)'!#REF!) + (('Time Matrix'!F50*#REF!)*'Mon (103)'!#REF!) + (('Time Matrix'!F50*#REF!)*'Mon (103)'!#REF!)</f>
        <v>#REF!</v>
      </c>
      <c r="D58" t="e">
        <f>(('Time Matrix'!F50*#REF!)*#REF!) + (('Time Matrix'!F50*#REF!)*#REF!) + (('Time Matrix'!F50*#REF!)*#REF!) + (('Time Matrix'!F50*#REF!)*#REF!)</f>
        <v>#REF!</v>
      </c>
      <c r="E58" t="e">
        <f>(('Time Matrix'!F50*#REF!)*#REF!) + (('Time Matrix'!F50*#REF!)*#REF!) + (('Time Matrix'!F50*#REF!)*#REF!) + (('Time Matrix'!F50*#REF!)*#REF!)</f>
        <v>#REF!</v>
      </c>
      <c r="F58" t="e">
        <f>(('Time Matrix'!F50*#REF!)*#REF!) + (('Time Matrix'!F50*#REF!)*#REF!) + (('Time Matrix'!F50*#REF!)*#REF!) + (('Time Matrix'!F50*#REF!)*#REF!)</f>
        <v>#REF!</v>
      </c>
      <c r="G58" t="e">
        <f>(('Time Matrix'!F50*#REF!)*#REF!) + (('Time Matrix'!F50*#REF!)*#REF!) + (('Time Matrix'!F50*#REF!)*#REF!) + (('Time Matrix'!F50*#REF!)*#REF!)</f>
        <v>#REF!</v>
      </c>
      <c r="H58" t="e">
        <f>(('Time Matrix'!F50*#REF!)*#REF!) + (('Time Matrix'!F50*#REF!)*#REF!) + (('Time Matrix'!F50*#REF!)*#REF!) + (('Time Matrix'!F50*#REF!)*#REF!)</f>
        <v>#REF!</v>
      </c>
    </row>
    <row r="59" spans="1:8" x14ac:dyDescent="0.2">
      <c r="B59" t="s">
        <v>170</v>
      </c>
      <c r="C59" t="e">
        <f>(('Time Matrix'!F51*#REF!)*'Mon (103)'!#REF!) + (('Time Matrix'!F51*#REF!)*'Mon (103)'!#REF!) + (('Time Matrix'!F51*#REF!)*'Mon (103)'!#REF!) + (('Time Matrix'!F51*#REF!)*'Mon (103)'!#REF!)</f>
        <v>#REF!</v>
      </c>
      <c r="D59" t="e">
        <f>(('Time Matrix'!F51*#REF!)*#REF!) + (('Time Matrix'!F51*#REF!)*#REF!) + (('Time Matrix'!F51*#REF!)*#REF!) + (('Time Matrix'!F51*#REF!)*#REF!)</f>
        <v>#REF!</v>
      </c>
      <c r="E59" t="e">
        <f>(('Time Matrix'!F51*#REF!)*#REF!) + (('Time Matrix'!F51*#REF!)*#REF!) + (('Time Matrix'!F51*#REF!)*#REF!) + (('Time Matrix'!F51*#REF!)*#REF!)</f>
        <v>#REF!</v>
      </c>
      <c r="F59" t="e">
        <f>(('Time Matrix'!F51*#REF!)*#REF!) + (('Time Matrix'!F51*#REF!)*#REF!) + (('Time Matrix'!F51*#REF!)*#REF!) + (('Time Matrix'!F51*#REF!)*#REF!)</f>
        <v>#REF!</v>
      </c>
      <c r="G59" t="e">
        <f>(('Time Matrix'!F51*#REF!)*#REF!) + (('Time Matrix'!F51*#REF!)*#REF!) + (('Time Matrix'!F51*#REF!)*#REF!) + (('Time Matrix'!F51*#REF!)*#REF!)</f>
        <v>#REF!</v>
      </c>
      <c r="H59" t="e">
        <f>(('Time Matrix'!F51*#REF!)*#REF!) + (('Time Matrix'!F51*#REF!)*#REF!) + (('Time Matrix'!F51*#REF!)*#REF!) + (('Time Matrix'!F51*#REF!)*#REF!)</f>
        <v>#REF!</v>
      </c>
    </row>
    <row r="60" spans="1:8" x14ac:dyDescent="0.2">
      <c r="B60" t="s">
        <v>171</v>
      </c>
      <c r="C60" t="e">
        <f>(('Time Matrix'!F52*#REF!)*'Mon (103)'!#REF!) + (('Time Matrix'!F52*#REF!)*'Mon (103)'!#REF!) + (('Time Matrix'!F52*#REF!)*'Mon (103)'!#REF!) + (('Time Matrix'!F52*#REF!)*'Mon (103)'!#REF!)</f>
        <v>#REF!</v>
      </c>
      <c r="D60" t="e">
        <f>(('Time Matrix'!F52*#REF!)*#REF!) + (('Time Matrix'!F52*#REF!)*#REF!) + (('Time Matrix'!F52*#REF!)*#REF!) + (('Time Matrix'!F52*#REF!)*#REF!)</f>
        <v>#REF!</v>
      </c>
      <c r="E60" t="e">
        <f>(('Time Matrix'!F52*#REF!)*#REF!) + (('Time Matrix'!F52*#REF!)*#REF!) + (('Time Matrix'!F52*#REF!)*#REF!) + (('Time Matrix'!F52*#REF!)*#REF!)</f>
        <v>#REF!</v>
      </c>
      <c r="F60" t="e">
        <f>(('Time Matrix'!F52*#REF!)*#REF!) + (('Time Matrix'!F52*#REF!)*#REF!) + (('Time Matrix'!F52*#REF!)*#REF!) + (('Time Matrix'!F52*#REF!)*#REF!)</f>
        <v>#REF!</v>
      </c>
      <c r="G60" t="e">
        <f>(('Time Matrix'!F52*#REF!)*#REF!) + (('Time Matrix'!F52*#REF!)*#REF!) + (('Time Matrix'!F52*#REF!)*#REF!) + (('Time Matrix'!F52*#REF!)*#REF!)</f>
        <v>#REF!</v>
      </c>
      <c r="H60" t="e">
        <f>(('Time Matrix'!F52*#REF!)*#REF!) + (('Time Matrix'!F52*#REF!)*#REF!) + (('Time Matrix'!F52*#REF!)*#REF!) + (('Time Matrix'!F52*#REF!)*#REF!)</f>
        <v>#REF!</v>
      </c>
    </row>
    <row r="61" spans="1:8" x14ac:dyDescent="0.2">
      <c r="B61" t="s">
        <v>172</v>
      </c>
      <c r="C61" t="e">
        <f>(('Time Matrix'!F53*#REF!)*'Mon (103)'!#REF!) + (('Time Matrix'!F53*#REF!)*'Mon (103)'!#REF!) + (('Time Matrix'!F53*#REF!)*'Mon (103)'!#REF!) + (('Time Matrix'!F53*#REF!)*'Mon (103)'!#REF!)</f>
        <v>#REF!</v>
      </c>
      <c r="D61" t="e">
        <f>(('Time Matrix'!F53*#REF!)*#REF!) + (('Time Matrix'!F53*#REF!)*#REF!) + (('Time Matrix'!F53*#REF!)*#REF!) + (('Time Matrix'!F53*#REF!)*#REF!)</f>
        <v>#REF!</v>
      </c>
      <c r="E61" t="e">
        <f>(('Time Matrix'!F53*#REF!)*#REF!) + (('Time Matrix'!F53*#REF!)*#REF!) + (('Time Matrix'!F53*#REF!)*#REF!) + (('Time Matrix'!F53*#REF!)*#REF!)</f>
        <v>#REF!</v>
      </c>
      <c r="F61" t="e">
        <f>(('Time Matrix'!F53*#REF!)*#REF!) + (('Time Matrix'!F53*#REF!)*#REF!) + (('Time Matrix'!F53*#REF!)*#REF!) + (('Time Matrix'!F53*#REF!)*#REF!)</f>
        <v>#REF!</v>
      </c>
      <c r="G61" t="e">
        <f>(('Time Matrix'!F53*#REF!)*#REF!) + (('Time Matrix'!F53*#REF!)*#REF!) + (('Time Matrix'!F53*#REF!)*#REF!) + (('Time Matrix'!F53*#REF!)*#REF!)</f>
        <v>#REF!</v>
      </c>
      <c r="H61" t="e">
        <f>(('Time Matrix'!F53*#REF!)*#REF!) + (('Time Matrix'!F53*#REF!)*#REF!) + (('Time Matrix'!F53*#REF!)*#REF!) + (('Time Matrix'!F53*#REF!)*#REF!)</f>
        <v>#REF!</v>
      </c>
    </row>
    <row r="62" spans="1:8" x14ac:dyDescent="0.2">
      <c r="B62" t="s">
        <v>173</v>
      </c>
      <c r="C62" t="e">
        <f>(('Time Matrix'!F54*#REF!)*'Mon (103)'!#REF!) + (('Time Matrix'!F54*#REF!)*'Mon (103)'!#REF!) + (('Time Matrix'!F54*#REF!)*'Mon (103)'!#REF!) + (('Time Matrix'!F54*#REF!)*'Mon (103)'!#REF!)</f>
        <v>#REF!</v>
      </c>
      <c r="D62" t="e">
        <f>(('Time Matrix'!F54*#REF!)*#REF!) + (('Time Matrix'!F54*#REF!)*#REF!) + (('Time Matrix'!F54*#REF!)*#REF!) + (('Time Matrix'!F54*#REF!)*#REF!)</f>
        <v>#REF!</v>
      </c>
      <c r="E62" t="e">
        <f>(('Time Matrix'!F54*#REF!)*#REF!) + (('Time Matrix'!F54*#REF!)*#REF!) + (('Time Matrix'!F54*#REF!)*#REF!) + (('Time Matrix'!F54*#REF!)*#REF!)</f>
        <v>#REF!</v>
      </c>
      <c r="F62" t="e">
        <f>(('Time Matrix'!F54*#REF!)*#REF!) + (('Time Matrix'!F54*#REF!)*#REF!) + (('Time Matrix'!F54*#REF!)*#REF!) + (('Time Matrix'!F54*#REF!)*#REF!)</f>
        <v>#REF!</v>
      </c>
      <c r="G62" t="e">
        <f>(('Time Matrix'!F54*#REF!)*#REF!) + (('Time Matrix'!F54*#REF!)*#REF!) + (('Time Matrix'!F54*#REF!)*#REF!) + (('Time Matrix'!F54*#REF!)*#REF!)</f>
        <v>#REF!</v>
      </c>
      <c r="H62" t="e">
        <f>(('Time Matrix'!F54*#REF!)*#REF!) + (('Time Matrix'!F54*#REF!)*#REF!) + (('Time Matrix'!F54*#REF!)*#REF!) + (('Time Matrix'!F54*#REF!)*#REF!)</f>
        <v>#REF!</v>
      </c>
    </row>
    <row r="63" spans="1:8" x14ac:dyDescent="0.2">
      <c r="B63" t="s">
        <v>174</v>
      </c>
      <c r="C63" t="e">
        <f>(('Time Matrix'!F55*#REF!)*'Mon (103)'!#REF!) + (('Time Matrix'!F55*#REF!)*'Mon (103)'!#REF!) + (('Time Matrix'!F55*#REF!)*'Mon (103)'!#REF!) + (('Time Matrix'!F55*#REF!)*'Mon (103)'!#REF!)</f>
        <v>#REF!</v>
      </c>
      <c r="D63" t="e">
        <f>(('Time Matrix'!F55*#REF!)*#REF!) + (('Time Matrix'!F55*#REF!)*#REF!) + (('Time Matrix'!F55*#REF!)*#REF!) + (('Time Matrix'!F55*#REF!)*#REF!)</f>
        <v>#REF!</v>
      </c>
      <c r="E63" t="e">
        <f>(('Time Matrix'!F55*#REF!)*#REF!) + (('Time Matrix'!F55*#REF!)*#REF!) + (('Time Matrix'!F55*#REF!)*#REF!) + (('Time Matrix'!F55*#REF!)*#REF!)</f>
        <v>#REF!</v>
      </c>
      <c r="F63" t="e">
        <f>(('Time Matrix'!F55*#REF!)*#REF!) + (('Time Matrix'!F55*#REF!)*#REF!) + (('Time Matrix'!F55*#REF!)*#REF!) + (('Time Matrix'!F55*#REF!)*#REF!)</f>
        <v>#REF!</v>
      </c>
      <c r="G63" t="e">
        <f>(('Time Matrix'!F55*#REF!)*#REF!) + (('Time Matrix'!F55*#REF!)*#REF!) + (('Time Matrix'!F55*#REF!)*#REF!) + (('Time Matrix'!F55*#REF!)*#REF!)</f>
        <v>#REF!</v>
      </c>
      <c r="H63" t="e">
        <f>(('Time Matrix'!F55*#REF!)*#REF!) + (('Time Matrix'!F55*#REF!)*#REF!) + (('Time Matrix'!F55*#REF!)*#REF!) + (('Time Matrix'!F55*#REF!)*#REF!)</f>
        <v>#REF!</v>
      </c>
    </row>
    <row r="64" spans="1:8" x14ac:dyDescent="0.2">
      <c r="B64" t="s">
        <v>175</v>
      </c>
      <c r="C64" t="e">
        <f>(('Time Matrix'!F56*#REF!)*'Mon (103)'!#REF!) + (('Time Matrix'!F56*#REF!)*'Mon (103)'!#REF!) + (('Time Matrix'!F56*#REF!)*'Mon (103)'!#REF!) + (('Time Matrix'!F56*#REF!)*'Mon (103)'!#REF!)</f>
        <v>#REF!</v>
      </c>
      <c r="D64" t="e">
        <f>(('Time Matrix'!F56*#REF!)*#REF!) + (('Time Matrix'!F56*#REF!)*#REF!) + (('Time Matrix'!F56*#REF!)*#REF!) + (('Time Matrix'!F56*#REF!)*#REF!)</f>
        <v>#REF!</v>
      </c>
      <c r="E64" t="e">
        <f>(('Time Matrix'!F56*#REF!)*#REF!) + (('Time Matrix'!F56*#REF!)*#REF!) + (('Time Matrix'!F56*#REF!)*#REF!) + (('Time Matrix'!F56*#REF!)*#REF!)</f>
        <v>#REF!</v>
      </c>
      <c r="F64" t="e">
        <f>(('Time Matrix'!F56*#REF!)*#REF!) + (('Time Matrix'!F56*#REF!)*#REF!) + (('Time Matrix'!F56*#REF!)*#REF!) + (('Time Matrix'!F56*#REF!)*#REF!)</f>
        <v>#REF!</v>
      </c>
      <c r="G64" t="e">
        <f>(('Time Matrix'!F56*#REF!)*#REF!) + (('Time Matrix'!F56*#REF!)*#REF!) + (('Time Matrix'!F56*#REF!)*#REF!) + (('Time Matrix'!F56*#REF!)*#REF!)</f>
        <v>#REF!</v>
      </c>
      <c r="H64" t="e">
        <f>(('Time Matrix'!F56*#REF!)*#REF!) + (('Time Matrix'!F56*#REF!)*#REF!) + (('Time Matrix'!F56*#REF!)*#REF!) + (('Time Matrix'!F56*#REF!)*#REF!)</f>
        <v>#REF!</v>
      </c>
    </row>
    <row r="65" spans="1:8" x14ac:dyDescent="0.2">
      <c r="B65" t="s">
        <v>176</v>
      </c>
      <c r="C65" t="e">
        <f>(('Time Matrix'!F57*#REF!)*'Mon (103)'!#REF!) + (('Time Matrix'!F57*#REF!)*'Mon (103)'!#REF!) + (('Time Matrix'!F57*#REF!)*'Mon (103)'!#REF!) + (('Time Matrix'!F57*#REF!)*'Mon (103)'!#REF!)</f>
        <v>#REF!</v>
      </c>
      <c r="D65" t="e">
        <f>(('Time Matrix'!F57*#REF!)*#REF!) + (('Time Matrix'!F57*#REF!)*#REF!) + (('Time Matrix'!F57*#REF!)*#REF!) + (('Time Matrix'!F57*#REF!)*#REF!)</f>
        <v>#REF!</v>
      </c>
      <c r="E65" t="e">
        <f>(('Time Matrix'!F57*#REF!)*#REF!) + (('Time Matrix'!F57*#REF!)*#REF!) + (('Time Matrix'!F57*#REF!)*#REF!) + (('Time Matrix'!F57*#REF!)*#REF!)</f>
        <v>#REF!</v>
      </c>
      <c r="F65" t="e">
        <f>(('Time Matrix'!F57*#REF!)*#REF!) + (('Time Matrix'!F57*#REF!)*#REF!) + (('Time Matrix'!F57*#REF!)*#REF!) + (('Time Matrix'!F57*#REF!)*#REF!)</f>
        <v>#REF!</v>
      </c>
      <c r="G65" t="e">
        <f>(('Time Matrix'!F57*#REF!)*#REF!) + (('Time Matrix'!F57*#REF!)*#REF!) + (('Time Matrix'!F57*#REF!)*#REF!) + (('Time Matrix'!F57*#REF!)*#REF!)</f>
        <v>#REF!</v>
      </c>
      <c r="H65" t="e">
        <f>(('Time Matrix'!F57*#REF!)*#REF!) + (('Time Matrix'!F57*#REF!)*#REF!) + (('Time Matrix'!F57*#REF!)*#REF!) + (('Time Matrix'!F57*#REF!)*#REF!)</f>
        <v>#REF!</v>
      </c>
    </row>
    <row r="66" spans="1:8" x14ac:dyDescent="0.2">
      <c r="B66" t="s">
        <v>123</v>
      </c>
      <c r="C66" t="e">
        <f>(('Time Matrix'!F58*#REF!)*'Mon (103)'!#REF!) + (('Time Matrix'!F58*#REF!)*'Mon (103)'!#REF!) + (('Time Matrix'!F58*#REF!)*'Mon (103)'!#REF!) + (('Time Matrix'!F58*#REF!)*'Mon (103)'!#REF!)</f>
        <v>#REF!</v>
      </c>
      <c r="D66" t="e">
        <f>(('Time Matrix'!F58*#REF!)*#REF!) + (('Time Matrix'!F58*#REF!)*#REF!) + (('Time Matrix'!F58*#REF!)*#REF!) + (('Time Matrix'!F58*#REF!)*#REF!)</f>
        <v>#REF!</v>
      </c>
      <c r="E66" t="e">
        <f>(('Time Matrix'!F58*#REF!)*#REF!) + (('Time Matrix'!F58*#REF!)*#REF!) + (('Time Matrix'!F58*#REF!)*#REF!) + (('Time Matrix'!F58*#REF!)*#REF!)</f>
        <v>#REF!</v>
      </c>
      <c r="F66" t="e">
        <f>(('Time Matrix'!F58*#REF!)*#REF!) + (('Time Matrix'!F58*#REF!)*#REF!) + (('Time Matrix'!F58*#REF!)*#REF!) + (('Time Matrix'!F58*#REF!)*#REF!)</f>
        <v>#REF!</v>
      </c>
      <c r="G66" t="e">
        <f>(('Time Matrix'!F58*#REF!)*#REF!) + (('Time Matrix'!F58*#REF!)*#REF!) + (('Time Matrix'!F58*#REF!)*#REF!) + (('Time Matrix'!F58*#REF!)*#REF!)</f>
        <v>#REF!</v>
      </c>
      <c r="H66" t="e">
        <f>(('Time Matrix'!F58*#REF!)*#REF!) + (('Time Matrix'!F58*#REF!)*#REF!) + (('Time Matrix'!F58*#REF!)*#REF!) + (('Time Matrix'!F58*#REF!)*#REF!)</f>
        <v>#REF!</v>
      </c>
    </row>
    <row r="67" spans="1:8" x14ac:dyDescent="0.2">
      <c r="A67" s="128" t="s">
        <v>165</v>
      </c>
      <c r="B67" s="129"/>
      <c r="C67" t="e">
        <f>SUM(C55:C66)</f>
        <v>#REF!</v>
      </c>
      <c r="D67" t="e">
        <f t="shared" ref="D67:H67" si="4">SUM(D55:D66)</f>
        <v>#REF!</v>
      </c>
      <c r="E67" t="e">
        <f t="shared" si="4"/>
        <v>#REF!</v>
      </c>
      <c r="F67" t="e">
        <f t="shared" si="4"/>
        <v>#REF!</v>
      </c>
      <c r="G67" t="e">
        <f t="shared" si="4"/>
        <v>#REF!</v>
      </c>
      <c r="H67" t="e">
        <f t="shared" si="4"/>
        <v>#REF!</v>
      </c>
    </row>
    <row r="68" spans="1:8" x14ac:dyDescent="0.2">
      <c r="A68" s="134" t="s">
        <v>66</v>
      </c>
      <c r="B68" s="135"/>
      <c r="C68" s="135"/>
      <c r="D68" s="135"/>
      <c r="E68" s="135"/>
      <c r="F68" s="135"/>
      <c r="G68" s="135"/>
      <c r="H68" s="135"/>
    </row>
    <row r="69" spans="1:8" x14ac:dyDescent="0.2">
      <c r="A69">
        <v>5011</v>
      </c>
      <c r="B69" t="s">
        <v>63</v>
      </c>
      <c r="C69" t="e">
        <f>(('Time Matrix'!G59*#REF!)*'Mon (103)'!#REF!) + (('Time Matrix'!G59*#REF!)*'Mon (103)'!#REF!) + (('Time Matrix'!G59*#REF!)*'Mon (103)'!#REF!) + (('Time Matrix'!G59*#REF!)*'Mon (103)'!#REF!)</f>
        <v>#REF!</v>
      </c>
      <c r="D69" t="e">
        <f>(('Time Matrix'!G59*#REF!)*#REF!) + (('Time Matrix'!G59*#REF!)*#REF!) + (('Time Matrix'!G59*#REF!)*#REF!) + (('Time Matrix'!G59*#REF!)*#REF!)</f>
        <v>#REF!</v>
      </c>
      <c r="E69" t="e">
        <f>(('Time Matrix'!G59*#REF!)*#REF!) + (('Time Matrix'!G59*#REF!)*#REF!) + (('Time Matrix'!G59*#REF!)*#REF!) + (('Time Matrix'!G59*#REF!)*#REF!)</f>
        <v>#REF!</v>
      </c>
      <c r="F69" t="e">
        <f>(('Time Matrix'!G59*#REF!)*#REF!) + (('Time Matrix'!G59*#REF!)*#REF!) + (('Time Matrix'!G59*#REF!)*#REF!) + (('Time Matrix'!G59*#REF!)*#REF!)</f>
        <v>#REF!</v>
      </c>
      <c r="G69" t="e">
        <f>(('Time Matrix'!G59*#REF!)*#REF!) + (('Time Matrix'!G59*#REF!)*#REF!) + (('Time Matrix'!G59*#REF!)*#REF!) + (('Time Matrix'!G59*#REF!)*#REF!)</f>
        <v>#REF!</v>
      </c>
      <c r="H69" t="e">
        <f>(('Time Matrix'!G59*#REF!)*#REF!) + (('Time Matrix'!G59*#REF!)*#REF!) + (('Time Matrix'!G59*#REF!)*#REF!) + (('Time Matrix'!G59*#REF!)*#REF!)</f>
        <v>#REF!</v>
      </c>
    </row>
    <row r="70" spans="1:8" x14ac:dyDescent="0.2">
      <c r="A70">
        <v>1408</v>
      </c>
      <c r="B70" t="s">
        <v>64</v>
      </c>
      <c r="C70" t="e">
        <f>(('Time Matrix'!G60*#REF!)*'Mon (103)'!#REF!) + (('Time Matrix'!G60*#REF!)*'Mon (103)'!#REF!) + (('Time Matrix'!G60*#REF!)*'Mon (103)'!#REF!) + (('Time Matrix'!G60*#REF!)*'Mon (103)'!#REF!)</f>
        <v>#REF!</v>
      </c>
      <c r="D70" t="e">
        <f>(('Time Matrix'!G60*#REF!)*#REF!) + (('Time Matrix'!G60*#REF!)*#REF!) + (('Time Matrix'!G60*#REF!)*#REF!) + (('Time Matrix'!G60*#REF!)*#REF!)</f>
        <v>#REF!</v>
      </c>
      <c r="E70" t="e">
        <f>(('Time Matrix'!G60*#REF!)*#REF!) + (('Time Matrix'!G60*#REF!)*#REF!) + (('Time Matrix'!G60*#REF!)*#REF!) + (('Time Matrix'!G60*#REF!)*#REF!)</f>
        <v>#REF!</v>
      </c>
      <c r="F70" t="e">
        <f>(('Time Matrix'!G60*#REF!)*#REF!) + (('Time Matrix'!G60*#REF!)*#REF!) + (('Time Matrix'!G60*#REF!)*#REF!) + (('Time Matrix'!G60*#REF!)*#REF!)</f>
        <v>#REF!</v>
      </c>
      <c r="G70" t="e">
        <f>(('Time Matrix'!G60*#REF!)*#REF!) + (('Time Matrix'!G60*#REF!)*#REF!) + (('Time Matrix'!G60*#REF!)*#REF!) + (('Time Matrix'!G60*#REF!)*#REF!)</f>
        <v>#REF!</v>
      </c>
      <c r="H70" t="e">
        <f>(('Time Matrix'!G60*#REF!)*#REF!) + (('Time Matrix'!G60*#REF!)*#REF!) + (('Time Matrix'!G60*#REF!)*#REF!) + (('Time Matrix'!G60*#REF!)*#REF!)</f>
        <v>#REF!</v>
      </c>
    </row>
    <row r="71" spans="1:8" x14ac:dyDescent="0.2">
      <c r="A71">
        <v>5007</v>
      </c>
      <c r="B71" t="s">
        <v>65</v>
      </c>
      <c r="C71" t="e">
        <f>(('Time Matrix'!G61*#REF!)*'Mon (103)'!#REF!) + (('Time Matrix'!G61*#REF!)*'Mon (103)'!#REF!) + (('Time Matrix'!G61*#REF!)*'Mon (103)'!#REF!) + (('Time Matrix'!G61*#REF!)*'Mon (103)'!#REF!)</f>
        <v>#REF!</v>
      </c>
      <c r="D71" t="e">
        <f>(('Time Matrix'!G61*#REF!)*#REF!) + (('Time Matrix'!G61*#REF!)*#REF!) + (('Time Matrix'!G61*#REF!)*#REF!) + (('Time Matrix'!G61*#REF!)*#REF!)</f>
        <v>#REF!</v>
      </c>
      <c r="E71" t="e">
        <f>(('Time Matrix'!G61*#REF!)*#REF!) + (('Time Matrix'!G61*#REF!)*#REF!) + (('Time Matrix'!G61*#REF!)*#REF!) + (('Time Matrix'!G61*#REF!)*#REF!)</f>
        <v>#REF!</v>
      </c>
      <c r="F71" t="e">
        <f>(('Time Matrix'!G61*#REF!)*#REF!) + (('Time Matrix'!G61*#REF!)*#REF!) + (('Time Matrix'!G61*#REF!)*#REF!) + (('Time Matrix'!G61*#REF!)*#REF!)</f>
        <v>#REF!</v>
      </c>
      <c r="G71" t="e">
        <f>(('Time Matrix'!G61*#REF!)*#REF!) + (('Time Matrix'!G61*#REF!)*#REF!) + (('Time Matrix'!G61*#REF!)*#REF!) + (('Time Matrix'!G61*#REF!)*#REF!)</f>
        <v>#REF!</v>
      </c>
      <c r="H71" t="e">
        <f>(('Time Matrix'!G61*#REF!)*#REF!) + (('Time Matrix'!G61*#REF!)*#REF!) + (('Time Matrix'!G61*#REF!)*#REF!) + (('Time Matrix'!G61*#REF!)*#REF!)</f>
        <v>#REF!</v>
      </c>
    </row>
    <row r="72" spans="1:8" x14ac:dyDescent="0.2">
      <c r="A72" s="128" t="s">
        <v>165</v>
      </c>
      <c r="B72" s="129"/>
      <c r="C72" t="e">
        <f>SUM(C69:C71)</f>
        <v>#REF!</v>
      </c>
      <c r="D72" t="e">
        <f t="shared" ref="D72:H72" si="5">SUM(D69:D71)</f>
        <v>#REF!</v>
      </c>
      <c r="E72" t="e">
        <f t="shared" si="5"/>
        <v>#REF!</v>
      </c>
      <c r="F72" t="e">
        <f t="shared" si="5"/>
        <v>#REF!</v>
      </c>
      <c r="G72" t="e">
        <f t="shared" si="5"/>
        <v>#REF!</v>
      </c>
      <c r="H72" t="e">
        <f t="shared" si="5"/>
        <v>#REF!</v>
      </c>
    </row>
    <row r="73" spans="1:8" x14ac:dyDescent="0.2">
      <c r="A73" s="136" t="s">
        <v>94</v>
      </c>
      <c r="B73" s="137"/>
      <c r="C73" s="137"/>
      <c r="D73" s="137"/>
      <c r="E73" s="137"/>
      <c r="F73" s="137"/>
      <c r="G73" s="137"/>
      <c r="H73" s="137"/>
    </row>
    <row r="74" spans="1:8" x14ac:dyDescent="0.2">
      <c r="B74" t="s">
        <v>109</v>
      </c>
      <c r="C74" t="e">
        <f>(('Time Matrix'!H62*#REF!)*'Mon (103)'!#REF!) + (('Time Matrix'!H62*#REF!)*'Mon (103)'!#REF!) + (('Time Matrix'!H62*#REF!)*'Mon (103)'!#REF!) + (('Time Matrix'!H62*#REF!)*'Mon (103)'!#REF!)</f>
        <v>#REF!</v>
      </c>
      <c r="D74" t="e">
        <f>(('Time Matrix'!H62*#REF!)*#REF!) + (('Time Matrix'!H62*#REF!)*#REF!) + (('Time Matrix'!H62*#REF!)*#REF!) + (('Time Matrix'!H62*#REF!)*#REF!)</f>
        <v>#REF!</v>
      </c>
      <c r="E74" t="e">
        <f>(('Time Matrix'!H62*#REF!)*#REF!) + (('Time Matrix'!H62*#REF!)*#REF!) + (('Time Matrix'!H62*#REF!)*#REF!) + (('Time Matrix'!H62*#REF!)*#REF!)</f>
        <v>#REF!</v>
      </c>
      <c r="F74" t="e">
        <f>(('Time Matrix'!H62*#REF!)*#REF!) + (('Time Matrix'!H62*#REF!)*#REF!) + (('Time Matrix'!H62*#REF!)*#REF!) + (('Time Matrix'!H62*#REF!)*#REF!)</f>
        <v>#REF!</v>
      </c>
      <c r="G74" t="e">
        <f>(('Time Matrix'!H62*#REF!)*#REF!) + (('Time Matrix'!H62*#REF!)*#REF!) + (('Time Matrix'!H62*#REF!)*#REF!) + (('Time Matrix'!H62*#REF!)*#REF!)</f>
        <v>#REF!</v>
      </c>
      <c r="H74" t="e">
        <f>(('Time Matrix'!H62*#REF!)*#REF!) + (('Time Matrix'!H62*#REF!)*#REF!) + (('Time Matrix'!H62*#REF!)*#REF!) + (('Time Matrix'!H62*#REF!)*#REF!)</f>
        <v>#REF!</v>
      </c>
    </row>
    <row r="75" spans="1:8" x14ac:dyDescent="0.2">
      <c r="B75" t="s">
        <v>91</v>
      </c>
      <c r="C75" t="e">
        <f>(('Time Matrix'!H63*#REF!)*'Mon (103)'!#REF!) + (('Time Matrix'!H63*#REF!)*'Mon (103)'!#REF!) + (('Time Matrix'!H63*#REF!)*'Mon (103)'!#REF!) + (('Time Matrix'!H63*#REF!)*'Mon (103)'!#REF!)</f>
        <v>#REF!</v>
      </c>
      <c r="D75" t="e">
        <f>(('Time Matrix'!H63*#REF!)*#REF!) + (('Time Matrix'!H63*#REF!)*#REF!) + (('Time Matrix'!H63*#REF!)*#REF!) + (('Time Matrix'!H63*#REF!)*#REF!)</f>
        <v>#REF!</v>
      </c>
      <c r="E75" t="e">
        <f>(('Time Matrix'!H63*#REF!)*#REF!) + (('Time Matrix'!H63*#REF!)*#REF!) + (('Time Matrix'!H63*#REF!)*#REF!) + (('Time Matrix'!H63*#REF!)*#REF!)</f>
        <v>#REF!</v>
      </c>
      <c r="F75" t="e">
        <f>(('Time Matrix'!H63*#REF!)*#REF!) + (('Time Matrix'!H63*#REF!)*#REF!) + (('Time Matrix'!H63*#REF!)*#REF!) + (('Time Matrix'!H63*#REF!)*#REF!)</f>
        <v>#REF!</v>
      </c>
      <c r="G75" t="e">
        <f>(('Time Matrix'!H63*#REF!)*#REF!) + (('Time Matrix'!H63*#REF!)*#REF!) + (('Time Matrix'!H63*#REF!)*#REF!) + (('Time Matrix'!H63*#REF!)*#REF!)</f>
        <v>#REF!</v>
      </c>
      <c r="H75" t="e">
        <f>(('Time Matrix'!H63*#REF!)*#REF!) + (('Time Matrix'!H63*#REF!)*#REF!) + (('Time Matrix'!H63*#REF!)*#REF!) + (('Time Matrix'!H63*#REF!)*#REF!)</f>
        <v>#REF!</v>
      </c>
    </row>
    <row r="76" spans="1:8" x14ac:dyDescent="0.2">
      <c r="B76" t="s">
        <v>92</v>
      </c>
      <c r="C76" t="e">
        <f>(('Time Matrix'!H64*#REF!)*'Mon (103)'!#REF!) + (('Time Matrix'!H64*#REF!)*'Mon (103)'!#REF!) + (('Time Matrix'!H64*#REF!)*'Mon (103)'!#REF!) + (('Time Matrix'!H64*#REF!)*'Mon (103)'!#REF!)</f>
        <v>#REF!</v>
      </c>
      <c r="D76" t="e">
        <f>(('Time Matrix'!H64*#REF!)*#REF!) + (('Time Matrix'!H64*#REF!)*#REF!) + (('Time Matrix'!H64*#REF!)*#REF!) + (('Time Matrix'!H64*#REF!)*#REF!)</f>
        <v>#REF!</v>
      </c>
      <c r="E76" t="e">
        <f>(('Time Matrix'!H64*#REF!)*#REF!) + (('Time Matrix'!H64*#REF!)*#REF!) + (('Time Matrix'!H64*#REF!)*#REF!) + (('Time Matrix'!H64*#REF!)*#REF!)</f>
        <v>#REF!</v>
      </c>
      <c r="F76" t="e">
        <f>(('Time Matrix'!H64*#REF!)*#REF!) + (('Time Matrix'!H64*#REF!)*#REF!) + (('Time Matrix'!H64*#REF!)*#REF!) + (('Time Matrix'!H64*#REF!)*#REF!)</f>
        <v>#REF!</v>
      </c>
      <c r="G76" t="e">
        <f>(('Time Matrix'!H64*#REF!)*#REF!) + (('Time Matrix'!H64*#REF!)*#REF!) + (('Time Matrix'!H64*#REF!)*#REF!) + (('Time Matrix'!H64*#REF!)*#REF!)</f>
        <v>#REF!</v>
      </c>
      <c r="H76" t="e">
        <f>(('Time Matrix'!H64*#REF!)*#REF!) + (('Time Matrix'!H64*#REF!)*#REF!) + (('Time Matrix'!H64*#REF!)*#REF!) + (('Time Matrix'!H64*#REF!)*#REF!)</f>
        <v>#REF!</v>
      </c>
    </row>
    <row r="77" spans="1:8" x14ac:dyDescent="0.2">
      <c r="A77">
        <v>7092</v>
      </c>
      <c r="B77" t="s">
        <v>93</v>
      </c>
      <c r="C77" t="e">
        <f>(('Time Matrix'!H65*#REF!)*'Mon (103)'!#REF!) + (('Time Matrix'!H65*#REF!)*'Mon (103)'!#REF!) + (('Time Matrix'!H65*#REF!)*'Mon (103)'!#REF!) + (('Time Matrix'!H65*#REF!)*'Mon (103)'!#REF!)</f>
        <v>#REF!</v>
      </c>
      <c r="D77" t="e">
        <f>(('Time Matrix'!H65*#REF!)*#REF!) + (('Time Matrix'!H65*#REF!)*#REF!) + (('Time Matrix'!H65*#REF!)*#REF!) + (('Time Matrix'!H65*#REF!)*#REF!)</f>
        <v>#REF!</v>
      </c>
      <c r="E77" t="e">
        <f>(('Time Matrix'!H65*#REF!)*#REF!) + (('Time Matrix'!H65*#REF!)*#REF!) + (('Time Matrix'!H65*#REF!)*#REF!) + (('Time Matrix'!H65*#REF!)*#REF!)</f>
        <v>#REF!</v>
      </c>
      <c r="F77" t="e">
        <f>(('Time Matrix'!H65*#REF!)*#REF!) + (('Time Matrix'!H65*#REF!)*#REF!) + (('Time Matrix'!H65*#REF!)*#REF!) + (('Time Matrix'!H65*#REF!)*#REF!)</f>
        <v>#REF!</v>
      </c>
      <c r="G77" t="e">
        <f>(('Time Matrix'!H65*#REF!)*#REF!) + (('Time Matrix'!H65*#REF!)*#REF!) + (('Time Matrix'!H65*#REF!)*#REF!) + (('Time Matrix'!H65*#REF!)*#REF!)</f>
        <v>#REF!</v>
      </c>
      <c r="H77" t="e">
        <f>(('Time Matrix'!H65*#REF!)*#REF!) + (('Time Matrix'!H65*#REF!)*#REF!) + (('Time Matrix'!H65*#REF!)*#REF!) + (('Time Matrix'!H65*#REF!)*#REF!)</f>
        <v>#REF!</v>
      </c>
    </row>
    <row r="78" spans="1:8" x14ac:dyDescent="0.2">
      <c r="A78" s="128" t="s">
        <v>165</v>
      </c>
      <c r="B78" s="129"/>
      <c r="C78" t="e">
        <f>SUM(C74:C77)</f>
        <v>#REF!</v>
      </c>
      <c r="D78" t="e">
        <f t="shared" ref="D78:H78" si="6">SUM(D74:D77)</f>
        <v>#REF!</v>
      </c>
      <c r="E78" t="e">
        <f t="shared" si="6"/>
        <v>#REF!</v>
      </c>
      <c r="F78" t="e">
        <f t="shared" si="6"/>
        <v>#REF!</v>
      </c>
      <c r="G78" t="e">
        <f t="shared" si="6"/>
        <v>#REF!</v>
      </c>
      <c r="H78" t="e">
        <f t="shared" si="6"/>
        <v>#REF!</v>
      </c>
    </row>
    <row r="79" spans="1:8" x14ac:dyDescent="0.2">
      <c r="A79" s="136" t="s">
        <v>128</v>
      </c>
      <c r="B79" s="137"/>
      <c r="C79" s="137"/>
      <c r="D79" s="137"/>
      <c r="E79" s="137"/>
      <c r="F79" s="137"/>
      <c r="G79" s="137"/>
      <c r="H79" s="137"/>
    </row>
    <row r="80" spans="1:8" x14ac:dyDescent="0.2">
      <c r="B80" t="s">
        <v>95</v>
      </c>
      <c r="C80" t="e">
        <f>(('Time Matrix'!I66*#REF!)*'Mon (103)'!#REF!) + (('Time Matrix'!I66*#REF!)*'Mon (103)'!#REF!) + (('Time Matrix'!I66*#REF!)*'Mon (103)'!#REF!) + (('Time Matrix'!I66*#REF!)*'Mon (103)'!#REF!)</f>
        <v>#REF!</v>
      </c>
      <c r="D80" t="e">
        <f>(('Time Matrix'!I66*#REF!)*#REF!) + (('Time Matrix'!I66*#REF!)*#REF!) + (('Time Matrix'!I66*#REF!)*#REF!) + (('Time Matrix'!I66*#REF!)*#REF!)</f>
        <v>#REF!</v>
      </c>
      <c r="E80" t="e">
        <f>(('Time Matrix'!I66*#REF!)*#REF!) + (('Time Matrix'!I66*#REF!)*#REF!) + (('Time Matrix'!I66*#REF!)*#REF!) + (('Time Matrix'!I66*#REF!)*#REF!)</f>
        <v>#REF!</v>
      </c>
      <c r="F80" t="e">
        <f>(('Time Matrix'!I66*#REF!)*#REF!) + (('Time Matrix'!I66*#REF!)*#REF!) + (('Time Matrix'!I66*#REF!)*#REF!) + (('Time Matrix'!I66*#REF!)*#REF!)</f>
        <v>#REF!</v>
      </c>
      <c r="G80" t="e">
        <f>(('Time Matrix'!I66*#REF!)*#REF!) + (('Time Matrix'!I66*#REF!)*#REF!) + (('Time Matrix'!I66*#REF!)*#REF!) + (('Time Matrix'!I66*#REF!)*#REF!)</f>
        <v>#REF!</v>
      </c>
      <c r="H80" t="e">
        <f>(('Time Matrix'!I66*#REF!)*#REF!) + (('Time Matrix'!I66*#REF!)*#REF!) + (('Time Matrix'!I66*#REF!)*#REF!) + (('Time Matrix'!I66*#REF!)*#REF!)</f>
        <v>#REF!</v>
      </c>
    </row>
    <row r="81" spans="1:8" x14ac:dyDescent="0.2">
      <c r="B81" t="s">
        <v>96</v>
      </c>
      <c r="C81" t="e">
        <f>(('Time Matrix'!I67*#REF!)*'Mon (103)'!#REF!) + (('Time Matrix'!I67*#REF!)*'Mon (103)'!#REF!) + (('Time Matrix'!I67*#REF!)*'Mon (103)'!#REF!) + (('Time Matrix'!I67*#REF!)*'Mon (103)'!#REF!)</f>
        <v>#REF!</v>
      </c>
      <c r="D81" t="e">
        <f>(('Time Matrix'!I67*#REF!)*#REF!) + (('Time Matrix'!I67*#REF!)*#REF!) + (('Time Matrix'!I67*#REF!)*#REF!) + (('Time Matrix'!I67*#REF!)*#REF!)</f>
        <v>#REF!</v>
      </c>
      <c r="E81" t="e">
        <f>(('Time Matrix'!I67*#REF!)*#REF!) + (('Time Matrix'!I67*#REF!)*#REF!) + (('Time Matrix'!I67*#REF!)*#REF!) + (('Time Matrix'!I67*#REF!)*#REF!)</f>
        <v>#REF!</v>
      </c>
      <c r="F81" t="e">
        <f>(('Time Matrix'!I67*#REF!)*#REF!) + (('Time Matrix'!I67*#REF!)*#REF!) + (('Time Matrix'!I67*#REF!)*#REF!) + (('Time Matrix'!I67*#REF!)*#REF!)</f>
        <v>#REF!</v>
      </c>
      <c r="G81" t="e">
        <f>(('Time Matrix'!I67*#REF!)*#REF!) + (('Time Matrix'!I67*#REF!)*#REF!) + (('Time Matrix'!I67*#REF!)*#REF!) + (('Time Matrix'!I67*#REF!)*#REF!)</f>
        <v>#REF!</v>
      </c>
      <c r="H81" t="e">
        <f>(('Time Matrix'!I67*#REF!)*#REF!) + (('Time Matrix'!I67*#REF!)*#REF!) + (('Time Matrix'!I67*#REF!)*#REF!) + (('Time Matrix'!I67*#REF!)*#REF!)</f>
        <v>#REF!</v>
      </c>
    </row>
    <row r="82" spans="1:8" x14ac:dyDescent="0.2">
      <c r="B82" t="s">
        <v>98</v>
      </c>
      <c r="C82" t="e">
        <f>(('Time Matrix'!I68*#REF!)*'Mon (103)'!#REF!) + (('Time Matrix'!I68*#REF!)*'Mon (103)'!#REF!) + (('Time Matrix'!I68*#REF!)*'Mon (103)'!#REF!) + (('Time Matrix'!I68*#REF!)*'Mon (103)'!#REF!)</f>
        <v>#REF!</v>
      </c>
      <c r="D82" t="e">
        <f>(('Time Matrix'!I68*#REF!)*#REF!) + (('Time Matrix'!I68*#REF!)*#REF!) + (('Time Matrix'!I68*#REF!)*#REF!) + (('Time Matrix'!I68*#REF!)*#REF!)</f>
        <v>#REF!</v>
      </c>
      <c r="E82" t="e">
        <f>(('Time Matrix'!I68*#REF!)*#REF!) + (('Time Matrix'!I68*#REF!)*#REF!) + (('Time Matrix'!I68*#REF!)*#REF!) + (('Time Matrix'!I68*#REF!)*#REF!)</f>
        <v>#REF!</v>
      </c>
      <c r="F82" t="e">
        <f>(('Time Matrix'!I68*#REF!)*#REF!) + (('Time Matrix'!I68*#REF!)*#REF!) + (('Time Matrix'!I68*#REF!)*#REF!) + (('Time Matrix'!I68*#REF!)*#REF!)</f>
        <v>#REF!</v>
      </c>
      <c r="G82" t="e">
        <f>(('Time Matrix'!I68*#REF!)*#REF!) + (('Time Matrix'!I68*#REF!)*#REF!) + (('Time Matrix'!I68*#REF!)*#REF!) + (('Time Matrix'!I68*#REF!)*#REF!)</f>
        <v>#REF!</v>
      </c>
      <c r="H82" t="e">
        <f>(('Time Matrix'!I68*#REF!)*#REF!) + (('Time Matrix'!I68*#REF!)*#REF!) + (('Time Matrix'!I68*#REF!)*#REF!) + (('Time Matrix'!I68*#REF!)*#REF!)</f>
        <v>#REF!</v>
      </c>
    </row>
    <row r="83" spans="1:8" x14ac:dyDescent="0.2">
      <c r="B83" t="s">
        <v>97</v>
      </c>
      <c r="C83" t="e">
        <f>(('Time Matrix'!I69*#REF!)*'Mon (103)'!#REF!) + (('Time Matrix'!I69*#REF!)*'Mon (103)'!#REF!) + (('Time Matrix'!I69*#REF!)*'Mon (103)'!#REF!) + (('Time Matrix'!I69*#REF!)*'Mon (103)'!#REF!)</f>
        <v>#REF!</v>
      </c>
      <c r="D83" t="e">
        <f>(('Time Matrix'!I69*#REF!)*#REF!) + (('Time Matrix'!I69*#REF!)*#REF!) + (('Time Matrix'!I69*#REF!)*#REF!) + (('Time Matrix'!I69*#REF!)*#REF!)</f>
        <v>#REF!</v>
      </c>
      <c r="E83" t="e">
        <f>(('Time Matrix'!I69*#REF!)*#REF!) + (('Time Matrix'!I69*#REF!)*#REF!) + (('Time Matrix'!I69*#REF!)*#REF!) + (('Time Matrix'!I69*#REF!)*#REF!)</f>
        <v>#REF!</v>
      </c>
      <c r="F83" t="e">
        <f>(('Time Matrix'!I69*#REF!)*#REF!) + (('Time Matrix'!I69*#REF!)*#REF!) + (('Time Matrix'!I69*#REF!)*#REF!) + (('Time Matrix'!I69*#REF!)*#REF!)</f>
        <v>#REF!</v>
      </c>
      <c r="G83" t="e">
        <f>(('Time Matrix'!I69*#REF!)*#REF!) + (('Time Matrix'!I69*#REF!)*#REF!) + (('Time Matrix'!I69*#REF!)*#REF!) + (('Time Matrix'!I69*#REF!)*#REF!)</f>
        <v>#REF!</v>
      </c>
      <c r="H83" t="e">
        <f>(('Time Matrix'!I69*#REF!)*#REF!) + (('Time Matrix'!I69*#REF!)*#REF!) + (('Time Matrix'!I69*#REF!)*#REF!) + (('Time Matrix'!I69*#REF!)*#REF!)</f>
        <v>#REF!</v>
      </c>
    </row>
    <row r="84" spans="1:8" x14ac:dyDescent="0.2">
      <c r="B84" t="s">
        <v>99</v>
      </c>
      <c r="C84" t="e">
        <f>(('Time Matrix'!I70*#REF!)*'Mon (103)'!#REF!) + (('Time Matrix'!I70*#REF!)*'Mon (103)'!#REF!) + (('Time Matrix'!I70*#REF!)*'Mon (103)'!#REF!) + (('Time Matrix'!I70*#REF!)*'Mon (103)'!#REF!)</f>
        <v>#REF!</v>
      </c>
      <c r="D84" t="e">
        <f>(('Time Matrix'!I70*#REF!)*#REF!) + (('Time Matrix'!I70*#REF!)*#REF!) + (('Time Matrix'!I70*#REF!)*#REF!) + (('Time Matrix'!I70*#REF!)*#REF!)</f>
        <v>#REF!</v>
      </c>
      <c r="E84" t="e">
        <f>(('Time Matrix'!I70*#REF!)*#REF!) + (('Time Matrix'!I70*#REF!)*#REF!) + (('Time Matrix'!I70*#REF!)*#REF!) + (('Time Matrix'!I70*#REF!)*#REF!)</f>
        <v>#REF!</v>
      </c>
      <c r="F84" t="e">
        <f>(('Time Matrix'!I70*#REF!)*#REF!) + (('Time Matrix'!I70*#REF!)*#REF!) + (('Time Matrix'!I70*#REF!)*#REF!) + (('Time Matrix'!I70*#REF!)*#REF!)</f>
        <v>#REF!</v>
      </c>
      <c r="G84" t="e">
        <f>(('Time Matrix'!I70*#REF!)*#REF!) + (('Time Matrix'!I70*#REF!)*#REF!) + (('Time Matrix'!I70*#REF!)*#REF!) + (('Time Matrix'!I70*#REF!)*#REF!)</f>
        <v>#REF!</v>
      </c>
      <c r="H84" t="e">
        <f>(('Time Matrix'!I70*#REF!)*#REF!) + (('Time Matrix'!I70*#REF!)*#REF!) + (('Time Matrix'!I70*#REF!)*#REF!) + (('Time Matrix'!I70*#REF!)*#REF!)</f>
        <v>#REF!</v>
      </c>
    </row>
    <row r="85" spans="1:8" x14ac:dyDescent="0.2">
      <c r="B85" t="s">
        <v>100</v>
      </c>
      <c r="C85" t="e">
        <f>(('Time Matrix'!I71*#REF!)*'Mon (103)'!#REF!) + (('Time Matrix'!I71*#REF!)*'Mon (103)'!#REF!) + (('Time Matrix'!I71*#REF!)*'Mon (103)'!#REF!) + (('Time Matrix'!I71*#REF!)*'Mon (103)'!#REF!)</f>
        <v>#REF!</v>
      </c>
      <c r="D85" t="e">
        <f>(('Time Matrix'!I71*#REF!)*#REF!) + (('Time Matrix'!I71*#REF!)*#REF!) + (('Time Matrix'!I71*#REF!)*#REF!) + (('Time Matrix'!I71*#REF!)*#REF!)</f>
        <v>#REF!</v>
      </c>
      <c r="E85" t="e">
        <f>(('Time Matrix'!I71*#REF!)*#REF!) + (('Time Matrix'!I71*#REF!)*#REF!) + (('Time Matrix'!I71*#REF!)*#REF!) + (('Time Matrix'!I71*#REF!)*#REF!)</f>
        <v>#REF!</v>
      </c>
      <c r="F85" t="e">
        <f>(('Time Matrix'!I71*#REF!)*#REF!) + (('Time Matrix'!I71*#REF!)*#REF!) + (('Time Matrix'!I71*#REF!)*#REF!) + (('Time Matrix'!I71*#REF!)*#REF!)</f>
        <v>#REF!</v>
      </c>
      <c r="G85" t="e">
        <f>(('Time Matrix'!I71*#REF!)*#REF!) + (('Time Matrix'!I71*#REF!)*#REF!) + (('Time Matrix'!I71*#REF!)*#REF!) + (('Time Matrix'!I71*#REF!)*#REF!)</f>
        <v>#REF!</v>
      </c>
      <c r="H85" t="e">
        <f>(('Time Matrix'!I71*#REF!)*#REF!) + (('Time Matrix'!I71*#REF!)*#REF!) + (('Time Matrix'!I71*#REF!)*#REF!) + (('Time Matrix'!I71*#REF!)*#REF!)</f>
        <v>#REF!</v>
      </c>
    </row>
    <row r="86" spans="1:8" x14ac:dyDescent="0.2">
      <c r="A86" s="128" t="s">
        <v>165</v>
      </c>
      <c r="B86" s="129"/>
      <c r="C86" t="e">
        <f>SUM(C80:C85)</f>
        <v>#REF!</v>
      </c>
      <c r="D86" t="e">
        <f t="shared" ref="D86:H86" si="7">SUM(D80:D85)</f>
        <v>#REF!</v>
      </c>
      <c r="E86" t="e">
        <f t="shared" si="7"/>
        <v>#REF!</v>
      </c>
      <c r="F86" t="e">
        <f t="shared" si="7"/>
        <v>#REF!</v>
      </c>
      <c r="G86" t="e">
        <f t="shared" si="7"/>
        <v>#REF!</v>
      </c>
      <c r="H86" t="e">
        <f t="shared" si="7"/>
        <v>#REF!</v>
      </c>
    </row>
    <row r="87" spans="1:8" x14ac:dyDescent="0.2">
      <c r="A87" s="136" t="s">
        <v>103</v>
      </c>
      <c r="B87" s="137"/>
      <c r="C87" s="137"/>
      <c r="D87" s="137"/>
      <c r="E87" s="137"/>
      <c r="F87" s="137"/>
      <c r="G87" s="137"/>
      <c r="H87" s="137"/>
    </row>
    <row r="88" spans="1:8" x14ac:dyDescent="0.2">
      <c r="A88">
        <v>500458</v>
      </c>
      <c r="B88" t="s">
        <v>104</v>
      </c>
      <c r="C88" t="e">
        <f>(('Time Matrix'!J72*#REF!)*'Mon (103)'!#REF!) + (('Time Matrix'!J72*#REF!)*'Mon (103)'!#REF!) + (('Time Matrix'!J72*#REF!)*'Mon (103)'!#REF!) + (('Time Matrix'!J72*#REF!)*'Mon (103)'!#REF!)</f>
        <v>#REF!</v>
      </c>
      <c r="D88" t="e">
        <f>(('Time Matrix'!J72*#REF!)*#REF!) + (('Time Matrix'!J72*#REF!)*#REF!) + (('Time Matrix'!J72*#REF!)*#REF!) + (('Time Matrix'!J72*#REF!)*#REF!)</f>
        <v>#REF!</v>
      </c>
      <c r="E88" t="e">
        <f>(('Time Matrix'!J72*#REF!)*#REF!) + (('Time Matrix'!J72*#REF!)*#REF!) + (('Time Matrix'!J72*#REF!)*#REF!) + (('Time Matrix'!J72*#REF!)*#REF!)</f>
        <v>#REF!</v>
      </c>
      <c r="F88" t="e">
        <f>(('Time Matrix'!J72*#REF!)*#REF!) + (('Time Matrix'!J72*#REF!)*#REF!) + (('Time Matrix'!J72*#REF!)*#REF!) + (('Time Matrix'!J72*#REF!)*#REF!)</f>
        <v>#REF!</v>
      </c>
      <c r="G88" t="e">
        <f>(('Time Matrix'!J72*#REF!)*#REF!) + (('Time Matrix'!J72*#REF!)*#REF!) + (('Time Matrix'!J72*#REF!)*#REF!) + (('Time Matrix'!J72*#REF!)*#REF!)</f>
        <v>#REF!</v>
      </c>
      <c r="H88" t="e">
        <f>(('Time Matrix'!J72*#REF!)*#REF!) + (('Time Matrix'!J72*#REF!)*#REF!) + (('Time Matrix'!J72*#REF!)*#REF!) + (('Time Matrix'!J72*#REF!)*#REF!)</f>
        <v>#REF!</v>
      </c>
    </row>
    <row r="89" spans="1:8" x14ac:dyDescent="0.2">
      <c r="A89">
        <v>500458</v>
      </c>
      <c r="B89" t="s">
        <v>105</v>
      </c>
      <c r="C89" t="e">
        <f>(('Time Matrix'!J73*#REF!)*'Mon (103)'!#REF!) + (('Time Matrix'!J73*#REF!)*'Mon (103)'!#REF!) + (('Time Matrix'!J73*#REF!)*'Mon (103)'!#REF!) + (('Time Matrix'!J73*#REF!)*'Mon (103)'!#REF!)</f>
        <v>#REF!</v>
      </c>
      <c r="D89" t="e">
        <f>(('Time Matrix'!J73*#REF!)*#REF!) + (('Time Matrix'!J73*#REF!)*#REF!) + (('Time Matrix'!J73*#REF!)*#REF!) + (('Time Matrix'!J73*#REF!)*#REF!)</f>
        <v>#REF!</v>
      </c>
      <c r="E89" t="e">
        <f>(('Time Matrix'!J73*#REF!)*#REF!) + (('Time Matrix'!J73*#REF!)*#REF!) + (('Time Matrix'!J73*#REF!)*#REF!) + (('Time Matrix'!J73*#REF!)*#REF!)</f>
        <v>#REF!</v>
      </c>
      <c r="F89" t="e">
        <f>(('Time Matrix'!J73*#REF!)*#REF!) + (('Time Matrix'!J73*#REF!)*#REF!) + (('Time Matrix'!J73*#REF!)*#REF!) + (('Time Matrix'!J73*#REF!)*#REF!)</f>
        <v>#REF!</v>
      </c>
      <c r="G89" t="e">
        <f>(('Time Matrix'!J73*#REF!)*#REF!) + (('Time Matrix'!J73*#REF!)*#REF!) + (('Time Matrix'!J73*#REF!)*#REF!) + (('Time Matrix'!J73*#REF!)*#REF!)</f>
        <v>#REF!</v>
      </c>
      <c r="H89" t="e">
        <f>(('Time Matrix'!J73*#REF!)*#REF!) + (('Time Matrix'!J73*#REF!)*#REF!) + (('Time Matrix'!J73*#REF!)*#REF!) + (('Time Matrix'!J73*#REF!)*#REF!)</f>
        <v>#REF!</v>
      </c>
    </row>
    <row r="90" spans="1:8" x14ac:dyDescent="0.2">
      <c r="A90">
        <v>500458</v>
      </c>
      <c r="B90" t="s">
        <v>106</v>
      </c>
      <c r="C90" t="e">
        <f>(('Time Matrix'!J74*#REF!)*'Mon (103)'!#REF!) + (('Time Matrix'!J74*#REF!)*'Mon (103)'!#REF!) + (('Time Matrix'!J74*#REF!)*'Mon (103)'!#REF!) + (('Time Matrix'!J74*#REF!)*'Mon (103)'!#REF!)</f>
        <v>#REF!</v>
      </c>
      <c r="D90" t="e">
        <f>(('Time Matrix'!J74*#REF!)*#REF!) + (('Time Matrix'!J74*#REF!)*#REF!) + (('Time Matrix'!J74*#REF!)*#REF!) + (('Time Matrix'!J74*#REF!)*#REF!)</f>
        <v>#REF!</v>
      </c>
      <c r="E90" t="e">
        <f>(('Time Matrix'!J74*#REF!)*#REF!) + (('Time Matrix'!J74*#REF!)*#REF!) + (('Time Matrix'!J74*#REF!)*#REF!) + (('Time Matrix'!J74*#REF!)*#REF!)</f>
        <v>#REF!</v>
      </c>
      <c r="F90" t="e">
        <f>(('Time Matrix'!J74*#REF!)*#REF!) + (('Time Matrix'!J74*#REF!)*#REF!) + (('Time Matrix'!J74*#REF!)*#REF!) + (('Time Matrix'!J74*#REF!)*#REF!)</f>
        <v>#REF!</v>
      </c>
      <c r="G90" t="e">
        <f>(('Time Matrix'!J74*#REF!)*#REF!) + (('Time Matrix'!J74*#REF!)*#REF!) + (('Time Matrix'!J74*#REF!)*#REF!) + (('Time Matrix'!J74*#REF!)*#REF!)</f>
        <v>#REF!</v>
      </c>
      <c r="H90" t="e">
        <f>(('Time Matrix'!J74*#REF!)*#REF!) + (('Time Matrix'!J74*#REF!)*#REF!) + (('Time Matrix'!J74*#REF!)*#REF!) + (('Time Matrix'!J74*#REF!)*#REF!)</f>
        <v>#REF!</v>
      </c>
    </row>
    <row r="91" spans="1:8" x14ac:dyDescent="0.2">
      <c r="A91" s="128" t="s">
        <v>165</v>
      </c>
      <c r="B91" s="129"/>
      <c r="C91" t="e">
        <f>SUM(C88:C90)</f>
        <v>#REF!</v>
      </c>
      <c r="D91" t="e">
        <f>SUM(D88:D90)</f>
        <v>#REF!</v>
      </c>
      <c r="E91" t="e">
        <f t="shared" ref="E91:H91" si="8">SUM(E88:E90)</f>
        <v>#REF!</v>
      </c>
      <c r="F91" t="e">
        <f t="shared" si="8"/>
        <v>#REF!</v>
      </c>
      <c r="G91" t="e">
        <f t="shared" si="8"/>
        <v>#REF!</v>
      </c>
      <c r="H91" t="e">
        <f t="shared" si="8"/>
        <v>#REF!</v>
      </c>
    </row>
    <row r="92" spans="1:8" x14ac:dyDescent="0.2">
      <c r="A92" s="136" t="s">
        <v>46</v>
      </c>
      <c r="B92" s="137"/>
      <c r="C92" s="137"/>
      <c r="D92" s="137"/>
      <c r="E92" s="137"/>
      <c r="F92" s="137"/>
      <c r="G92" s="137"/>
      <c r="H92" s="137"/>
    </row>
    <row r="93" spans="1:8" x14ac:dyDescent="0.2">
      <c r="A93">
        <v>42521681</v>
      </c>
      <c r="B93" t="s">
        <v>25</v>
      </c>
      <c r="C93" t="e">
        <f>(('Time Matrix'!K75*#REF!)*'Mon (103)'!#REF!) + (('Time Matrix'!K75*#REF!)*'Mon (103)'!#REF!) + (('Time Matrix'!K75*#REF!)*'Mon (103)'!#REF!) + (('Time Matrix'!K75*#REF!)*'Mon (103)'!#REF!)</f>
        <v>#REF!</v>
      </c>
      <c r="D93" t="e">
        <f>(('Time Matrix'!K75*#REF!)*#REF!) + (('Time Matrix'!K75*#REF!)*#REF!) + (('Time Matrix'!K75*#REF!)*#REF!) + (('Time Matrix'!K75*#REF!)*#REF!)</f>
        <v>#REF!</v>
      </c>
      <c r="E93" t="e">
        <f>(('Time Matrix'!K75*#REF!)*#REF!) + (('Time Matrix'!K75*#REF!)*#REF!) + (('Time Matrix'!K75*#REF!)*#REF!) + (('Time Matrix'!K75*#REF!)*#REF!)</f>
        <v>#REF!</v>
      </c>
      <c r="F93" t="e">
        <f>(('Time Matrix'!K75*#REF!)*#REF!) + (('Time Matrix'!K75*#REF!)*#REF!) + (('Time Matrix'!K75*#REF!)*#REF!) + (('Time Matrix'!K75*#REF!)*#REF!)</f>
        <v>#REF!</v>
      </c>
      <c r="G93" t="e">
        <f>(('Time Matrix'!K75*#REF!)*#REF!) + (('Time Matrix'!K75*#REF!)*#REF!) + (('Time Matrix'!K75*#REF!)*#REF!) + (('Time Matrix'!K75*#REF!)*#REF!)</f>
        <v>#REF!</v>
      </c>
      <c r="H93" t="e">
        <f>(('Time Matrix'!K75*#REF!)*#REF!) + (('Time Matrix'!K75*#REF!)*#REF!) + (('Time Matrix'!K75*#REF!)*#REF!) + (('Time Matrix'!K75*#REF!)*#REF!)</f>
        <v>#REF!</v>
      </c>
    </row>
    <row r="94" spans="1:8" x14ac:dyDescent="0.2">
      <c r="A94">
        <v>42521680</v>
      </c>
      <c r="B94" t="s">
        <v>26</v>
      </c>
      <c r="C94" t="e">
        <f>(('Time Matrix'!K76*#REF!)*'Mon (103)'!#REF!) + (('Time Matrix'!K76*#REF!)*'Mon (103)'!#REF!) + (('Time Matrix'!K76*#REF!)*'Mon (103)'!#REF!) + (('Time Matrix'!K76*#REF!)*'Mon (103)'!#REF!)</f>
        <v>#REF!</v>
      </c>
      <c r="D94" t="e">
        <f>(('Time Matrix'!K76*#REF!)*#REF!) + (('Time Matrix'!K76*#REF!)*#REF!) + (('Time Matrix'!K76*#REF!)*#REF!) + (('Time Matrix'!K76*#REF!)*#REF!)</f>
        <v>#REF!</v>
      </c>
      <c r="E94" t="e">
        <f>(('Time Matrix'!K76*#REF!)*#REF!) + (('Time Matrix'!K76*#REF!)*#REF!) + (('Time Matrix'!K76*#REF!)*#REF!) + (('Time Matrix'!K76*#REF!)*#REF!)</f>
        <v>#REF!</v>
      </c>
      <c r="F94" t="e">
        <f>(('Time Matrix'!K76*#REF!)*#REF!) + (('Time Matrix'!K76*#REF!)*#REF!) + (('Time Matrix'!K76*#REF!)*#REF!) + (('Time Matrix'!K76*#REF!)*#REF!)</f>
        <v>#REF!</v>
      </c>
      <c r="G94" t="e">
        <f>(('Time Matrix'!K76*#REF!)*#REF!) + (('Time Matrix'!K76*#REF!)*#REF!) + (('Time Matrix'!K76*#REF!)*#REF!) + (('Time Matrix'!K76*#REF!)*#REF!)</f>
        <v>#REF!</v>
      </c>
      <c r="H94" t="e">
        <f>(('Time Matrix'!K76*#REF!)*#REF!) + (('Time Matrix'!K76*#REF!)*#REF!) + (('Time Matrix'!K76*#REF!)*#REF!) + (('Time Matrix'!K76*#REF!)*#REF!)</f>
        <v>#REF!</v>
      </c>
    </row>
    <row r="95" spans="1:8" x14ac:dyDescent="0.2">
      <c r="A95">
        <v>42521683</v>
      </c>
      <c r="B95" t="s">
        <v>27</v>
      </c>
      <c r="C95" t="e">
        <f>(('Time Matrix'!K77*#REF!)*'Mon (103)'!#REF!) + (('Time Matrix'!K77*#REF!)*'Mon (103)'!#REF!) + (('Time Matrix'!K77*#REF!)*'Mon (103)'!#REF!) + (('Time Matrix'!K77*#REF!)*'Mon (103)'!#REF!)</f>
        <v>#REF!</v>
      </c>
      <c r="D95" t="e">
        <f>(('Time Matrix'!K77*#REF!)*#REF!) + (('Time Matrix'!K77*#REF!)*#REF!) + (('Time Matrix'!K77*#REF!)*#REF!) + (('Time Matrix'!K77*#REF!)*#REF!)</f>
        <v>#REF!</v>
      </c>
      <c r="E95" t="e">
        <f>(('Time Matrix'!K77*#REF!)*#REF!) + (('Time Matrix'!K77*#REF!)*#REF!) + (('Time Matrix'!K77*#REF!)*#REF!) + (('Time Matrix'!K77*#REF!)*#REF!)</f>
        <v>#REF!</v>
      </c>
      <c r="F95" t="e">
        <f>(('Time Matrix'!K77*#REF!)*#REF!) + (('Time Matrix'!K77*#REF!)*#REF!) + (('Time Matrix'!K77*#REF!)*#REF!) + (('Time Matrix'!K77*#REF!)*#REF!)</f>
        <v>#REF!</v>
      </c>
      <c r="G95" t="e">
        <f>(('Time Matrix'!K77*#REF!)*#REF!) + (('Time Matrix'!K77*#REF!)*#REF!) + (('Time Matrix'!K77*#REF!)*#REF!) + (('Time Matrix'!K77*#REF!)*#REF!)</f>
        <v>#REF!</v>
      </c>
      <c r="H95" t="e">
        <f>(('Time Matrix'!K77*#REF!)*#REF!) + (('Time Matrix'!K77*#REF!)*#REF!) + (('Time Matrix'!K77*#REF!)*#REF!) + (('Time Matrix'!K77*#REF!)*#REF!)</f>
        <v>#REF!</v>
      </c>
    </row>
    <row r="96" spans="1:8" x14ac:dyDescent="0.2">
      <c r="A96">
        <v>42521682</v>
      </c>
      <c r="B96" t="s">
        <v>28</v>
      </c>
      <c r="C96" t="e">
        <f>(('Time Matrix'!K78*#REF!)*'Mon (103)'!#REF!) + (('Time Matrix'!K78*#REF!)*'Mon (103)'!#REF!) + (('Time Matrix'!K78*#REF!)*'Mon (103)'!#REF!) + (('Time Matrix'!K78*#REF!)*'Mon (103)'!#REF!)</f>
        <v>#REF!</v>
      </c>
      <c r="D96" t="e">
        <f>(('Time Matrix'!K78*#REF!)*#REF!) + (('Time Matrix'!K78*#REF!)*#REF!) + (('Time Matrix'!K78*#REF!)*#REF!) + (('Time Matrix'!K78*#REF!)*#REF!)</f>
        <v>#REF!</v>
      </c>
      <c r="E96" t="e">
        <f>(('Time Matrix'!K78*#REF!)*#REF!) + (('Time Matrix'!K78*#REF!)*#REF!) + (('Time Matrix'!K78*#REF!)*#REF!) + (('Time Matrix'!K78*#REF!)*#REF!)</f>
        <v>#REF!</v>
      </c>
      <c r="F96" t="e">
        <f>(('Time Matrix'!K78*#REF!)*#REF!) + (('Time Matrix'!K78*#REF!)*#REF!) + (('Time Matrix'!K78*#REF!)*#REF!) + (('Time Matrix'!K78*#REF!)*#REF!)</f>
        <v>#REF!</v>
      </c>
      <c r="G96" t="e">
        <f>(('Time Matrix'!K78*#REF!)*#REF!) + (('Time Matrix'!K78*#REF!)*#REF!) + (('Time Matrix'!K78*#REF!)*#REF!) + (('Time Matrix'!K78*#REF!)*#REF!)</f>
        <v>#REF!</v>
      </c>
      <c r="H96" t="e">
        <f>(('Time Matrix'!K78*#REF!)*#REF!) + (('Time Matrix'!K78*#REF!)*#REF!) + (('Time Matrix'!K78*#REF!)*#REF!) + (('Time Matrix'!K78*#REF!)*#REF!)</f>
        <v>#REF!</v>
      </c>
    </row>
    <row r="97" spans="1:8" x14ac:dyDescent="0.2">
      <c r="A97" s="128" t="s">
        <v>165</v>
      </c>
      <c r="B97" s="129"/>
      <c r="C97" t="e">
        <f>SUM(C93:C96)</f>
        <v>#REF!</v>
      </c>
      <c r="D97" t="e">
        <f>SUM(D93:D96)</f>
        <v>#REF!</v>
      </c>
      <c r="E97" t="e">
        <f t="shared" ref="E97:H97" si="9">SUM(E93:E96)</f>
        <v>#REF!</v>
      </c>
      <c r="F97" t="e">
        <f t="shared" si="9"/>
        <v>#REF!</v>
      </c>
      <c r="G97" t="e">
        <f t="shared" si="9"/>
        <v>#REF!</v>
      </c>
      <c r="H97" t="e">
        <f t="shared" si="9"/>
        <v>#REF!</v>
      </c>
    </row>
    <row r="98" spans="1:8" x14ac:dyDescent="0.2">
      <c r="A98" s="136" t="s">
        <v>143</v>
      </c>
      <c r="B98" s="137"/>
      <c r="C98" s="137"/>
      <c r="D98" s="137"/>
      <c r="E98" s="137"/>
      <c r="F98" s="137"/>
      <c r="G98" s="137"/>
      <c r="H98" s="137"/>
    </row>
    <row r="99" spans="1:8" x14ac:dyDescent="0.2">
      <c r="A99">
        <v>80931</v>
      </c>
      <c r="B99" t="s">
        <v>145</v>
      </c>
      <c r="C99" t="e">
        <f>(('Time Matrix'!L79*#REF!)*'Mon (103)'!#REF!) + (('Time Matrix'!L79*#REF!)*'Mon (103)'!#REF!) + (('Time Matrix'!L79*#REF!)*'Mon (103)'!#REF!) + (('Time Matrix'!L79*#REF!)*'Mon (103)'!#REF!)</f>
        <v>#REF!</v>
      </c>
      <c r="D99" t="e">
        <f>(('Time Matrix'!L79*#REF!)*#REF!) + (('Time Matrix'!L79*#REF!)*#REF!) + (('Time Matrix'!L79*#REF!)*#REF!) + (('Time Matrix'!L79*#REF!)*#REF!)</f>
        <v>#REF!</v>
      </c>
      <c r="E99" t="e">
        <f>(('Time Matrix'!L79*#REF!)*#REF!) + (('Time Matrix'!L79*#REF!)*#REF!) + (('Time Matrix'!L79*#REF!)*#REF!) + (('Time Matrix'!L79*#REF!)*#REF!)</f>
        <v>#REF!</v>
      </c>
      <c r="F99" t="e">
        <f>(('Time Matrix'!L79*#REF!)*#REF!) + (('Time Matrix'!L79*#REF!)*#REF!) + (('Time Matrix'!L79*#REF!)*#REF!) + (('Time Matrix'!L79*#REF!)*#REF!)</f>
        <v>#REF!</v>
      </c>
      <c r="G99" t="e">
        <f>(('Time Matrix'!L79*#REF!)*#REF!) + (('Time Matrix'!L79*#REF!)*#REF!) + (('Time Matrix'!L79*#REF!)*#REF!) + (('Time Matrix'!L79*#REF!)*#REF!)</f>
        <v>#REF!</v>
      </c>
      <c r="H99" t="e">
        <f>(('Time Matrix'!L79*#REF!)*#REF!) + (('Time Matrix'!L79*#REF!)*#REF!) + (('Time Matrix'!L79*#REF!)*#REF!) + (('Time Matrix'!L79*#REF!)*#REF!)</f>
        <v>#REF!</v>
      </c>
    </row>
    <row r="100" spans="1:8" x14ac:dyDescent="0.2">
      <c r="A100">
        <v>80930</v>
      </c>
      <c r="B100" t="s">
        <v>144</v>
      </c>
      <c r="C100" t="e">
        <f>(('Time Matrix'!L80*#REF!)*'Mon (103)'!#REF!) + (('Time Matrix'!L80*#REF!)*'Mon (103)'!#REF!) + (('Time Matrix'!L80*#REF!)*'Mon (103)'!#REF!) + (('Time Matrix'!L80*#REF!)*'Mon (103)'!#REF!)</f>
        <v>#REF!</v>
      </c>
      <c r="D100" t="e">
        <f>(('Time Matrix'!L80*#REF!)*#REF!) + (('Time Matrix'!L80*#REF!)*#REF!) + (('Time Matrix'!L80*#REF!)*#REF!) + (('Time Matrix'!L80*#REF!)*#REF!)</f>
        <v>#REF!</v>
      </c>
      <c r="E100" t="e">
        <f>(('Time Matrix'!L80*#REF!)*#REF!) + (('Time Matrix'!L80*#REF!)*#REF!) + (('Time Matrix'!L80*#REF!)*#REF!) + (('Time Matrix'!L80*#REF!)*#REF!)</f>
        <v>#REF!</v>
      </c>
      <c r="F100" t="e">
        <f>(('Time Matrix'!L80*#REF!)*#REF!) + (('Time Matrix'!L80*#REF!)*#REF!) + (('Time Matrix'!L80*#REF!)*#REF!) + (('Time Matrix'!L80*#REF!)*#REF!)</f>
        <v>#REF!</v>
      </c>
      <c r="G100" t="e">
        <f>(('Time Matrix'!L80*#REF!)*#REF!) + (('Time Matrix'!L80*#REF!)*#REF!) + (('Time Matrix'!L80*#REF!)*#REF!) + (('Time Matrix'!L80*#REF!)*#REF!)</f>
        <v>#REF!</v>
      </c>
      <c r="H100" t="e">
        <f>(('Time Matrix'!L80*#REF!)*#REF!) + (('Time Matrix'!L80*#REF!)*#REF!) + (('Time Matrix'!L80*#REF!)*#REF!) + (('Time Matrix'!L80*#REF!)*#REF!)</f>
        <v>#REF!</v>
      </c>
    </row>
    <row r="101" spans="1:8" x14ac:dyDescent="0.2">
      <c r="A101">
        <v>80933</v>
      </c>
      <c r="B101" t="s">
        <v>147</v>
      </c>
      <c r="C101" t="e">
        <f>(('Time Matrix'!L81*#REF!)*'Mon (103)'!#REF!) + (('Time Matrix'!L81*#REF!)*'Mon (103)'!#REF!) + (('Time Matrix'!L81*#REF!)*'Mon (103)'!#REF!) + (('Time Matrix'!L81*#REF!)*'Mon (103)'!#REF!)</f>
        <v>#REF!</v>
      </c>
      <c r="D101" t="e">
        <f>(('Time Matrix'!L81*#REF!)*#REF!) + (('Time Matrix'!L81*#REF!)*#REF!) + (('Time Matrix'!L81*#REF!)*#REF!) + (('Time Matrix'!L81*#REF!)*#REF!)</f>
        <v>#REF!</v>
      </c>
      <c r="E101" t="e">
        <f>(('Time Matrix'!L81*#REF!)*#REF!) + (('Time Matrix'!L81*#REF!)*#REF!) + (('Time Matrix'!L81*#REF!)*#REF!) + (('Time Matrix'!L81*#REF!)*#REF!)</f>
        <v>#REF!</v>
      </c>
      <c r="F101" t="e">
        <f>(('Time Matrix'!L81*#REF!)*#REF!) + (('Time Matrix'!L81*#REF!)*#REF!) + (('Time Matrix'!L81*#REF!)*#REF!) + (('Time Matrix'!L81*#REF!)*#REF!)</f>
        <v>#REF!</v>
      </c>
      <c r="G101" t="e">
        <f>(('Time Matrix'!L81*#REF!)*#REF!) + (('Time Matrix'!L81*#REF!)*#REF!) + (('Time Matrix'!L81*#REF!)*#REF!) + (('Time Matrix'!L81*#REF!)*#REF!)</f>
        <v>#REF!</v>
      </c>
      <c r="H101" t="e">
        <f>(('Time Matrix'!L81*#REF!)*#REF!) + (('Time Matrix'!L81*#REF!)*#REF!) + (('Time Matrix'!L81*#REF!)*#REF!) + (('Time Matrix'!L81*#REF!)*#REF!)</f>
        <v>#REF!</v>
      </c>
    </row>
    <row r="102" spans="1:8" x14ac:dyDescent="0.2">
      <c r="A102">
        <v>80932</v>
      </c>
      <c r="B102" t="s">
        <v>146</v>
      </c>
      <c r="C102" t="e">
        <f>(('Time Matrix'!L82*#REF!)*'Mon (103)'!#REF!) + (('Time Matrix'!L82*#REF!)*'Mon (103)'!#REF!) + (('Time Matrix'!L82*#REF!)*'Mon (103)'!#REF!) + (('Time Matrix'!L82*#REF!)*'Mon (103)'!#REF!)</f>
        <v>#REF!</v>
      </c>
      <c r="D102" t="e">
        <f>(('Time Matrix'!L82*#REF!)*#REF!) + (('Time Matrix'!L82*#REF!)*#REF!) + (('Time Matrix'!L82*#REF!)*#REF!) + (('Time Matrix'!L82*#REF!)*#REF!)</f>
        <v>#REF!</v>
      </c>
      <c r="E102" t="e">
        <f>(('Time Matrix'!L82*#REF!)*#REF!) + (('Time Matrix'!L82*#REF!)*#REF!) + (('Time Matrix'!L82*#REF!)*#REF!) + (('Time Matrix'!L82*#REF!)*#REF!)</f>
        <v>#REF!</v>
      </c>
      <c r="F102" t="e">
        <f>(('Time Matrix'!L82*#REF!)*#REF!) + (('Time Matrix'!L82*#REF!)*#REF!) + (('Time Matrix'!L82*#REF!)*#REF!) + (('Time Matrix'!L82*#REF!)*#REF!)</f>
        <v>#REF!</v>
      </c>
      <c r="G102" t="e">
        <f>(('Time Matrix'!L82*#REF!)*#REF!) + (('Time Matrix'!L82*#REF!)*#REF!) + (('Time Matrix'!L82*#REF!)*#REF!) + (('Time Matrix'!L82*#REF!)*#REF!)</f>
        <v>#REF!</v>
      </c>
      <c r="H102" t="e">
        <f>(('Time Matrix'!L82*#REF!)*#REF!) + (('Time Matrix'!L82*#REF!)*#REF!) + (('Time Matrix'!L82*#REF!)*#REF!) + (('Time Matrix'!L82*#REF!)*#REF!)</f>
        <v>#REF!</v>
      </c>
    </row>
    <row r="103" spans="1:8" x14ac:dyDescent="0.2">
      <c r="A103" t="s">
        <v>148</v>
      </c>
      <c r="C103" t="e">
        <f>(('Time Matrix'!L83*#REF!)*'Mon (103)'!#REF!) + (('Time Matrix'!L83*#REF!)*'Mon (103)'!#REF!) + (('Time Matrix'!L83*#REF!)*'Mon (103)'!#REF!) + (('Time Matrix'!L83*#REF!)*'Mon (103)'!#REF!)</f>
        <v>#REF!</v>
      </c>
      <c r="D103" t="e">
        <f>(('Time Matrix'!L83*#REF!)*#REF!) + (('Time Matrix'!L83*#REF!)*#REF!) + (('Time Matrix'!L83*#REF!)*#REF!) + (('Time Matrix'!L83*#REF!)*#REF!)</f>
        <v>#REF!</v>
      </c>
      <c r="E103" t="e">
        <f>(('Time Matrix'!L83*#REF!)*#REF!) + (('Time Matrix'!L83*#REF!)*#REF!) + (('Time Matrix'!L83*#REF!)*#REF!) + (('Time Matrix'!L83*#REF!)*#REF!)</f>
        <v>#REF!</v>
      </c>
      <c r="F103" t="e">
        <f>(('Time Matrix'!L83*#REF!)*#REF!) + (('Time Matrix'!L83*#REF!)*#REF!) + (('Time Matrix'!L83*#REF!)*#REF!) + (('Time Matrix'!L83*#REF!)*#REF!)</f>
        <v>#REF!</v>
      </c>
      <c r="G103" t="e">
        <f>(('Time Matrix'!L83*#REF!)*#REF!) + (('Time Matrix'!L83*#REF!)*#REF!) + (('Time Matrix'!L83*#REF!)*#REF!) + (('Time Matrix'!L83*#REF!)*#REF!)</f>
        <v>#REF!</v>
      </c>
      <c r="H103" t="e">
        <f>(('Time Matrix'!L83*#REF!)*#REF!) + (('Time Matrix'!L83*#REF!)*#REF!) + (('Time Matrix'!L83*#REF!)*#REF!) + (('Time Matrix'!L83*#REF!)*#REF!)</f>
        <v>#REF!</v>
      </c>
    </row>
    <row r="104" spans="1:8" x14ac:dyDescent="0.2">
      <c r="A104" t="s">
        <v>148</v>
      </c>
      <c r="C104" t="e">
        <f>(('Time Matrix'!L84*#REF!)*'Mon (103)'!#REF!) + (('Time Matrix'!L84*#REF!)*'Mon (103)'!#REF!) + (('Time Matrix'!L84*#REF!)*'Mon (103)'!#REF!) + (('Time Matrix'!L84*#REF!)*'Mon (103)'!#REF!)</f>
        <v>#REF!</v>
      </c>
      <c r="D104" t="e">
        <f>(('Time Matrix'!L84*#REF!)*#REF!) + (('Time Matrix'!L84*#REF!)*#REF!) + (('Time Matrix'!L84*#REF!)*#REF!) + (('Time Matrix'!L84*#REF!)*#REF!)</f>
        <v>#REF!</v>
      </c>
      <c r="E104" t="e">
        <f>(('Time Matrix'!L84*#REF!)*#REF!) + (('Time Matrix'!L84*#REF!)*#REF!) + (('Time Matrix'!L84*#REF!)*#REF!) + (('Time Matrix'!L84*#REF!)*#REF!)</f>
        <v>#REF!</v>
      </c>
      <c r="F104" t="e">
        <f>(('Time Matrix'!L84*#REF!)*#REF!) + (('Time Matrix'!L84*#REF!)*#REF!) + (('Time Matrix'!L84*#REF!)*#REF!) + (('Time Matrix'!L84*#REF!)*#REF!)</f>
        <v>#REF!</v>
      </c>
      <c r="G104" t="e">
        <f>(('Time Matrix'!L84*#REF!)*#REF!) + (('Time Matrix'!L84*#REF!)*#REF!) + (('Time Matrix'!L84*#REF!)*#REF!) + (('Time Matrix'!L84*#REF!)*#REF!)</f>
        <v>#REF!</v>
      </c>
      <c r="H104" t="e">
        <f>(('Time Matrix'!L84*#REF!)*#REF!) + (('Time Matrix'!L84*#REF!)*#REF!) + (('Time Matrix'!L84*#REF!)*#REF!) + (('Time Matrix'!L84*#REF!)*#REF!)</f>
        <v>#REF!</v>
      </c>
    </row>
    <row r="105" spans="1:8" x14ac:dyDescent="0.2">
      <c r="A105" s="128" t="s">
        <v>165</v>
      </c>
      <c r="B105" s="129"/>
      <c r="C105" t="e">
        <f>SUM(C99:C104)</f>
        <v>#REF!</v>
      </c>
      <c r="D105" t="e">
        <f>SUM(D99:D104)</f>
        <v>#REF!</v>
      </c>
      <c r="E105" t="e">
        <f t="shared" ref="E105:H105" si="10">SUM(E99:E104)</f>
        <v>#REF!</v>
      </c>
      <c r="F105" t="e">
        <f t="shared" si="10"/>
        <v>#REF!</v>
      </c>
      <c r="G105" t="e">
        <f t="shared" si="10"/>
        <v>#REF!</v>
      </c>
      <c r="H105" t="e">
        <f t="shared" si="10"/>
        <v>#REF!</v>
      </c>
    </row>
    <row r="106" spans="1:8" x14ac:dyDescent="0.2">
      <c r="A106" s="130" t="s">
        <v>30</v>
      </c>
      <c r="B106" s="131"/>
      <c r="C106" s="131"/>
      <c r="D106" s="131"/>
      <c r="E106" s="131"/>
      <c r="F106" s="131"/>
      <c r="G106" s="131"/>
      <c r="H106" s="131"/>
    </row>
    <row r="107" spans="1:8" x14ac:dyDescent="0.2">
      <c r="A107" t="s">
        <v>31</v>
      </c>
      <c r="B107" t="s">
        <v>2</v>
      </c>
      <c r="C107" t="e">
        <f>(('Time Matrix'!M85*#REF!)*'Mon (103)'!#REF!) + (('Time Matrix'!M85*#REF!)*'Mon (103)'!#REF!) + (('Time Matrix'!M85*#REF!)*'Mon (103)'!#REF!) + (('Time Matrix'!M85*#REF!)*'Mon (103)'!#REF!)</f>
        <v>#REF!</v>
      </c>
      <c r="D107" t="e">
        <f>(('Time Matrix'!M85*#REF!)*#REF!) + (('Time Matrix'!M85*#REF!)*#REF!) + (('Time Matrix'!M85*#REF!)*#REF!) + (('Time Matrix'!M85*#REF!)*#REF!)</f>
        <v>#REF!</v>
      </c>
      <c r="E107" t="e">
        <f>(('Time Matrix'!M85*#REF!)*#REF!) + (('Time Matrix'!M85*#REF!)*#REF!) + (('Time Matrix'!M85*#REF!)*#REF!) + (('Time Matrix'!M85*#REF!)*#REF!)</f>
        <v>#REF!</v>
      </c>
      <c r="F107" t="e">
        <f>(('Time Matrix'!M85*#REF!)*#REF!) + (('Time Matrix'!M85*#REF!)*#REF!) + (('Time Matrix'!M85*#REF!)*#REF!) + (('Time Matrix'!M85*#REF!)*#REF!)</f>
        <v>#REF!</v>
      </c>
      <c r="G107" t="e">
        <f>(('Time Matrix'!M85*#REF!)*#REF!) + (('Time Matrix'!M85*#REF!)*#REF!) + (('Time Matrix'!M85*#REF!)*#REF!) + (('Time Matrix'!M85*#REF!)*#REF!)</f>
        <v>#REF!</v>
      </c>
      <c r="H107" t="e">
        <f>(('Time Matrix'!M85*#REF!)*#REF!) + (('Time Matrix'!M85*#REF!)*#REF!) + (('Time Matrix'!M85*#REF!)*#REF!) + (('Time Matrix'!M85*#REF!)*#REF!)</f>
        <v>#REF!</v>
      </c>
    </row>
    <row r="108" spans="1:8" x14ac:dyDescent="0.2">
      <c r="A108" t="s">
        <v>32</v>
      </c>
      <c r="B108" t="s">
        <v>0</v>
      </c>
      <c r="C108" t="e">
        <f>(('Time Matrix'!M86*#REF!)*'Mon (103)'!#REF!) + (('Time Matrix'!M86*#REF!)*'Mon (103)'!#REF!) + (('Time Matrix'!M86*#REF!)*'Mon (103)'!#REF!) + (('Time Matrix'!M86*#REF!)*'Mon (103)'!#REF!)</f>
        <v>#REF!</v>
      </c>
      <c r="D108" t="e">
        <f>(('Time Matrix'!M86*#REF!)*#REF!) + (('Time Matrix'!M86*#REF!)*#REF!) + (('Time Matrix'!M86*#REF!)*#REF!) + (('Time Matrix'!M86*#REF!)*#REF!)</f>
        <v>#REF!</v>
      </c>
      <c r="E108" t="e">
        <f>(('Time Matrix'!M86*#REF!)*#REF!) + (('Time Matrix'!M86*#REF!)*#REF!) + (('Time Matrix'!M86*#REF!)*#REF!) + (('Time Matrix'!M86*#REF!)*#REF!)</f>
        <v>#REF!</v>
      </c>
      <c r="F108" t="e">
        <f>(('Time Matrix'!M86*#REF!)*#REF!) + (('Time Matrix'!M86*#REF!)*#REF!) + (('Time Matrix'!M86*#REF!)*#REF!) + (('Time Matrix'!M86*#REF!)*#REF!)</f>
        <v>#REF!</v>
      </c>
      <c r="G108" t="e">
        <f>(('Time Matrix'!M86*#REF!)*#REF!) + (('Time Matrix'!M86*#REF!)*#REF!) + (('Time Matrix'!M86*#REF!)*#REF!) + (('Time Matrix'!M86*#REF!)*#REF!)</f>
        <v>#REF!</v>
      </c>
      <c r="H108" t="e">
        <f>(('Time Matrix'!M86*#REF!)*#REF!) + (('Time Matrix'!M86*#REF!)*#REF!) + (('Time Matrix'!M86*#REF!)*#REF!) + (('Time Matrix'!M86*#REF!)*#REF!)</f>
        <v>#REF!</v>
      </c>
    </row>
    <row r="109" spans="1:8" x14ac:dyDescent="0.2">
      <c r="A109" t="s">
        <v>33</v>
      </c>
      <c r="B109" t="s">
        <v>3</v>
      </c>
      <c r="C109" t="e">
        <f>(('Time Matrix'!M87*#REF!)*'Mon (103)'!#REF!) + (('Time Matrix'!M87*#REF!)*'Mon (103)'!#REF!) + (('Time Matrix'!M87*#REF!)*'Mon (103)'!#REF!) + (('Time Matrix'!M87*#REF!)*'Mon (103)'!#REF!)</f>
        <v>#REF!</v>
      </c>
      <c r="D109" t="e">
        <f>(('Time Matrix'!M87*#REF!)*#REF!) + (('Time Matrix'!M87*#REF!)*#REF!) + (('Time Matrix'!M87*#REF!)*#REF!) + (('Time Matrix'!M87*#REF!)*#REF!)</f>
        <v>#REF!</v>
      </c>
      <c r="E109" t="e">
        <f>(('Time Matrix'!M87*#REF!)*#REF!) + (('Time Matrix'!M87*#REF!)*#REF!) + (('Time Matrix'!M87*#REF!)*#REF!) + (('Time Matrix'!M87*#REF!)*#REF!)</f>
        <v>#REF!</v>
      </c>
      <c r="F109" t="e">
        <f>(('Time Matrix'!M87*#REF!)*#REF!) + (('Time Matrix'!M87*#REF!)*#REF!) + (('Time Matrix'!M87*#REF!)*#REF!) + (('Time Matrix'!M87*#REF!)*#REF!)</f>
        <v>#REF!</v>
      </c>
      <c r="G109" t="e">
        <f>(('Time Matrix'!M87*#REF!)*#REF!) + (('Time Matrix'!M87*#REF!)*#REF!) + (('Time Matrix'!M87*#REF!)*#REF!) + (('Time Matrix'!M87*#REF!)*#REF!)</f>
        <v>#REF!</v>
      </c>
      <c r="H109" t="e">
        <f>(('Time Matrix'!M87*#REF!)*#REF!) + (('Time Matrix'!M87*#REF!)*#REF!) + (('Time Matrix'!M87*#REF!)*#REF!) + (('Time Matrix'!M87*#REF!)*#REF!)</f>
        <v>#REF!</v>
      </c>
    </row>
    <row r="110" spans="1:8" x14ac:dyDescent="0.2">
      <c r="A110" t="s">
        <v>34</v>
      </c>
      <c r="B110" t="s">
        <v>4</v>
      </c>
      <c r="C110" t="e">
        <f>(('Time Matrix'!M88*#REF!)*'Mon (103)'!#REF!) + (('Time Matrix'!M88*#REF!)*'Mon (103)'!#REF!) + (('Time Matrix'!M88*#REF!)*'Mon (103)'!#REF!) + (('Time Matrix'!M88*#REF!)*'Mon (103)'!#REF!)</f>
        <v>#REF!</v>
      </c>
      <c r="D110" t="e">
        <f>(('Time Matrix'!M88*#REF!)*#REF!) + (('Time Matrix'!M88*#REF!)*#REF!) + (('Time Matrix'!M88*#REF!)*#REF!) + (('Time Matrix'!M88*#REF!)*#REF!)</f>
        <v>#REF!</v>
      </c>
      <c r="E110" t="e">
        <f>(('Time Matrix'!M88*#REF!)*#REF!) + (('Time Matrix'!M88*#REF!)*#REF!) + (('Time Matrix'!M88*#REF!)*#REF!) + (('Time Matrix'!M88*#REF!)*#REF!)</f>
        <v>#REF!</v>
      </c>
      <c r="F110" t="e">
        <f>(('Time Matrix'!M88*#REF!)*#REF!) + (('Time Matrix'!M88*#REF!)*#REF!) + (('Time Matrix'!M88*#REF!)*#REF!) + (('Time Matrix'!M88*#REF!)*#REF!)</f>
        <v>#REF!</v>
      </c>
      <c r="G110" t="e">
        <f>(('Time Matrix'!M88*#REF!)*#REF!) + (('Time Matrix'!M88*#REF!)*#REF!) + (('Time Matrix'!M88*#REF!)*#REF!) + (('Time Matrix'!M88*#REF!)*#REF!)</f>
        <v>#REF!</v>
      </c>
      <c r="H110" t="e">
        <f>(('Time Matrix'!M88*#REF!)*#REF!) + (('Time Matrix'!M88*#REF!)*#REF!) + (('Time Matrix'!M88*#REF!)*#REF!) + (('Time Matrix'!M88*#REF!)*#REF!)</f>
        <v>#REF!</v>
      </c>
    </row>
    <row r="111" spans="1:8" x14ac:dyDescent="0.2">
      <c r="A111" t="s">
        <v>35</v>
      </c>
      <c r="B111" t="s">
        <v>5</v>
      </c>
      <c r="C111" t="e">
        <f>(('Time Matrix'!M89*#REF!)*'Mon (103)'!#REF!) + (('Time Matrix'!M89*#REF!)*'Mon (103)'!#REF!) + (('Time Matrix'!M89*#REF!)*'Mon (103)'!#REF!) + (('Time Matrix'!M89*#REF!)*'Mon (103)'!#REF!)</f>
        <v>#REF!</v>
      </c>
      <c r="D111" t="e">
        <f>(('Time Matrix'!M89*#REF!)*#REF!) + (('Time Matrix'!M89*#REF!)*#REF!) + (('Time Matrix'!M89*#REF!)*#REF!) + (('Time Matrix'!M89*#REF!)*#REF!)</f>
        <v>#REF!</v>
      </c>
      <c r="E111" t="e">
        <f>(('Time Matrix'!M89*#REF!)*#REF!) + (('Time Matrix'!M89*#REF!)*#REF!) + (('Time Matrix'!M89*#REF!)*#REF!) + (('Time Matrix'!M89*#REF!)*#REF!)</f>
        <v>#REF!</v>
      </c>
      <c r="F111" t="e">
        <f>(('Time Matrix'!M89*#REF!)*#REF!) + (('Time Matrix'!M89*#REF!)*#REF!) + (('Time Matrix'!M89*#REF!)*#REF!) + (('Time Matrix'!M89*#REF!)*#REF!)</f>
        <v>#REF!</v>
      </c>
      <c r="G111" t="e">
        <f>(('Time Matrix'!M89*#REF!)*#REF!) + (('Time Matrix'!M89*#REF!)*#REF!) + (('Time Matrix'!M89*#REF!)*#REF!) + (('Time Matrix'!M89*#REF!)*#REF!)</f>
        <v>#REF!</v>
      </c>
      <c r="H111" t="e">
        <f>(('Time Matrix'!M89*#REF!)*#REF!) + (('Time Matrix'!M89*#REF!)*#REF!) + (('Time Matrix'!M89*#REF!)*#REF!) + (('Time Matrix'!M89*#REF!)*#REF!)</f>
        <v>#REF!</v>
      </c>
    </row>
    <row r="112" spans="1:8" x14ac:dyDescent="0.2">
      <c r="A112" t="s">
        <v>36</v>
      </c>
      <c r="B112" t="s">
        <v>1</v>
      </c>
      <c r="C112" t="e">
        <f>(('Time Matrix'!M90*#REF!)*'Mon (103)'!#REF!) + (('Time Matrix'!M90*#REF!)*'Mon (103)'!#REF!) + (('Time Matrix'!M90*#REF!)*'Mon (103)'!#REF!) + (('Time Matrix'!M90*#REF!)*'Mon (103)'!#REF!)</f>
        <v>#REF!</v>
      </c>
      <c r="D112" t="e">
        <f>(('Time Matrix'!M90*#REF!)*#REF!) + (('Time Matrix'!M90*#REF!)*#REF!) + (('Time Matrix'!M90*#REF!)*#REF!) + (('Time Matrix'!M90*#REF!)*#REF!)</f>
        <v>#REF!</v>
      </c>
      <c r="E112" t="e">
        <f>(('Time Matrix'!M90*#REF!)*#REF!) + (('Time Matrix'!M90*#REF!)*#REF!) + (('Time Matrix'!M90*#REF!)*#REF!) + (('Time Matrix'!M90*#REF!)*#REF!)</f>
        <v>#REF!</v>
      </c>
      <c r="F112" t="e">
        <f>(('Time Matrix'!M90*#REF!)*#REF!) + (('Time Matrix'!M90*#REF!)*#REF!) + (('Time Matrix'!M90*#REF!)*#REF!) + (('Time Matrix'!M90*#REF!)*#REF!)</f>
        <v>#REF!</v>
      </c>
      <c r="G112" t="e">
        <f>(('Time Matrix'!M90*#REF!)*#REF!) + (('Time Matrix'!M90*#REF!)*#REF!) + (('Time Matrix'!M90*#REF!)*#REF!) + (('Time Matrix'!M90*#REF!)*#REF!)</f>
        <v>#REF!</v>
      </c>
      <c r="H112" t="e">
        <f>(('Time Matrix'!M90*#REF!)*#REF!) + (('Time Matrix'!M90*#REF!)*#REF!) + (('Time Matrix'!M90*#REF!)*#REF!) + (('Time Matrix'!M90*#REF!)*#REF!)</f>
        <v>#REF!</v>
      </c>
    </row>
    <row r="113" spans="1:8" x14ac:dyDescent="0.2">
      <c r="A113" s="128" t="s">
        <v>165</v>
      </c>
      <c r="B113" s="129"/>
      <c r="C113" t="e">
        <f>SUM(C107:C112)</f>
        <v>#REF!</v>
      </c>
      <c r="D113" t="e">
        <f t="shared" ref="D113:H113" si="11">SUM(D107:D112)</f>
        <v>#REF!</v>
      </c>
      <c r="E113" t="e">
        <f t="shared" si="11"/>
        <v>#REF!</v>
      </c>
      <c r="F113" t="e">
        <f t="shared" si="11"/>
        <v>#REF!</v>
      </c>
      <c r="G113" t="e">
        <f t="shared" si="11"/>
        <v>#REF!</v>
      </c>
      <c r="H113" t="e">
        <f t="shared" si="11"/>
        <v>#REF!</v>
      </c>
    </row>
    <row r="114" spans="1:8" x14ac:dyDescent="0.2">
      <c r="A114" s="130" t="s">
        <v>24</v>
      </c>
      <c r="B114" s="131"/>
      <c r="C114" s="131"/>
      <c r="D114" s="131"/>
      <c r="E114" s="131"/>
      <c r="F114" s="131"/>
      <c r="G114" s="131"/>
      <c r="H114" s="131"/>
    </row>
    <row r="115" spans="1:8" x14ac:dyDescent="0.2">
      <c r="A115" t="s">
        <v>31</v>
      </c>
      <c r="B115" t="s">
        <v>2</v>
      </c>
      <c r="C115" t="e">
        <f>(('Time Matrix'!N91*#REF!)*'Mon (103)'!#REF!) + (('Time Matrix'!N91*#REF!)*'Mon (103)'!#REF!) + (('Time Matrix'!N91*#REF!)*'Mon (103)'!#REF!) + (('Time Matrix'!N91*#REF!)*'Mon (103)'!#REF!)</f>
        <v>#REF!</v>
      </c>
      <c r="D115" t="e">
        <f>(('Time Matrix'!N91*#REF!)*#REF!) + (('Time Matrix'!N91*#REF!)*#REF!) + (('Time Matrix'!N91*#REF!)*#REF!) + (('Time Matrix'!N91*#REF!)*#REF!)</f>
        <v>#REF!</v>
      </c>
      <c r="E115" t="e">
        <f>(('Time Matrix'!N91*#REF!)*#REF!) + (('Time Matrix'!N91*#REF!)*#REF!) + (('Time Matrix'!N91*#REF!)*#REF!) + (('Time Matrix'!N91*#REF!)*#REF!)</f>
        <v>#REF!</v>
      </c>
      <c r="F115" t="e">
        <f>(('Time Matrix'!N91*#REF!)*#REF!) + (('Time Matrix'!N91*#REF!)*#REF!) + (('Time Matrix'!N91*#REF!)*#REF!) + (('Time Matrix'!N91*#REF!)*#REF!)</f>
        <v>#REF!</v>
      </c>
      <c r="G115" t="e">
        <f>(('Time Matrix'!N91*#REF!)*#REF!) + (('Time Matrix'!N91*#REF!)*#REF!) + (('Time Matrix'!N91*#REF!)*#REF!) + (('Time Matrix'!N91*#REF!)*#REF!)</f>
        <v>#REF!</v>
      </c>
      <c r="H115" t="e">
        <f>(('Time Matrix'!N91*#REF!)*#REF!) + (('Time Matrix'!N91*#REF!)*#REF!) + (('Time Matrix'!N91*#REF!)*#REF!) + (('Time Matrix'!N91*#REF!)*#REF!)</f>
        <v>#REF!</v>
      </c>
    </row>
    <row r="116" spans="1:8" x14ac:dyDescent="0.2">
      <c r="A116" t="s">
        <v>32</v>
      </c>
      <c r="B116" t="s">
        <v>0</v>
      </c>
      <c r="C116" t="e">
        <f>(('Time Matrix'!N92*#REF!)*'Mon (103)'!#REF!) + (('Time Matrix'!N92*#REF!)*'Mon (103)'!#REF!) + (('Time Matrix'!N92*#REF!)*'Mon (103)'!#REF!) + (('Time Matrix'!N92*#REF!)*'Mon (103)'!#REF!)</f>
        <v>#REF!</v>
      </c>
      <c r="D116" t="e">
        <f>(('Time Matrix'!N92*#REF!)*#REF!) + (('Time Matrix'!N92*#REF!)*#REF!) + (('Time Matrix'!N92*#REF!)*#REF!) + (('Time Matrix'!N92*#REF!)*#REF!)</f>
        <v>#REF!</v>
      </c>
      <c r="E116" t="e">
        <f>(('Time Matrix'!N92*#REF!)*#REF!) + (('Time Matrix'!N92*#REF!)*#REF!) + (('Time Matrix'!N92*#REF!)*#REF!) + (('Time Matrix'!N92*#REF!)*#REF!)</f>
        <v>#REF!</v>
      </c>
      <c r="F116" t="e">
        <f>(('Time Matrix'!N92*#REF!)*#REF!) + (('Time Matrix'!N92*#REF!)*#REF!) + (('Time Matrix'!N92*#REF!)*#REF!) + (('Time Matrix'!N92*#REF!)*#REF!)</f>
        <v>#REF!</v>
      </c>
      <c r="G116" t="e">
        <f>(('Time Matrix'!N92*#REF!)*#REF!) + (('Time Matrix'!N92*#REF!)*#REF!) + (('Time Matrix'!N92*#REF!)*#REF!) + (('Time Matrix'!N92*#REF!)*#REF!)</f>
        <v>#REF!</v>
      </c>
      <c r="H116" t="e">
        <f>(('Time Matrix'!N92*#REF!)*#REF!) + (('Time Matrix'!N92*#REF!)*#REF!) + (('Time Matrix'!N92*#REF!)*#REF!) + (('Time Matrix'!N92*#REF!)*#REF!)</f>
        <v>#REF!</v>
      </c>
    </row>
    <row r="117" spans="1:8" x14ac:dyDescent="0.2">
      <c r="A117" t="s">
        <v>33</v>
      </c>
      <c r="B117" t="s">
        <v>3</v>
      </c>
      <c r="C117" t="e">
        <f>(('Time Matrix'!N93*#REF!)*'Mon (103)'!#REF!) + (('Time Matrix'!N93*#REF!)*'Mon (103)'!#REF!) + (('Time Matrix'!N93*#REF!)*'Mon (103)'!#REF!) + (('Time Matrix'!N93*#REF!)*'Mon (103)'!#REF!)</f>
        <v>#REF!</v>
      </c>
      <c r="D117" t="e">
        <f>(('Time Matrix'!N93*#REF!)*#REF!) + (('Time Matrix'!N93*#REF!)*#REF!) + (('Time Matrix'!N93*#REF!)*#REF!) + (('Time Matrix'!N93*#REF!)*#REF!)</f>
        <v>#REF!</v>
      </c>
      <c r="E117" t="e">
        <f>(('Time Matrix'!N93*#REF!)*#REF!) + (('Time Matrix'!N93*#REF!)*#REF!) + (('Time Matrix'!N93*#REF!)*#REF!) + (('Time Matrix'!N93*#REF!)*#REF!)</f>
        <v>#REF!</v>
      </c>
      <c r="F117" t="e">
        <f>(('Time Matrix'!N93*#REF!)*#REF!) + (('Time Matrix'!N93*#REF!)*#REF!) + (('Time Matrix'!N93*#REF!)*#REF!) + (('Time Matrix'!N93*#REF!)*#REF!)</f>
        <v>#REF!</v>
      </c>
      <c r="G117" t="e">
        <f>(('Time Matrix'!N93*#REF!)*#REF!) + (('Time Matrix'!N93*#REF!)*#REF!) + (('Time Matrix'!N93*#REF!)*#REF!) + (('Time Matrix'!N93*#REF!)*#REF!)</f>
        <v>#REF!</v>
      </c>
      <c r="H117" t="e">
        <f>(('Time Matrix'!N93*#REF!)*#REF!) + (('Time Matrix'!N93*#REF!)*#REF!) + (('Time Matrix'!N93*#REF!)*#REF!) + (('Time Matrix'!N93*#REF!)*#REF!)</f>
        <v>#REF!</v>
      </c>
    </row>
    <row r="118" spans="1:8" x14ac:dyDescent="0.2">
      <c r="A118" t="s">
        <v>34</v>
      </c>
      <c r="B118" t="s">
        <v>4</v>
      </c>
      <c r="C118" t="e">
        <f>(('Time Matrix'!N94*#REF!)*'Mon (103)'!#REF!) + (('Time Matrix'!N94*#REF!)*'Mon (103)'!#REF!) + (('Time Matrix'!N94*#REF!)*'Mon (103)'!#REF!) + (('Time Matrix'!N94*#REF!)*'Mon (103)'!#REF!)</f>
        <v>#REF!</v>
      </c>
      <c r="D118" t="e">
        <f>(('Time Matrix'!N94*#REF!)*#REF!) + (('Time Matrix'!N94*#REF!)*#REF!) + (('Time Matrix'!N94*#REF!)*#REF!) + (('Time Matrix'!N94*#REF!)*#REF!)</f>
        <v>#REF!</v>
      </c>
      <c r="E118" t="e">
        <f>(('Time Matrix'!N94*#REF!)*#REF!) + (('Time Matrix'!N94*#REF!)*#REF!) + (('Time Matrix'!N94*#REF!)*#REF!) + (('Time Matrix'!N94*#REF!)*#REF!)</f>
        <v>#REF!</v>
      </c>
      <c r="F118" t="e">
        <f>(('Time Matrix'!N94*#REF!)*#REF!) + (('Time Matrix'!N94*#REF!)*#REF!) + (('Time Matrix'!N94*#REF!)*#REF!) + (('Time Matrix'!N94*#REF!)*#REF!)</f>
        <v>#REF!</v>
      </c>
      <c r="G118" t="e">
        <f>(('Time Matrix'!N94*#REF!)*#REF!) + (('Time Matrix'!N94*#REF!)*#REF!) + (('Time Matrix'!N94*#REF!)*#REF!) + (('Time Matrix'!N94*#REF!)*#REF!)</f>
        <v>#REF!</v>
      </c>
      <c r="H118" t="e">
        <f>(('Time Matrix'!N94*#REF!)*#REF!) + (('Time Matrix'!N94*#REF!)*#REF!) + (('Time Matrix'!N94*#REF!)*#REF!) + (('Time Matrix'!N94*#REF!)*#REF!)</f>
        <v>#REF!</v>
      </c>
    </row>
    <row r="119" spans="1:8" x14ac:dyDescent="0.2">
      <c r="A119" t="s">
        <v>35</v>
      </c>
      <c r="B119" t="s">
        <v>5</v>
      </c>
      <c r="C119" t="e">
        <f>(('Time Matrix'!N95*#REF!)*'Mon (103)'!#REF!) + (('Time Matrix'!N95*#REF!)*'Mon (103)'!#REF!) + (('Time Matrix'!N95*#REF!)*'Mon (103)'!#REF!) + (('Time Matrix'!N95*#REF!)*'Mon (103)'!#REF!)</f>
        <v>#REF!</v>
      </c>
      <c r="D119" t="e">
        <f>(('Time Matrix'!N95*#REF!)*#REF!) + (('Time Matrix'!N95*#REF!)*#REF!) + (('Time Matrix'!N95*#REF!)*#REF!) + (('Time Matrix'!N95*#REF!)*#REF!)</f>
        <v>#REF!</v>
      </c>
      <c r="E119" t="e">
        <f>(('Time Matrix'!N95*#REF!)*#REF!) + (('Time Matrix'!N95*#REF!)*#REF!) + (('Time Matrix'!N95*#REF!)*#REF!) + (('Time Matrix'!N95*#REF!)*#REF!)</f>
        <v>#REF!</v>
      </c>
      <c r="F119" t="e">
        <f>(('Time Matrix'!N95*#REF!)*#REF!) + (('Time Matrix'!N95*#REF!)*#REF!) + (('Time Matrix'!N95*#REF!)*#REF!) + (('Time Matrix'!N95*#REF!)*#REF!)</f>
        <v>#REF!</v>
      </c>
      <c r="G119" t="e">
        <f>(('Time Matrix'!N95*#REF!)*#REF!) + (('Time Matrix'!N95*#REF!)*#REF!) + (('Time Matrix'!N95*#REF!)*#REF!) + (('Time Matrix'!N95*#REF!)*#REF!)</f>
        <v>#REF!</v>
      </c>
      <c r="H119" t="e">
        <f>(('Time Matrix'!N95*#REF!)*#REF!) + (('Time Matrix'!N95*#REF!)*#REF!) + (('Time Matrix'!N95*#REF!)*#REF!) + (('Time Matrix'!N95*#REF!)*#REF!)</f>
        <v>#REF!</v>
      </c>
    </row>
    <row r="120" spans="1:8" x14ac:dyDescent="0.2">
      <c r="A120" t="s">
        <v>36</v>
      </c>
      <c r="B120" t="s">
        <v>1</v>
      </c>
      <c r="C120" t="e">
        <f>(('Time Matrix'!N96*#REF!)*'Mon (103)'!#REF!) + (('Time Matrix'!N96*#REF!)*'Mon (103)'!#REF!) + (('Time Matrix'!N96*#REF!)*'Mon (103)'!#REF!) + (('Time Matrix'!N96*#REF!)*'Mon (103)'!#REF!)</f>
        <v>#REF!</v>
      </c>
      <c r="D120" t="e">
        <f>(('Time Matrix'!N96*#REF!)*#REF!) + (('Time Matrix'!N96*#REF!)*#REF!) + (('Time Matrix'!N96*#REF!)*#REF!) + (('Time Matrix'!N96*#REF!)*#REF!)</f>
        <v>#REF!</v>
      </c>
      <c r="E120" t="e">
        <f>(('Time Matrix'!N96*#REF!)*#REF!) + (('Time Matrix'!N96*#REF!)*#REF!) + (('Time Matrix'!N96*#REF!)*#REF!) + (('Time Matrix'!N96*#REF!)*#REF!)</f>
        <v>#REF!</v>
      </c>
      <c r="F120" t="e">
        <f>(('Time Matrix'!N96*#REF!)*#REF!) + (('Time Matrix'!N96*#REF!)*#REF!) + (('Time Matrix'!N96*#REF!)*#REF!) + (('Time Matrix'!N96*#REF!)*#REF!)</f>
        <v>#REF!</v>
      </c>
      <c r="G120" t="e">
        <f>(('Time Matrix'!N96*#REF!)*#REF!) + (('Time Matrix'!N96*#REF!)*#REF!) + (('Time Matrix'!N96*#REF!)*#REF!) + (('Time Matrix'!N96*#REF!)*#REF!)</f>
        <v>#REF!</v>
      </c>
      <c r="H120" t="e">
        <f>(('Time Matrix'!N96*#REF!)*#REF!) + (('Time Matrix'!N96*#REF!)*#REF!) + (('Time Matrix'!N96*#REF!)*#REF!) + (('Time Matrix'!N96*#REF!)*#REF!)</f>
        <v>#REF!</v>
      </c>
    </row>
    <row r="121" spans="1:8" x14ac:dyDescent="0.2">
      <c r="A121" t="s">
        <v>40</v>
      </c>
      <c r="B121" t="s">
        <v>6</v>
      </c>
      <c r="C121" t="e">
        <f>(('Time Matrix'!N97*#REF!)*'Mon (103)'!#REF!) + (('Time Matrix'!N97*#REF!)*'Mon (103)'!#REF!) + (('Time Matrix'!N97*#REF!)*'Mon (103)'!#REF!) + (('Time Matrix'!N97*#REF!)*'Mon (103)'!#REF!)</f>
        <v>#REF!</v>
      </c>
      <c r="D121" t="e">
        <f>(('Time Matrix'!N97*#REF!)*#REF!) + (('Time Matrix'!N97*#REF!)*#REF!) + (('Time Matrix'!N97*#REF!)*#REF!) + (('Time Matrix'!N97*#REF!)*#REF!)</f>
        <v>#REF!</v>
      </c>
      <c r="E121" t="e">
        <f>(('Time Matrix'!N97*#REF!)*#REF!) + (('Time Matrix'!N97*#REF!)*#REF!) + (('Time Matrix'!N97*#REF!)*#REF!) + (('Time Matrix'!N97*#REF!)*#REF!)</f>
        <v>#REF!</v>
      </c>
      <c r="F121" t="e">
        <f>(('Time Matrix'!N97*#REF!)*#REF!) + (('Time Matrix'!N97*#REF!)*#REF!) + (('Time Matrix'!N97*#REF!)*#REF!) + (('Time Matrix'!N97*#REF!)*#REF!)</f>
        <v>#REF!</v>
      </c>
      <c r="G121" t="e">
        <f>(('Time Matrix'!N97*#REF!)*#REF!) + (('Time Matrix'!N97*#REF!)*#REF!) + (('Time Matrix'!N97*#REF!)*#REF!) + (('Time Matrix'!N97*#REF!)*#REF!)</f>
        <v>#REF!</v>
      </c>
      <c r="H121" t="e">
        <f>(('Time Matrix'!N97*#REF!)*#REF!) + (('Time Matrix'!N97*#REF!)*#REF!) + (('Time Matrix'!N97*#REF!)*#REF!) + (('Time Matrix'!N97*#REF!)*#REF!)</f>
        <v>#REF!</v>
      </c>
    </row>
    <row r="122" spans="1:8" x14ac:dyDescent="0.2">
      <c r="A122" t="s">
        <v>41</v>
      </c>
      <c r="B122" t="s">
        <v>7</v>
      </c>
      <c r="C122" t="e">
        <f>(('Time Matrix'!N98*#REF!)*'Mon (103)'!#REF!) + (('Time Matrix'!N98*#REF!)*'Mon (103)'!#REF!) + (('Time Matrix'!N98*#REF!)*'Mon (103)'!#REF!) + (('Time Matrix'!N98*#REF!)*'Mon (103)'!#REF!)</f>
        <v>#REF!</v>
      </c>
      <c r="D122" t="e">
        <f>(('Time Matrix'!N98*#REF!)*#REF!) + (('Time Matrix'!N98*#REF!)*#REF!) + (('Time Matrix'!N98*#REF!)*#REF!) + (('Time Matrix'!N98*#REF!)*#REF!)</f>
        <v>#REF!</v>
      </c>
      <c r="E122" t="e">
        <f>(('Time Matrix'!N98*#REF!)*#REF!) + (('Time Matrix'!N98*#REF!)*#REF!) + (('Time Matrix'!N98*#REF!)*#REF!) + (('Time Matrix'!N98*#REF!)*#REF!)</f>
        <v>#REF!</v>
      </c>
      <c r="F122" t="e">
        <f>(('Time Matrix'!N98*#REF!)*#REF!) + (('Time Matrix'!N98*#REF!)*#REF!) + (('Time Matrix'!N98*#REF!)*#REF!) + (('Time Matrix'!N98*#REF!)*#REF!)</f>
        <v>#REF!</v>
      </c>
      <c r="G122" t="e">
        <f>(('Time Matrix'!N98*#REF!)*#REF!) + (('Time Matrix'!N98*#REF!)*#REF!) + (('Time Matrix'!N98*#REF!)*#REF!) + (('Time Matrix'!N98*#REF!)*#REF!)</f>
        <v>#REF!</v>
      </c>
      <c r="H122" t="e">
        <f>(('Time Matrix'!N98*#REF!)*#REF!) + (('Time Matrix'!N98*#REF!)*#REF!) + (('Time Matrix'!N98*#REF!)*#REF!) + (('Time Matrix'!N98*#REF!)*#REF!)</f>
        <v>#REF!</v>
      </c>
    </row>
    <row r="123" spans="1:8" x14ac:dyDescent="0.2">
      <c r="A123" t="s">
        <v>37</v>
      </c>
      <c r="B123" t="s">
        <v>8</v>
      </c>
      <c r="C123" t="e">
        <f>(('Time Matrix'!N99*#REF!)*'Mon (103)'!#REF!) + (('Time Matrix'!N99*#REF!)*'Mon (103)'!#REF!) + (('Time Matrix'!N99*#REF!)*'Mon (103)'!#REF!) + (('Time Matrix'!N99*#REF!)*'Mon (103)'!#REF!)</f>
        <v>#REF!</v>
      </c>
      <c r="D123" t="e">
        <f>(('Time Matrix'!N99*#REF!)*#REF!) + (('Time Matrix'!N99*#REF!)*#REF!) + (('Time Matrix'!N99*#REF!)*#REF!) + (('Time Matrix'!N99*#REF!)*#REF!)</f>
        <v>#REF!</v>
      </c>
      <c r="E123" t="e">
        <f>(('Time Matrix'!N99*#REF!)*#REF!) + (('Time Matrix'!N99*#REF!)*#REF!) + (('Time Matrix'!N99*#REF!)*#REF!) + (('Time Matrix'!N99*#REF!)*#REF!)</f>
        <v>#REF!</v>
      </c>
      <c r="F123" t="e">
        <f>(('Time Matrix'!N99*#REF!)*#REF!) + (('Time Matrix'!N99*#REF!)*#REF!) + (('Time Matrix'!N99*#REF!)*#REF!) + (('Time Matrix'!N99*#REF!)*#REF!)</f>
        <v>#REF!</v>
      </c>
      <c r="G123" t="e">
        <f>(('Time Matrix'!N99*#REF!)*#REF!) + (('Time Matrix'!N99*#REF!)*#REF!) + (('Time Matrix'!N99*#REF!)*#REF!) + (('Time Matrix'!N99*#REF!)*#REF!)</f>
        <v>#REF!</v>
      </c>
      <c r="H123" t="e">
        <f>(('Time Matrix'!N99*#REF!)*#REF!) + (('Time Matrix'!N99*#REF!)*#REF!) + (('Time Matrix'!N99*#REF!)*#REF!) + (('Time Matrix'!N99*#REF!)*#REF!)</f>
        <v>#REF!</v>
      </c>
    </row>
    <row r="124" spans="1:8" x14ac:dyDescent="0.2">
      <c r="A124" t="s">
        <v>38</v>
      </c>
      <c r="B124" t="s">
        <v>9</v>
      </c>
      <c r="C124" t="e">
        <f>(('Time Matrix'!N100*#REF!)*'Mon (103)'!#REF!) + (('Time Matrix'!N100*#REF!)*'Mon (103)'!#REF!) + (('Time Matrix'!N100*#REF!)*'Mon (103)'!#REF!) + (('Time Matrix'!N100*#REF!)*'Mon (103)'!#REF!)</f>
        <v>#REF!</v>
      </c>
      <c r="D124" t="e">
        <f>(('Time Matrix'!N100*#REF!)*#REF!) + (('Time Matrix'!N100*#REF!)*#REF!) + (('Time Matrix'!N100*#REF!)*#REF!) + (('Time Matrix'!N100*#REF!)*#REF!)</f>
        <v>#REF!</v>
      </c>
      <c r="E124" t="e">
        <f>(('Time Matrix'!N100*#REF!)*#REF!) + (('Time Matrix'!N100*#REF!)*#REF!) + (('Time Matrix'!N100*#REF!)*#REF!) + (('Time Matrix'!N100*#REF!)*#REF!)</f>
        <v>#REF!</v>
      </c>
      <c r="F124" t="e">
        <f>(('Time Matrix'!N100*#REF!)*#REF!) + (('Time Matrix'!N100*#REF!)*#REF!) + (('Time Matrix'!N100*#REF!)*#REF!) + (('Time Matrix'!N100*#REF!)*#REF!)</f>
        <v>#REF!</v>
      </c>
      <c r="G124" t="e">
        <f>(('Time Matrix'!N100*#REF!)*#REF!) + (('Time Matrix'!N100*#REF!)*#REF!) + (('Time Matrix'!N100*#REF!)*#REF!) + (('Time Matrix'!N100*#REF!)*#REF!)</f>
        <v>#REF!</v>
      </c>
      <c r="H124" t="e">
        <f>(('Time Matrix'!N100*#REF!)*#REF!) + (('Time Matrix'!N100*#REF!)*#REF!) + (('Time Matrix'!N100*#REF!)*#REF!) + (('Time Matrix'!N100*#REF!)*#REF!)</f>
        <v>#REF!</v>
      </c>
    </row>
    <row r="125" spans="1:8" x14ac:dyDescent="0.2">
      <c r="A125" t="s">
        <v>39</v>
      </c>
      <c r="B125" t="s">
        <v>10</v>
      </c>
      <c r="C125" t="e">
        <f>(('Time Matrix'!N101*#REF!)*'Mon (103)'!#REF!) + (('Time Matrix'!N101*#REF!)*'Mon (103)'!#REF!) + (('Time Matrix'!N101*#REF!)*'Mon (103)'!#REF!) + (('Time Matrix'!N101*#REF!)*'Mon (103)'!#REF!)</f>
        <v>#REF!</v>
      </c>
      <c r="D125" t="e">
        <f>(('Time Matrix'!N101*#REF!)*#REF!) + (('Time Matrix'!N101*#REF!)*#REF!) + (('Time Matrix'!N101*#REF!)*#REF!) + (('Time Matrix'!N101*#REF!)*#REF!)</f>
        <v>#REF!</v>
      </c>
      <c r="E125" t="e">
        <f>(('Time Matrix'!N101*#REF!)*#REF!) + (('Time Matrix'!N101*#REF!)*#REF!) + (('Time Matrix'!N101*#REF!)*#REF!) + (('Time Matrix'!N101*#REF!)*#REF!)</f>
        <v>#REF!</v>
      </c>
      <c r="F125" t="e">
        <f>(('Time Matrix'!N101*#REF!)*#REF!) + (('Time Matrix'!N101*#REF!)*#REF!) + (('Time Matrix'!N101*#REF!)*#REF!) + (('Time Matrix'!N101*#REF!)*#REF!)</f>
        <v>#REF!</v>
      </c>
      <c r="G125" t="e">
        <f>(('Time Matrix'!N101*#REF!)*#REF!) + (('Time Matrix'!N101*#REF!)*#REF!) + (('Time Matrix'!N101*#REF!)*#REF!) + (('Time Matrix'!N101*#REF!)*#REF!)</f>
        <v>#REF!</v>
      </c>
      <c r="H125" t="e">
        <f>(('Time Matrix'!N101*#REF!)*#REF!) + (('Time Matrix'!N101*#REF!)*#REF!) + (('Time Matrix'!N101*#REF!)*#REF!) + (('Time Matrix'!N101*#REF!)*#REF!)</f>
        <v>#REF!</v>
      </c>
    </row>
    <row r="126" spans="1:8" x14ac:dyDescent="0.2">
      <c r="A126" t="s">
        <v>42</v>
      </c>
      <c r="B126" t="s">
        <v>11</v>
      </c>
      <c r="C126" t="e">
        <f>(('Time Matrix'!N102*#REF!)*'Mon (103)'!#REF!) + (('Time Matrix'!N102*#REF!)*'Mon (103)'!#REF!) + (('Time Matrix'!N102*#REF!)*'Mon (103)'!#REF!) + (('Time Matrix'!N102*#REF!)*'Mon (103)'!#REF!)</f>
        <v>#REF!</v>
      </c>
      <c r="D126" t="e">
        <f>(('Time Matrix'!N102*#REF!)*#REF!) + (('Time Matrix'!N102*#REF!)*#REF!) + (('Time Matrix'!N102*#REF!)*#REF!) + (('Time Matrix'!N102*#REF!)*#REF!)</f>
        <v>#REF!</v>
      </c>
      <c r="E126" t="e">
        <f>(('Time Matrix'!N102*#REF!)*#REF!) + (('Time Matrix'!N102*#REF!)*#REF!) + (('Time Matrix'!N102*#REF!)*#REF!) + (('Time Matrix'!N102*#REF!)*#REF!)</f>
        <v>#REF!</v>
      </c>
      <c r="F126" t="e">
        <f>(('Time Matrix'!N102*#REF!)*#REF!) + (('Time Matrix'!N102*#REF!)*#REF!) + (('Time Matrix'!N102*#REF!)*#REF!) + (('Time Matrix'!N102*#REF!)*#REF!)</f>
        <v>#REF!</v>
      </c>
      <c r="G126" t="e">
        <f>(('Time Matrix'!N102*#REF!)*#REF!) + (('Time Matrix'!N102*#REF!)*#REF!) + (('Time Matrix'!N102*#REF!)*#REF!) + (('Time Matrix'!N102*#REF!)*#REF!)</f>
        <v>#REF!</v>
      </c>
      <c r="H126" t="e">
        <f>(('Time Matrix'!N102*#REF!)*#REF!) + (('Time Matrix'!N102*#REF!)*#REF!) + (('Time Matrix'!N102*#REF!)*#REF!) + (('Time Matrix'!N102*#REF!)*#REF!)</f>
        <v>#REF!</v>
      </c>
    </row>
    <row r="127" spans="1:8" x14ac:dyDescent="0.2">
      <c r="A127" s="128" t="s">
        <v>165</v>
      </c>
      <c r="B127" s="129"/>
      <c r="C127" t="e">
        <f>SUM(C115:C126)</f>
        <v>#REF!</v>
      </c>
      <c r="D127" t="e">
        <f t="shared" ref="D127:H127" si="12">SUM(D115:D126)</f>
        <v>#REF!</v>
      </c>
      <c r="E127" t="e">
        <f t="shared" si="12"/>
        <v>#REF!</v>
      </c>
      <c r="F127" t="e">
        <f t="shared" si="12"/>
        <v>#REF!</v>
      </c>
      <c r="G127" t="e">
        <f t="shared" si="12"/>
        <v>#REF!</v>
      </c>
      <c r="H127" t="e">
        <f t="shared" si="12"/>
        <v>#REF!</v>
      </c>
    </row>
    <row r="128" spans="1:8" x14ac:dyDescent="0.2">
      <c r="A128" s="130" t="s">
        <v>52</v>
      </c>
      <c r="B128" s="131"/>
      <c r="C128" s="131"/>
      <c r="D128" s="131"/>
      <c r="E128" s="131"/>
      <c r="F128" s="131"/>
      <c r="G128" s="131"/>
      <c r="H128" s="131"/>
    </row>
    <row r="129" spans="1:8" x14ac:dyDescent="0.2">
      <c r="A129" s="130" t="s">
        <v>48</v>
      </c>
      <c r="B129" s="131"/>
      <c r="C129" s="131"/>
      <c r="D129" s="131"/>
      <c r="E129" s="131"/>
      <c r="F129" s="131"/>
      <c r="G129" s="131"/>
      <c r="H129" s="131"/>
    </row>
    <row r="130" spans="1:8" x14ac:dyDescent="0.2">
      <c r="A130" t="s">
        <v>43</v>
      </c>
      <c r="B130" t="s">
        <v>22</v>
      </c>
      <c r="C130" t="e">
        <f>(('Time Matrix'!O103*#REF!)*'Mon (103)'!#REF!) + (('Time Matrix'!O103*#REF!)*'Mon (103)'!#REF!) + (('Time Matrix'!O103*#REF!)*'Mon (103)'!#REF!) + (('Time Matrix'!O103*#REF!)*'Mon (103)'!#REF!)</f>
        <v>#REF!</v>
      </c>
      <c r="D130" t="e">
        <f>(('Time Matrix'!O103*#REF!)*#REF!) + (('Time Matrix'!O103*#REF!)*#REF!) + (('Time Matrix'!O103*#REF!)*#REF!) + (('Time Matrix'!O103*#REF!)*#REF!)</f>
        <v>#REF!</v>
      </c>
      <c r="E130" t="e">
        <f>(('Time Matrix'!O103*#REF!)*#REF!) + (('Time Matrix'!O103*#REF!)*#REF!) + (('Time Matrix'!O103*#REF!)*#REF!) + (('Time Matrix'!O103*#REF!)*#REF!)</f>
        <v>#REF!</v>
      </c>
      <c r="F130" t="e">
        <f>(('Time Matrix'!O103*#REF!)*#REF!) + (('Time Matrix'!O103*#REF!)*#REF!) + (('Time Matrix'!O103*#REF!)*#REF!) + (('Time Matrix'!O103*#REF!)*#REF!)</f>
        <v>#REF!</v>
      </c>
      <c r="G130" t="e">
        <f>(('Time Matrix'!O103*#REF!)*#REF!) + (('Time Matrix'!O103*#REF!)*#REF!) + (('Time Matrix'!O103*#REF!)*#REF!) + (('Time Matrix'!O103*#REF!)*#REF!)</f>
        <v>#REF!</v>
      </c>
      <c r="H130" t="e">
        <f>(('Time Matrix'!O103*#REF!)*#REF!) + (('Time Matrix'!O103*#REF!)*#REF!) + (('Time Matrix'!O103*#REF!)*#REF!) + (('Time Matrix'!O103*#REF!)*#REF!)</f>
        <v>#REF!</v>
      </c>
    </row>
    <row r="131" spans="1:8" x14ac:dyDescent="0.2">
      <c r="A131" t="s">
        <v>44</v>
      </c>
      <c r="B131" t="s">
        <v>19</v>
      </c>
      <c r="C131" t="e">
        <f>(('Time Matrix'!O104*#REF!)*'Mon (103)'!#REF!) + (('Time Matrix'!O104*#REF!)*'Mon (103)'!#REF!) + (('Time Matrix'!O104*#REF!)*'Mon (103)'!#REF!) + (('Time Matrix'!O104*#REF!)*'Mon (103)'!#REF!)</f>
        <v>#REF!</v>
      </c>
      <c r="D131" t="e">
        <f>(('Time Matrix'!O104*#REF!)*#REF!) + (('Time Matrix'!O104*#REF!)*#REF!) + (('Time Matrix'!O104*#REF!)*#REF!) + (('Time Matrix'!O104*#REF!)*#REF!)</f>
        <v>#REF!</v>
      </c>
      <c r="E131" t="e">
        <f>(('Time Matrix'!O104*#REF!)*#REF!) + (('Time Matrix'!O104*#REF!)*#REF!) + (('Time Matrix'!O104*#REF!)*#REF!) + (('Time Matrix'!O104*#REF!)*#REF!)</f>
        <v>#REF!</v>
      </c>
      <c r="F131" t="e">
        <f>(('Time Matrix'!O104*#REF!)*#REF!) + (('Time Matrix'!O104*#REF!)*#REF!) + (('Time Matrix'!O104*#REF!)*#REF!) + (('Time Matrix'!O104*#REF!)*#REF!)</f>
        <v>#REF!</v>
      </c>
      <c r="G131" t="e">
        <f>(('Time Matrix'!O104*#REF!)*#REF!) + (('Time Matrix'!O104*#REF!)*#REF!) + (('Time Matrix'!O104*#REF!)*#REF!) + (('Time Matrix'!O104*#REF!)*#REF!)</f>
        <v>#REF!</v>
      </c>
      <c r="H131" t="e">
        <f>(('Time Matrix'!O104*#REF!)*#REF!) + (('Time Matrix'!O104*#REF!)*#REF!) + (('Time Matrix'!O104*#REF!)*#REF!) + (('Time Matrix'!O104*#REF!)*#REF!)</f>
        <v>#REF!</v>
      </c>
    </row>
    <row r="132" spans="1:8" x14ac:dyDescent="0.2">
      <c r="A132" t="s">
        <v>62</v>
      </c>
      <c r="B132" t="s">
        <v>20</v>
      </c>
      <c r="C132" t="e">
        <f>(('Time Matrix'!O105*#REF!)*'Mon (103)'!#REF!) + (('Time Matrix'!O105*#REF!)*'Mon (103)'!#REF!) + (('Time Matrix'!O105*#REF!)*'Mon (103)'!#REF!) + (('Time Matrix'!O105*#REF!)*'Mon (103)'!#REF!)</f>
        <v>#REF!</v>
      </c>
      <c r="D132" t="e">
        <f>(('Time Matrix'!O105*#REF!)*#REF!) + (('Time Matrix'!O105*#REF!)*#REF!) + (('Time Matrix'!O105*#REF!)*#REF!) + (('Time Matrix'!O105*#REF!)*#REF!)</f>
        <v>#REF!</v>
      </c>
      <c r="E132" t="e">
        <f>(('Time Matrix'!O105*#REF!)*#REF!) + (('Time Matrix'!O105*#REF!)*#REF!) + (('Time Matrix'!O105*#REF!)*#REF!) + (('Time Matrix'!O105*#REF!)*#REF!)</f>
        <v>#REF!</v>
      </c>
      <c r="F132" t="e">
        <f>(('Time Matrix'!O105*#REF!)*#REF!) + (('Time Matrix'!O105*#REF!)*#REF!) + (('Time Matrix'!O105*#REF!)*#REF!) + (('Time Matrix'!O105*#REF!)*#REF!)</f>
        <v>#REF!</v>
      </c>
      <c r="G132" t="e">
        <f>(('Time Matrix'!O105*#REF!)*#REF!) + (('Time Matrix'!O105*#REF!)*#REF!) + (('Time Matrix'!O105*#REF!)*#REF!) + (('Time Matrix'!O105*#REF!)*#REF!)</f>
        <v>#REF!</v>
      </c>
      <c r="H132" t="e">
        <f>(('Time Matrix'!O105*#REF!)*#REF!) + (('Time Matrix'!O105*#REF!)*#REF!) + (('Time Matrix'!O105*#REF!)*#REF!) + (('Time Matrix'!O105*#REF!)*#REF!)</f>
        <v>#REF!</v>
      </c>
    </row>
    <row r="133" spans="1:8" x14ac:dyDescent="0.2">
      <c r="A133" t="s">
        <v>45</v>
      </c>
      <c r="B133" t="s">
        <v>23</v>
      </c>
      <c r="C133" t="e">
        <f>(('Time Matrix'!O106*#REF!)*'Mon (103)'!#REF!) + (('Time Matrix'!O106*#REF!)*'Mon (103)'!#REF!) + (('Time Matrix'!O106*#REF!)*'Mon (103)'!#REF!) + (('Time Matrix'!O106*#REF!)*'Mon (103)'!#REF!)</f>
        <v>#REF!</v>
      </c>
      <c r="D133" t="e">
        <f>(('Time Matrix'!O106*#REF!)*#REF!) + (('Time Matrix'!O106*#REF!)*#REF!) + (('Time Matrix'!O106*#REF!)*#REF!) + (('Time Matrix'!O106*#REF!)*#REF!)</f>
        <v>#REF!</v>
      </c>
      <c r="E133" t="e">
        <f>(('Time Matrix'!O106*#REF!)*#REF!) + (('Time Matrix'!O106*#REF!)*#REF!) + (('Time Matrix'!O106*#REF!)*#REF!) + (('Time Matrix'!O106*#REF!)*#REF!)</f>
        <v>#REF!</v>
      </c>
      <c r="F133" t="e">
        <f>(('Time Matrix'!O106*#REF!)*#REF!) + (('Time Matrix'!O106*#REF!)*#REF!) + (('Time Matrix'!O106*#REF!)*#REF!) + (('Time Matrix'!O106*#REF!)*#REF!)</f>
        <v>#REF!</v>
      </c>
      <c r="G133" t="e">
        <f>(('Time Matrix'!O106*#REF!)*#REF!) + (('Time Matrix'!O106*#REF!)*#REF!) + (('Time Matrix'!O106*#REF!)*#REF!) + (('Time Matrix'!O106*#REF!)*#REF!)</f>
        <v>#REF!</v>
      </c>
      <c r="H133" t="e">
        <f>(('Time Matrix'!O106*#REF!)*#REF!) + (('Time Matrix'!O106*#REF!)*#REF!) + (('Time Matrix'!O106*#REF!)*#REF!) + (('Time Matrix'!O106*#REF!)*#REF!)</f>
        <v>#REF!</v>
      </c>
    </row>
    <row r="134" spans="1:8" x14ac:dyDescent="0.2">
      <c r="A134" s="128" t="s">
        <v>165</v>
      </c>
      <c r="B134" s="129"/>
      <c r="C134" t="e">
        <f>SUM(C130:C133)</f>
        <v>#REF!</v>
      </c>
      <c r="D134" t="e">
        <f>SUM(D130:D133)</f>
        <v>#REF!</v>
      </c>
      <c r="E134" t="e">
        <f t="shared" ref="E134:H134" si="13">SUM(E130:E133)</f>
        <v>#REF!</v>
      </c>
      <c r="F134" t="e">
        <f t="shared" si="13"/>
        <v>#REF!</v>
      </c>
      <c r="G134" t="e">
        <f t="shared" si="13"/>
        <v>#REF!</v>
      </c>
      <c r="H134" t="e">
        <f t="shared" si="13"/>
        <v>#REF!</v>
      </c>
    </row>
    <row r="135" spans="1:8" x14ac:dyDescent="0.2">
      <c r="A135" s="130" t="s">
        <v>49</v>
      </c>
      <c r="B135" s="131"/>
      <c r="C135" s="131"/>
      <c r="D135" s="131"/>
      <c r="E135" s="131"/>
      <c r="F135" s="131"/>
      <c r="G135" s="131"/>
      <c r="H135" s="131"/>
    </row>
    <row r="136" spans="1:8" x14ac:dyDescent="0.2">
      <c r="A136">
        <v>6285</v>
      </c>
      <c r="B136" t="s">
        <v>22</v>
      </c>
      <c r="C136" t="e">
        <f>(('Time Matrix'!P103*#REF!)*'Mon (103)'!#REF!) + (('Time Matrix'!P103*#REF!)*'Mon (103)'!#REF!) + (('Time Matrix'!P103*#REF!)*'Mon (103)'!#REF!) + (('Time Matrix'!P103*#REF!)*'Mon (103)'!#REF!)</f>
        <v>#REF!</v>
      </c>
      <c r="D136" t="e">
        <f>(('Time Matrix'!P103*#REF!)*#REF!) + (('Time Matrix'!P103*#REF!)*#REF!) + (('Time Matrix'!P103*#REF!)*#REF!) + (('Time Matrix'!P103*#REF!)*#REF!)</f>
        <v>#REF!</v>
      </c>
      <c r="E136" t="e">
        <f>(('Time Matrix'!P103*#REF!)*#REF!) + (('Time Matrix'!P103*#REF!)*#REF!) + (('Time Matrix'!P103*#REF!)*#REF!) + (('Time Matrix'!P103*#REF!)*#REF!)</f>
        <v>#REF!</v>
      </c>
      <c r="F136" t="e">
        <f>(('Time Matrix'!P103*#REF!)*#REF!) + (('Time Matrix'!P103*#REF!)*#REF!) + (('Time Matrix'!P103*#REF!)*#REF!) + (('Time Matrix'!P103*#REF!)*#REF!)</f>
        <v>#REF!</v>
      </c>
      <c r="G136" t="e">
        <f>(('Time Matrix'!P103*#REF!)*#REF!) + (('Time Matrix'!P103*#REF!)*#REF!) + (('Time Matrix'!P103*#REF!)*#REF!) + (('Time Matrix'!P103*#REF!)*#REF!)</f>
        <v>#REF!</v>
      </c>
      <c r="H136" t="e">
        <f>(('Time Matrix'!P103*#REF!)*#REF!) + (('Time Matrix'!P103*#REF!)*#REF!) + (('Time Matrix'!P103*#REF!)*#REF!) + (('Time Matrix'!P103*#REF!)*#REF!)</f>
        <v>#REF!</v>
      </c>
    </row>
    <row r="137" spans="1:8" x14ac:dyDescent="0.2">
      <c r="A137">
        <v>6284</v>
      </c>
      <c r="B137" t="s">
        <v>19</v>
      </c>
      <c r="C137" t="e">
        <f>(('Time Matrix'!P104*#REF!)*'Mon (103)'!#REF!) + (('Time Matrix'!P104*#REF!)*'Mon (103)'!#REF!) + (('Time Matrix'!P104*#REF!)*'Mon (103)'!#REF!) + (('Time Matrix'!P104*#REF!)*'Mon (103)'!#REF!)</f>
        <v>#REF!</v>
      </c>
      <c r="D137" t="e">
        <f>(('Time Matrix'!P104*#REF!)*#REF!) + (('Time Matrix'!P104*#REF!)*#REF!) + (('Time Matrix'!P104*#REF!)*#REF!) + (('Time Matrix'!P104*#REF!)*#REF!)</f>
        <v>#REF!</v>
      </c>
      <c r="E137" t="e">
        <f>(('Time Matrix'!P104*#REF!)*#REF!) + (('Time Matrix'!P104*#REF!)*#REF!) + (('Time Matrix'!P104*#REF!)*#REF!) + (('Time Matrix'!P104*#REF!)*#REF!)</f>
        <v>#REF!</v>
      </c>
      <c r="F137" t="e">
        <f>(('Time Matrix'!P104*#REF!)*#REF!) + (('Time Matrix'!P104*#REF!)*#REF!) + (('Time Matrix'!P104*#REF!)*#REF!) + (('Time Matrix'!P104*#REF!)*#REF!)</f>
        <v>#REF!</v>
      </c>
      <c r="G137" t="e">
        <f>(('Time Matrix'!P104*#REF!)*#REF!) + (('Time Matrix'!P104*#REF!)*#REF!) + (('Time Matrix'!P104*#REF!)*#REF!) + (('Time Matrix'!P104*#REF!)*#REF!)</f>
        <v>#REF!</v>
      </c>
      <c r="H137" t="e">
        <f>(('Time Matrix'!P104*#REF!)*#REF!) + (('Time Matrix'!P104*#REF!)*#REF!) + (('Time Matrix'!P104*#REF!)*#REF!) + (('Time Matrix'!P104*#REF!)*#REF!)</f>
        <v>#REF!</v>
      </c>
    </row>
    <row r="138" spans="1:8" x14ac:dyDescent="0.2">
      <c r="A138">
        <v>6282</v>
      </c>
      <c r="B138" t="s">
        <v>20</v>
      </c>
      <c r="C138" t="e">
        <f>(('Time Matrix'!P105*#REF!)*'Mon (103)'!#REF!) + (('Time Matrix'!P105*#REF!)*'Mon (103)'!#REF!) + (('Time Matrix'!P105*#REF!)*'Mon (103)'!#REF!) + (('Time Matrix'!P105*#REF!)*'Mon (103)'!#REF!)</f>
        <v>#REF!</v>
      </c>
      <c r="D138" t="e">
        <f>(('Time Matrix'!P105*#REF!)*#REF!) + (('Time Matrix'!P105*#REF!)*#REF!) + (('Time Matrix'!P105*#REF!)*#REF!) + (('Time Matrix'!P105*#REF!)*#REF!)</f>
        <v>#REF!</v>
      </c>
      <c r="E138" t="e">
        <f>(('Time Matrix'!P105*#REF!)*#REF!) + (('Time Matrix'!P105*#REF!)*#REF!) + (('Time Matrix'!P105*#REF!)*#REF!) + (('Time Matrix'!P105*#REF!)*#REF!)</f>
        <v>#REF!</v>
      </c>
      <c r="F138" t="e">
        <f>(('Time Matrix'!P105*#REF!)*#REF!) + (('Time Matrix'!P105*#REF!)*#REF!) + (('Time Matrix'!P105*#REF!)*#REF!) + (('Time Matrix'!P105*#REF!)*#REF!)</f>
        <v>#REF!</v>
      </c>
      <c r="G138" t="e">
        <f>(('Time Matrix'!P105*#REF!)*#REF!) + (('Time Matrix'!P105*#REF!)*#REF!) + (('Time Matrix'!P105*#REF!)*#REF!) + (('Time Matrix'!P105*#REF!)*#REF!)</f>
        <v>#REF!</v>
      </c>
      <c r="H138" t="e">
        <f>(('Time Matrix'!P105*#REF!)*#REF!) + (('Time Matrix'!P105*#REF!)*#REF!) + (('Time Matrix'!P105*#REF!)*#REF!) + (('Time Matrix'!P105*#REF!)*#REF!)</f>
        <v>#REF!</v>
      </c>
    </row>
    <row r="139" spans="1:8" x14ac:dyDescent="0.2">
      <c r="A139">
        <v>6283</v>
      </c>
      <c r="B139" t="s">
        <v>23</v>
      </c>
      <c r="C139" t="e">
        <f>(('Time Matrix'!P106*#REF!)*'Mon (103)'!#REF!) + (('Time Matrix'!P106*#REF!)*'Mon (103)'!#REF!) + (('Time Matrix'!P106*#REF!)*'Mon (103)'!#REF!) + (('Time Matrix'!P106*#REF!)*'Mon (103)'!#REF!)</f>
        <v>#REF!</v>
      </c>
      <c r="D139" t="e">
        <f>(('Time Matrix'!P106*#REF!)*#REF!) + (('Time Matrix'!P106*#REF!)*#REF!) + (('Time Matrix'!P106*#REF!)*#REF!) + (('Time Matrix'!P106*#REF!)*#REF!)</f>
        <v>#REF!</v>
      </c>
      <c r="E139" t="e">
        <f>(('Time Matrix'!P106*#REF!)*#REF!) + (('Time Matrix'!P106*#REF!)*#REF!) + (('Time Matrix'!P106*#REF!)*#REF!) + (('Time Matrix'!P106*#REF!)*#REF!)</f>
        <v>#REF!</v>
      </c>
      <c r="F139" t="e">
        <f>(('Time Matrix'!P106*#REF!)*#REF!) + (('Time Matrix'!P106*#REF!)*#REF!) + (('Time Matrix'!P106*#REF!)*#REF!) + (('Time Matrix'!P106*#REF!)*#REF!)</f>
        <v>#REF!</v>
      </c>
      <c r="G139" t="e">
        <f>(('Time Matrix'!P106*#REF!)*#REF!) + (('Time Matrix'!P106*#REF!)*#REF!) + (('Time Matrix'!P106*#REF!)*#REF!) + (('Time Matrix'!P106*#REF!)*#REF!)</f>
        <v>#REF!</v>
      </c>
      <c r="H139" t="e">
        <f>(('Time Matrix'!P106*#REF!)*#REF!) + (('Time Matrix'!P106*#REF!)*#REF!) + (('Time Matrix'!P106*#REF!)*#REF!) + (('Time Matrix'!P106*#REF!)*#REF!)</f>
        <v>#REF!</v>
      </c>
    </row>
    <row r="140" spans="1:8" x14ac:dyDescent="0.2">
      <c r="A140" s="128" t="s">
        <v>165</v>
      </c>
      <c r="B140" s="129"/>
      <c r="C140" t="e">
        <f>SUM(C136:C139)</f>
        <v>#REF!</v>
      </c>
      <c r="D140" t="e">
        <f>SUM(D136:D139)</f>
        <v>#REF!</v>
      </c>
      <c r="E140" t="e">
        <f t="shared" ref="E140:H140" si="14">SUM(E136:E139)</f>
        <v>#REF!</v>
      </c>
      <c r="F140" t="e">
        <f t="shared" si="14"/>
        <v>#REF!</v>
      </c>
      <c r="G140" t="e">
        <f t="shared" si="14"/>
        <v>#REF!</v>
      </c>
      <c r="H140" t="e">
        <f t="shared" si="14"/>
        <v>#REF!</v>
      </c>
    </row>
    <row r="141" spans="1:8" x14ac:dyDescent="0.2">
      <c r="A141" s="130" t="s">
        <v>53</v>
      </c>
      <c r="B141" s="131"/>
      <c r="C141" s="131"/>
      <c r="D141" s="131"/>
      <c r="E141" s="131"/>
      <c r="F141" s="131"/>
      <c r="G141" s="131"/>
      <c r="H141" s="131"/>
    </row>
    <row r="142" spans="1:8" x14ac:dyDescent="0.2">
      <c r="A142" s="130" t="s">
        <v>48</v>
      </c>
      <c r="B142" s="131"/>
      <c r="C142" s="131"/>
      <c r="D142" s="131"/>
      <c r="E142" s="131"/>
      <c r="F142" s="131"/>
      <c r="G142" s="131"/>
      <c r="H142" s="131"/>
    </row>
    <row r="143" spans="1:8" x14ac:dyDescent="0.2">
      <c r="A143" t="s">
        <v>43</v>
      </c>
      <c r="B143" t="s">
        <v>22</v>
      </c>
      <c r="C143" t="e">
        <f>(('Time Matrix'!Q103*#REF!)*'Mon (103)'!#REF!) + (('Time Matrix'!Q103*#REF!)*'Mon (103)'!#REF!) + (('Time Matrix'!Q103*#REF!)*'Mon (103)'!#REF!) + (('Time Matrix'!Q103*#REF!)*'Mon (103)'!#REF!)</f>
        <v>#REF!</v>
      </c>
      <c r="D143" t="e">
        <f>(('Time Matrix'!Q103*#REF!)*#REF!) + (('Time Matrix'!Q103*#REF!)*#REF!) + (('Time Matrix'!Q103*#REF!)*#REF!) + (('Time Matrix'!Q103*#REF!)*#REF!)</f>
        <v>#REF!</v>
      </c>
      <c r="E143" t="e">
        <f>(('Time Matrix'!Q103*#REF!)*#REF!) + (('Time Matrix'!Q103*#REF!)*#REF!) + (('Time Matrix'!Q103*#REF!)*#REF!) + (('Time Matrix'!Q103*#REF!)*#REF!)</f>
        <v>#REF!</v>
      </c>
      <c r="F143" t="e">
        <f>(('Time Matrix'!Q103*#REF!)*#REF!) + (('Time Matrix'!Q103*#REF!)*#REF!) + (('Time Matrix'!Q103*#REF!)*#REF!) + (('Time Matrix'!Q103*#REF!)*#REF!)</f>
        <v>#REF!</v>
      </c>
      <c r="G143" t="e">
        <f>(('Time Matrix'!Q103*#REF!)*#REF!) + (('Time Matrix'!Q103*#REF!)*#REF!) + (('Time Matrix'!Q103*#REF!)*#REF!) + (('Time Matrix'!Q103*#REF!)*#REF!)</f>
        <v>#REF!</v>
      </c>
      <c r="H143" t="e">
        <f>(('Time Matrix'!Q103*#REF!)*#REF!) + (('Time Matrix'!Q103*#REF!)*#REF!) + (('Time Matrix'!Q103*#REF!)*#REF!) + (('Time Matrix'!Q103*#REF!)*#REF!)</f>
        <v>#REF!</v>
      </c>
    </row>
    <row r="144" spans="1:8" x14ac:dyDescent="0.2">
      <c r="A144" t="s">
        <v>44</v>
      </c>
      <c r="B144" t="s">
        <v>19</v>
      </c>
      <c r="C144" t="e">
        <f>(('Time Matrix'!Q104*#REF!)*'Mon (103)'!#REF!) + (('Time Matrix'!Q104*#REF!)*'Mon (103)'!#REF!) + (('Time Matrix'!Q104*#REF!)*'Mon (103)'!#REF!) + (('Time Matrix'!Q104*#REF!)*'Mon (103)'!#REF!)</f>
        <v>#REF!</v>
      </c>
      <c r="D144" t="e">
        <f>(('Time Matrix'!Q104*#REF!)*#REF!) + (('Time Matrix'!Q104*#REF!)*#REF!) + (('Time Matrix'!Q104*#REF!)*#REF!) + (('Time Matrix'!Q104*#REF!)*#REF!)</f>
        <v>#REF!</v>
      </c>
      <c r="E144" t="e">
        <f>(('Time Matrix'!Q104*#REF!)*#REF!) + (('Time Matrix'!Q104*#REF!)*#REF!) + (('Time Matrix'!Q104*#REF!)*#REF!) + (('Time Matrix'!Q104*#REF!)*#REF!)</f>
        <v>#REF!</v>
      </c>
      <c r="F144" t="e">
        <f>(('Time Matrix'!Q104*#REF!)*#REF!) + (('Time Matrix'!Q104*#REF!)*#REF!) + (('Time Matrix'!Q104*#REF!)*#REF!) + (('Time Matrix'!Q104*#REF!)*#REF!)</f>
        <v>#REF!</v>
      </c>
      <c r="G144" t="e">
        <f>(('Time Matrix'!Q104*#REF!)*#REF!) + (('Time Matrix'!Q104*#REF!)*#REF!) + (('Time Matrix'!Q104*#REF!)*#REF!) + (('Time Matrix'!Q104*#REF!)*#REF!)</f>
        <v>#REF!</v>
      </c>
      <c r="H144" t="e">
        <f>(('Time Matrix'!Q104*#REF!)*#REF!) + (('Time Matrix'!Q104*#REF!)*#REF!) + (('Time Matrix'!Q104*#REF!)*#REF!) + (('Time Matrix'!Q104*#REF!)*#REF!)</f>
        <v>#REF!</v>
      </c>
    </row>
    <row r="145" spans="1:8" x14ac:dyDescent="0.2">
      <c r="A145" t="s">
        <v>62</v>
      </c>
      <c r="B145" t="s">
        <v>20</v>
      </c>
      <c r="C145" t="e">
        <f>(('Time Matrix'!Q105*#REF!)*'Mon (103)'!#REF!) + (('Time Matrix'!Q105*#REF!)*'Mon (103)'!#REF!) + (('Time Matrix'!Q105*#REF!)*'Mon (103)'!#REF!) + (('Time Matrix'!Q105*#REF!)*'Mon (103)'!#REF!)</f>
        <v>#REF!</v>
      </c>
      <c r="D145" t="e">
        <f>(('Time Matrix'!Q105*#REF!)*#REF!) + (('Time Matrix'!Q105*#REF!)*#REF!) + (('Time Matrix'!Q105*#REF!)*#REF!) + (('Time Matrix'!Q105*#REF!)*#REF!)</f>
        <v>#REF!</v>
      </c>
      <c r="E145" t="e">
        <f>(('Time Matrix'!Q105*#REF!)*#REF!) + (('Time Matrix'!Q105*#REF!)*#REF!) + (('Time Matrix'!Q105*#REF!)*#REF!) + (('Time Matrix'!Q105*#REF!)*#REF!)</f>
        <v>#REF!</v>
      </c>
      <c r="F145" t="e">
        <f>(('Time Matrix'!Q105*#REF!)*#REF!) + (('Time Matrix'!Q105*#REF!)*#REF!) + (('Time Matrix'!Q105*#REF!)*#REF!) + (('Time Matrix'!Q105*#REF!)*#REF!)</f>
        <v>#REF!</v>
      </c>
      <c r="G145" t="e">
        <f>(('Time Matrix'!Q105*#REF!)*#REF!) + (('Time Matrix'!Q105*#REF!)*#REF!) + (('Time Matrix'!Q105*#REF!)*#REF!) + (('Time Matrix'!Q105*#REF!)*#REF!)</f>
        <v>#REF!</v>
      </c>
      <c r="H145" t="e">
        <f>(('Time Matrix'!Q105*#REF!)*#REF!) + (('Time Matrix'!Q105*#REF!)*#REF!) + (('Time Matrix'!Q105*#REF!)*#REF!) + (('Time Matrix'!Q105*#REF!)*#REF!)</f>
        <v>#REF!</v>
      </c>
    </row>
    <row r="146" spans="1:8" x14ac:dyDescent="0.2">
      <c r="A146" t="s">
        <v>45</v>
      </c>
      <c r="B146" t="s">
        <v>23</v>
      </c>
      <c r="C146" t="e">
        <f>(('Time Matrix'!Q106*#REF!)*'Mon (103)'!#REF!) + (('Time Matrix'!Q106*#REF!)*'Mon (103)'!#REF!) + (('Time Matrix'!Q106*#REF!)*'Mon (103)'!#REF!) + (('Time Matrix'!Q106*#REF!)*'Mon (103)'!#REF!)</f>
        <v>#REF!</v>
      </c>
      <c r="D146" t="e">
        <f>(('Time Matrix'!Q106*#REF!)*#REF!) + (('Time Matrix'!Q106*#REF!)*#REF!) + (('Time Matrix'!Q106*#REF!)*#REF!) + (('Time Matrix'!Q106*#REF!)*#REF!)</f>
        <v>#REF!</v>
      </c>
      <c r="E146" t="e">
        <f>(('Time Matrix'!Q106*#REF!)*#REF!) + (('Time Matrix'!Q106*#REF!)*#REF!) + (('Time Matrix'!Q106*#REF!)*#REF!) + (('Time Matrix'!Q106*#REF!)*#REF!)</f>
        <v>#REF!</v>
      </c>
      <c r="F146" t="e">
        <f>(('Time Matrix'!Q106*#REF!)*#REF!) + (('Time Matrix'!Q106*#REF!)*#REF!) + (('Time Matrix'!Q106*#REF!)*#REF!) + (('Time Matrix'!Q106*#REF!)*#REF!)</f>
        <v>#REF!</v>
      </c>
      <c r="G146" t="e">
        <f>(('Time Matrix'!Q106*#REF!)*#REF!) + (('Time Matrix'!Q106*#REF!)*#REF!) + (('Time Matrix'!Q106*#REF!)*#REF!) + (('Time Matrix'!Q106*#REF!)*#REF!)</f>
        <v>#REF!</v>
      </c>
      <c r="H146" t="e">
        <f>(('Time Matrix'!Q106*#REF!)*#REF!) + (('Time Matrix'!Q106*#REF!)*#REF!) + (('Time Matrix'!Q106*#REF!)*#REF!) + (('Time Matrix'!Q106*#REF!)*#REF!)</f>
        <v>#REF!</v>
      </c>
    </row>
    <row r="147" spans="1:8" x14ac:dyDescent="0.2">
      <c r="A147" s="128" t="s">
        <v>165</v>
      </c>
      <c r="B147" s="129"/>
      <c r="C147" t="e">
        <f>SUM(C143:C146)</f>
        <v>#REF!</v>
      </c>
      <c r="D147" t="e">
        <f t="shared" ref="D147:G147" si="15">SUM(D143:D146)</f>
        <v>#REF!</v>
      </c>
      <c r="E147" t="e">
        <f t="shared" si="15"/>
        <v>#REF!</v>
      </c>
      <c r="F147" t="e">
        <f t="shared" si="15"/>
        <v>#REF!</v>
      </c>
      <c r="G147" t="e">
        <f t="shared" si="15"/>
        <v>#REF!</v>
      </c>
      <c r="H147" t="e">
        <f>SUM(H143:H146)</f>
        <v>#REF!</v>
      </c>
    </row>
    <row r="148" spans="1:8" x14ac:dyDescent="0.2">
      <c r="A148" s="130" t="s">
        <v>49</v>
      </c>
      <c r="B148" s="131"/>
      <c r="C148" s="131"/>
      <c r="D148" s="131"/>
      <c r="E148" s="131"/>
      <c r="F148" s="131"/>
      <c r="G148" s="131"/>
      <c r="H148" s="131"/>
    </row>
    <row r="149" spans="1:8" x14ac:dyDescent="0.2">
      <c r="A149">
        <v>6285</v>
      </c>
      <c r="B149" t="s">
        <v>22</v>
      </c>
      <c r="C149" t="e">
        <f>(('Time Matrix'!R103*#REF!)*'Mon (103)'!#REF!) + (('Time Matrix'!R103*#REF!)*'Mon (103)'!#REF!) + (('Time Matrix'!R103*#REF!)*'Mon (103)'!#REF!) + (('Time Matrix'!R103*#REF!)*'Mon (103)'!#REF!)</f>
        <v>#REF!</v>
      </c>
      <c r="D149" t="e">
        <f>(('Time Matrix'!R103*#REF!)*#REF!) + (('Time Matrix'!R103*#REF!)*#REF!) + (('Time Matrix'!R103*#REF!)*#REF!) + (('Time Matrix'!R103*#REF!)*#REF!)</f>
        <v>#REF!</v>
      </c>
      <c r="E149" t="e">
        <f>(('Time Matrix'!R103*#REF!)*#REF!) + (('Time Matrix'!R103*#REF!)*#REF!) + (('Time Matrix'!R103*#REF!)*#REF!) + (('Time Matrix'!R103*#REF!)*#REF!)</f>
        <v>#REF!</v>
      </c>
      <c r="F149" t="e">
        <f>(('Time Matrix'!R103*#REF!)*#REF!) + (('Time Matrix'!R103*#REF!)*#REF!) + (('Time Matrix'!R103*#REF!)*#REF!) + (('Time Matrix'!R103*#REF!)*#REF!)</f>
        <v>#REF!</v>
      </c>
      <c r="G149" t="e">
        <f>(('Time Matrix'!R103*#REF!)*#REF!) + (('Time Matrix'!R103*#REF!)*#REF!) + (('Time Matrix'!R103*#REF!)*#REF!) + (('Time Matrix'!R103*#REF!)*#REF!)</f>
        <v>#REF!</v>
      </c>
      <c r="H149" t="e">
        <f>(('Time Matrix'!R103*#REF!)*#REF!) + (('Time Matrix'!R103*#REF!)*#REF!) + (('Time Matrix'!R103*#REF!)*#REF!) + (('Time Matrix'!R103*#REF!)*#REF!)</f>
        <v>#REF!</v>
      </c>
    </row>
    <row r="150" spans="1:8" x14ac:dyDescent="0.2">
      <c r="A150">
        <v>6284</v>
      </c>
      <c r="B150" t="s">
        <v>19</v>
      </c>
      <c r="C150" t="e">
        <f>(('Time Matrix'!R104*#REF!)*#REF!) + (('Time Matrix'!R104*#REF!)*#REF!) + (('Time Matrix'!R104*#REF!)*#REF!) + (('Time Matrix'!R104*#REF!)*#REF!)</f>
        <v>#REF!</v>
      </c>
      <c r="D150" t="e">
        <f>(('Time Matrix'!R104*#REF!)*#REF!) + (('Time Matrix'!R104*#REF!)*#REF!) + (('Time Matrix'!R104*#REF!)*#REF!) + (('Time Matrix'!R104*#REF!)*#REF!)</f>
        <v>#REF!</v>
      </c>
      <c r="E150" t="e">
        <f>(('Time Matrix'!R104*#REF!)*#REF!) + (('Time Matrix'!R104*#REF!)*#REF!) + (('Time Matrix'!R104*#REF!)*#REF!) + (('Time Matrix'!R104*#REF!)*#REF!)</f>
        <v>#REF!</v>
      </c>
      <c r="F150" t="e">
        <f>(('Time Matrix'!R104*#REF!)*#REF!) + (('Time Matrix'!R104*#REF!)*#REF!) + (('Time Matrix'!R104*#REF!)*#REF!) + (('Time Matrix'!R104*#REF!)*#REF!)</f>
        <v>#REF!</v>
      </c>
      <c r="G150" t="e">
        <f>(('Time Matrix'!R104*#REF!)*#REF!) + (('Time Matrix'!R104*#REF!)*#REF!) + (('Time Matrix'!R104*#REF!)*#REF!) + (('Time Matrix'!R104*#REF!)*#REF!)</f>
        <v>#REF!</v>
      </c>
      <c r="H150" t="e">
        <f>(('Time Matrix'!R104*#REF!)*#REF!) + (('Time Matrix'!R104*#REF!)*#REF!) + (('Time Matrix'!R104*#REF!)*#REF!) + (('Time Matrix'!R104*#REF!)*#REF!)</f>
        <v>#REF!</v>
      </c>
    </row>
    <row r="151" spans="1:8" x14ac:dyDescent="0.2">
      <c r="A151">
        <v>6282</v>
      </c>
      <c r="B151" t="s">
        <v>20</v>
      </c>
      <c r="C151" t="e">
        <f>(('Time Matrix'!R105*#REF!)*'Mon (103)'!#REF!) + (('Time Matrix'!R105*#REF!)*'Mon (103)'!#REF!) + (('Time Matrix'!R105*#REF!)*'Mon (103)'!#REF!) + (('Time Matrix'!R105*#REF!)*'Mon (103)'!#REF!)</f>
        <v>#REF!</v>
      </c>
      <c r="D151" t="e">
        <f>(('Time Matrix'!R105*#REF!)*#REF!) + (('Time Matrix'!R105*#REF!)*#REF!) + (('Time Matrix'!R105*#REF!)*#REF!) + (('Time Matrix'!R105*#REF!)*#REF!)</f>
        <v>#REF!</v>
      </c>
      <c r="E151" t="e">
        <f>(('Time Matrix'!R105*#REF!)*#REF!) + (('Time Matrix'!R105*#REF!)*#REF!) + (('Time Matrix'!R105*#REF!)*#REF!) + (('Time Matrix'!R105*#REF!)*#REF!)</f>
        <v>#REF!</v>
      </c>
      <c r="F151" t="e">
        <f>(('Time Matrix'!R105*#REF!)*#REF!) + (('Time Matrix'!R105*#REF!)*#REF!) + (('Time Matrix'!R105*#REF!)*#REF!) + (('Time Matrix'!R105*#REF!)*#REF!)</f>
        <v>#REF!</v>
      </c>
      <c r="G151" t="e">
        <f>(('Time Matrix'!R105*#REF!)*#REF!) + (('Time Matrix'!R105*#REF!)*#REF!) + (('Time Matrix'!R105*#REF!)*#REF!) + (('Time Matrix'!R105*#REF!)*#REF!)</f>
        <v>#REF!</v>
      </c>
      <c r="H151" t="e">
        <f>(('Time Matrix'!R105*#REF!)*#REF!) + (('Time Matrix'!R105*#REF!)*#REF!) + (('Time Matrix'!R105*#REF!)*#REF!) + (('Time Matrix'!R105*#REF!)*#REF!)</f>
        <v>#REF!</v>
      </c>
    </row>
    <row r="152" spans="1:8" x14ac:dyDescent="0.2">
      <c r="A152">
        <v>6283</v>
      </c>
      <c r="B152" t="s">
        <v>23</v>
      </c>
      <c r="C152" t="e">
        <f>(('Time Matrix'!R106*#REF!)*'Mon (103)'!#REF!) + (('Time Matrix'!R106*#REF!)*'Mon (103)'!#REF!) + (('Time Matrix'!R106*#REF!)*'Mon (103)'!#REF!) + (('Time Matrix'!R106*#REF!)*'Mon (103)'!#REF!)</f>
        <v>#REF!</v>
      </c>
      <c r="D152" t="e">
        <f>(('Time Matrix'!R106*#REF!)*#REF!) + (('Time Matrix'!R106*#REF!)*#REF!) + (('Time Matrix'!R106*#REF!)*#REF!) + (('Time Matrix'!R106*#REF!)*#REF!)</f>
        <v>#REF!</v>
      </c>
      <c r="E152" t="e">
        <f>(('Time Matrix'!R106*#REF!)*#REF!) + (('Time Matrix'!R106*#REF!)*#REF!) + (('Time Matrix'!R106*#REF!)*#REF!) + (('Time Matrix'!R106*#REF!)*#REF!)</f>
        <v>#REF!</v>
      </c>
      <c r="F152" t="e">
        <f>(('Time Matrix'!R106*#REF!)*#REF!) + (('Time Matrix'!R106*#REF!)*#REF!) + (('Time Matrix'!R106*#REF!)*#REF!) + (('Time Matrix'!R106*#REF!)*#REF!)</f>
        <v>#REF!</v>
      </c>
      <c r="G152" t="e">
        <f>(('Time Matrix'!R106*#REF!)*#REF!) + (('Time Matrix'!R106*#REF!)*#REF!) + (('Time Matrix'!R106*#REF!)*#REF!) + (('Time Matrix'!R106*#REF!)*#REF!)</f>
        <v>#REF!</v>
      </c>
      <c r="H152" t="e">
        <f>(('Time Matrix'!R106*#REF!)*#REF!) + (('Time Matrix'!R106*#REF!)*#REF!) + (('Time Matrix'!R106*#REF!)*#REF!) + (('Time Matrix'!R106*#REF!)*#REF!)</f>
        <v>#REF!</v>
      </c>
    </row>
    <row r="153" spans="1:8" x14ac:dyDescent="0.2">
      <c r="A153" s="128" t="s">
        <v>165</v>
      </c>
      <c r="B153" s="129"/>
      <c r="C153" t="e">
        <f>SUM(C149:C152)</f>
        <v>#REF!</v>
      </c>
      <c r="D153" t="e">
        <f t="shared" ref="D153:H153" si="16">SUM(D149:D152)</f>
        <v>#REF!</v>
      </c>
      <c r="E153" t="e">
        <f t="shared" si="16"/>
        <v>#REF!</v>
      </c>
      <c r="F153" t="e">
        <f t="shared" si="16"/>
        <v>#REF!</v>
      </c>
      <c r="G153" t="e">
        <f t="shared" si="16"/>
        <v>#REF!</v>
      </c>
      <c r="H153" t="e">
        <f t="shared" si="16"/>
        <v>#REF!</v>
      </c>
    </row>
  </sheetData>
  <sheetProtection algorithmName="SHA-512" hashValue="eFcvWtGK1H2q7t+IDoiTkG/sfvrDmbECJ6mA3t9PG1rklYbZVpOL3gqrtK8LU6tIyaaHSDp+kiJq3X+KYKwMxw==" saltValue="MMf2JHCcXLFGcCpr+gOLYg==" spinCount="100000" sheet="1" objects="1" scenarios="1"/>
  <mergeCells count="36">
    <mergeCell ref="A106:H106"/>
    <mergeCell ref="A97:B97"/>
    <mergeCell ref="A105:B105"/>
    <mergeCell ref="A2:H2"/>
    <mergeCell ref="A20:H20"/>
    <mergeCell ref="A29:H29"/>
    <mergeCell ref="A40:H40"/>
    <mergeCell ref="A54:H54"/>
    <mergeCell ref="A68:H68"/>
    <mergeCell ref="A73:H73"/>
    <mergeCell ref="A79:H79"/>
    <mergeCell ref="A87:H87"/>
    <mergeCell ref="A92:H92"/>
    <mergeCell ref="A98:H98"/>
    <mergeCell ref="A153:B153"/>
    <mergeCell ref="A148:H148"/>
    <mergeCell ref="A19:B19"/>
    <mergeCell ref="A28:B28"/>
    <mergeCell ref="A39:B39"/>
    <mergeCell ref="A53:B53"/>
    <mergeCell ref="A67:B67"/>
    <mergeCell ref="A72:B72"/>
    <mergeCell ref="A78:B78"/>
    <mergeCell ref="A86:B86"/>
    <mergeCell ref="A91:B91"/>
    <mergeCell ref="A114:H114"/>
    <mergeCell ref="A128:H128"/>
    <mergeCell ref="A129:H129"/>
    <mergeCell ref="A135:H135"/>
    <mergeCell ref="A141:H141"/>
    <mergeCell ref="A113:B113"/>
    <mergeCell ref="A127:B127"/>
    <mergeCell ref="A134:B134"/>
    <mergeCell ref="A140:B140"/>
    <mergeCell ref="A147:B147"/>
    <mergeCell ref="A142:H1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/>
  <dimension ref="A1:R106"/>
  <sheetViews>
    <sheetView topLeftCell="A26" workbookViewId="0">
      <selection activeCell="H49" sqref="H49"/>
    </sheetView>
  </sheetViews>
  <sheetFormatPr defaultRowHeight="12.75" x14ac:dyDescent="0.2"/>
  <cols>
    <col min="1" max="1" width="18.5703125" bestFit="1" customWidth="1"/>
    <col min="2" max="2" width="18.85546875" bestFit="1" customWidth="1"/>
    <col min="3" max="3" width="18.28515625" bestFit="1" customWidth="1"/>
    <col min="4" max="4" width="27.28515625" bestFit="1" customWidth="1"/>
    <col min="5" max="5" width="19.5703125" bestFit="1" customWidth="1"/>
    <col min="6" max="6" width="15.5703125" bestFit="1" customWidth="1"/>
    <col min="7" max="7" width="17" bestFit="1" customWidth="1"/>
    <col min="8" max="8" width="18.28515625" bestFit="1" customWidth="1"/>
    <col min="9" max="9" width="17.85546875" bestFit="1" customWidth="1"/>
    <col min="10" max="10" width="20" bestFit="1" customWidth="1"/>
    <col min="11" max="11" width="26.85546875" bestFit="1" customWidth="1"/>
    <col min="12" max="12" width="14.85546875" bestFit="1" customWidth="1"/>
    <col min="13" max="13" width="13.5703125" bestFit="1" customWidth="1"/>
    <col min="14" max="14" width="20.28515625" bestFit="1" customWidth="1"/>
    <col min="15" max="15" width="14" bestFit="1" customWidth="1"/>
    <col min="16" max="16" width="15.5703125" bestFit="1" customWidth="1"/>
    <col min="17" max="17" width="16" bestFit="1" customWidth="1"/>
    <col min="18" max="18" width="17.5703125" bestFit="1" customWidth="1"/>
  </cols>
  <sheetData>
    <row r="1" spans="1:18" x14ac:dyDescent="0.2">
      <c r="A1" t="s">
        <v>185</v>
      </c>
    </row>
    <row r="2" spans="1:18" x14ac:dyDescent="0.2">
      <c r="A2" s="10" t="s">
        <v>178</v>
      </c>
      <c r="B2" s="25" t="s">
        <v>107</v>
      </c>
      <c r="C2" s="25" t="s">
        <v>70</v>
      </c>
      <c r="D2" s="25" t="s">
        <v>110</v>
      </c>
      <c r="E2" s="25" t="s">
        <v>47</v>
      </c>
      <c r="F2" s="25" t="s">
        <v>149</v>
      </c>
      <c r="G2" s="25" t="s">
        <v>66</v>
      </c>
      <c r="H2" s="25" t="s">
        <v>94</v>
      </c>
      <c r="I2" s="25" t="s">
        <v>128</v>
      </c>
      <c r="J2" s="25" t="s">
        <v>103</v>
      </c>
      <c r="K2" s="25" t="s">
        <v>46</v>
      </c>
      <c r="L2" s="25" t="s">
        <v>143</v>
      </c>
      <c r="M2" s="25" t="s">
        <v>30</v>
      </c>
      <c r="N2" s="25" t="s">
        <v>24</v>
      </c>
      <c r="O2" s="10" t="s">
        <v>186</v>
      </c>
      <c r="P2" s="10" t="s">
        <v>187</v>
      </c>
      <c r="Q2" s="10" t="s">
        <v>188</v>
      </c>
      <c r="R2" s="10" t="s">
        <v>189</v>
      </c>
    </row>
    <row r="3" spans="1:18" x14ac:dyDescent="0.2">
      <c r="A3" s="25" t="s">
        <v>152</v>
      </c>
      <c r="B3" s="10">
        <v>6.6666666666666666E-2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x14ac:dyDescent="0.2">
      <c r="A4" s="25" t="s">
        <v>153</v>
      </c>
      <c r="B4" s="10">
        <v>6.6666666666666666E-2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">
      <c r="A5" s="25" t="s">
        <v>58</v>
      </c>
      <c r="B5" s="10">
        <v>6.6666666666666666E-2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x14ac:dyDescent="0.2">
      <c r="A6" s="25" t="s">
        <v>57</v>
      </c>
      <c r="B6" s="10">
        <v>6.6666666666666666E-2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1:18" x14ac:dyDescent="0.2">
      <c r="A7" s="25" t="s">
        <v>76</v>
      </c>
      <c r="B7" s="10">
        <v>6.6666666666666666E-2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</row>
    <row r="8" spans="1:18" x14ac:dyDescent="0.2">
      <c r="A8" s="25" t="s">
        <v>77</v>
      </c>
      <c r="B8" s="10">
        <v>6.6666666666666666E-2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</row>
    <row r="9" spans="1:18" x14ac:dyDescent="0.2">
      <c r="A9" s="25" t="s">
        <v>68</v>
      </c>
      <c r="B9" s="10">
        <v>6.6666666666666666E-2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spans="1:18" x14ac:dyDescent="0.2">
      <c r="A10" s="25" t="s">
        <v>69</v>
      </c>
      <c r="B10" s="10">
        <v>6.6666666666666666E-2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</row>
    <row r="11" spans="1:18" x14ac:dyDescent="0.2">
      <c r="A11" s="25" t="s">
        <v>113</v>
      </c>
      <c r="B11" s="10">
        <v>6.6666666666666666E-2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</row>
    <row r="12" spans="1:18" x14ac:dyDescent="0.2">
      <c r="A12" s="25" t="s">
        <v>114</v>
      </c>
      <c r="B12" s="10">
        <v>6.6666666666666666E-2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</row>
    <row r="13" spans="1:18" x14ac:dyDescent="0.2">
      <c r="A13" s="25" t="s">
        <v>111</v>
      </c>
      <c r="B13" s="10">
        <v>6.6666666666666666E-2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spans="1:18" x14ac:dyDescent="0.2">
      <c r="A14" s="25" t="s">
        <v>112</v>
      </c>
      <c r="B14" s="10">
        <v>6.6666666666666666E-2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spans="1:18" x14ac:dyDescent="0.2">
      <c r="A15" s="25" t="s">
        <v>72</v>
      </c>
      <c r="B15" s="10">
        <v>6.6666666666666666E-2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x14ac:dyDescent="0.2">
      <c r="A16" s="25" t="s">
        <v>73</v>
      </c>
      <c r="B16" s="10">
        <v>6.6666666666666666E-2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x14ac:dyDescent="0.2">
      <c r="A17" s="25" t="s">
        <v>59</v>
      </c>
      <c r="B17" s="10">
        <v>6.6666666666666666E-2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x14ac:dyDescent="0.2">
      <c r="A18" s="25" t="s">
        <v>60</v>
      </c>
      <c r="B18" s="10">
        <v>6.6666666666666666E-2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x14ac:dyDescent="0.2">
      <c r="A19" s="25" t="s">
        <v>71</v>
      </c>
      <c r="B19" s="25"/>
      <c r="C19" s="10">
        <v>6.6666666666666666E-2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x14ac:dyDescent="0.2">
      <c r="A20" s="25" t="s">
        <v>154</v>
      </c>
      <c r="B20" s="25"/>
      <c r="C20" s="10">
        <v>6.6666666666666666E-2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x14ac:dyDescent="0.2">
      <c r="A21" s="25" t="s">
        <v>155</v>
      </c>
      <c r="B21" s="25"/>
      <c r="C21" s="10">
        <v>6.6666666666666666E-2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x14ac:dyDescent="0.2">
      <c r="A22" s="25" t="s">
        <v>156</v>
      </c>
      <c r="B22" s="25"/>
      <c r="C22" s="10">
        <v>6.6666666666666666E-2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x14ac:dyDescent="0.2">
      <c r="A23" s="25" t="s">
        <v>157</v>
      </c>
      <c r="B23" s="25"/>
      <c r="C23" s="10">
        <v>6.6666666666666666E-2</v>
      </c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x14ac:dyDescent="0.2">
      <c r="A24" s="25" t="s">
        <v>13</v>
      </c>
      <c r="B24" s="25"/>
      <c r="C24" s="10">
        <v>6.6666666666666666E-2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x14ac:dyDescent="0.2">
      <c r="A25" s="25" t="s">
        <v>78</v>
      </c>
      <c r="B25" s="25"/>
      <c r="C25" s="10">
        <v>6.6666666666666666E-2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spans="1:18" x14ac:dyDescent="0.2">
      <c r="A26" s="25" t="s">
        <v>82</v>
      </c>
      <c r="B26" s="25"/>
      <c r="C26" s="25"/>
      <c r="D26" s="10">
        <v>6.6666666666666666E-2</v>
      </c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spans="1:18" x14ac:dyDescent="0.2">
      <c r="A27" s="25" t="s">
        <v>83</v>
      </c>
      <c r="B27" s="25"/>
      <c r="C27" s="25"/>
      <c r="D27" s="10">
        <v>6.6666666666666666E-2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spans="1:18" x14ac:dyDescent="0.2">
      <c r="A28" s="25" t="s">
        <v>85</v>
      </c>
      <c r="B28" s="25"/>
      <c r="C28" s="25"/>
      <c r="D28" s="10">
        <v>6.6666666666666666E-2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</row>
    <row r="29" spans="1:18" x14ac:dyDescent="0.2">
      <c r="A29" s="25" t="s">
        <v>84</v>
      </c>
      <c r="B29" s="25"/>
      <c r="C29" s="25"/>
      <c r="D29" s="10">
        <v>6.6666666666666666E-2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</row>
    <row r="30" spans="1:18" x14ac:dyDescent="0.2">
      <c r="A30" s="25" t="s">
        <v>86</v>
      </c>
      <c r="B30" s="25"/>
      <c r="C30" s="25"/>
      <c r="D30" s="10">
        <v>6.6666666666666666E-2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</row>
    <row r="31" spans="1:18" x14ac:dyDescent="0.2">
      <c r="A31" s="25" t="s">
        <v>87</v>
      </c>
      <c r="B31" s="25"/>
      <c r="C31" s="25"/>
      <c r="D31" s="10">
        <v>6.6666666666666666E-2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</row>
    <row r="32" spans="1:18" x14ac:dyDescent="0.2">
      <c r="A32" s="25" t="s">
        <v>88</v>
      </c>
      <c r="B32" s="25"/>
      <c r="C32" s="25"/>
      <c r="D32" s="10">
        <v>6.6666666666666666E-2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</row>
    <row r="33" spans="1:18" x14ac:dyDescent="0.2">
      <c r="A33" s="25" t="s">
        <v>89</v>
      </c>
      <c r="B33" s="25"/>
      <c r="C33" s="25"/>
      <c r="D33" s="10">
        <v>6.6666666666666666E-2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4" spans="1:18" x14ac:dyDescent="0.2">
      <c r="A34" s="25" t="s">
        <v>90</v>
      </c>
      <c r="B34" s="25"/>
      <c r="C34" s="25"/>
      <c r="D34" s="10">
        <v>6.6666666666666666E-2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</row>
    <row r="35" spans="1:18" x14ac:dyDescent="0.2">
      <c r="A35" s="25" t="s">
        <v>158</v>
      </c>
      <c r="B35" s="25"/>
      <c r="C35" s="25"/>
      <c r="D35" s="25"/>
      <c r="E35" s="10">
        <v>6.6666666666666666E-2</v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</row>
    <row r="36" spans="1:18" x14ac:dyDescent="0.2">
      <c r="A36" s="25" t="s">
        <v>159</v>
      </c>
      <c r="B36" s="25"/>
      <c r="C36" s="25"/>
      <c r="D36" s="25"/>
      <c r="E36" s="10">
        <v>6.6666666666666666E-2</v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spans="1:18" x14ac:dyDescent="0.2">
      <c r="A37" s="25" t="s">
        <v>85</v>
      </c>
      <c r="B37" s="25"/>
      <c r="C37" s="25"/>
      <c r="D37" s="25"/>
      <c r="E37" s="10">
        <v>6.6666666666666666E-2</v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spans="1:18" x14ac:dyDescent="0.2">
      <c r="A38" s="25" t="s">
        <v>84</v>
      </c>
      <c r="B38" s="25"/>
      <c r="C38" s="25"/>
      <c r="D38" s="25"/>
      <c r="E38" s="10">
        <v>6.6666666666666666E-2</v>
      </c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</row>
    <row r="39" spans="1:18" x14ac:dyDescent="0.2">
      <c r="A39" s="25" t="s">
        <v>160</v>
      </c>
      <c r="B39" s="25"/>
      <c r="C39" s="25"/>
      <c r="D39" s="25"/>
      <c r="E39" s="10">
        <v>6.6666666666666666E-2</v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  <row r="40" spans="1:18" x14ac:dyDescent="0.2">
      <c r="A40" s="25" t="s">
        <v>161</v>
      </c>
      <c r="B40" s="25"/>
      <c r="C40" s="25"/>
      <c r="D40" s="25"/>
      <c r="E40" s="10">
        <v>6.6666666666666666E-2</v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</row>
    <row r="41" spans="1:18" x14ac:dyDescent="0.2">
      <c r="A41" s="25" t="s">
        <v>86</v>
      </c>
      <c r="B41" s="25"/>
      <c r="C41" s="25"/>
      <c r="D41" s="25"/>
      <c r="E41" s="10">
        <v>6.6666666666666666E-2</v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</row>
    <row r="42" spans="1:18" x14ac:dyDescent="0.2">
      <c r="A42" s="25" t="s">
        <v>87</v>
      </c>
      <c r="B42" s="25"/>
      <c r="C42" s="25"/>
      <c r="D42" s="25"/>
      <c r="E42" s="10">
        <v>6.6666666666666666E-2</v>
      </c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spans="1:18" x14ac:dyDescent="0.2">
      <c r="A43" s="25" t="s">
        <v>162</v>
      </c>
      <c r="B43" s="25"/>
      <c r="C43" s="25"/>
      <c r="D43" s="25"/>
      <c r="E43" s="10">
        <v>6.6666666666666666E-2</v>
      </c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</row>
    <row r="44" spans="1:18" x14ac:dyDescent="0.2">
      <c r="A44" s="25" t="s">
        <v>89</v>
      </c>
      <c r="B44" s="25"/>
      <c r="C44" s="25"/>
      <c r="D44" s="25"/>
      <c r="E44" s="10">
        <v>6.6666666666666666E-2</v>
      </c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</row>
    <row r="45" spans="1:18" x14ac:dyDescent="0.2">
      <c r="A45" s="25" t="s">
        <v>163</v>
      </c>
      <c r="B45" s="25"/>
      <c r="C45" s="25"/>
      <c r="D45" s="25"/>
      <c r="E45" s="10">
        <v>6.6666666666666666E-2</v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</row>
    <row r="46" spans="1:18" x14ac:dyDescent="0.2">
      <c r="A46" s="25" t="s">
        <v>164</v>
      </c>
      <c r="B46" s="25"/>
      <c r="C46" s="25"/>
      <c r="D46" s="25"/>
      <c r="E46" s="10">
        <v>6.6666666666666666E-2</v>
      </c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</row>
    <row r="47" spans="1:18" x14ac:dyDescent="0.2">
      <c r="A47" s="25" t="s">
        <v>166</v>
      </c>
      <c r="B47" s="25"/>
      <c r="C47" s="25"/>
      <c r="D47" s="25"/>
      <c r="E47" s="25"/>
      <c r="F47" s="10">
        <v>1.2866666666</v>
      </c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</row>
    <row r="48" spans="1:18" x14ac:dyDescent="0.2">
      <c r="A48" s="25" t="s">
        <v>167</v>
      </c>
      <c r="B48" s="25"/>
      <c r="C48" s="25"/>
      <c r="D48" s="25"/>
      <c r="E48" s="25"/>
      <c r="F48" s="10">
        <v>1.2866666666</v>
      </c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</row>
    <row r="49" spans="1:18" x14ac:dyDescent="0.2">
      <c r="A49" s="25" t="s">
        <v>168</v>
      </c>
      <c r="B49" s="25"/>
      <c r="C49" s="25"/>
      <c r="D49" s="25"/>
      <c r="E49" s="25"/>
      <c r="F49" s="10">
        <v>1.2866666666</v>
      </c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0" spans="1:18" x14ac:dyDescent="0.2">
      <c r="A50" s="25" t="s">
        <v>169</v>
      </c>
      <c r="B50" s="25"/>
      <c r="C50" s="25"/>
      <c r="D50" s="25"/>
      <c r="E50" s="25"/>
      <c r="F50" s="10">
        <v>1.2866666666</v>
      </c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spans="1:18" x14ac:dyDescent="0.2">
      <c r="A51" s="25" t="s">
        <v>170</v>
      </c>
      <c r="B51" s="25"/>
      <c r="C51" s="25"/>
      <c r="D51" s="25"/>
      <c r="E51" s="25"/>
      <c r="F51" s="10">
        <v>1.2866666666</v>
      </c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</row>
    <row r="52" spans="1:18" x14ac:dyDescent="0.2">
      <c r="A52" s="25" t="s">
        <v>171</v>
      </c>
      <c r="B52" s="25"/>
      <c r="C52" s="25"/>
      <c r="D52" s="25"/>
      <c r="E52" s="25"/>
      <c r="F52" s="10">
        <v>1.2866666666</v>
      </c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</row>
    <row r="53" spans="1:18" x14ac:dyDescent="0.2">
      <c r="A53" s="25" t="s">
        <v>172</v>
      </c>
      <c r="B53" s="25"/>
      <c r="C53" s="25"/>
      <c r="D53" s="25"/>
      <c r="E53" s="25"/>
      <c r="F53" s="10">
        <v>1.2866666666</v>
      </c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</row>
    <row r="54" spans="1:18" x14ac:dyDescent="0.2">
      <c r="A54" s="25" t="s">
        <v>173</v>
      </c>
      <c r="B54" s="25"/>
      <c r="C54" s="25"/>
      <c r="D54" s="25"/>
      <c r="E54" s="25"/>
      <c r="F54" s="10">
        <v>1.2866666666</v>
      </c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</row>
    <row r="55" spans="1:18" x14ac:dyDescent="0.2">
      <c r="A55" s="25" t="s">
        <v>174</v>
      </c>
      <c r="B55" s="25"/>
      <c r="C55" s="25"/>
      <c r="D55" s="25"/>
      <c r="E55" s="25"/>
      <c r="F55" s="10">
        <v>1.2866666666</v>
      </c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</row>
    <row r="56" spans="1:18" x14ac:dyDescent="0.2">
      <c r="A56" s="25" t="s">
        <v>175</v>
      </c>
      <c r="B56" s="25"/>
      <c r="C56" s="25"/>
      <c r="D56" s="25"/>
      <c r="E56" s="25"/>
      <c r="F56" s="10">
        <v>1.2866666666</v>
      </c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</row>
    <row r="57" spans="1:18" x14ac:dyDescent="0.2">
      <c r="A57" s="25" t="s">
        <v>176</v>
      </c>
      <c r="B57" s="25"/>
      <c r="C57" s="25"/>
      <c r="D57" s="25"/>
      <c r="E57" s="25"/>
      <c r="F57" s="10">
        <v>1.2866666666</v>
      </c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</row>
    <row r="58" spans="1:18" x14ac:dyDescent="0.2">
      <c r="A58" s="25" t="s">
        <v>123</v>
      </c>
      <c r="B58" s="25"/>
      <c r="C58" s="25"/>
      <c r="D58" s="25"/>
      <c r="E58" s="25"/>
      <c r="F58" s="10">
        <v>1.2866666666</v>
      </c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</row>
    <row r="59" spans="1:18" x14ac:dyDescent="0.2">
      <c r="A59" s="25" t="s">
        <v>63</v>
      </c>
      <c r="B59" s="25"/>
      <c r="C59" s="25"/>
      <c r="D59" s="25"/>
      <c r="E59" s="25"/>
      <c r="F59" s="25"/>
      <c r="G59" s="10">
        <v>6.6666666666666666E-2</v>
      </c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</row>
    <row r="60" spans="1:18" x14ac:dyDescent="0.2">
      <c r="A60" s="25" t="s">
        <v>64</v>
      </c>
      <c r="B60" s="25"/>
      <c r="C60" s="25"/>
      <c r="D60" s="25"/>
      <c r="E60" s="25"/>
      <c r="F60" s="25"/>
      <c r="G60" s="10">
        <v>6.6666666666666666E-2</v>
      </c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</row>
    <row r="61" spans="1:18" x14ac:dyDescent="0.2">
      <c r="A61" s="25" t="s">
        <v>65</v>
      </c>
      <c r="B61" s="25"/>
      <c r="C61" s="25"/>
      <c r="D61" s="25"/>
      <c r="E61" s="25"/>
      <c r="F61" s="25"/>
      <c r="G61" s="10">
        <v>6.6666666666666666E-2</v>
      </c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</row>
    <row r="62" spans="1:18" x14ac:dyDescent="0.2">
      <c r="A62" s="25" t="s">
        <v>109</v>
      </c>
      <c r="B62" s="25"/>
      <c r="C62" s="25"/>
      <c r="D62" s="25"/>
      <c r="E62" s="25"/>
      <c r="F62" s="25"/>
      <c r="G62" s="25"/>
      <c r="H62" s="10">
        <v>6.6666666666666666E-2</v>
      </c>
      <c r="I62" s="25"/>
      <c r="J62" s="25"/>
      <c r="K62" s="25"/>
      <c r="L62" s="25"/>
      <c r="M62" s="25"/>
      <c r="N62" s="25"/>
      <c r="O62" s="25"/>
      <c r="P62" s="25"/>
      <c r="Q62" s="25"/>
      <c r="R62" s="25"/>
    </row>
    <row r="63" spans="1:18" x14ac:dyDescent="0.2">
      <c r="A63" s="25" t="s">
        <v>91</v>
      </c>
      <c r="B63" s="25"/>
      <c r="C63" s="25"/>
      <c r="D63" s="25"/>
      <c r="E63" s="25"/>
      <c r="F63" s="25"/>
      <c r="G63" s="25"/>
      <c r="H63" s="10">
        <v>6.6666666666666666E-2</v>
      </c>
      <c r="I63" s="25"/>
      <c r="J63" s="25"/>
      <c r="K63" s="25"/>
      <c r="L63" s="25"/>
      <c r="M63" s="25"/>
      <c r="N63" s="25"/>
      <c r="O63" s="25"/>
      <c r="P63" s="25"/>
      <c r="Q63" s="25"/>
      <c r="R63" s="25"/>
    </row>
    <row r="64" spans="1:18" x14ac:dyDescent="0.2">
      <c r="A64" s="25" t="s">
        <v>92</v>
      </c>
      <c r="B64" s="25"/>
      <c r="C64" s="25"/>
      <c r="D64" s="25"/>
      <c r="E64" s="25"/>
      <c r="F64" s="25"/>
      <c r="G64" s="25"/>
      <c r="H64" s="10">
        <v>6.6666666666666666E-2</v>
      </c>
      <c r="I64" s="25"/>
      <c r="J64" s="25"/>
      <c r="K64" s="25"/>
      <c r="L64" s="25"/>
      <c r="M64" s="25"/>
      <c r="N64" s="25"/>
      <c r="O64" s="25"/>
      <c r="P64" s="25"/>
      <c r="Q64" s="25"/>
      <c r="R64" s="25"/>
    </row>
    <row r="65" spans="1:18" x14ac:dyDescent="0.2">
      <c r="A65" s="25" t="s">
        <v>93</v>
      </c>
      <c r="B65" s="25"/>
      <c r="C65" s="25"/>
      <c r="D65" s="25"/>
      <c r="E65" s="25"/>
      <c r="F65" s="25"/>
      <c r="G65" s="25"/>
      <c r="H65" s="10">
        <v>6.6666666666666666E-2</v>
      </c>
      <c r="I65" s="25"/>
      <c r="J65" s="25"/>
      <c r="K65" s="25"/>
      <c r="L65" s="25"/>
      <c r="M65" s="25"/>
      <c r="N65" s="25"/>
      <c r="O65" s="25"/>
      <c r="P65" s="25"/>
      <c r="Q65" s="25"/>
      <c r="R65" s="25"/>
    </row>
    <row r="66" spans="1:18" x14ac:dyDescent="0.2">
      <c r="A66" s="25" t="s">
        <v>95</v>
      </c>
      <c r="B66" s="25"/>
      <c r="C66" s="25"/>
      <c r="D66" s="25"/>
      <c r="E66" s="25"/>
      <c r="F66" s="25"/>
      <c r="G66" s="25"/>
      <c r="H66" s="25"/>
      <c r="I66" s="10">
        <v>6.6666666666666666E-2</v>
      </c>
      <c r="J66" s="25"/>
      <c r="K66" s="25"/>
      <c r="L66" s="25"/>
      <c r="M66" s="25"/>
      <c r="N66" s="25"/>
      <c r="O66" s="25"/>
      <c r="P66" s="25"/>
      <c r="Q66" s="25"/>
      <c r="R66" s="25"/>
    </row>
    <row r="67" spans="1:18" x14ac:dyDescent="0.2">
      <c r="A67" s="25" t="s">
        <v>96</v>
      </c>
      <c r="B67" s="25"/>
      <c r="C67" s="25"/>
      <c r="D67" s="25"/>
      <c r="E67" s="25"/>
      <c r="F67" s="25"/>
      <c r="G67" s="25"/>
      <c r="H67" s="25"/>
      <c r="I67" s="10">
        <v>6.6666666666666666E-2</v>
      </c>
      <c r="J67" s="25"/>
      <c r="K67" s="25"/>
      <c r="L67" s="25"/>
      <c r="M67" s="25"/>
      <c r="N67" s="25"/>
      <c r="O67" s="25"/>
      <c r="P67" s="25"/>
      <c r="Q67" s="25"/>
      <c r="R67" s="25"/>
    </row>
    <row r="68" spans="1:18" x14ac:dyDescent="0.2">
      <c r="A68" s="25" t="s">
        <v>98</v>
      </c>
      <c r="B68" s="25"/>
      <c r="C68" s="25"/>
      <c r="D68" s="25"/>
      <c r="E68" s="25"/>
      <c r="F68" s="25"/>
      <c r="G68" s="25"/>
      <c r="H68" s="25"/>
      <c r="I68" s="10">
        <v>6.6666666666666666E-2</v>
      </c>
      <c r="J68" s="25"/>
      <c r="K68" s="25"/>
      <c r="L68" s="25"/>
      <c r="M68" s="25"/>
      <c r="N68" s="25"/>
      <c r="O68" s="25"/>
      <c r="P68" s="25"/>
      <c r="Q68" s="25"/>
      <c r="R68" s="25"/>
    </row>
    <row r="69" spans="1:18" x14ac:dyDescent="0.2">
      <c r="A69" s="25" t="s">
        <v>97</v>
      </c>
      <c r="B69" s="25"/>
      <c r="C69" s="25"/>
      <c r="D69" s="25"/>
      <c r="E69" s="25"/>
      <c r="F69" s="25"/>
      <c r="G69" s="25"/>
      <c r="H69" s="25"/>
      <c r="I69" s="10">
        <v>6.6666666666666666E-2</v>
      </c>
      <c r="J69" s="25"/>
      <c r="K69" s="25"/>
      <c r="L69" s="25"/>
      <c r="M69" s="25"/>
      <c r="N69" s="25"/>
      <c r="O69" s="25"/>
      <c r="P69" s="25"/>
      <c r="Q69" s="25"/>
      <c r="R69" s="25"/>
    </row>
    <row r="70" spans="1:18" x14ac:dyDescent="0.2">
      <c r="A70" s="25" t="s">
        <v>99</v>
      </c>
      <c r="B70" s="25"/>
      <c r="C70" s="25"/>
      <c r="D70" s="25"/>
      <c r="E70" s="25"/>
      <c r="F70" s="25"/>
      <c r="G70" s="25"/>
      <c r="H70" s="25"/>
      <c r="I70" s="10">
        <v>6.6666666666666666E-2</v>
      </c>
      <c r="J70" s="25"/>
      <c r="K70" s="25"/>
      <c r="L70" s="25"/>
      <c r="M70" s="25"/>
      <c r="N70" s="25"/>
      <c r="O70" s="25"/>
      <c r="P70" s="25"/>
      <c r="Q70" s="25"/>
      <c r="R70" s="25"/>
    </row>
    <row r="71" spans="1:18" x14ac:dyDescent="0.2">
      <c r="A71" s="25" t="s">
        <v>100</v>
      </c>
      <c r="B71" s="25"/>
      <c r="C71" s="25"/>
      <c r="D71" s="25"/>
      <c r="E71" s="25"/>
      <c r="F71" s="25"/>
      <c r="G71" s="25"/>
      <c r="H71" s="25"/>
      <c r="I71" s="10">
        <v>6.6666666666666666E-2</v>
      </c>
      <c r="J71" s="25"/>
      <c r="K71" s="25"/>
      <c r="L71" s="25"/>
      <c r="M71" s="25"/>
      <c r="N71" s="25"/>
      <c r="O71" s="25"/>
      <c r="P71" s="25"/>
      <c r="Q71" s="25"/>
      <c r="R71" s="25"/>
    </row>
    <row r="72" spans="1:18" x14ac:dyDescent="0.2">
      <c r="A72" s="25" t="s">
        <v>104</v>
      </c>
      <c r="B72" s="25"/>
      <c r="C72" s="25"/>
      <c r="D72" s="25"/>
      <c r="E72" s="25"/>
      <c r="F72" s="25"/>
      <c r="G72" s="25"/>
      <c r="H72" s="25"/>
      <c r="I72" s="25"/>
      <c r="J72" s="10">
        <v>6.6666666666666666E-2</v>
      </c>
      <c r="K72" s="25"/>
      <c r="L72" s="25"/>
      <c r="M72" s="25"/>
      <c r="N72" s="25"/>
      <c r="O72" s="25"/>
      <c r="P72" s="25"/>
      <c r="Q72" s="25"/>
      <c r="R72" s="25"/>
    </row>
    <row r="73" spans="1:18" x14ac:dyDescent="0.2">
      <c r="A73" s="25" t="s">
        <v>105</v>
      </c>
      <c r="B73" s="25"/>
      <c r="C73" s="25"/>
      <c r="D73" s="25"/>
      <c r="E73" s="25"/>
      <c r="F73" s="25"/>
      <c r="G73" s="25"/>
      <c r="H73" s="25"/>
      <c r="I73" s="25"/>
      <c r="J73" s="10">
        <v>6.6666666666666666E-2</v>
      </c>
      <c r="K73" s="25"/>
      <c r="L73" s="25"/>
      <c r="M73" s="25"/>
      <c r="N73" s="25"/>
      <c r="O73" s="25"/>
      <c r="P73" s="25"/>
      <c r="Q73" s="25"/>
      <c r="R73" s="25"/>
    </row>
    <row r="74" spans="1:18" x14ac:dyDescent="0.2">
      <c r="A74" s="25" t="s">
        <v>106</v>
      </c>
      <c r="B74" s="25"/>
      <c r="C74" s="25"/>
      <c r="D74" s="25"/>
      <c r="E74" s="25"/>
      <c r="F74" s="25"/>
      <c r="G74" s="25"/>
      <c r="H74" s="25"/>
      <c r="I74" s="25"/>
      <c r="J74" s="10">
        <v>6.6666666666666666E-2</v>
      </c>
      <c r="K74" s="25"/>
      <c r="L74" s="25"/>
      <c r="M74" s="25"/>
      <c r="N74" s="25"/>
      <c r="O74" s="25"/>
      <c r="P74" s="25"/>
      <c r="Q74" s="25"/>
      <c r="R74" s="25"/>
    </row>
    <row r="75" spans="1:18" x14ac:dyDescent="0.2">
      <c r="A75" s="25" t="s">
        <v>25</v>
      </c>
      <c r="B75" s="25"/>
      <c r="C75" s="25"/>
      <c r="D75" s="25"/>
      <c r="E75" s="25"/>
      <c r="F75" s="25"/>
      <c r="G75" s="25"/>
      <c r="H75" s="25"/>
      <c r="I75" s="25"/>
      <c r="J75" s="25"/>
      <c r="K75" s="10">
        <v>6.6666666666666666E-2</v>
      </c>
      <c r="L75" s="25"/>
      <c r="M75" s="25"/>
      <c r="N75" s="25"/>
      <c r="O75" s="25"/>
      <c r="P75" s="25"/>
      <c r="Q75" s="25"/>
      <c r="R75" s="25"/>
    </row>
    <row r="76" spans="1:18" x14ac:dyDescent="0.2">
      <c r="A76" s="25" t="s">
        <v>26</v>
      </c>
      <c r="B76" s="25"/>
      <c r="C76" s="25"/>
      <c r="D76" s="25"/>
      <c r="E76" s="25"/>
      <c r="F76" s="25"/>
      <c r="G76" s="25"/>
      <c r="H76" s="25"/>
      <c r="I76" s="25"/>
      <c r="J76" s="25"/>
      <c r="K76" s="10">
        <v>6.6666666666666666E-2</v>
      </c>
      <c r="L76" s="25"/>
      <c r="M76" s="25"/>
      <c r="N76" s="25"/>
      <c r="O76" s="25"/>
      <c r="P76" s="25"/>
      <c r="Q76" s="25"/>
      <c r="R76" s="25"/>
    </row>
    <row r="77" spans="1:18" x14ac:dyDescent="0.2">
      <c r="A77" s="25" t="s">
        <v>27</v>
      </c>
      <c r="B77" s="25"/>
      <c r="C77" s="25"/>
      <c r="D77" s="25"/>
      <c r="E77" s="25"/>
      <c r="F77" s="25"/>
      <c r="G77" s="25"/>
      <c r="H77" s="25"/>
      <c r="I77" s="25"/>
      <c r="J77" s="25"/>
      <c r="K77" s="10">
        <v>6.6666666666666666E-2</v>
      </c>
      <c r="L77" s="25"/>
      <c r="M77" s="25"/>
      <c r="N77" s="25"/>
      <c r="O77" s="25"/>
      <c r="P77" s="25"/>
      <c r="Q77" s="25"/>
      <c r="R77" s="25"/>
    </row>
    <row r="78" spans="1:18" x14ac:dyDescent="0.2">
      <c r="A78" s="25" t="s">
        <v>28</v>
      </c>
      <c r="B78" s="25"/>
      <c r="C78" s="25"/>
      <c r="D78" s="25"/>
      <c r="E78" s="25"/>
      <c r="F78" s="25"/>
      <c r="G78" s="25"/>
      <c r="H78" s="25"/>
      <c r="I78" s="25"/>
      <c r="J78" s="25"/>
      <c r="K78" s="10">
        <v>6.6666666666666666E-2</v>
      </c>
      <c r="L78" s="25"/>
      <c r="M78" s="25"/>
      <c r="N78" s="25"/>
      <c r="O78" s="25"/>
      <c r="P78" s="25"/>
      <c r="Q78" s="25"/>
      <c r="R78" s="25"/>
    </row>
    <row r="79" spans="1:18" x14ac:dyDescent="0.2">
      <c r="A79" s="25" t="s">
        <v>145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10">
        <v>6.6666666666666666E-2</v>
      </c>
      <c r="M79" s="25"/>
      <c r="N79" s="25"/>
      <c r="O79" s="25"/>
      <c r="P79" s="25"/>
      <c r="Q79" s="25"/>
      <c r="R79" s="25"/>
    </row>
    <row r="80" spans="1:18" x14ac:dyDescent="0.2">
      <c r="A80" s="25" t="s">
        <v>144</v>
      </c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10">
        <v>6.6666666666666666E-2</v>
      </c>
      <c r="M80" s="25"/>
      <c r="N80" s="25"/>
      <c r="O80" s="25"/>
      <c r="P80" s="25"/>
      <c r="Q80" s="25"/>
      <c r="R80" s="25"/>
    </row>
    <row r="81" spans="1:18" x14ac:dyDescent="0.2">
      <c r="A81" s="25" t="s">
        <v>147</v>
      </c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10">
        <v>6.6666666666666666E-2</v>
      </c>
      <c r="M81" s="25"/>
      <c r="N81" s="25"/>
      <c r="O81" s="25"/>
      <c r="P81" s="25"/>
      <c r="Q81" s="25"/>
      <c r="R81" s="25"/>
    </row>
    <row r="82" spans="1:18" x14ac:dyDescent="0.2">
      <c r="A82" s="25" t="s">
        <v>146</v>
      </c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10">
        <v>6.6666666666666666E-2</v>
      </c>
      <c r="M82" s="25"/>
      <c r="N82" s="25"/>
      <c r="O82" s="25"/>
      <c r="P82" s="25"/>
      <c r="Q82" s="25"/>
      <c r="R82" s="25"/>
    </row>
    <row r="83" spans="1:18" x14ac:dyDescent="0.2">
      <c r="A83" s="25" t="s">
        <v>148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10">
        <v>6.6666666666666666E-2</v>
      </c>
      <c r="M83" s="25"/>
      <c r="N83" s="25"/>
      <c r="O83" s="25"/>
      <c r="P83" s="25"/>
      <c r="Q83" s="25"/>
      <c r="R83" s="25"/>
    </row>
    <row r="84" spans="1:18" x14ac:dyDescent="0.2">
      <c r="A84" s="25" t="s">
        <v>148</v>
      </c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10">
        <v>6.6666666666666666E-2</v>
      </c>
      <c r="M84" s="25"/>
      <c r="N84" s="25"/>
      <c r="O84" s="25"/>
      <c r="P84" s="25"/>
      <c r="Q84" s="25"/>
      <c r="R84" s="25"/>
    </row>
    <row r="85" spans="1:18" x14ac:dyDescent="0.2">
      <c r="A85" s="25" t="s">
        <v>2</v>
      </c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10">
        <v>6.6666666666666666E-2</v>
      </c>
      <c r="N85" s="25"/>
      <c r="O85" s="25"/>
      <c r="P85" s="25"/>
      <c r="Q85" s="25"/>
      <c r="R85" s="25"/>
    </row>
    <row r="86" spans="1:18" x14ac:dyDescent="0.2">
      <c r="A86" s="25" t="s">
        <v>0</v>
      </c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10">
        <v>6.6666666666666666E-2</v>
      </c>
      <c r="N86" s="25"/>
      <c r="O86" s="25"/>
      <c r="P86" s="25"/>
      <c r="Q86" s="25"/>
      <c r="R86" s="25"/>
    </row>
    <row r="87" spans="1:18" x14ac:dyDescent="0.2">
      <c r="A87" s="25" t="s">
        <v>3</v>
      </c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10">
        <v>6.6666666666666666E-2</v>
      </c>
      <c r="N87" s="25"/>
      <c r="O87" s="25"/>
      <c r="P87" s="25"/>
      <c r="Q87" s="25"/>
      <c r="R87" s="25"/>
    </row>
    <row r="88" spans="1:18" x14ac:dyDescent="0.2">
      <c r="A88" s="25" t="s">
        <v>4</v>
      </c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10">
        <v>6.6666666666666666E-2</v>
      </c>
      <c r="N88" s="25"/>
      <c r="O88" s="25"/>
      <c r="P88" s="25"/>
      <c r="Q88" s="25"/>
      <c r="R88" s="25"/>
    </row>
    <row r="89" spans="1:18" x14ac:dyDescent="0.2">
      <c r="A89" s="25" t="s">
        <v>5</v>
      </c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10">
        <v>6.6666666666666666E-2</v>
      </c>
      <c r="N89" s="25"/>
      <c r="O89" s="25"/>
      <c r="P89" s="25"/>
      <c r="Q89" s="25"/>
      <c r="R89" s="25"/>
    </row>
    <row r="90" spans="1:18" x14ac:dyDescent="0.2">
      <c r="A90" s="25" t="s">
        <v>1</v>
      </c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10">
        <v>6.6666666666666666E-2</v>
      </c>
      <c r="N90" s="25"/>
      <c r="O90" s="25"/>
      <c r="P90" s="25"/>
      <c r="Q90" s="25"/>
      <c r="R90" s="25"/>
    </row>
    <row r="91" spans="1:18" x14ac:dyDescent="0.2">
      <c r="A91" s="25" t="s">
        <v>2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10">
        <v>6.6666666666666666E-2</v>
      </c>
      <c r="O91" s="25"/>
      <c r="P91" s="25"/>
      <c r="Q91" s="25"/>
      <c r="R91" s="25"/>
    </row>
    <row r="92" spans="1:18" x14ac:dyDescent="0.2">
      <c r="A92" s="25" t="s">
        <v>0</v>
      </c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10">
        <v>6.6666666666666666E-2</v>
      </c>
      <c r="O92" s="25"/>
      <c r="P92" s="25"/>
      <c r="Q92" s="25"/>
      <c r="R92" s="25"/>
    </row>
    <row r="93" spans="1:18" x14ac:dyDescent="0.2">
      <c r="A93" s="25" t="s">
        <v>3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10">
        <v>6.6666666666666666E-2</v>
      </c>
      <c r="O93" s="25"/>
      <c r="P93" s="25"/>
      <c r="Q93" s="25"/>
      <c r="R93" s="25"/>
    </row>
    <row r="94" spans="1:18" x14ac:dyDescent="0.2">
      <c r="A94" s="25" t="s">
        <v>4</v>
      </c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10">
        <v>6.6666666666666666E-2</v>
      </c>
      <c r="O94" s="25"/>
      <c r="P94" s="25"/>
      <c r="Q94" s="25"/>
      <c r="R94" s="25"/>
    </row>
    <row r="95" spans="1:18" x14ac:dyDescent="0.2">
      <c r="A95" s="25" t="s">
        <v>5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10">
        <v>6.6666666666666666E-2</v>
      </c>
      <c r="O95" s="25"/>
      <c r="P95" s="25"/>
      <c r="Q95" s="25"/>
      <c r="R95" s="25"/>
    </row>
    <row r="96" spans="1:18" x14ac:dyDescent="0.2">
      <c r="A96" s="25" t="s">
        <v>1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10">
        <v>6.6666666666666666E-2</v>
      </c>
      <c r="O96" s="25"/>
      <c r="P96" s="25"/>
      <c r="Q96" s="25"/>
      <c r="R96" s="25"/>
    </row>
    <row r="97" spans="1:18" x14ac:dyDescent="0.2">
      <c r="A97" s="25" t="s">
        <v>6</v>
      </c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10">
        <v>6.6666666666666666E-2</v>
      </c>
      <c r="O97" s="25"/>
      <c r="P97" s="25"/>
      <c r="Q97" s="25"/>
      <c r="R97" s="25"/>
    </row>
    <row r="98" spans="1:18" x14ac:dyDescent="0.2">
      <c r="A98" s="25" t="s">
        <v>7</v>
      </c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10">
        <v>6.6666666666666666E-2</v>
      </c>
      <c r="O98" s="25"/>
      <c r="P98" s="25"/>
      <c r="Q98" s="25"/>
      <c r="R98" s="25"/>
    </row>
    <row r="99" spans="1:18" x14ac:dyDescent="0.2">
      <c r="A99" s="25" t="s">
        <v>8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10">
        <v>6.6666666666666666E-2</v>
      </c>
      <c r="O99" s="25"/>
      <c r="P99" s="25"/>
      <c r="Q99" s="25"/>
      <c r="R99" s="25"/>
    </row>
    <row r="100" spans="1:18" x14ac:dyDescent="0.2">
      <c r="A100" s="25" t="s">
        <v>9</v>
      </c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10">
        <v>6.6666666666666666E-2</v>
      </c>
      <c r="O100" s="25"/>
      <c r="P100" s="25"/>
      <c r="Q100" s="25"/>
      <c r="R100" s="25"/>
    </row>
    <row r="101" spans="1:18" x14ac:dyDescent="0.2">
      <c r="A101" s="25" t="s">
        <v>10</v>
      </c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10">
        <v>6.6666666666666666E-2</v>
      </c>
      <c r="O101" s="25"/>
      <c r="P101" s="25"/>
      <c r="Q101" s="25"/>
      <c r="R101" s="25"/>
    </row>
    <row r="102" spans="1:18" x14ac:dyDescent="0.2">
      <c r="A102" s="25" t="s">
        <v>11</v>
      </c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10">
        <v>6.6666666666666666E-2</v>
      </c>
      <c r="O102" s="25"/>
      <c r="P102" s="25"/>
      <c r="Q102" s="25"/>
      <c r="R102" s="25"/>
    </row>
    <row r="103" spans="1:18" x14ac:dyDescent="0.2">
      <c r="A103" s="25" t="s">
        <v>22</v>
      </c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10">
        <v>6.6666666666666666E-2</v>
      </c>
      <c r="P103" s="10">
        <v>6.6666666666666666E-2</v>
      </c>
      <c r="Q103" s="10">
        <v>6.6666666666666666E-2</v>
      </c>
      <c r="R103" s="10">
        <v>6.6666666666666666E-2</v>
      </c>
    </row>
    <row r="104" spans="1:18" x14ac:dyDescent="0.2">
      <c r="A104" s="25" t="s">
        <v>19</v>
      </c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10">
        <v>6.6666666666666666E-2</v>
      </c>
      <c r="P104" s="10">
        <v>6.6666666666666666E-2</v>
      </c>
      <c r="Q104" s="10">
        <v>6.6666666666666666E-2</v>
      </c>
      <c r="R104" s="10">
        <v>6.6666666666666666E-2</v>
      </c>
    </row>
    <row r="105" spans="1:18" x14ac:dyDescent="0.2">
      <c r="A105" s="25" t="s">
        <v>20</v>
      </c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10">
        <v>6.6666666666666666E-2</v>
      </c>
      <c r="P105" s="10">
        <v>6.6666666666666666E-2</v>
      </c>
      <c r="Q105" s="10">
        <v>6.6666666666666666E-2</v>
      </c>
      <c r="R105" s="10">
        <v>6.6666666666666666E-2</v>
      </c>
    </row>
    <row r="106" spans="1:18" x14ac:dyDescent="0.2">
      <c r="A106" s="25" t="s">
        <v>23</v>
      </c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10">
        <v>6.6666666666666666E-2</v>
      </c>
      <c r="P106" s="10">
        <v>6.6666666666666666E-2</v>
      </c>
      <c r="Q106" s="10">
        <v>6.6666666666666666E-2</v>
      </c>
      <c r="R106" s="10">
        <v>6.6666666666666666E-2</v>
      </c>
    </row>
  </sheetData>
  <sheetProtection algorithmName="SHA-512" hashValue="SpLXJo9ZM7RIsG6t/VkA5dQw7eYNb0gDVW0Umg3haGMFLA3yPHjv1xNhK2emxUWjz/+gKAPMxn1eCKdEFgclHg==" saltValue="dB2a6u7FZ/CGZbitGodRcg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92D050"/>
    <pageSetUpPr fitToPage="1"/>
  </sheetPr>
  <dimension ref="A1:AC79"/>
  <sheetViews>
    <sheetView showGridLines="0" zoomScale="85" zoomScaleNormal="85" workbookViewId="0">
      <selection activeCell="S15" sqref="S15"/>
    </sheetView>
  </sheetViews>
  <sheetFormatPr defaultColWidth="9" defaultRowHeight="12.75" x14ac:dyDescent="0.2"/>
  <cols>
    <col min="1" max="1" width="11" style="1" customWidth="1"/>
    <col min="2" max="2" width="10" style="1" hidden="1" customWidth="1"/>
    <col min="3" max="3" width="20" style="1" customWidth="1"/>
    <col min="4" max="4" width="7" style="1" bestFit="1" customWidth="1"/>
    <col min="5" max="5" width="1" style="2" customWidth="1"/>
    <col min="6" max="6" width="1.85546875" style="2" customWidth="1"/>
    <col min="7" max="7" width="15.85546875" style="1" bestFit="1" customWidth="1"/>
    <col min="8" max="8" width="7.7109375" style="1" hidden="1" customWidth="1"/>
    <col min="9" max="9" width="21" style="1" bestFit="1" customWidth="1"/>
    <col min="10" max="10" width="4.85546875" style="1" customWidth="1"/>
    <col min="11" max="12" width="1.710937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3.42578125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40" t="s">
        <v>262</v>
      </c>
      <c r="B1" s="41"/>
      <c r="C1" s="42"/>
      <c r="D1" s="151"/>
      <c r="E1" s="151"/>
      <c r="F1" s="151"/>
      <c r="G1" s="151"/>
      <c r="H1" s="151"/>
      <c r="I1" s="151"/>
      <c r="J1" s="152" t="s">
        <v>29</v>
      </c>
      <c r="K1" s="152"/>
      <c r="L1" s="98"/>
      <c r="M1" s="43">
        <f>'Weekly Plan'!H1</f>
        <v>45299</v>
      </c>
      <c r="N1" s="141"/>
      <c r="O1" s="141"/>
      <c r="T1" s="8"/>
    </row>
    <row r="2" spans="1:29" s="3" customFormat="1" ht="14.25" customHeight="1" x14ac:dyDescent="0.2">
      <c r="A2" s="149" t="s">
        <v>14</v>
      </c>
      <c r="B2" s="44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0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9" s="3" customFormat="1" ht="14.25" customHeight="1" thickBot="1" x14ac:dyDescent="0.25">
      <c r="A3" s="150"/>
      <c r="B3" s="44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0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9" ht="15" customHeight="1" x14ac:dyDescent="0.2">
      <c r="A4" s="143" t="s">
        <v>54</v>
      </c>
      <c r="B4" s="144"/>
      <c r="C4" s="144"/>
      <c r="D4" s="145"/>
      <c r="E4" s="97"/>
      <c r="F4" s="97"/>
      <c r="G4" s="146" t="s">
        <v>242</v>
      </c>
      <c r="H4" s="147"/>
      <c r="I4" s="147"/>
      <c r="J4" s="148"/>
      <c r="K4" s="97"/>
      <c r="L4" s="97"/>
      <c r="M4" s="138" t="s">
        <v>143</v>
      </c>
      <c r="N4" s="139"/>
      <c r="O4" s="140"/>
      <c r="P4" s="5"/>
      <c r="Q4" s="101"/>
      <c r="R4" s="5"/>
      <c r="W4" s="16"/>
      <c r="X4" s="16"/>
      <c r="Y4" s="16"/>
      <c r="Z4" s="16"/>
      <c r="AA4" s="16"/>
      <c r="AB4" s="16"/>
      <c r="AC4" s="5"/>
    </row>
    <row r="5" spans="1:29" ht="15" customHeight="1" x14ac:dyDescent="0.2">
      <c r="A5" s="50">
        <f>'Weekly Plan'!F4</f>
        <v>705014100</v>
      </c>
      <c r="B5" s="51" t="s">
        <v>54</v>
      </c>
      <c r="C5" s="52" t="str">
        <f>'Weekly Plan'!G4</f>
        <v>LH Upper Fairing</v>
      </c>
      <c r="D5" s="53" t="str">
        <f>IF('Weekly Plan'!H4=0,"",'Weekly Plan'!H4)</f>
        <v/>
      </c>
      <c r="E5" s="97">
        <f>'Weekly Plan'!A4</f>
        <v>2</v>
      </c>
      <c r="F5" s="97">
        <f t="shared" ref="F5:F18" si="0">IFERROR(D5/E5,0)</f>
        <v>0</v>
      </c>
      <c r="G5" s="50">
        <f>'Weekly Plan'!F69</f>
        <v>99944</v>
      </c>
      <c r="H5" s="90" t="s">
        <v>167</v>
      </c>
      <c r="I5" s="50" t="str">
        <f>'Weekly Plan'!G69</f>
        <v>Bezel</v>
      </c>
      <c r="J5" s="54" t="str">
        <f>IF('Weekly Plan'!H69=0,"",'Weekly Plan'!H69)</f>
        <v/>
      </c>
      <c r="K5" s="97">
        <f>'Weekly Plan'!A69</f>
        <v>2</v>
      </c>
      <c r="L5" s="97">
        <f>IFERROR(J5/K5,0)</f>
        <v>0</v>
      </c>
      <c r="M5" s="55">
        <f>'Weekly Plan'!F94</f>
        <v>80931</v>
      </c>
      <c r="N5" s="52" t="str">
        <f>'Weekly Plan'!G94</f>
        <v>Black - LH</v>
      </c>
      <c r="O5" s="53" t="str">
        <f>IF('Weekly Plan'!H94=0,"",'Weekly Plan'!H94)</f>
        <v/>
      </c>
      <c r="P5" s="4">
        <f>'Weekly Plan'!A94</f>
        <v>2</v>
      </c>
      <c r="Q5" s="4">
        <f>IFERROR(O5/P5,0)</f>
        <v>0</v>
      </c>
      <c r="W5" s="9"/>
      <c r="X5" s="9"/>
      <c r="Y5" s="9"/>
      <c r="Z5" s="9"/>
      <c r="AA5" s="9"/>
      <c r="AB5" s="9"/>
      <c r="AC5" s="4">
        <v>3</v>
      </c>
    </row>
    <row r="6" spans="1:29" ht="15" customHeight="1" x14ac:dyDescent="0.2">
      <c r="A6" s="50">
        <f>'Weekly Plan'!F5</f>
        <v>705014101</v>
      </c>
      <c r="B6" s="51" t="s">
        <v>54</v>
      </c>
      <c r="C6" s="52" t="str">
        <f>'Weekly Plan'!G5</f>
        <v>RH Upper Fairing</v>
      </c>
      <c r="D6" s="53" t="str">
        <f>IF('Weekly Plan'!H5=0,"",'Weekly Plan'!H5)</f>
        <v/>
      </c>
      <c r="E6" s="97">
        <f>'Weekly Plan'!A5</f>
        <v>2</v>
      </c>
      <c r="F6" s="97">
        <f t="shared" si="0"/>
        <v>0</v>
      </c>
      <c r="G6" s="50">
        <f>'Weekly Plan'!F70</f>
        <v>99633</v>
      </c>
      <c r="H6" s="90" t="s">
        <v>167</v>
      </c>
      <c r="I6" s="50" t="str">
        <f>'Weekly Plan'!G70</f>
        <v>IR Cover LH</v>
      </c>
      <c r="J6" s="54" t="str">
        <f>IF('Weekly Plan'!H70=0,"",'Weekly Plan'!H70)</f>
        <v/>
      </c>
      <c r="K6" s="97">
        <f>'Weekly Plan'!A70</f>
        <v>20</v>
      </c>
      <c r="L6" s="97">
        <f t="shared" ref="L6:L10" si="1">IFERROR(J6/K6,0)</f>
        <v>0</v>
      </c>
      <c r="M6" s="55">
        <f>'Weekly Plan'!F95</f>
        <v>80930</v>
      </c>
      <c r="N6" s="52" t="str">
        <f>'Weekly Plan'!G95</f>
        <v>Black - RH</v>
      </c>
      <c r="O6" s="53" t="str">
        <f>IF('Weekly Plan'!H95=0,"",'Weekly Plan'!H95)</f>
        <v/>
      </c>
      <c r="P6" s="4">
        <f>'Weekly Plan'!A95</f>
        <v>2</v>
      </c>
      <c r="Q6" s="4">
        <f t="shared" ref="Q6:Q20" si="2">IFERROR(O6/P6,0)</f>
        <v>0</v>
      </c>
      <c r="W6" s="9"/>
      <c r="X6" s="9"/>
      <c r="Y6" s="9"/>
      <c r="Z6" s="9"/>
      <c r="AA6" s="9"/>
      <c r="AB6" s="9"/>
      <c r="AC6" s="4">
        <v>4</v>
      </c>
    </row>
    <row r="7" spans="1:29" ht="15" customHeight="1" x14ac:dyDescent="0.2">
      <c r="A7" s="50">
        <f>'Weekly Plan'!F6</f>
        <v>705012976</v>
      </c>
      <c r="B7" s="51" t="s">
        <v>54</v>
      </c>
      <c r="C7" s="52" t="str">
        <f>'Weekly Plan'!G6</f>
        <v>LH Fender</v>
      </c>
      <c r="D7" s="53" t="str">
        <f>IF('Weekly Plan'!H6=0,"",'Weekly Plan'!H6)</f>
        <v/>
      </c>
      <c r="E7" s="97">
        <f>'Weekly Plan'!A6</f>
        <v>2</v>
      </c>
      <c r="F7" s="97">
        <f t="shared" si="0"/>
        <v>0</v>
      </c>
      <c r="G7" s="50">
        <f>'Weekly Plan'!F71</f>
        <v>99646</v>
      </c>
      <c r="H7" s="90" t="s">
        <v>167</v>
      </c>
      <c r="I7" s="50" t="str">
        <f>'Weekly Plan'!G71</f>
        <v>IR Cover RH</v>
      </c>
      <c r="J7" s="54" t="str">
        <f>IF('Weekly Plan'!H71=0,"",'Weekly Plan'!H71)</f>
        <v/>
      </c>
      <c r="K7" s="97">
        <f>'Weekly Plan'!A71</f>
        <v>20</v>
      </c>
      <c r="L7" s="97">
        <f t="shared" si="1"/>
        <v>0</v>
      </c>
      <c r="M7" s="55">
        <f>'Weekly Plan'!F96</f>
        <v>80933</v>
      </c>
      <c r="N7" s="52" t="str">
        <f>'Weekly Plan'!G96</f>
        <v>Red - LH</v>
      </c>
      <c r="O7" s="53" t="str">
        <f>IF('Weekly Plan'!H96=0,"",'Weekly Plan'!H96)</f>
        <v/>
      </c>
      <c r="P7" s="4">
        <f>'Weekly Plan'!A96</f>
        <v>2</v>
      </c>
      <c r="Q7" s="4">
        <f t="shared" si="2"/>
        <v>0</v>
      </c>
      <c r="W7" s="9"/>
      <c r="X7" s="9"/>
      <c r="Y7" s="9"/>
      <c r="Z7" s="9"/>
      <c r="AA7" s="9"/>
      <c r="AB7" s="9"/>
      <c r="AC7" s="4">
        <v>4</v>
      </c>
    </row>
    <row r="8" spans="1:29" ht="15" customHeight="1" x14ac:dyDescent="0.2">
      <c r="A8" s="50">
        <f>'Weekly Plan'!F7</f>
        <v>705012868</v>
      </c>
      <c r="B8" s="51" t="s">
        <v>54</v>
      </c>
      <c r="C8" s="52" t="str">
        <f>'Weekly Plan'!G7</f>
        <v>RH Fender</v>
      </c>
      <c r="D8" s="53" t="str">
        <f>IF('Weekly Plan'!H7=0,"",'Weekly Plan'!H7)</f>
        <v/>
      </c>
      <c r="E8" s="97">
        <f>'Weekly Plan'!A7</f>
        <v>2</v>
      </c>
      <c r="F8" s="97">
        <f t="shared" si="0"/>
        <v>0</v>
      </c>
      <c r="G8" s="50">
        <f>'Weekly Plan'!F72</f>
        <v>99635</v>
      </c>
      <c r="H8" s="90" t="s">
        <v>167</v>
      </c>
      <c r="I8" s="50" t="str">
        <f>'Weekly Plan'!G72</f>
        <v>Lateral Belt LH</v>
      </c>
      <c r="J8" s="54" t="str">
        <f>IF('Weekly Plan'!H72=0,"",'Weekly Plan'!H72)</f>
        <v/>
      </c>
      <c r="K8" s="97">
        <f>'Weekly Plan'!A72</f>
        <v>6</v>
      </c>
      <c r="L8" s="97">
        <f t="shared" si="1"/>
        <v>0</v>
      </c>
      <c r="M8" s="55">
        <f>'Weekly Plan'!F97</f>
        <v>80932</v>
      </c>
      <c r="N8" s="52" t="str">
        <f>'Weekly Plan'!G97</f>
        <v>Red - RH</v>
      </c>
      <c r="O8" s="53" t="str">
        <f>IF('Weekly Plan'!H97=0,"",'Weekly Plan'!H97)</f>
        <v/>
      </c>
      <c r="P8" s="4">
        <f>'Weekly Plan'!A97</f>
        <v>2</v>
      </c>
      <c r="Q8" s="4">
        <f t="shared" si="2"/>
        <v>0</v>
      </c>
      <c r="R8" s="4"/>
      <c r="W8" s="9"/>
      <c r="X8" s="9"/>
      <c r="Y8" s="9"/>
      <c r="Z8" s="9"/>
      <c r="AA8" s="9"/>
      <c r="AB8" s="9"/>
      <c r="AC8" s="4">
        <v>1</v>
      </c>
    </row>
    <row r="9" spans="1:29" ht="15" customHeight="1" x14ac:dyDescent="0.2">
      <c r="A9" s="50">
        <f>'Weekly Plan'!F8</f>
        <v>708003041</v>
      </c>
      <c r="B9" s="51" t="s">
        <v>54</v>
      </c>
      <c r="C9" s="52" t="str">
        <f>'Weekly Plan'!G8</f>
        <v>Rear Fairing</v>
      </c>
      <c r="D9" s="53" t="str">
        <f>IF('Weekly Plan'!H8=0,"",'Weekly Plan'!H8)</f>
        <v/>
      </c>
      <c r="E9" s="97">
        <f>'Weekly Plan'!A8</f>
        <v>2</v>
      </c>
      <c r="F9" s="97">
        <f t="shared" si="0"/>
        <v>0</v>
      </c>
      <c r="G9" s="50">
        <f>'Weekly Plan'!F73</f>
        <v>99944</v>
      </c>
      <c r="H9" s="90" t="s">
        <v>167</v>
      </c>
      <c r="I9" s="50" t="str">
        <f>'Weekly Plan'!G73</f>
        <v>Lateral Belt RH</v>
      </c>
      <c r="J9" s="54" t="str">
        <f>IF('Weekly Plan'!H73=0,"",'Weekly Plan'!H73)</f>
        <v/>
      </c>
      <c r="K9" s="97">
        <f>'Weekly Plan'!A73</f>
        <v>6</v>
      </c>
      <c r="L9" s="97">
        <f t="shared" si="1"/>
        <v>0</v>
      </c>
      <c r="M9" s="55" t="str">
        <f>'Weekly Plan'!F98</f>
        <v>Other</v>
      </c>
      <c r="N9" s="52" t="str">
        <f>'Weekly Plan'!G98</f>
        <v>White - LH</v>
      </c>
      <c r="O9" s="53" t="str">
        <f>IF('Weekly Plan'!H98=0,"",'Weekly Plan'!H98)</f>
        <v/>
      </c>
      <c r="P9" s="4">
        <f>'Weekly Plan'!A98</f>
        <v>2</v>
      </c>
      <c r="Q9" s="4">
        <f t="shared" si="2"/>
        <v>0</v>
      </c>
      <c r="R9" s="4"/>
      <c r="W9" s="9"/>
      <c r="X9" s="9"/>
      <c r="Y9" s="9"/>
      <c r="Z9" s="9"/>
      <c r="AA9" s="9"/>
      <c r="AB9" s="9"/>
      <c r="AC9" s="4">
        <v>1</v>
      </c>
    </row>
    <row r="10" spans="1:29" ht="15" customHeight="1" thickBot="1" x14ac:dyDescent="0.25">
      <c r="A10" s="50">
        <f>'Weekly Plan'!F9</f>
        <v>708200870</v>
      </c>
      <c r="B10" s="51" t="s">
        <v>54</v>
      </c>
      <c r="C10" s="52" t="str">
        <f>'Weekly Plan'!G9</f>
        <v>LH Front Fairing</v>
      </c>
      <c r="D10" s="53" t="str">
        <f>IF('Weekly Plan'!H9=0,"",'Weekly Plan'!H9)</f>
        <v/>
      </c>
      <c r="E10" s="97">
        <f>'Weekly Plan'!A9</f>
        <v>1</v>
      </c>
      <c r="F10" s="97">
        <f t="shared" si="0"/>
        <v>0</v>
      </c>
      <c r="G10" s="62">
        <f>'Weekly Plan'!F74</f>
        <v>99636</v>
      </c>
      <c r="H10" s="90" t="s">
        <v>167</v>
      </c>
      <c r="I10" s="62" t="str">
        <f>'Weekly Plan'!G74</f>
        <v>Rear Belt</v>
      </c>
      <c r="J10" s="60" t="str">
        <f>IF('Weekly Plan'!H74=0,"",'Weekly Plan'!H74)</f>
        <v/>
      </c>
      <c r="K10" s="97">
        <f>'Weekly Plan'!A74</f>
        <v>20</v>
      </c>
      <c r="L10" s="97">
        <f t="shared" si="1"/>
        <v>0</v>
      </c>
      <c r="M10" s="56" t="str">
        <f>'Weekly Plan'!F99</f>
        <v>Other</v>
      </c>
      <c r="N10" s="57" t="str">
        <f>'Weekly Plan'!G99</f>
        <v>White - RH</v>
      </c>
      <c r="O10" s="58" t="str">
        <f>IF('Weekly Plan'!H99=0,"",'Weekly Plan'!H99)</f>
        <v/>
      </c>
      <c r="P10" s="4">
        <f>'Weekly Plan'!A99</f>
        <v>2</v>
      </c>
      <c r="Q10" s="4">
        <f t="shared" si="2"/>
        <v>0</v>
      </c>
      <c r="R10" s="4"/>
      <c r="W10" s="9"/>
      <c r="X10" s="9"/>
      <c r="Y10" s="9"/>
      <c r="Z10" s="9"/>
      <c r="AA10" s="9"/>
      <c r="AB10" s="9"/>
      <c r="AC10" s="4">
        <v>3</v>
      </c>
    </row>
    <row r="11" spans="1:29" ht="15" customHeight="1" thickBot="1" x14ac:dyDescent="0.25">
      <c r="A11" s="50">
        <f>'Weekly Plan'!F10</f>
        <v>708200871</v>
      </c>
      <c r="B11" s="51" t="s">
        <v>54</v>
      </c>
      <c r="C11" s="52" t="str">
        <f>'Weekly Plan'!G10</f>
        <v>RH Front Fairing</v>
      </c>
      <c r="D11" s="53" t="str">
        <f>IF('Weekly Plan'!H10=0,"",'Weekly Plan'!H10)</f>
        <v/>
      </c>
      <c r="E11" s="97">
        <f>'Weekly Plan'!A10</f>
        <v>1</v>
      </c>
      <c r="F11" s="97">
        <f t="shared" si="0"/>
        <v>0</v>
      </c>
      <c r="G11" s="59"/>
      <c r="H11" s="59"/>
      <c r="I11" s="59"/>
      <c r="J11" s="64"/>
      <c r="K11" s="97"/>
      <c r="L11" s="97"/>
      <c r="M11" s="59"/>
      <c r="N11" s="59"/>
      <c r="O11" s="59"/>
      <c r="P11" s="4"/>
      <c r="Q11" s="4"/>
      <c r="R11" s="4"/>
      <c r="W11" s="9"/>
      <c r="X11" s="9"/>
      <c r="Y11" s="9"/>
      <c r="Z11" s="9"/>
      <c r="AA11" s="9"/>
      <c r="AB11" s="9"/>
      <c r="AC11" s="4">
        <v>3</v>
      </c>
    </row>
    <row r="12" spans="1:29" ht="15" customHeight="1" x14ac:dyDescent="0.2">
      <c r="A12" s="50">
        <f>'Weekly Plan'!F11</f>
        <v>708200869</v>
      </c>
      <c r="B12" s="51" t="s">
        <v>54</v>
      </c>
      <c r="C12" s="52" t="str">
        <f>'Weekly Plan'!G11</f>
        <v>R66 Hood</v>
      </c>
      <c r="D12" s="53" t="str">
        <f>IF('Weekly Plan'!H11=0,"",'Weekly Plan'!H11)</f>
        <v/>
      </c>
      <c r="E12" s="97">
        <f>'Weekly Plan'!A11</f>
        <v>1</v>
      </c>
      <c r="F12" s="97">
        <f t="shared" si="0"/>
        <v>0</v>
      </c>
      <c r="G12" s="146" t="s">
        <v>241</v>
      </c>
      <c r="H12" s="147"/>
      <c r="I12" s="147"/>
      <c r="J12" s="148"/>
      <c r="K12" s="97"/>
      <c r="L12" s="97"/>
      <c r="M12" s="138" t="s">
        <v>213</v>
      </c>
      <c r="N12" s="139"/>
      <c r="O12" s="140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50">
        <f>'Weekly Plan'!F12</f>
        <v>708302947</v>
      </c>
      <c r="B13" s="51" t="s">
        <v>54</v>
      </c>
      <c r="C13" s="52" t="str">
        <f>'Weekly Plan'!G12</f>
        <v>LH Box Cover</v>
      </c>
      <c r="D13" s="53" t="str">
        <f>IF('Weekly Plan'!H12=0,"",'Weekly Plan'!H12)</f>
        <v/>
      </c>
      <c r="E13" s="97">
        <f>'Weekly Plan'!A12</f>
        <v>2</v>
      </c>
      <c r="F13" s="97">
        <f t="shared" si="0"/>
        <v>0</v>
      </c>
      <c r="G13" s="50">
        <f>'Weekly Plan'!F76</f>
        <v>99629</v>
      </c>
      <c r="H13" s="91" t="s">
        <v>123</v>
      </c>
      <c r="I13" s="52" t="str">
        <f>'Weekly Plan'!G76</f>
        <v>Main Lower Cover</v>
      </c>
      <c r="J13" s="54" t="str">
        <f>IF('Weekly Plan'!H76=0,"",'Weekly Plan'!H76)</f>
        <v/>
      </c>
      <c r="K13" s="97">
        <f>'Weekly Plan'!A76</f>
        <v>1</v>
      </c>
      <c r="L13" s="97">
        <f t="shared" ref="L13:L33" si="3">IFERROR(J13/K13,0)</f>
        <v>0</v>
      </c>
      <c r="M13" s="55">
        <f>'Weekly Plan'!F81</f>
        <v>0</v>
      </c>
      <c r="N13" s="52" t="str">
        <f>'Weekly Plan'!G81</f>
        <v>Handles</v>
      </c>
      <c r="O13" s="53" t="str">
        <f>IF('Weekly Plan'!H81=0,"",'Weekly Plan'!H81)</f>
        <v/>
      </c>
      <c r="P13" s="2">
        <f>'Weekly Plan'!A81</f>
        <v>18</v>
      </c>
      <c r="Q13" s="4">
        <f t="shared" si="2"/>
        <v>0</v>
      </c>
      <c r="AC13" s="2">
        <v>4</v>
      </c>
    </row>
    <row r="14" spans="1:29" ht="15" customHeight="1" x14ac:dyDescent="0.2">
      <c r="A14" s="50">
        <f>'Weekly Plan'!F13</f>
        <v>708302948</v>
      </c>
      <c r="B14" s="51" t="s">
        <v>54</v>
      </c>
      <c r="C14" s="52" t="str">
        <f>'Weekly Plan'!G13</f>
        <v>RH Box Cover</v>
      </c>
      <c r="D14" s="53" t="str">
        <f>IF('Weekly Plan'!H13=0,"",'Weekly Plan'!H13)</f>
        <v/>
      </c>
      <c r="E14" s="97">
        <f>'Weekly Plan'!A13</f>
        <v>2</v>
      </c>
      <c r="F14" s="97">
        <f t="shared" si="0"/>
        <v>0</v>
      </c>
      <c r="G14" s="50">
        <f>'Weekly Plan'!F77</f>
        <v>99631</v>
      </c>
      <c r="H14" s="91" t="s">
        <v>123</v>
      </c>
      <c r="I14" s="52" t="str">
        <f>'Weekly Plan'!G77</f>
        <v>Main Upper Cover</v>
      </c>
      <c r="J14" s="54" t="str">
        <f>IF('Weekly Plan'!H77=0,"",'Weekly Plan'!H77)</f>
        <v/>
      </c>
      <c r="K14" s="97">
        <f>'Weekly Plan'!A77</f>
        <v>1</v>
      </c>
      <c r="L14" s="97">
        <f t="shared" ref="L14:L16" si="4">IFERROR(J14/K14,0)</f>
        <v>0</v>
      </c>
      <c r="M14" s="55">
        <f>'Weekly Plan'!F82</f>
        <v>0</v>
      </c>
      <c r="N14" s="52">
        <f>'Weekly Plan'!G82</f>
        <v>0</v>
      </c>
      <c r="O14" s="53" t="str">
        <f>IF('Weekly Plan'!H82=0,"",'Weekly Plan'!H82)</f>
        <v/>
      </c>
      <c r="P14" s="2">
        <f>'Weekly Plan'!A82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50">
        <f>'Weekly Plan'!F14</f>
        <v>708303800</v>
      </c>
      <c r="B15" s="51" t="s">
        <v>54</v>
      </c>
      <c r="C15" s="52" t="str">
        <f>'Weekly Plan'!G14</f>
        <v>LH F3T Panel</v>
      </c>
      <c r="D15" s="53" t="str">
        <f>IF('Weekly Plan'!H14=0,"",'Weekly Plan'!H14)</f>
        <v/>
      </c>
      <c r="E15" s="97">
        <f>'Weekly Plan'!A14</f>
        <v>4</v>
      </c>
      <c r="F15" s="97">
        <f t="shared" si="0"/>
        <v>0</v>
      </c>
      <c r="G15" s="50">
        <f>'Weekly Plan'!F78</f>
        <v>99638</v>
      </c>
      <c r="H15" s="91" t="s">
        <v>123</v>
      </c>
      <c r="I15" s="52" t="str">
        <f>'Weekly Plan'!G78</f>
        <v>Rear Plate</v>
      </c>
      <c r="J15" s="54" t="str">
        <f>IF('Weekly Plan'!H78=0,"",'Weekly Plan'!H78)</f>
        <v/>
      </c>
      <c r="K15" s="97">
        <f>'Weekly Plan'!A78</f>
        <v>20</v>
      </c>
      <c r="L15" s="97">
        <f t="shared" si="4"/>
        <v>0</v>
      </c>
      <c r="M15" s="56">
        <f>'Weekly Plan'!F83</f>
        <v>0</v>
      </c>
      <c r="N15" s="57">
        <f>'Weekly Plan'!G83</f>
        <v>0</v>
      </c>
      <c r="O15" s="58" t="str">
        <f>IF('Weekly Plan'!H83=0,"",'Weekly Plan'!H83)</f>
        <v/>
      </c>
      <c r="P15" s="2">
        <f>'Weekly Plan'!A83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50">
        <f>'Weekly Plan'!F15</f>
        <v>708303801</v>
      </c>
      <c r="B16" s="51" t="s">
        <v>54</v>
      </c>
      <c r="C16" s="52" t="str">
        <f>'Weekly Plan'!G15</f>
        <v>RH F3T Panel</v>
      </c>
      <c r="D16" s="53" t="str">
        <f>IF('Weekly Plan'!H15=0,"",'Weekly Plan'!H15)</f>
        <v/>
      </c>
      <c r="E16" s="97">
        <f>'Weekly Plan'!A15</f>
        <v>4</v>
      </c>
      <c r="F16" s="97">
        <f t="shared" si="0"/>
        <v>0</v>
      </c>
      <c r="G16" s="62">
        <f>'Weekly Plan'!F79</f>
        <v>99630</v>
      </c>
      <c r="H16" s="94" t="s">
        <v>123</v>
      </c>
      <c r="I16" s="57" t="str">
        <f>'Weekly Plan'!G79</f>
        <v>Vent Cover</v>
      </c>
      <c r="J16" s="60" t="str">
        <f>IF('Weekly Plan'!H79=0,"",'Weekly Plan'!H79)</f>
        <v/>
      </c>
      <c r="K16" s="97">
        <f>'Weekly Plan'!A79</f>
        <v>1</v>
      </c>
      <c r="L16" s="97">
        <f t="shared" si="4"/>
        <v>0</v>
      </c>
      <c r="M16" s="61"/>
      <c r="N16" s="61"/>
      <c r="O16" s="61"/>
      <c r="P16" s="4"/>
      <c r="Q16" s="4"/>
      <c r="R16" s="4"/>
      <c r="AC16" s="4">
        <v>2</v>
      </c>
    </row>
    <row r="17" spans="1:29" ht="15" customHeight="1" thickBot="1" x14ac:dyDescent="0.25">
      <c r="A17" s="50">
        <f>'Weekly Plan'!F16</f>
        <v>708400461</v>
      </c>
      <c r="B17" s="51" t="s">
        <v>54</v>
      </c>
      <c r="C17" s="52" t="str">
        <f>'Weekly Plan'!G16</f>
        <v>LH Mirror Shell -No Hole</v>
      </c>
      <c r="D17" s="53" t="str">
        <f>IF('Weekly Plan'!H16=0,"",'Weekly Plan'!H16)</f>
        <v/>
      </c>
      <c r="E17" s="97">
        <f>'Weekly Plan'!A16</f>
        <v>2</v>
      </c>
      <c r="F17" s="97">
        <f t="shared" si="0"/>
        <v>0</v>
      </c>
      <c r="G17" s="61"/>
      <c r="H17" s="61"/>
      <c r="I17" s="61"/>
      <c r="J17" s="61"/>
      <c r="K17" s="99"/>
      <c r="L17" s="97"/>
      <c r="M17" s="138" t="s">
        <v>103</v>
      </c>
      <c r="N17" s="139"/>
      <c r="O17" s="140"/>
      <c r="P17" s="4"/>
      <c r="Q17" s="4"/>
      <c r="R17" s="4"/>
      <c r="AC17" s="4">
        <v>1</v>
      </c>
    </row>
    <row r="18" spans="1:29" ht="15" customHeight="1" thickBot="1" x14ac:dyDescent="0.25">
      <c r="A18" s="62">
        <f>'Weekly Plan'!F17</f>
        <v>708400463</v>
      </c>
      <c r="B18" s="63" t="s">
        <v>54</v>
      </c>
      <c r="C18" s="57" t="str">
        <f>'Weekly Plan'!G17</f>
        <v xml:space="preserve">RH Mirror Shell - No Hole </v>
      </c>
      <c r="D18" s="58" t="str">
        <f>IF('Weekly Plan'!H17=0,"",'Weekly Plan'!H17)</f>
        <v/>
      </c>
      <c r="E18" s="97">
        <f>'Weekly Plan'!A17</f>
        <v>2</v>
      </c>
      <c r="F18" s="97">
        <f t="shared" si="0"/>
        <v>0</v>
      </c>
      <c r="G18" s="143" t="s">
        <v>253</v>
      </c>
      <c r="H18" s="144"/>
      <c r="I18" s="144"/>
      <c r="J18" s="145"/>
      <c r="K18" s="97"/>
      <c r="L18" s="97"/>
      <c r="M18" s="55">
        <f>'Weekly Plan'!F85</f>
        <v>0</v>
      </c>
      <c r="N18" s="52" t="str">
        <f>'Weekly Plan'!G85</f>
        <v>Base Dual</v>
      </c>
      <c r="O18" s="53" t="str">
        <f>IF('Weekly Plan'!H85=0,"",'Weekly Plan'!H85)</f>
        <v/>
      </c>
      <c r="P18" s="4">
        <f>'Weekly Plan'!A85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64"/>
      <c r="B19" s="64"/>
      <c r="C19" s="64"/>
      <c r="D19" s="64"/>
      <c r="E19" s="97"/>
      <c r="F19" s="97"/>
      <c r="G19" s="50">
        <f>'Weekly Plan'!F19</f>
        <v>705009213</v>
      </c>
      <c r="H19" s="88" t="s">
        <v>261</v>
      </c>
      <c r="I19" s="52" t="str">
        <f>'Weekly Plan'!G19</f>
        <v>LH F3T Low Fairing</v>
      </c>
      <c r="J19" s="53" t="str">
        <f>IF('Weekly Plan'!H19=0,"",'Weekly Plan'!H19)</f>
        <v/>
      </c>
      <c r="K19" s="97">
        <f>'Weekly Plan'!A19</f>
        <v>2</v>
      </c>
      <c r="L19" s="97">
        <f t="shared" si="3"/>
        <v>0</v>
      </c>
      <c r="M19" s="55">
        <f>'Weekly Plan'!F86</f>
        <v>500458</v>
      </c>
      <c r="N19" s="52" t="str">
        <f>'Weekly Plan'!G86</f>
        <v>Face Plate, DTM, SSR</v>
      </c>
      <c r="O19" s="53" t="str">
        <f>IF('Weekly Plan'!H86=0,"",'Weekly Plan'!H86)</f>
        <v/>
      </c>
      <c r="P19" s="4">
        <f>'Weekly Plan'!A86</f>
        <v>16</v>
      </c>
      <c r="Q19" s="4">
        <f t="shared" si="2"/>
        <v>0</v>
      </c>
      <c r="AC19" s="2">
        <v>1</v>
      </c>
    </row>
    <row r="20" spans="1:29" ht="15" customHeight="1" thickBot="1" x14ac:dyDescent="0.25">
      <c r="A20" s="143" t="s">
        <v>79</v>
      </c>
      <c r="B20" s="144"/>
      <c r="C20" s="144"/>
      <c r="D20" s="145"/>
      <c r="E20" s="97"/>
      <c r="F20" s="97"/>
      <c r="G20" s="50">
        <f>'Weekly Plan'!F20</f>
        <v>705009214</v>
      </c>
      <c r="H20" s="88" t="s">
        <v>261</v>
      </c>
      <c r="I20" s="52" t="str">
        <f>'Weekly Plan'!G20</f>
        <v>RH F3T Low Fairing</v>
      </c>
      <c r="J20" s="53" t="str">
        <f>IF('Weekly Plan'!H20=0,"",'Weekly Plan'!H20)</f>
        <v/>
      </c>
      <c r="K20" s="97">
        <f>'Weekly Plan'!A20</f>
        <v>2</v>
      </c>
      <c r="L20" s="97">
        <f t="shared" si="3"/>
        <v>0</v>
      </c>
      <c r="M20" s="56">
        <f>'Weekly Plan'!F87</f>
        <v>500458</v>
      </c>
      <c r="N20" s="57" t="str">
        <f>'Weekly Plan'!G87</f>
        <v>Face Plate, STM, SSR</v>
      </c>
      <c r="O20" s="58" t="str">
        <f>IF('Weekly Plan'!H87=0,"",'Weekly Plan'!H87)</f>
        <v/>
      </c>
      <c r="P20" s="4">
        <f>'Weekly Plan'!A87</f>
        <v>16</v>
      </c>
      <c r="Q20" s="4">
        <f t="shared" si="2"/>
        <v>0</v>
      </c>
      <c r="AC20" s="2">
        <v>2</v>
      </c>
    </row>
    <row r="21" spans="1:29" ht="15" customHeight="1" thickBot="1" x14ac:dyDescent="0.25">
      <c r="A21" s="50">
        <f>'Weekly Plan'!F34</f>
        <v>708400287</v>
      </c>
      <c r="B21" s="51" t="s">
        <v>79</v>
      </c>
      <c r="C21" s="52" t="str">
        <f>'Weekly Plan'!G34</f>
        <v>Tank Cover</v>
      </c>
      <c r="D21" s="53" t="str">
        <f>IF('Weekly Plan'!H34=0,"",'Weekly Plan'!H34)</f>
        <v/>
      </c>
      <c r="E21" s="97">
        <f>'Weekly Plan'!A34</f>
        <v>2</v>
      </c>
      <c r="F21" s="97">
        <f t="shared" ref="F21" si="5">IFERROR(D21/E21,0)</f>
        <v>0</v>
      </c>
      <c r="G21" s="50">
        <f>'Weekly Plan'!F21</f>
        <v>705010835</v>
      </c>
      <c r="H21" s="88" t="s">
        <v>261</v>
      </c>
      <c r="I21" s="52" t="str">
        <f>'Weekly Plan'!G21</f>
        <v>RH Fairing</v>
      </c>
      <c r="J21" s="53" t="str">
        <f>IF('Weekly Plan'!H21=0,"",'Weekly Plan'!H21)</f>
        <v/>
      </c>
      <c r="K21" s="97">
        <f>'Weekly Plan'!A21</f>
        <v>1</v>
      </c>
      <c r="L21" s="97">
        <f t="shared" si="3"/>
        <v>0</v>
      </c>
      <c r="M21" s="61"/>
      <c r="N21" s="61"/>
      <c r="O21" s="61"/>
      <c r="P21" s="4"/>
      <c r="Q21" s="4"/>
      <c r="R21" s="4"/>
      <c r="AC21" s="4">
        <v>1</v>
      </c>
    </row>
    <row r="22" spans="1:29" ht="15" customHeight="1" x14ac:dyDescent="0.2">
      <c r="A22" s="50">
        <f>'Weekly Plan'!F35</f>
        <v>705019189</v>
      </c>
      <c r="B22" s="51" t="s">
        <v>79</v>
      </c>
      <c r="C22" s="52" t="str">
        <f>'Weekly Plan'!G35</f>
        <v>New Tank Cover</v>
      </c>
      <c r="D22" s="53" t="str">
        <f>IF('Weekly Plan'!H35=0,"",'Weekly Plan'!H35)</f>
        <v/>
      </c>
      <c r="E22" s="97">
        <f>'Weekly Plan'!A35</f>
        <v>2</v>
      </c>
      <c r="F22" s="97">
        <f t="shared" ref="F22:F30" si="6">IFERROR(D22/E22,0)</f>
        <v>0</v>
      </c>
      <c r="G22" s="50">
        <f>'Weekly Plan'!F22</f>
        <v>705010851</v>
      </c>
      <c r="H22" s="88" t="s">
        <v>261</v>
      </c>
      <c r="I22" s="52" t="str">
        <f>'Weekly Plan'!G22</f>
        <v>LH Fairing</v>
      </c>
      <c r="J22" s="53" t="str">
        <f>IF('Weekly Plan'!H22=0,"",'Weekly Plan'!H22)</f>
        <v/>
      </c>
      <c r="K22" s="97">
        <f>'Weekly Plan'!A22</f>
        <v>1</v>
      </c>
      <c r="L22" s="97">
        <f t="shared" si="3"/>
        <v>0</v>
      </c>
      <c r="M22" s="138" t="s">
        <v>217</v>
      </c>
      <c r="N22" s="139"/>
      <c r="O22" s="140"/>
      <c r="P22" s="4"/>
      <c r="Q22" s="4"/>
      <c r="R22" s="4"/>
      <c r="AC22" s="4">
        <v>2</v>
      </c>
    </row>
    <row r="23" spans="1:29" ht="15" customHeight="1" x14ac:dyDescent="0.2">
      <c r="A23" s="50">
        <f>'Weekly Plan'!F36</f>
        <v>708001528</v>
      </c>
      <c r="B23" s="51" t="s">
        <v>79</v>
      </c>
      <c r="C23" s="52" t="str">
        <f>'Weekly Plan'!G36</f>
        <v>Tail Fairing</v>
      </c>
      <c r="D23" s="53" t="str">
        <f>IF('Weekly Plan'!H36=0,"",'Weekly Plan'!H36)</f>
        <v/>
      </c>
      <c r="E23" s="97">
        <f>'Weekly Plan'!A36</f>
        <v>2</v>
      </c>
      <c r="F23" s="97">
        <f t="shared" si="6"/>
        <v>0</v>
      </c>
      <c r="G23" s="50">
        <f>'Weekly Plan'!F23</f>
        <v>705012976</v>
      </c>
      <c r="H23" s="88" t="s">
        <v>261</v>
      </c>
      <c r="I23" s="52" t="str">
        <f>'Weekly Plan'!G23</f>
        <v>LH Fender</v>
      </c>
      <c r="J23" s="53" t="str">
        <f>IF('Weekly Plan'!H23=0,"",'Weekly Plan'!H23)</f>
        <v/>
      </c>
      <c r="K23" s="97">
        <f>'Weekly Plan'!A23</f>
        <v>2</v>
      </c>
      <c r="L23" s="97">
        <f t="shared" si="3"/>
        <v>0</v>
      </c>
      <c r="M23" s="55">
        <f>'Weekly Plan'!F89</f>
        <v>2650</v>
      </c>
      <c r="N23" s="52" t="str">
        <f>'Weekly Plan'!G89</f>
        <v>LH Side Puck</v>
      </c>
      <c r="O23" s="53" t="str">
        <f>IF('Weekly Plan'!H89=0,"",'Weekly Plan'!H89)</f>
        <v/>
      </c>
      <c r="P23" s="4">
        <f>'Weekly Plan'!A89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50">
        <f>'Weekly Plan'!F37</f>
        <v>708400069</v>
      </c>
      <c r="B24" s="51" t="s">
        <v>79</v>
      </c>
      <c r="C24" s="52" t="str">
        <f>'Weekly Plan'!G37</f>
        <v>RH Consol Fairing</v>
      </c>
      <c r="D24" s="53" t="str">
        <f>IF('Weekly Plan'!H37=0,"",'Weekly Plan'!H37)</f>
        <v/>
      </c>
      <c r="E24" s="97">
        <f>'Weekly Plan'!A37</f>
        <v>2</v>
      </c>
      <c r="F24" s="97">
        <f t="shared" si="6"/>
        <v>0</v>
      </c>
      <c r="G24" s="50">
        <f>'Weekly Plan'!F24</f>
        <v>705012868</v>
      </c>
      <c r="H24" s="88" t="s">
        <v>261</v>
      </c>
      <c r="I24" s="52" t="str">
        <f>'Weekly Plan'!G24</f>
        <v>RH Fender</v>
      </c>
      <c r="J24" s="53" t="str">
        <f>IF('Weekly Plan'!H24=0,"",'Weekly Plan'!H24)</f>
        <v/>
      </c>
      <c r="K24" s="97">
        <f>'Weekly Plan'!A24</f>
        <v>2</v>
      </c>
      <c r="L24" s="97">
        <f t="shared" si="3"/>
        <v>0</v>
      </c>
      <c r="M24" s="55">
        <f>'Weekly Plan'!F90</f>
        <v>2651</v>
      </c>
      <c r="N24" s="52" t="str">
        <f>'Weekly Plan'!G90</f>
        <v>RH Side Puck</v>
      </c>
      <c r="O24" s="53" t="str">
        <f>IF('Weekly Plan'!H90=0,"",'Weekly Plan'!H90)</f>
        <v/>
      </c>
      <c r="P24" s="4">
        <f>'Weekly Plan'!A90</f>
        <v>6</v>
      </c>
      <c r="Q24" s="4">
        <f t="shared" ref="Q24:Q32" si="7">IFERROR(O24/P24,0)</f>
        <v>0</v>
      </c>
      <c r="R24" s="4"/>
      <c r="AC24" s="4">
        <v>2</v>
      </c>
    </row>
    <row r="25" spans="1:29" ht="15" customHeight="1" x14ac:dyDescent="0.2">
      <c r="A25" s="50">
        <f>'Weekly Plan'!F38</f>
        <v>708400067</v>
      </c>
      <c r="B25" s="51" t="s">
        <v>79</v>
      </c>
      <c r="C25" s="52" t="str">
        <f>'Weekly Plan'!G38</f>
        <v>LH Consol Fairing</v>
      </c>
      <c r="D25" s="53" t="str">
        <f>IF('Weekly Plan'!H38=0,"",'Weekly Plan'!H38)</f>
        <v/>
      </c>
      <c r="E25" s="97">
        <f>'Weekly Plan'!A38</f>
        <v>2</v>
      </c>
      <c r="F25" s="97">
        <f t="shared" si="6"/>
        <v>0</v>
      </c>
      <c r="G25" s="50">
        <f>'Weekly Plan'!F25</f>
        <v>708200366</v>
      </c>
      <c r="H25" s="88" t="s">
        <v>261</v>
      </c>
      <c r="I25" s="52" t="str">
        <f>'Weekly Plan'!G25</f>
        <v>Hood</v>
      </c>
      <c r="J25" s="53" t="str">
        <f>IF('Weekly Plan'!H25=0,"",'Weekly Plan'!H25)</f>
        <v/>
      </c>
      <c r="K25" s="97">
        <f>'Weekly Plan'!A25</f>
        <v>1</v>
      </c>
      <c r="L25" s="97">
        <f t="shared" si="3"/>
        <v>0</v>
      </c>
      <c r="M25" s="55">
        <f>'Weekly Plan'!F91</f>
        <v>2647</v>
      </c>
      <c r="N25" s="52" t="str">
        <f>'Weekly Plan'!G91</f>
        <v>Front Puck</v>
      </c>
      <c r="O25" s="53" t="str">
        <f>IF('Weekly Plan'!H91=0,"",'Weekly Plan'!H91)</f>
        <v/>
      </c>
      <c r="P25" s="4">
        <f>'Weekly Plan'!A91</f>
        <v>6</v>
      </c>
      <c r="Q25" s="4">
        <f t="shared" si="7"/>
        <v>0</v>
      </c>
      <c r="R25" s="4">
        <v>18</v>
      </c>
      <c r="AC25" s="4">
        <v>1</v>
      </c>
    </row>
    <row r="26" spans="1:29" ht="15" customHeight="1" thickBot="1" x14ac:dyDescent="0.25">
      <c r="A26" s="50">
        <f>'Weekly Plan'!F39</f>
        <v>708400956</v>
      </c>
      <c r="B26" s="51" t="s">
        <v>79</v>
      </c>
      <c r="C26" s="52" t="str">
        <f>'Weekly Plan'!G39</f>
        <v>New LH Console Panel</v>
      </c>
      <c r="D26" s="53" t="str">
        <f>IF('Weekly Plan'!H39=0,"",'Weekly Plan'!H39)</f>
        <v/>
      </c>
      <c r="E26" s="97">
        <f>'Weekly Plan'!A39</f>
        <v>2</v>
      </c>
      <c r="F26" s="97">
        <f t="shared" si="6"/>
        <v>0</v>
      </c>
      <c r="G26" s="50">
        <f>'Weekly Plan'!F26</f>
        <v>708200401</v>
      </c>
      <c r="H26" s="88" t="s">
        <v>261</v>
      </c>
      <c r="I26" s="52" t="str">
        <f>'Weekly Plan'!G26</f>
        <v>LH Vent Panel</v>
      </c>
      <c r="J26" s="53" t="str">
        <f>IF('Weekly Plan'!H26=0,"",'Weekly Plan'!H26)</f>
        <v/>
      </c>
      <c r="K26" s="97">
        <f>'Weekly Plan'!A26</f>
        <v>2</v>
      </c>
      <c r="L26" s="97">
        <f t="shared" si="3"/>
        <v>0</v>
      </c>
      <c r="M26" s="56">
        <f>'Weekly Plan'!F92</f>
        <v>0</v>
      </c>
      <c r="N26" s="57">
        <f>'Weekly Plan'!G92</f>
        <v>0</v>
      </c>
      <c r="O26" s="58" t="str">
        <f>IF('Weekly Plan'!H92=0,"",'Weekly Plan'!H92)</f>
        <v/>
      </c>
      <c r="P26" s="4">
        <f>'Weekly Plan'!A92</f>
        <v>0</v>
      </c>
      <c r="Q26" s="4">
        <f t="shared" si="7"/>
        <v>0</v>
      </c>
      <c r="R26" s="4"/>
      <c r="AC26" s="4">
        <v>1</v>
      </c>
    </row>
    <row r="27" spans="1:29" ht="15" customHeight="1" thickBot="1" x14ac:dyDescent="0.25">
      <c r="A27" s="50">
        <f>'Weekly Plan'!F40</f>
        <v>708400957</v>
      </c>
      <c r="B27" s="51" t="s">
        <v>79</v>
      </c>
      <c r="C27" s="52" t="str">
        <f>'Weekly Plan'!G40</f>
        <v>New RH Console Panel</v>
      </c>
      <c r="D27" s="53" t="str">
        <f>IF('Weekly Plan'!H40=0,"",'Weekly Plan'!H40)</f>
        <v/>
      </c>
      <c r="E27" s="97">
        <f>'Weekly Plan'!A40</f>
        <v>2</v>
      </c>
      <c r="F27" s="97">
        <f t="shared" si="6"/>
        <v>0</v>
      </c>
      <c r="G27" s="50">
        <f>'Weekly Plan'!F27</f>
        <v>708200402</v>
      </c>
      <c r="H27" s="88" t="s">
        <v>261</v>
      </c>
      <c r="I27" s="52" t="str">
        <f>'Weekly Plan'!G27</f>
        <v>RH Vent Panel</v>
      </c>
      <c r="J27" s="53" t="str">
        <f>IF('Weekly Plan'!H27=0,"",'Weekly Plan'!H27)</f>
        <v/>
      </c>
      <c r="K27" s="97">
        <f>'Weekly Plan'!A27</f>
        <v>2</v>
      </c>
      <c r="L27" s="97">
        <f t="shared" si="3"/>
        <v>0</v>
      </c>
      <c r="M27" s="65"/>
      <c r="N27" s="65"/>
      <c r="O27" s="65"/>
      <c r="P27" s="4">
        <f>'Weekly Plan'!A93</f>
        <v>0</v>
      </c>
      <c r="Q27" s="4"/>
      <c r="AC27" s="2">
        <v>1</v>
      </c>
    </row>
    <row r="28" spans="1:29" ht="15" customHeight="1" x14ac:dyDescent="0.2">
      <c r="A28" s="50">
        <f>'Weekly Plan'!F41</f>
        <v>708400722</v>
      </c>
      <c r="B28" s="51" t="s">
        <v>79</v>
      </c>
      <c r="C28" s="52" t="str">
        <f>'Weekly Plan'!G41</f>
        <v>New Nose Fairing</v>
      </c>
      <c r="D28" s="53" t="str">
        <f>IF('Weekly Plan'!H41=0,"",'Weekly Plan'!H41)</f>
        <v/>
      </c>
      <c r="E28" s="97">
        <f>'Weekly Plan'!A41</f>
        <v>2</v>
      </c>
      <c r="F28" s="97">
        <f t="shared" si="6"/>
        <v>0</v>
      </c>
      <c r="G28" s="50">
        <f>'Weekly Plan'!F28</f>
        <v>708200698</v>
      </c>
      <c r="H28" s="88" t="s">
        <v>261</v>
      </c>
      <c r="I28" s="52" t="str">
        <f>'Weekly Plan'!G28</f>
        <v>Fascia</v>
      </c>
      <c r="J28" s="53" t="str">
        <f>IF('Weekly Plan'!H28=0,"",'Weekly Plan'!H28)</f>
        <v/>
      </c>
      <c r="K28" s="97">
        <f>'Weekly Plan'!A28</f>
        <v>1</v>
      </c>
      <c r="L28" s="97">
        <f t="shared" si="3"/>
        <v>0</v>
      </c>
      <c r="M28" s="138" t="s">
        <v>209</v>
      </c>
      <c r="N28" s="139"/>
      <c r="O28" s="140"/>
      <c r="P28" s="4">
        <f>'Weekly Plan'!A94</f>
        <v>2</v>
      </c>
      <c r="Q28" s="4"/>
      <c r="AC28" s="2">
        <v>2</v>
      </c>
    </row>
    <row r="29" spans="1:29" ht="15" customHeight="1" x14ac:dyDescent="0.2">
      <c r="A29" s="50">
        <f>'Weekly Plan'!F42</f>
        <v>708400721</v>
      </c>
      <c r="B29" s="51" t="s">
        <v>79</v>
      </c>
      <c r="C29" s="52" t="str">
        <f>'Weekly Plan'!G42</f>
        <v>New Tail Fairing</v>
      </c>
      <c r="D29" s="53" t="str">
        <f>IF('Weekly Plan'!H42=0,"",'Weekly Plan'!H42)</f>
        <v/>
      </c>
      <c r="E29" s="97">
        <f>'Weekly Plan'!A42</f>
        <v>8</v>
      </c>
      <c r="F29" s="97">
        <f t="shared" si="6"/>
        <v>0</v>
      </c>
      <c r="G29" s="50">
        <f>'Weekly Plan'!F29</f>
        <v>708301214</v>
      </c>
      <c r="H29" s="88" t="s">
        <v>261</v>
      </c>
      <c r="I29" s="52" t="str">
        <f>'Weekly Plan'!G29</f>
        <v>LH Cover</v>
      </c>
      <c r="J29" s="53" t="str">
        <f>IF('Weekly Plan'!H29=0,"",'Weekly Plan'!H29)</f>
        <v/>
      </c>
      <c r="K29" s="97">
        <f>'Weekly Plan'!A29</f>
        <v>1</v>
      </c>
      <c r="L29" s="97">
        <f t="shared" si="3"/>
        <v>0</v>
      </c>
      <c r="M29" s="55">
        <f>'Weekly Plan'!F101</f>
        <v>9929</v>
      </c>
      <c r="N29" s="52" t="str">
        <f>'Weekly Plan'!G101</f>
        <v>MS Applique</v>
      </c>
      <c r="O29" s="53" t="str">
        <f>IF('Weekly Plan'!H101=0,"",'Weekly Plan'!H101)</f>
        <v/>
      </c>
      <c r="P29" s="4">
        <f>'Weekly Plan'!A101</f>
        <v>6</v>
      </c>
      <c r="Q29" s="4">
        <f t="shared" si="7"/>
        <v>0</v>
      </c>
      <c r="R29" s="2">
        <v>21</v>
      </c>
      <c r="AC29" s="2"/>
    </row>
    <row r="30" spans="1:29" ht="15" customHeight="1" x14ac:dyDescent="0.2">
      <c r="A30" s="50">
        <f>'Weekly Plan'!F43</f>
        <v>708400462</v>
      </c>
      <c r="B30" s="51" t="s">
        <v>79</v>
      </c>
      <c r="C30" s="52" t="str">
        <f>'Weekly Plan'!G43</f>
        <v>LH Mirror Shell</v>
      </c>
      <c r="D30" s="53" t="str">
        <f>IF('Weekly Plan'!H43=0,"",'Weekly Plan'!H43)</f>
        <v/>
      </c>
      <c r="E30" s="97">
        <f>'Weekly Plan'!A43</f>
        <v>2</v>
      </c>
      <c r="F30" s="97">
        <f t="shared" si="6"/>
        <v>0</v>
      </c>
      <c r="G30" s="50">
        <f>'Weekly Plan'!F30</f>
        <v>708301215</v>
      </c>
      <c r="H30" s="88" t="s">
        <v>261</v>
      </c>
      <c r="I30" s="52" t="str">
        <f>'Weekly Plan'!G30</f>
        <v>RH Cover</v>
      </c>
      <c r="J30" s="53" t="str">
        <f>IF('Weekly Plan'!H30=0,"",'Weekly Plan'!H30)</f>
        <v/>
      </c>
      <c r="K30" s="97">
        <f>'Weekly Plan'!A30</f>
        <v>1</v>
      </c>
      <c r="L30" s="97">
        <f t="shared" si="3"/>
        <v>0</v>
      </c>
      <c r="M30" s="55">
        <f>'Weekly Plan'!F102</f>
        <v>9931</v>
      </c>
      <c r="N30" s="52" t="str">
        <f>'Weekly Plan'!G102</f>
        <v>MX Applique</v>
      </c>
      <c r="O30" s="53" t="str">
        <f>IF('Weekly Plan'!H102=0,"",'Weekly Plan'!H102)</f>
        <v/>
      </c>
      <c r="P30" s="4">
        <f>'Weekly Plan'!A102</f>
        <v>6</v>
      </c>
      <c r="Q30" s="4">
        <f t="shared" si="7"/>
        <v>0</v>
      </c>
      <c r="R30" s="4"/>
      <c r="S30" s="4"/>
      <c r="AC30" s="4">
        <v>1</v>
      </c>
    </row>
    <row r="31" spans="1:29" ht="15" customHeight="1" x14ac:dyDescent="0.2">
      <c r="A31" s="50">
        <f>'Weekly Plan'!F44</f>
        <v>708400464</v>
      </c>
      <c r="B31" s="51" t="s">
        <v>79</v>
      </c>
      <c r="C31" s="52" t="str">
        <f>'Weekly Plan'!G44</f>
        <v>RH Mirror Shell</v>
      </c>
      <c r="D31" s="53" t="str">
        <f>IF('Weekly Plan'!H44=0,"",'Weekly Plan'!H44)</f>
        <v/>
      </c>
      <c r="E31" s="97">
        <f>'Weekly Plan'!A44</f>
        <v>2</v>
      </c>
      <c r="F31" s="97">
        <f t="shared" ref="F31:F39" si="8">IFERROR(D31/E31,0)</f>
        <v>0</v>
      </c>
      <c r="G31" s="50">
        <f>'Weekly Plan'!F31</f>
        <v>708303800</v>
      </c>
      <c r="H31" s="88" t="s">
        <v>261</v>
      </c>
      <c r="I31" s="52" t="str">
        <f>'Weekly Plan'!G31</f>
        <v>LH F3T Panel</v>
      </c>
      <c r="J31" s="53" t="str">
        <f>IF('Weekly Plan'!H31=0,"",'Weekly Plan'!H31)</f>
        <v/>
      </c>
      <c r="K31" s="97">
        <f>'Weekly Plan'!A31</f>
        <v>4</v>
      </c>
      <c r="L31" s="97">
        <f t="shared" si="3"/>
        <v>0</v>
      </c>
      <c r="M31" s="55">
        <f>'Weekly Plan'!F103</f>
        <v>0</v>
      </c>
      <c r="N31" s="52" t="str">
        <f>'Weekly Plan'!G103</f>
        <v>MS Applique Rework</v>
      </c>
      <c r="O31" s="53" t="str">
        <f>IF('Weekly Plan'!H103=0,"",'Weekly Plan'!H103)</f>
        <v/>
      </c>
      <c r="P31" s="4">
        <f>'Weekly Plan'!A103</f>
        <v>6</v>
      </c>
      <c r="Q31" s="4">
        <f t="shared" si="7"/>
        <v>0</v>
      </c>
      <c r="R31" s="4"/>
      <c r="S31" s="4"/>
      <c r="AC31" s="4">
        <v>1</v>
      </c>
    </row>
    <row r="32" spans="1:29" ht="15" customHeight="1" thickBot="1" x14ac:dyDescent="0.25">
      <c r="A32" s="50">
        <f>'Weekly Plan'!F45</f>
        <v>708400461</v>
      </c>
      <c r="B32" s="51" t="s">
        <v>79</v>
      </c>
      <c r="C32" s="52" t="str">
        <f>'Weekly Plan'!G45</f>
        <v xml:space="preserve">LH Mirror Shell - No Hole </v>
      </c>
      <c r="D32" s="53" t="str">
        <f>IF('Weekly Plan'!H45=0,"",'Weekly Plan'!H45)</f>
        <v/>
      </c>
      <c r="E32" s="97">
        <f>'Weekly Plan'!A45</f>
        <v>2</v>
      </c>
      <c r="F32" s="97">
        <f t="shared" si="8"/>
        <v>0</v>
      </c>
      <c r="G32" s="62">
        <f>'Weekly Plan'!F32</f>
        <v>708303801</v>
      </c>
      <c r="H32" s="95" t="s">
        <v>261</v>
      </c>
      <c r="I32" s="57" t="str">
        <f>'Weekly Plan'!G32</f>
        <v>RH F3T Panel</v>
      </c>
      <c r="J32" s="58" t="str">
        <f>IF('Weekly Plan'!H32=0,"",'Weekly Plan'!H32)</f>
        <v/>
      </c>
      <c r="K32" s="97">
        <f>'Weekly Plan'!A32</f>
        <v>4</v>
      </c>
      <c r="L32" s="97">
        <f t="shared" si="3"/>
        <v>0</v>
      </c>
      <c r="M32" s="56">
        <f>'Weekly Plan'!F104</f>
        <v>0</v>
      </c>
      <c r="N32" s="57" t="str">
        <f>'Weekly Plan'!G104</f>
        <v>MX Applique Rework</v>
      </c>
      <c r="O32" s="58" t="str">
        <f>IF('Weekly Plan'!H104=0,"",'Weekly Plan'!H104)</f>
        <v/>
      </c>
      <c r="P32" s="4">
        <f>'Weekly Plan'!A104</f>
        <v>6</v>
      </c>
      <c r="Q32" s="4">
        <f t="shared" si="7"/>
        <v>0</v>
      </c>
      <c r="R32" s="4"/>
      <c r="S32" s="4"/>
      <c r="AC32" s="4">
        <v>1</v>
      </c>
    </row>
    <row r="33" spans="1:29" ht="15" customHeight="1" x14ac:dyDescent="0.2">
      <c r="A33" s="50">
        <f>'Weekly Plan'!F46</f>
        <v>708400463</v>
      </c>
      <c r="B33" s="51" t="s">
        <v>79</v>
      </c>
      <c r="C33" s="52" t="str">
        <f>'Weekly Plan'!G46</f>
        <v xml:space="preserve">RH Mirror Shell - No Hole </v>
      </c>
      <c r="D33" s="53" t="str">
        <f>IF('Weekly Plan'!H46=0,"",'Weekly Plan'!H46)</f>
        <v/>
      </c>
      <c r="E33" s="97">
        <f>'Weekly Plan'!A46</f>
        <v>2</v>
      </c>
      <c r="F33" s="97">
        <f t="shared" si="8"/>
        <v>0</v>
      </c>
      <c r="K33" s="97">
        <f>'Weekly Plan'!A33</f>
        <v>0</v>
      </c>
      <c r="L33" s="97">
        <f t="shared" si="3"/>
        <v>0</v>
      </c>
      <c r="M33" s="65"/>
      <c r="N33" s="65"/>
      <c r="O33" s="65"/>
      <c r="Q33" s="4"/>
      <c r="R33" s="4"/>
      <c r="S33" s="4"/>
      <c r="AC33" s="4">
        <v>1</v>
      </c>
    </row>
    <row r="34" spans="1:29" ht="15" customHeight="1" thickBot="1" x14ac:dyDescent="0.25">
      <c r="A34" s="50">
        <f>'Weekly Plan'!F47</f>
        <v>705012976</v>
      </c>
      <c r="B34" s="51" t="s">
        <v>79</v>
      </c>
      <c r="C34" s="52" t="str">
        <f>'Weekly Plan'!G47</f>
        <v>LH Fender</v>
      </c>
      <c r="D34" s="53" t="str">
        <f>IF('Weekly Plan'!H47=0,"",'Weekly Plan'!H47)</f>
        <v/>
      </c>
      <c r="E34" s="97">
        <f>'Weekly Plan'!A47</f>
        <v>2</v>
      </c>
      <c r="F34" s="97">
        <f t="shared" si="8"/>
        <v>0</v>
      </c>
      <c r="K34" s="97"/>
      <c r="L34" s="97"/>
      <c r="M34" s="65"/>
      <c r="N34" s="65"/>
      <c r="O34" s="65"/>
      <c r="R34" s="4"/>
      <c r="S34" s="4"/>
      <c r="AC34" s="4">
        <v>2</v>
      </c>
    </row>
    <row r="35" spans="1:29" ht="15" customHeight="1" x14ac:dyDescent="0.2">
      <c r="A35" s="50">
        <f>'Weekly Plan'!F48</f>
        <v>705012868</v>
      </c>
      <c r="B35" s="51" t="s">
        <v>79</v>
      </c>
      <c r="C35" s="52" t="str">
        <f>'Weekly Plan'!G48</f>
        <v>RH Fender</v>
      </c>
      <c r="D35" s="53" t="str">
        <f>IF('Weekly Plan'!H48=0,"",'Weekly Plan'!H48)</f>
        <v/>
      </c>
      <c r="E35" s="97">
        <f>'Weekly Plan'!A48</f>
        <v>2</v>
      </c>
      <c r="F35" s="97">
        <f t="shared" si="8"/>
        <v>0</v>
      </c>
      <c r="G35" s="153" t="s">
        <v>81</v>
      </c>
      <c r="H35" s="154"/>
      <c r="I35" s="154"/>
      <c r="J35" s="155"/>
      <c r="K35" s="97"/>
      <c r="L35" s="97"/>
      <c r="M35" s="89" t="s">
        <v>15</v>
      </c>
      <c r="N35" s="89" t="s">
        <v>16</v>
      </c>
      <c r="O35" s="65"/>
      <c r="R35" s="4">
        <v>4</v>
      </c>
      <c r="S35" s="4"/>
      <c r="AC35" s="4">
        <v>1</v>
      </c>
    </row>
    <row r="36" spans="1:29" ht="15" customHeight="1" x14ac:dyDescent="0.2">
      <c r="A36" s="50">
        <f>'Weekly Plan'!F49</f>
        <v>705011169</v>
      </c>
      <c r="B36" s="51" t="s">
        <v>79</v>
      </c>
      <c r="C36" s="52" t="str">
        <f>'Weekly Plan'!G49</f>
        <v>LH Scoop</v>
      </c>
      <c r="D36" s="53" t="str">
        <f>IF('Weekly Plan'!H49=0,"",'Weekly Plan'!H49)</f>
        <v/>
      </c>
      <c r="E36" s="97">
        <f>'Weekly Plan'!A49</f>
        <v>2</v>
      </c>
      <c r="F36" s="97">
        <f t="shared" si="8"/>
        <v>0</v>
      </c>
      <c r="G36" s="156"/>
      <c r="H36" s="157"/>
      <c r="I36" s="157"/>
      <c r="J36" s="158"/>
      <c r="K36" s="97"/>
      <c r="L36" s="97"/>
      <c r="M36" s="66" t="str">
        <f>A4</f>
        <v>Hyper Silver</v>
      </c>
      <c r="N36" s="67">
        <f>SUM(F5:F18)</f>
        <v>0</v>
      </c>
      <c r="O36" s="68"/>
      <c r="Q36" s="4"/>
      <c r="R36" s="4">
        <v>2</v>
      </c>
      <c r="S36" s="4"/>
      <c r="AC36" s="4">
        <v>1</v>
      </c>
    </row>
    <row r="37" spans="1:29" ht="15" customHeight="1" x14ac:dyDescent="0.2">
      <c r="A37" s="50">
        <f>'Weekly Plan'!F50</f>
        <v>705011170</v>
      </c>
      <c r="B37" s="51" t="s">
        <v>79</v>
      </c>
      <c r="C37" s="52" t="str">
        <f>'Weekly Plan'!G50</f>
        <v>RH Scoop</v>
      </c>
      <c r="D37" s="53" t="str">
        <f>IF('Weekly Plan'!H50=0,"",'Weekly Plan'!H50)</f>
        <v/>
      </c>
      <c r="E37" s="97">
        <f>'Weekly Plan'!A50</f>
        <v>2</v>
      </c>
      <c r="F37" s="97">
        <f t="shared" si="8"/>
        <v>0</v>
      </c>
      <c r="G37" s="159"/>
      <c r="H37" s="160"/>
      <c r="I37" s="160"/>
      <c r="J37" s="161"/>
      <c r="K37" s="97"/>
      <c r="L37" s="97"/>
      <c r="M37" s="66" t="str">
        <f>A20</f>
        <v>Deep Black</v>
      </c>
      <c r="N37" s="67">
        <f>SUM(F21:F39)</f>
        <v>0</v>
      </c>
      <c r="O37" s="68"/>
      <c r="Q37" s="4"/>
      <c r="R37" s="4"/>
      <c r="S37" s="4"/>
      <c r="AC37" s="4">
        <v>1</v>
      </c>
    </row>
    <row r="38" spans="1:29" ht="15" customHeight="1" x14ac:dyDescent="0.2">
      <c r="A38" s="50">
        <f>'Weekly Plan'!F51</f>
        <v>708400261</v>
      </c>
      <c r="B38" s="51" t="s">
        <v>79</v>
      </c>
      <c r="C38" s="52" t="str">
        <f>'Weekly Plan'!G51</f>
        <v>LH Access Panel</v>
      </c>
      <c r="D38" s="53" t="str">
        <f>IF('Weekly Plan'!H51=0,"",'Weekly Plan'!H51)</f>
        <v/>
      </c>
      <c r="E38" s="97">
        <f>'Weekly Plan'!A51</f>
        <v>3</v>
      </c>
      <c r="F38" s="97">
        <f t="shared" si="8"/>
        <v>0</v>
      </c>
      <c r="G38" s="159"/>
      <c r="H38" s="160"/>
      <c r="I38" s="160"/>
      <c r="J38" s="161"/>
      <c r="K38" s="97"/>
      <c r="L38" s="97"/>
      <c r="M38" s="66" t="str">
        <f>G18</f>
        <v>British Green</v>
      </c>
      <c r="N38" s="67">
        <f>SUM(L19:L32)</f>
        <v>0</v>
      </c>
      <c r="O38" s="68"/>
      <c r="Q38" s="4"/>
      <c r="R38" s="4">
        <v>1</v>
      </c>
      <c r="S38" s="4"/>
      <c r="AC38" s="4">
        <v>1</v>
      </c>
    </row>
    <row r="39" spans="1:29" ht="15" customHeight="1" thickBot="1" x14ac:dyDescent="0.25">
      <c r="A39" s="62">
        <f>'Weekly Plan'!F52</f>
        <v>708400262</v>
      </c>
      <c r="B39" s="63" t="s">
        <v>79</v>
      </c>
      <c r="C39" s="57" t="str">
        <f>'Weekly Plan'!G52</f>
        <v>RH Access Panel</v>
      </c>
      <c r="D39" s="58" t="str">
        <f>IF('Weekly Plan'!H52=0,"",'Weekly Plan'!H52)</f>
        <v/>
      </c>
      <c r="E39" s="97">
        <f>'Weekly Plan'!A52</f>
        <v>3</v>
      </c>
      <c r="F39" s="97">
        <f t="shared" si="8"/>
        <v>0</v>
      </c>
      <c r="G39" s="159"/>
      <c r="H39" s="160"/>
      <c r="I39" s="160"/>
      <c r="J39" s="161"/>
      <c r="K39" s="97"/>
      <c r="L39" s="97"/>
      <c r="M39" s="66" t="str">
        <f>A44</f>
        <v>Vegas White</v>
      </c>
      <c r="N39" s="67">
        <f>SUM(F45:F56)</f>
        <v>0</v>
      </c>
      <c r="O39" s="65"/>
      <c r="Q39" s="4"/>
      <c r="R39" s="4"/>
      <c r="S39" s="4"/>
      <c r="AC39" s="4">
        <v>4</v>
      </c>
    </row>
    <row r="40" spans="1:29" ht="15" customHeight="1" x14ac:dyDescent="0.2">
      <c r="A40" s="92"/>
      <c r="B40" s="92"/>
      <c r="C40" s="64"/>
      <c r="D40" s="64" t="str">
        <f>IF('Weekly Plan'!H52=0,"",'Weekly Plan'!H52)</f>
        <v/>
      </c>
      <c r="E40" s="97">
        <f>'Weekly Plan'!A53</f>
        <v>0</v>
      </c>
      <c r="F40" s="97">
        <f t="shared" ref="F40:F41" si="9">IFERROR(D41/E40,0)</f>
        <v>0</v>
      </c>
      <c r="G40" s="159"/>
      <c r="H40" s="160"/>
      <c r="I40" s="160"/>
      <c r="J40" s="161"/>
      <c r="K40" s="99"/>
      <c r="L40" s="99"/>
      <c r="M40" s="66" t="str">
        <f>G4</f>
        <v>Black - Laval</v>
      </c>
      <c r="N40" s="67">
        <f>SUM(L5:L10)</f>
        <v>0</v>
      </c>
      <c r="O40" s="65"/>
      <c r="R40" s="4">
        <v>4</v>
      </c>
      <c r="S40" s="4"/>
      <c r="AC40" s="4">
        <v>2</v>
      </c>
    </row>
    <row r="41" spans="1:29" ht="17.25" customHeight="1" x14ac:dyDescent="0.2">
      <c r="A41" s="92"/>
      <c r="B41" s="92"/>
      <c r="C41" s="64"/>
      <c r="D41" s="64" t="str">
        <f>IF('Weekly Plan'!H53=0,"",'Weekly Plan'!H53)</f>
        <v/>
      </c>
      <c r="E41" s="97">
        <f>'Weekly Plan'!A54</f>
        <v>0</v>
      </c>
      <c r="F41" s="97">
        <f t="shared" si="9"/>
        <v>0</v>
      </c>
      <c r="G41" s="159"/>
      <c r="H41" s="160"/>
      <c r="I41" s="160"/>
      <c r="J41" s="161"/>
      <c r="K41" s="97"/>
      <c r="L41" s="97"/>
      <c r="M41" s="66" t="str">
        <f>G12</f>
        <v>Summit White - Laval</v>
      </c>
      <c r="N41" s="67">
        <f>SUM(L13:L16)</f>
        <v>0</v>
      </c>
      <c r="O41" s="65"/>
      <c r="R41" s="4">
        <v>2</v>
      </c>
      <c r="S41" s="4"/>
      <c r="AC41" s="4">
        <v>1</v>
      </c>
    </row>
    <row r="42" spans="1:29" ht="15" customHeight="1" x14ac:dyDescent="0.2">
      <c r="A42" s="92"/>
      <c r="B42" s="92"/>
      <c r="C42" s="64"/>
      <c r="D42" s="64" t="str">
        <f>IF('Weekly Plan'!H54=0,"",'Weekly Plan'!H54)</f>
        <v/>
      </c>
      <c r="E42" s="97"/>
      <c r="F42" s="97"/>
      <c r="G42" s="159"/>
      <c r="H42" s="160"/>
      <c r="I42" s="160"/>
      <c r="J42" s="161"/>
      <c r="K42" s="97"/>
      <c r="L42" s="97"/>
      <c r="M42" s="66" t="str">
        <f>M4</f>
        <v>Mitchell Plastics</v>
      </c>
      <c r="N42" s="67">
        <f>SUM(Q5:Q10)</f>
        <v>0</v>
      </c>
      <c r="O42" s="65"/>
      <c r="R42" s="2">
        <v>1</v>
      </c>
      <c r="AC42" s="2">
        <v>4</v>
      </c>
    </row>
    <row r="43" spans="1:29" ht="15" customHeight="1" thickBot="1" x14ac:dyDescent="0.25">
      <c r="A43" s="64"/>
      <c r="B43" s="64"/>
      <c r="C43" s="64"/>
      <c r="D43" s="64"/>
      <c r="E43" s="97"/>
      <c r="F43" s="97"/>
      <c r="G43" s="78"/>
      <c r="H43" s="79"/>
      <c r="I43" s="79"/>
      <c r="J43" s="80"/>
      <c r="K43" s="97"/>
      <c r="L43" s="97"/>
      <c r="M43" s="66" t="str">
        <f>M12</f>
        <v>Seastar</v>
      </c>
      <c r="N43" s="67">
        <f>SUM(Q13:Q15)</f>
        <v>0</v>
      </c>
      <c r="O43" s="65"/>
      <c r="R43" s="2">
        <v>1</v>
      </c>
      <c r="AC43" s="2">
        <v>2</v>
      </c>
    </row>
    <row r="44" spans="1:29" ht="15" customHeight="1" x14ac:dyDescent="0.2">
      <c r="A44" s="146" t="s">
        <v>12</v>
      </c>
      <c r="B44" s="147"/>
      <c r="C44" s="147"/>
      <c r="D44" s="148"/>
      <c r="E44" s="97">
        <f>'Weekly Plan'!A56</f>
        <v>2</v>
      </c>
      <c r="F44" s="97">
        <f t="shared" ref="F44" si="10">IFERROR(D45/E44,0)</f>
        <v>0</v>
      </c>
      <c r="G44" s="159"/>
      <c r="H44" s="160"/>
      <c r="I44" s="160"/>
      <c r="J44" s="161"/>
      <c r="K44" s="97"/>
      <c r="L44" s="97"/>
      <c r="M44" s="69" t="str">
        <f>M17</f>
        <v>Manterra - Hyper Silver</v>
      </c>
      <c r="N44" s="67">
        <f>SUM(Q18:Q20)</f>
        <v>0</v>
      </c>
      <c r="O44" s="65"/>
      <c r="R44" s="4"/>
      <c r="S44" s="4"/>
      <c r="AC44" s="4">
        <v>1</v>
      </c>
    </row>
    <row r="45" spans="1:29" ht="15" customHeight="1" x14ac:dyDescent="0.2">
      <c r="A45" s="55">
        <f>'Weekly Plan'!F56</f>
        <v>705009213</v>
      </c>
      <c r="B45" s="52" t="s">
        <v>12</v>
      </c>
      <c r="C45" s="52" t="str">
        <f>'Weekly Plan'!G56</f>
        <v>LH F3T Low Fairing</v>
      </c>
      <c r="D45" s="53" t="str">
        <f>IF('Weekly Plan'!H56=0,"",'Weekly Plan'!H56)</f>
        <v/>
      </c>
      <c r="E45" s="97">
        <f>'Weekly Plan'!A56</f>
        <v>2</v>
      </c>
      <c r="F45" s="97">
        <f>IFERROR(D45/E45,0)</f>
        <v>0</v>
      </c>
      <c r="G45" s="159"/>
      <c r="H45" s="160"/>
      <c r="I45" s="160"/>
      <c r="J45" s="161"/>
      <c r="K45" s="97"/>
      <c r="L45" s="97"/>
      <c r="M45" s="69" t="str">
        <f>M22</f>
        <v>Falcon Lakeside Hyper Silver</v>
      </c>
      <c r="N45" s="67">
        <f>SUM(Q23:Q26)</f>
        <v>0</v>
      </c>
      <c r="O45" s="65"/>
      <c r="R45" s="4"/>
      <c r="S45" s="4"/>
      <c r="AC45" s="4">
        <v>1</v>
      </c>
    </row>
    <row r="46" spans="1:29" ht="15" customHeight="1" x14ac:dyDescent="0.2">
      <c r="A46" s="55">
        <f>'Weekly Plan'!F57</f>
        <v>705009214</v>
      </c>
      <c r="B46" s="52" t="s">
        <v>12</v>
      </c>
      <c r="C46" s="52" t="str">
        <f>'Weekly Plan'!G57</f>
        <v>RH F3T Low Fairing</v>
      </c>
      <c r="D46" s="53" t="str">
        <f>IF('Weekly Plan'!H57=0,"",'Weekly Plan'!H57)</f>
        <v/>
      </c>
      <c r="E46" s="97">
        <f>'Weekly Plan'!A57</f>
        <v>2</v>
      </c>
      <c r="F46" s="97">
        <f t="shared" ref="F46:F56" si="11">IFERROR(D46/E46,0)</f>
        <v>0</v>
      </c>
      <c r="G46" s="159"/>
      <c r="H46" s="160"/>
      <c r="I46" s="160"/>
      <c r="J46" s="161"/>
      <c r="K46" s="97"/>
      <c r="L46" s="97"/>
      <c r="M46" s="69" t="str">
        <f>M28</f>
        <v>Tesla - High Gloss Black</v>
      </c>
      <c r="N46" s="67">
        <f>SUM(Q29:Q32)</f>
        <v>0</v>
      </c>
      <c r="O46" s="65"/>
      <c r="R46" s="4"/>
      <c r="S46" s="4"/>
      <c r="AC46" s="4">
        <v>1</v>
      </c>
    </row>
    <row r="47" spans="1:29" ht="15" customHeight="1" x14ac:dyDescent="0.2">
      <c r="A47" s="55">
        <f>'Weekly Plan'!F58</f>
        <v>705010835</v>
      </c>
      <c r="B47" s="52" t="s">
        <v>12</v>
      </c>
      <c r="C47" s="52" t="str">
        <f>'Weekly Plan'!G58</f>
        <v>RH Fairing</v>
      </c>
      <c r="D47" s="53" t="str">
        <f>IF('Weekly Plan'!H58=0,"",'Weekly Plan'!H58)</f>
        <v/>
      </c>
      <c r="E47" s="97">
        <f>'Weekly Plan'!A58</f>
        <v>1</v>
      </c>
      <c r="F47" s="97">
        <f t="shared" si="11"/>
        <v>0</v>
      </c>
      <c r="G47" s="159"/>
      <c r="H47" s="160"/>
      <c r="I47" s="160"/>
      <c r="J47" s="161"/>
      <c r="K47" s="97"/>
      <c r="L47" s="97"/>
      <c r="M47" s="66"/>
      <c r="N47" s="67"/>
      <c r="O47" s="65"/>
      <c r="R47" s="4"/>
      <c r="S47" s="4"/>
      <c r="AC47" s="4">
        <v>4</v>
      </c>
    </row>
    <row r="48" spans="1:29" ht="15" customHeight="1" x14ac:dyDescent="0.2">
      <c r="A48" s="55">
        <f>'Weekly Plan'!F59</f>
        <v>705010851</v>
      </c>
      <c r="B48" s="52" t="s">
        <v>12</v>
      </c>
      <c r="C48" s="52" t="str">
        <f>'Weekly Plan'!G59</f>
        <v>LH Fairing</v>
      </c>
      <c r="D48" s="53" t="str">
        <f>IF('Weekly Plan'!H59=0,"",'Weekly Plan'!H59)</f>
        <v/>
      </c>
      <c r="E48" s="97">
        <f>'Weekly Plan'!A59</f>
        <v>1</v>
      </c>
      <c r="F48" s="97">
        <f t="shared" si="11"/>
        <v>0</v>
      </c>
      <c r="G48" s="162"/>
      <c r="H48" s="163"/>
      <c r="I48" s="163"/>
      <c r="J48" s="164"/>
      <c r="K48" s="97"/>
      <c r="L48" s="97"/>
      <c r="M48" s="66"/>
      <c r="N48" s="67"/>
      <c r="O48" s="65"/>
      <c r="AC48" s="2">
        <v>2</v>
      </c>
    </row>
    <row r="49" spans="1:29" ht="15" customHeight="1" x14ac:dyDescent="0.2">
      <c r="A49" s="55">
        <f>'Weekly Plan'!F60</f>
        <v>705012976</v>
      </c>
      <c r="B49" s="52" t="s">
        <v>12</v>
      </c>
      <c r="C49" s="52" t="str">
        <f>'Weekly Plan'!G60</f>
        <v>LH Fender</v>
      </c>
      <c r="D49" s="53" t="str">
        <f>IF('Weekly Plan'!H60=0,"",'Weekly Plan'!H60)</f>
        <v/>
      </c>
      <c r="E49" s="97">
        <f>'Weekly Plan'!A60</f>
        <v>2</v>
      </c>
      <c r="F49" s="97">
        <f t="shared" si="11"/>
        <v>0</v>
      </c>
      <c r="G49" s="165"/>
      <c r="H49" s="163"/>
      <c r="I49" s="163"/>
      <c r="J49" s="164"/>
      <c r="K49" s="97"/>
      <c r="L49" s="97"/>
      <c r="M49" s="66"/>
      <c r="N49" s="67"/>
      <c r="O49" s="65"/>
      <c r="AC49" s="2">
        <v>1</v>
      </c>
    </row>
    <row r="50" spans="1:29" ht="15" customHeight="1" x14ac:dyDescent="0.25">
      <c r="A50" s="55">
        <f>'Weekly Plan'!F61</f>
        <v>705012868</v>
      </c>
      <c r="B50" s="52" t="s">
        <v>12</v>
      </c>
      <c r="C50" s="52" t="str">
        <f>'Weekly Plan'!G61</f>
        <v>RH Fender</v>
      </c>
      <c r="D50" s="53" t="str">
        <f>IF('Weekly Plan'!H61=0,"",'Weekly Plan'!H61)</f>
        <v/>
      </c>
      <c r="E50" s="97">
        <f>'Weekly Plan'!A61</f>
        <v>2</v>
      </c>
      <c r="F50" s="97">
        <f t="shared" si="11"/>
        <v>0</v>
      </c>
      <c r="G50" s="165"/>
      <c r="H50" s="163"/>
      <c r="I50" s="163"/>
      <c r="J50" s="164"/>
      <c r="K50" s="97"/>
      <c r="L50" s="97"/>
      <c r="M50" s="71" t="s">
        <v>165</v>
      </c>
      <c r="N50" s="70">
        <f>SUM(N36:N49)</f>
        <v>0</v>
      </c>
      <c r="O50" s="65"/>
      <c r="R50" s="4"/>
      <c r="S50" s="4"/>
      <c r="AC50" s="4">
        <v>1</v>
      </c>
    </row>
    <row r="51" spans="1:29" ht="15" customHeight="1" x14ac:dyDescent="0.25">
      <c r="A51" s="55">
        <f>'Weekly Plan'!F62</f>
        <v>708200366</v>
      </c>
      <c r="B51" s="52" t="s">
        <v>12</v>
      </c>
      <c r="C51" s="52" t="str">
        <f>'Weekly Plan'!G62</f>
        <v>Hood</v>
      </c>
      <c r="D51" s="53" t="str">
        <f>IF('Weekly Plan'!H62=0,"",'Weekly Plan'!H62)</f>
        <v/>
      </c>
      <c r="E51" s="97">
        <f>'Weekly Plan'!A62</f>
        <v>1</v>
      </c>
      <c r="F51" s="97">
        <f t="shared" si="11"/>
        <v>0</v>
      </c>
      <c r="G51" s="165"/>
      <c r="H51" s="163"/>
      <c r="I51" s="163"/>
      <c r="J51" s="164"/>
      <c r="K51" s="97"/>
      <c r="L51" s="97"/>
      <c r="M51" s="71"/>
      <c r="N51" s="71"/>
      <c r="O51" s="65"/>
      <c r="R51" s="4"/>
      <c r="S51" s="4"/>
      <c r="AC51" s="4">
        <v>4</v>
      </c>
    </row>
    <row r="52" spans="1:29" ht="15" customHeight="1" x14ac:dyDescent="0.2">
      <c r="A52" s="55">
        <f>'Weekly Plan'!F63</f>
        <v>708200401</v>
      </c>
      <c r="B52" s="52" t="s">
        <v>12</v>
      </c>
      <c r="C52" s="52" t="str">
        <f>'Weekly Plan'!G63</f>
        <v>LH Vent Panel</v>
      </c>
      <c r="D52" s="53" t="str">
        <f>IF('Weekly Plan'!H63=0,"",'Weekly Plan'!H63)</f>
        <v/>
      </c>
      <c r="E52" s="97">
        <f>'Weekly Plan'!A63</f>
        <v>2</v>
      </c>
      <c r="F52" s="97">
        <f t="shared" si="11"/>
        <v>0</v>
      </c>
      <c r="G52" s="165"/>
      <c r="H52" s="163"/>
      <c r="I52" s="163"/>
      <c r="J52" s="164"/>
      <c r="K52" s="97"/>
      <c r="L52" s="97"/>
      <c r="M52" s="66" t="s">
        <v>17</v>
      </c>
      <c r="N52" s="66">
        <f>(COUNTIF(N36:N49, "&gt;0")-1)*(IF(N50&gt;0, 12, 0))</f>
        <v>0</v>
      </c>
      <c r="O52" s="65"/>
      <c r="R52" s="4"/>
      <c r="S52" s="4"/>
      <c r="AC52" s="4">
        <v>2</v>
      </c>
    </row>
    <row r="53" spans="1:29" ht="15" customHeight="1" x14ac:dyDescent="0.2">
      <c r="A53" s="55">
        <f>'Weekly Plan'!F64</f>
        <v>708200402</v>
      </c>
      <c r="B53" s="52" t="s">
        <v>12</v>
      </c>
      <c r="C53" s="52" t="str">
        <f>'Weekly Plan'!G64</f>
        <v>RH Vent Panel</v>
      </c>
      <c r="D53" s="53" t="str">
        <f>IF('Weekly Plan'!H64=0,"",'Weekly Plan'!H64)</f>
        <v/>
      </c>
      <c r="E53" s="97">
        <f>'Weekly Plan'!A64</f>
        <v>2</v>
      </c>
      <c r="F53" s="97">
        <f t="shared" si="11"/>
        <v>0</v>
      </c>
      <c r="G53" s="165"/>
      <c r="H53" s="163"/>
      <c r="I53" s="163"/>
      <c r="J53" s="164"/>
      <c r="K53" s="97"/>
      <c r="L53" s="97"/>
      <c r="M53" s="169"/>
      <c r="N53" s="170"/>
      <c r="O53" s="65"/>
      <c r="R53" s="4"/>
      <c r="S53" s="4"/>
      <c r="AC53" s="4">
        <v>1</v>
      </c>
    </row>
    <row r="54" spans="1:29" ht="15" customHeight="1" x14ac:dyDescent="0.25">
      <c r="A54" s="55">
        <f>'Weekly Plan'!F65</f>
        <v>708200698</v>
      </c>
      <c r="B54" s="52" t="s">
        <v>12</v>
      </c>
      <c r="C54" s="52" t="str">
        <f>'Weekly Plan'!G65</f>
        <v>Fascia</v>
      </c>
      <c r="D54" s="53" t="str">
        <f>IF('Weekly Plan'!H65=0,"",'Weekly Plan'!H65)</f>
        <v/>
      </c>
      <c r="E54" s="97">
        <f>'Weekly Plan'!A65</f>
        <v>1</v>
      </c>
      <c r="F54" s="97">
        <f t="shared" si="11"/>
        <v>0</v>
      </c>
      <c r="G54" s="165"/>
      <c r="H54" s="163"/>
      <c r="I54" s="163"/>
      <c r="J54" s="164"/>
      <c r="K54" s="97"/>
      <c r="L54" s="97"/>
      <c r="M54" s="72" t="s">
        <v>18</v>
      </c>
      <c r="N54" s="73">
        <f>(N50+N52)/60</f>
        <v>0</v>
      </c>
      <c r="O54" s="65"/>
      <c r="AC54" s="2">
        <v>4</v>
      </c>
    </row>
    <row r="55" spans="1:29" ht="15" customHeight="1" thickBot="1" x14ac:dyDescent="0.25">
      <c r="A55" s="55">
        <f>'Weekly Plan'!F66</f>
        <v>708301214</v>
      </c>
      <c r="B55" s="52" t="s">
        <v>12</v>
      </c>
      <c r="C55" s="52" t="str">
        <f>'Weekly Plan'!G66</f>
        <v>LH Cover</v>
      </c>
      <c r="D55" s="53" t="str">
        <f>IF('Weekly Plan'!H66=0,"",'Weekly Plan'!H66)</f>
        <v/>
      </c>
      <c r="E55" s="97">
        <f>'Weekly Plan'!A66</f>
        <v>1</v>
      </c>
      <c r="F55" s="97">
        <f t="shared" si="11"/>
        <v>0</v>
      </c>
      <c r="G55" s="166"/>
      <c r="H55" s="167"/>
      <c r="I55" s="167"/>
      <c r="J55" s="168"/>
      <c r="K55" s="97"/>
      <c r="L55" s="97"/>
      <c r="M55" s="65"/>
      <c r="N55" s="65"/>
      <c r="O55" s="65"/>
      <c r="AC55" s="2">
        <v>2</v>
      </c>
    </row>
    <row r="56" spans="1:29" ht="13.5" customHeight="1" thickBot="1" x14ac:dyDescent="0.25">
      <c r="A56" s="56">
        <f>'Weekly Plan'!F67</f>
        <v>708301215</v>
      </c>
      <c r="B56" s="57" t="s">
        <v>12</v>
      </c>
      <c r="C56" s="57" t="str">
        <f>'Weekly Plan'!G67</f>
        <v>RH Cover</v>
      </c>
      <c r="D56" s="58" t="str">
        <f>IF('Weekly Plan'!H67=0,"",'Weekly Plan'!H67)</f>
        <v/>
      </c>
      <c r="E56" s="97">
        <f>'Weekly Plan'!A67</f>
        <v>1</v>
      </c>
      <c r="F56" s="97">
        <f t="shared" si="11"/>
        <v>0</v>
      </c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22">
    <mergeCell ref="G48:J51"/>
    <mergeCell ref="G52:J55"/>
    <mergeCell ref="M17:O17"/>
    <mergeCell ref="M22:O22"/>
    <mergeCell ref="M28:O28"/>
    <mergeCell ref="M53:N53"/>
    <mergeCell ref="A44:D44"/>
    <mergeCell ref="A20:D20"/>
    <mergeCell ref="G35:J35"/>
    <mergeCell ref="G36:J42"/>
    <mergeCell ref="G18:J18"/>
    <mergeCell ref="G44:J47"/>
    <mergeCell ref="M12:O12"/>
    <mergeCell ref="N1:O1"/>
    <mergeCell ref="C2:P3"/>
    <mergeCell ref="A4:D4"/>
    <mergeCell ref="G4:J4"/>
    <mergeCell ref="M4:O4"/>
    <mergeCell ref="A2:A3"/>
    <mergeCell ref="D1:I1"/>
    <mergeCell ref="J1:K1"/>
    <mergeCell ref="G12:J12"/>
  </mergeCells>
  <pageMargins left="0.23622047244094491" right="0.23622047244094491" top="0.74803149606299213" bottom="0.74803149606299213" header="0.31496062992125984" footer="0.31496062992125984"/>
  <pageSetup scale="82" orientation="portrait" cellComments="asDisplayed" r:id="rId1"/>
  <headerFooter>
    <oddFooter>&amp;L8.2.2.1.11 103 Schedule Template.xlsx&amp;RCreated: 10/22/21TG
Revised: 05/24/24AS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DB32-4BB8-407C-8085-6952F681A98D}">
  <sheetPr>
    <tabColor rgb="FF92D050"/>
    <pageSetUpPr fitToPage="1"/>
  </sheetPr>
  <dimension ref="A1:AC79"/>
  <sheetViews>
    <sheetView showGridLines="0" zoomScale="85" zoomScaleNormal="85" workbookViewId="0">
      <selection activeCell="T20" sqref="T20"/>
    </sheetView>
  </sheetViews>
  <sheetFormatPr defaultColWidth="9" defaultRowHeight="12.75" x14ac:dyDescent="0.2"/>
  <cols>
    <col min="1" max="1" width="11" style="1" customWidth="1"/>
    <col min="2" max="2" width="9.5703125" style="1" hidden="1" customWidth="1"/>
    <col min="3" max="3" width="20" style="1" customWidth="1"/>
    <col min="4" max="4" width="7" style="1" bestFit="1" customWidth="1"/>
    <col min="5" max="5" width="1.85546875" style="2" customWidth="1"/>
    <col min="6" max="6" width="1.42578125" style="2" customWidth="1"/>
    <col min="7" max="7" width="15.85546875" style="1" bestFit="1" customWidth="1"/>
    <col min="8" max="8" width="7.7109375" style="1" hidden="1" customWidth="1"/>
    <col min="9" max="9" width="21" style="1" bestFit="1" customWidth="1"/>
    <col min="10" max="10" width="4.85546875" style="1" customWidth="1"/>
    <col min="11" max="11" width="2.140625" style="2" customWidth="1"/>
    <col min="12" max="12" width="1.8554687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.85546875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40" t="s">
        <v>262</v>
      </c>
      <c r="B1" s="41"/>
      <c r="C1" s="42"/>
      <c r="D1" s="151"/>
      <c r="E1" s="151"/>
      <c r="F1" s="151"/>
      <c r="G1" s="151"/>
      <c r="H1" s="151"/>
      <c r="I1" s="151"/>
      <c r="J1" s="152" t="s">
        <v>29</v>
      </c>
      <c r="K1" s="152"/>
      <c r="L1" s="98"/>
      <c r="M1" s="43">
        <f>'Weekly Plan'!I1</f>
        <v>45300</v>
      </c>
      <c r="N1" s="141"/>
      <c r="O1" s="141"/>
      <c r="T1" s="8"/>
    </row>
    <row r="2" spans="1:29" s="3" customFormat="1" ht="14.25" customHeight="1" x14ac:dyDescent="0.2">
      <c r="A2" s="149" t="s">
        <v>14</v>
      </c>
      <c r="B2" s="44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0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9" s="3" customFormat="1" ht="14.25" customHeight="1" thickBot="1" x14ac:dyDescent="0.25">
      <c r="A3" s="150"/>
      <c r="B3" s="44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0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9" ht="15" customHeight="1" x14ac:dyDescent="0.2">
      <c r="A4" s="143" t="s">
        <v>54</v>
      </c>
      <c r="B4" s="144"/>
      <c r="C4" s="144"/>
      <c r="D4" s="145"/>
      <c r="E4" s="97"/>
      <c r="F4" s="97"/>
      <c r="G4" s="146" t="s">
        <v>242</v>
      </c>
      <c r="H4" s="147"/>
      <c r="I4" s="147"/>
      <c r="J4" s="148"/>
      <c r="K4" s="97"/>
      <c r="L4" s="97"/>
      <c r="M4" s="138" t="s">
        <v>143</v>
      </c>
      <c r="N4" s="139"/>
      <c r="O4" s="140"/>
      <c r="P4" s="5"/>
      <c r="Q4" s="101"/>
      <c r="R4" s="5"/>
      <c r="W4" s="16"/>
      <c r="X4" s="16"/>
      <c r="Y4" s="16"/>
      <c r="Z4" s="16"/>
      <c r="AA4" s="16"/>
      <c r="AB4" s="16"/>
      <c r="AC4" s="5"/>
    </row>
    <row r="5" spans="1:29" ht="15" customHeight="1" x14ac:dyDescent="0.2">
      <c r="A5" s="50">
        <f>'Weekly Plan'!F4</f>
        <v>705014100</v>
      </c>
      <c r="B5" s="51" t="s">
        <v>54</v>
      </c>
      <c r="C5" s="52" t="str">
        <f>'Weekly Plan'!G4</f>
        <v>LH Upper Fairing</v>
      </c>
      <c r="D5" s="53" t="str">
        <f>IF('Weekly Plan'!I4=0,"",'Weekly Plan'!I4)</f>
        <v/>
      </c>
      <c r="E5" s="97">
        <f>'Weekly Plan'!A4</f>
        <v>2</v>
      </c>
      <c r="F5" s="97">
        <f t="shared" ref="F5:F18" si="0">IFERROR(D5/E5,0)</f>
        <v>0</v>
      </c>
      <c r="G5" s="50">
        <f>'Weekly Plan'!F69</f>
        <v>99944</v>
      </c>
      <c r="H5" s="90" t="s">
        <v>167</v>
      </c>
      <c r="I5" s="50" t="str">
        <f>'Weekly Plan'!G69</f>
        <v>Bezel</v>
      </c>
      <c r="J5" s="54" t="str">
        <f>IF('Weekly Plan'!I69=0,"",'Weekly Plan'!I69)</f>
        <v/>
      </c>
      <c r="K5" s="97">
        <f>'Weekly Plan'!A69</f>
        <v>2</v>
      </c>
      <c r="L5" s="97">
        <f>IFERROR(J5/K5,0)</f>
        <v>0</v>
      </c>
      <c r="M5" s="55">
        <f>'Weekly Plan'!F94</f>
        <v>80931</v>
      </c>
      <c r="N5" s="52" t="str">
        <f>'Weekly Plan'!G94</f>
        <v>Black - LH</v>
      </c>
      <c r="O5" s="53" t="str">
        <f>IF('Weekly Plan'!I94=0,"",'Weekly Plan'!I94)</f>
        <v/>
      </c>
      <c r="P5" s="4">
        <f>'Weekly Plan'!A94</f>
        <v>2</v>
      </c>
      <c r="Q5" s="4">
        <f>IFERROR(O5/P5,0)</f>
        <v>0</v>
      </c>
      <c r="W5" s="9"/>
      <c r="X5" s="9"/>
      <c r="Y5" s="9"/>
      <c r="Z5" s="9"/>
      <c r="AA5" s="9"/>
      <c r="AB5" s="9"/>
      <c r="AC5" s="4">
        <v>3</v>
      </c>
    </row>
    <row r="6" spans="1:29" ht="15" customHeight="1" x14ac:dyDescent="0.2">
      <c r="A6" s="50">
        <f>'Weekly Plan'!F5</f>
        <v>705014101</v>
      </c>
      <c r="B6" s="51" t="s">
        <v>54</v>
      </c>
      <c r="C6" s="52" t="str">
        <f>'Weekly Plan'!G5</f>
        <v>RH Upper Fairing</v>
      </c>
      <c r="D6" s="53" t="str">
        <f>IF('Weekly Plan'!I5=0,"",'Weekly Plan'!I5)</f>
        <v/>
      </c>
      <c r="E6" s="97">
        <f>'Weekly Plan'!A5</f>
        <v>2</v>
      </c>
      <c r="F6" s="97">
        <f t="shared" si="0"/>
        <v>0</v>
      </c>
      <c r="G6" s="50">
        <f>'Weekly Plan'!F70</f>
        <v>99633</v>
      </c>
      <c r="H6" s="90" t="s">
        <v>167</v>
      </c>
      <c r="I6" s="50" t="str">
        <f>'Weekly Plan'!G70</f>
        <v>IR Cover LH</v>
      </c>
      <c r="J6" s="54" t="str">
        <f>IF('Weekly Plan'!I70=0,"",'Weekly Plan'!I70)</f>
        <v/>
      </c>
      <c r="K6" s="97">
        <f>'Weekly Plan'!A70</f>
        <v>20</v>
      </c>
      <c r="L6" s="97">
        <f t="shared" ref="L6:L10" si="1">IFERROR(J6/K6,0)</f>
        <v>0</v>
      </c>
      <c r="M6" s="55">
        <f>'Weekly Plan'!F95</f>
        <v>80930</v>
      </c>
      <c r="N6" s="52" t="str">
        <f>'Weekly Plan'!G95</f>
        <v>Black - RH</v>
      </c>
      <c r="O6" s="53" t="str">
        <f>IF('Weekly Plan'!I95=0,"",'Weekly Plan'!I95)</f>
        <v/>
      </c>
      <c r="P6" s="4">
        <f>'Weekly Plan'!A95</f>
        <v>2</v>
      </c>
      <c r="Q6" s="4">
        <f t="shared" ref="Q6:Q20" si="2">IFERROR(O6/P6,0)</f>
        <v>0</v>
      </c>
      <c r="W6" s="9"/>
      <c r="X6" s="9"/>
      <c r="Y6" s="9"/>
      <c r="Z6" s="9"/>
      <c r="AA6" s="9"/>
      <c r="AB6" s="9"/>
      <c r="AC6" s="4">
        <v>4</v>
      </c>
    </row>
    <row r="7" spans="1:29" ht="15" customHeight="1" x14ac:dyDescent="0.2">
      <c r="A7" s="50">
        <f>'Weekly Plan'!F6</f>
        <v>705012976</v>
      </c>
      <c r="B7" s="51" t="s">
        <v>54</v>
      </c>
      <c r="C7" s="52" t="str">
        <f>'Weekly Plan'!G6</f>
        <v>LH Fender</v>
      </c>
      <c r="D7" s="53" t="str">
        <f>IF('Weekly Plan'!I6=0,"",'Weekly Plan'!I6)</f>
        <v/>
      </c>
      <c r="E7" s="97">
        <f>'Weekly Plan'!A6</f>
        <v>2</v>
      </c>
      <c r="F7" s="97">
        <f t="shared" si="0"/>
        <v>0</v>
      </c>
      <c r="G7" s="50">
        <f>'Weekly Plan'!F71</f>
        <v>99646</v>
      </c>
      <c r="H7" s="90" t="s">
        <v>167</v>
      </c>
      <c r="I7" s="50" t="str">
        <f>'Weekly Plan'!G71</f>
        <v>IR Cover RH</v>
      </c>
      <c r="J7" s="54" t="str">
        <f>IF('Weekly Plan'!I71=0,"",'Weekly Plan'!I71)</f>
        <v/>
      </c>
      <c r="K7" s="97">
        <f>'Weekly Plan'!A71</f>
        <v>20</v>
      </c>
      <c r="L7" s="97">
        <f t="shared" si="1"/>
        <v>0</v>
      </c>
      <c r="M7" s="55">
        <f>'Weekly Plan'!F96</f>
        <v>80933</v>
      </c>
      <c r="N7" s="52" t="str">
        <f>'Weekly Plan'!G96</f>
        <v>Red - LH</v>
      </c>
      <c r="O7" s="53" t="str">
        <f>IF('Weekly Plan'!I96=0,"",'Weekly Plan'!I96)</f>
        <v/>
      </c>
      <c r="P7" s="4">
        <f>'Weekly Plan'!A96</f>
        <v>2</v>
      </c>
      <c r="Q7" s="4">
        <f t="shared" si="2"/>
        <v>0</v>
      </c>
      <c r="W7" s="9"/>
      <c r="X7" s="9"/>
      <c r="Y7" s="9"/>
      <c r="Z7" s="9"/>
      <c r="AA7" s="9"/>
      <c r="AB7" s="9"/>
      <c r="AC7" s="4">
        <v>4</v>
      </c>
    </row>
    <row r="8" spans="1:29" ht="15" customHeight="1" x14ac:dyDescent="0.2">
      <c r="A8" s="50">
        <f>'Weekly Plan'!F7</f>
        <v>705012868</v>
      </c>
      <c r="B8" s="51" t="s">
        <v>54</v>
      </c>
      <c r="C8" s="52" t="str">
        <f>'Weekly Plan'!G7</f>
        <v>RH Fender</v>
      </c>
      <c r="D8" s="53" t="str">
        <f>IF('Weekly Plan'!I7=0,"",'Weekly Plan'!I7)</f>
        <v/>
      </c>
      <c r="E8" s="97">
        <f>'Weekly Plan'!A7</f>
        <v>2</v>
      </c>
      <c r="F8" s="97">
        <f t="shared" si="0"/>
        <v>0</v>
      </c>
      <c r="G8" s="50">
        <f>'Weekly Plan'!F72</f>
        <v>99635</v>
      </c>
      <c r="H8" s="90" t="s">
        <v>167</v>
      </c>
      <c r="I8" s="50" t="str">
        <f>'Weekly Plan'!G72</f>
        <v>Lateral Belt LH</v>
      </c>
      <c r="J8" s="54" t="str">
        <f>IF('Weekly Plan'!I72=0,"",'Weekly Plan'!I72)</f>
        <v/>
      </c>
      <c r="K8" s="97">
        <f>'Weekly Plan'!A72</f>
        <v>6</v>
      </c>
      <c r="L8" s="97">
        <f t="shared" si="1"/>
        <v>0</v>
      </c>
      <c r="M8" s="55">
        <f>'Weekly Plan'!F97</f>
        <v>80932</v>
      </c>
      <c r="N8" s="52" t="str">
        <f>'Weekly Plan'!G97</f>
        <v>Red - RH</v>
      </c>
      <c r="O8" s="53" t="str">
        <f>IF('Weekly Plan'!I97=0,"",'Weekly Plan'!I97)</f>
        <v/>
      </c>
      <c r="P8" s="4">
        <f>'Weekly Plan'!A97</f>
        <v>2</v>
      </c>
      <c r="Q8" s="4">
        <f t="shared" si="2"/>
        <v>0</v>
      </c>
      <c r="R8" s="4"/>
      <c r="W8" s="9"/>
      <c r="X8" s="9"/>
      <c r="Y8" s="9"/>
      <c r="Z8" s="9"/>
      <c r="AA8" s="9"/>
      <c r="AB8" s="9"/>
      <c r="AC8" s="4">
        <v>1</v>
      </c>
    </row>
    <row r="9" spans="1:29" ht="15" customHeight="1" x14ac:dyDescent="0.2">
      <c r="A9" s="50">
        <f>'Weekly Plan'!F8</f>
        <v>708003041</v>
      </c>
      <c r="B9" s="51" t="s">
        <v>54</v>
      </c>
      <c r="C9" s="52" t="str">
        <f>'Weekly Plan'!G8</f>
        <v>Rear Fairing</v>
      </c>
      <c r="D9" s="53" t="str">
        <f>IF('Weekly Plan'!I8=0,"",'Weekly Plan'!I8)</f>
        <v/>
      </c>
      <c r="E9" s="97">
        <f>'Weekly Plan'!A8</f>
        <v>2</v>
      </c>
      <c r="F9" s="97">
        <f t="shared" si="0"/>
        <v>0</v>
      </c>
      <c r="G9" s="50">
        <f>'Weekly Plan'!F73</f>
        <v>99944</v>
      </c>
      <c r="H9" s="90" t="s">
        <v>167</v>
      </c>
      <c r="I9" s="50" t="str">
        <f>'Weekly Plan'!G73</f>
        <v>Lateral Belt RH</v>
      </c>
      <c r="J9" s="54" t="str">
        <f>IF('Weekly Plan'!I73=0,"",'Weekly Plan'!I73)</f>
        <v/>
      </c>
      <c r="K9" s="97">
        <f>'Weekly Plan'!A73</f>
        <v>6</v>
      </c>
      <c r="L9" s="97">
        <f t="shared" si="1"/>
        <v>0</v>
      </c>
      <c r="M9" s="55" t="str">
        <f>'Weekly Plan'!F98</f>
        <v>Other</v>
      </c>
      <c r="N9" s="52" t="str">
        <f>'Weekly Plan'!G98</f>
        <v>White - LH</v>
      </c>
      <c r="O9" s="53" t="str">
        <f>IF('Weekly Plan'!I98=0,"",'Weekly Plan'!I98)</f>
        <v/>
      </c>
      <c r="P9" s="4">
        <f>'Weekly Plan'!A98</f>
        <v>2</v>
      </c>
      <c r="Q9" s="4">
        <f t="shared" si="2"/>
        <v>0</v>
      </c>
      <c r="R9" s="4"/>
      <c r="W9" s="9"/>
      <c r="X9" s="9"/>
      <c r="Y9" s="9"/>
      <c r="Z9" s="9"/>
      <c r="AA9" s="9"/>
      <c r="AB9" s="9"/>
      <c r="AC9" s="4">
        <v>1</v>
      </c>
    </row>
    <row r="10" spans="1:29" ht="15" customHeight="1" thickBot="1" x14ac:dyDescent="0.25">
      <c r="A10" s="50">
        <f>'Weekly Plan'!F9</f>
        <v>708200870</v>
      </c>
      <c r="B10" s="51" t="s">
        <v>54</v>
      </c>
      <c r="C10" s="52" t="str">
        <f>'Weekly Plan'!G9</f>
        <v>LH Front Fairing</v>
      </c>
      <c r="D10" s="53" t="str">
        <f>IF('Weekly Plan'!I9=0,"",'Weekly Plan'!I9)</f>
        <v/>
      </c>
      <c r="E10" s="97">
        <f>'Weekly Plan'!A9</f>
        <v>1</v>
      </c>
      <c r="F10" s="97">
        <f t="shared" si="0"/>
        <v>0</v>
      </c>
      <c r="G10" s="62">
        <f>'Weekly Plan'!F74</f>
        <v>99636</v>
      </c>
      <c r="H10" s="93" t="s">
        <v>167</v>
      </c>
      <c r="I10" s="62" t="str">
        <f>'Weekly Plan'!G74</f>
        <v>Rear Belt</v>
      </c>
      <c r="J10" s="60" t="str">
        <f>IF('Weekly Plan'!I74=0,"",'Weekly Plan'!I74)</f>
        <v/>
      </c>
      <c r="K10" s="97">
        <f>'Weekly Plan'!A74</f>
        <v>20</v>
      </c>
      <c r="L10" s="97">
        <f t="shared" si="1"/>
        <v>0</v>
      </c>
      <c r="M10" s="56" t="str">
        <f>'Weekly Plan'!F99</f>
        <v>Other</v>
      </c>
      <c r="N10" s="57" t="str">
        <f>'Weekly Plan'!G99</f>
        <v>White - RH</v>
      </c>
      <c r="O10" s="58" t="str">
        <f>IF('Weekly Plan'!I99=0,"",'Weekly Plan'!I99)</f>
        <v/>
      </c>
      <c r="P10" s="4">
        <f>'Weekly Plan'!A99</f>
        <v>2</v>
      </c>
      <c r="Q10" s="4">
        <f t="shared" si="2"/>
        <v>0</v>
      </c>
      <c r="R10" s="4"/>
      <c r="W10" s="9"/>
      <c r="X10" s="9"/>
      <c r="Y10" s="9"/>
      <c r="Z10" s="9"/>
      <c r="AA10" s="9"/>
      <c r="AB10" s="9"/>
      <c r="AC10" s="4">
        <v>3</v>
      </c>
    </row>
    <row r="11" spans="1:29" ht="15" customHeight="1" thickBot="1" x14ac:dyDescent="0.25">
      <c r="A11" s="50">
        <f>'Weekly Plan'!F10</f>
        <v>708200871</v>
      </c>
      <c r="B11" s="51" t="s">
        <v>54</v>
      </c>
      <c r="C11" s="52" t="str">
        <f>'Weekly Plan'!G10</f>
        <v>RH Front Fairing</v>
      </c>
      <c r="D11" s="53" t="str">
        <f>IF('Weekly Plan'!I10=0,"",'Weekly Plan'!I10)</f>
        <v/>
      </c>
      <c r="E11" s="97">
        <f>'Weekly Plan'!A10</f>
        <v>1</v>
      </c>
      <c r="F11" s="97">
        <f t="shared" si="0"/>
        <v>0</v>
      </c>
      <c r="G11" s="59"/>
      <c r="H11" s="59"/>
      <c r="I11" s="59"/>
      <c r="J11" s="64"/>
      <c r="K11" s="97"/>
      <c r="L11" s="97"/>
      <c r="M11" s="59"/>
      <c r="N11" s="59"/>
      <c r="O11" s="59"/>
      <c r="P11" s="4"/>
      <c r="Q11" s="4"/>
      <c r="R11" s="4"/>
      <c r="W11" s="9"/>
      <c r="X11" s="9"/>
      <c r="Y11" s="9"/>
      <c r="Z11" s="9"/>
      <c r="AA11" s="9"/>
      <c r="AB11" s="9"/>
      <c r="AC11" s="4">
        <v>3</v>
      </c>
    </row>
    <row r="12" spans="1:29" ht="15" customHeight="1" x14ac:dyDescent="0.2">
      <c r="A12" s="50">
        <f>'Weekly Plan'!F11</f>
        <v>708200869</v>
      </c>
      <c r="B12" s="51" t="s">
        <v>54</v>
      </c>
      <c r="C12" s="52" t="str">
        <f>'Weekly Plan'!G11</f>
        <v>R66 Hood</v>
      </c>
      <c r="D12" s="53" t="str">
        <f>IF('Weekly Plan'!I11=0,"",'Weekly Plan'!I11)</f>
        <v/>
      </c>
      <c r="E12" s="97">
        <f>'Weekly Plan'!A11</f>
        <v>1</v>
      </c>
      <c r="F12" s="97">
        <f t="shared" si="0"/>
        <v>0</v>
      </c>
      <c r="G12" s="146" t="s">
        <v>241</v>
      </c>
      <c r="H12" s="147"/>
      <c r="I12" s="147"/>
      <c r="J12" s="148"/>
      <c r="K12" s="97"/>
      <c r="L12" s="97"/>
      <c r="M12" s="138" t="s">
        <v>213</v>
      </c>
      <c r="N12" s="139"/>
      <c r="O12" s="140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50">
        <f>'Weekly Plan'!F12</f>
        <v>708302947</v>
      </c>
      <c r="B13" s="51" t="s">
        <v>54</v>
      </c>
      <c r="C13" s="52" t="str">
        <f>'Weekly Plan'!G12</f>
        <v>LH Box Cover</v>
      </c>
      <c r="D13" s="53" t="str">
        <f>IF('Weekly Plan'!I12=0,"",'Weekly Plan'!I12)</f>
        <v/>
      </c>
      <c r="E13" s="97">
        <f>'Weekly Plan'!A12</f>
        <v>2</v>
      </c>
      <c r="F13" s="97">
        <f t="shared" si="0"/>
        <v>0</v>
      </c>
      <c r="G13" s="50">
        <f>'Weekly Plan'!F76</f>
        <v>99629</v>
      </c>
      <c r="H13" s="91" t="s">
        <v>123</v>
      </c>
      <c r="I13" s="52" t="str">
        <f>'Weekly Plan'!G76</f>
        <v>Main Lower Cover</v>
      </c>
      <c r="J13" s="54" t="str">
        <f>IF('Weekly Plan'!I76=0,"",'Weekly Plan'!I76)</f>
        <v/>
      </c>
      <c r="K13" s="97">
        <f>'Weekly Plan'!A76</f>
        <v>1</v>
      </c>
      <c r="L13" s="97">
        <f t="shared" ref="L13:L33" si="3">IFERROR(J13/K13,0)</f>
        <v>0</v>
      </c>
      <c r="M13" s="55">
        <f>'Weekly Plan'!F81</f>
        <v>0</v>
      </c>
      <c r="N13" s="52" t="str">
        <f>'Weekly Plan'!G81</f>
        <v>Handles</v>
      </c>
      <c r="O13" s="53" t="str">
        <f>IF('Weekly Plan'!I81=0,"",'Weekly Plan'!I81)</f>
        <v/>
      </c>
      <c r="P13" s="2">
        <f>'Weekly Plan'!A81</f>
        <v>18</v>
      </c>
      <c r="Q13" s="4">
        <f t="shared" si="2"/>
        <v>0</v>
      </c>
      <c r="AC13" s="2">
        <v>4</v>
      </c>
    </row>
    <row r="14" spans="1:29" ht="15" customHeight="1" x14ac:dyDescent="0.2">
      <c r="A14" s="50">
        <f>'Weekly Plan'!F13</f>
        <v>708302948</v>
      </c>
      <c r="B14" s="51" t="s">
        <v>54</v>
      </c>
      <c r="C14" s="52" t="str">
        <f>'Weekly Plan'!G13</f>
        <v>RH Box Cover</v>
      </c>
      <c r="D14" s="53" t="str">
        <f>IF('Weekly Plan'!I13=0,"",'Weekly Plan'!I13)</f>
        <v/>
      </c>
      <c r="E14" s="97">
        <f>'Weekly Plan'!A13</f>
        <v>2</v>
      </c>
      <c r="F14" s="97">
        <f t="shared" si="0"/>
        <v>0</v>
      </c>
      <c r="G14" s="50">
        <f>'Weekly Plan'!F77</f>
        <v>99631</v>
      </c>
      <c r="H14" s="91" t="s">
        <v>123</v>
      </c>
      <c r="I14" s="52" t="str">
        <f>'Weekly Plan'!G77</f>
        <v>Main Upper Cover</v>
      </c>
      <c r="J14" s="54" t="str">
        <f>IF('Weekly Plan'!I77=0,"",'Weekly Plan'!I77)</f>
        <v/>
      </c>
      <c r="K14" s="97">
        <f>'Weekly Plan'!A77</f>
        <v>1</v>
      </c>
      <c r="L14" s="97">
        <f t="shared" si="3"/>
        <v>0</v>
      </c>
      <c r="M14" s="55">
        <f>'Weekly Plan'!F82</f>
        <v>0</v>
      </c>
      <c r="N14" s="52">
        <f>'Weekly Plan'!G82</f>
        <v>0</v>
      </c>
      <c r="O14" s="53" t="str">
        <f>IF('Weekly Plan'!I82=0,"",'Weekly Plan'!I82)</f>
        <v/>
      </c>
      <c r="P14" s="2">
        <f>'Weekly Plan'!A82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50">
        <f>'Weekly Plan'!F14</f>
        <v>708303800</v>
      </c>
      <c r="B15" s="51" t="s">
        <v>54</v>
      </c>
      <c r="C15" s="52" t="str">
        <f>'Weekly Plan'!G14</f>
        <v>LH F3T Panel</v>
      </c>
      <c r="D15" s="53" t="str">
        <f>IF('Weekly Plan'!I14=0,"",'Weekly Plan'!I14)</f>
        <v/>
      </c>
      <c r="E15" s="97">
        <f>'Weekly Plan'!A14</f>
        <v>4</v>
      </c>
      <c r="F15" s="97">
        <f t="shared" si="0"/>
        <v>0</v>
      </c>
      <c r="G15" s="50">
        <f>'Weekly Plan'!F78</f>
        <v>99638</v>
      </c>
      <c r="H15" s="91" t="s">
        <v>123</v>
      </c>
      <c r="I15" s="52" t="str">
        <f>'Weekly Plan'!G78</f>
        <v>Rear Plate</v>
      </c>
      <c r="J15" s="54" t="str">
        <f>IF('Weekly Plan'!I78=0,"",'Weekly Plan'!I78)</f>
        <v/>
      </c>
      <c r="K15" s="97">
        <f>'Weekly Plan'!A78</f>
        <v>20</v>
      </c>
      <c r="L15" s="97">
        <f t="shared" si="3"/>
        <v>0</v>
      </c>
      <c r="M15" s="56">
        <f>'Weekly Plan'!F83</f>
        <v>0</v>
      </c>
      <c r="N15" s="57">
        <f>'Weekly Plan'!G83</f>
        <v>0</v>
      </c>
      <c r="O15" s="58" t="str">
        <f>IF('Weekly Plan'!I83=0,"",'Weekly Plan'!I83)</f>
        <v/>
      </c>
      <c r="P15" s="2">
        <f>'Weekly Plan'!A83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50">
        <f>'Weekly Plan'!F15</f>
        <v>708303801</v>
      </c>
      <c r="B16" s="51" t="s">
        <v>54</v>
      </c>
      <c r="C16" s="52" t="str">
        <f>'Weekly Plan'!G15</f>
        <v>RH F3T Panel</v>
      </c>
      <c r="D16" s="53" t="str">
        <f>IF('Weekly Plan'!I15=0,"",'Weekly Plan'!I15)</f>
        <v/>
      </c>
      <c r="E16" s="97">
        <f>'Weekly Plan'!A15</f>
        <v>4</v>
      </c>
      <c r="F16" s="97">
        <f t="shared" si="0"/>
        <v>0</v>
      </c>
      <c r="G16" s="62">
        <f>'Weekly Plan'!F79</f>
        <v>99630</v>
      </c>
      <c r="H16" s="94" t="s">
        <v>123</v>
      </c>
      <c r="I16" s="57" t="str">
        <f>'Weekly Plan'!G79</f>
        <v>Vent Cover</v>
      </c>
      <c r="J16" s="60" t="str">
        <f>IF('Weekly Plan'!I79=0,"",'Weekly Plan'!I79)</f>
        <v/>
      </c>
      <c r="K16" s="97">
        <f>'Weekly Plan'!A79</f>
        <v>1</v>
      </c>
      <c r="L16" s="97">
        <f t="shared" si="3"/>
        <v>0</v>
      </c>
      <c r="M16" s="61"/>
      <c r="N16" s="61"/>
      <c r="O16" s="61"/>
      <c r="P16" s="4"/>
      <c r="Q16" s="4"/>
      <c r="R16" s="4"/>
      <c r="AC16" s="4">
        <v>2</v>
      </c>
    </row>
    <row r="17" spans="1:29" ht="15" customHeight="1" thickBot="1" x14ac:dyDescent="0.25">
      <c r="A17" s="50">
        <f>'Weekly Plan'!F16</f>
        <v>708400461</v>
      </c>
      <c r="B17" s="51" t="s">
        <v>54</v>
      </c>
      <c r="C17" s="52" t="str">
        <f>'Weekly Plan'!G16</f>
        <v>LH Mirror Shell -No Hole</v>
      </c>
      <c r="D17" s="53" t="str">
        <f>IF('Weekly Plan'!I16=0,"",'Weekly Plan'!I16)</f>
        <v/>
      </c>
      <c r="E17" s="97">
        <f>'Weekly Plan'!A16</f>
        <v>2</v>
      </c>
      <c r="F17" s="97">
        <f t="shared" si="0"/>
        <v>0</v>
      </c>
      <c r="G17" s="61"/>
      <c r="H17" s="61"/>
      <c r="I17" s="61"/>
      <c r="J17" s="61"/>
      <c r="K17" s="99"/>
      <c r="L17" s="97"/>
      <c r="M17" s="138" t="s">
        <v>103</v>
      </c>
      <c r="N17" s="139"/>
      <c r="O17" s="140"/>
      <c r="P17" s="4"/>
      <c r="Q17" s="4"/>
      <c r="R17" s="4"/>
      <c r="AC17" s="4">
        <v>1</v>
      </c>
    </row>
    <row r="18" spans="1:29" ht="15" customHeight="1" thickBot="1" x14ac:dyDescent="0.25">
      <c r="A18" s="62">
        <f>'Weekly Plan'!F17</f>
        <v>708400463</v>
      </c>
      <c r="B18" s="63" t="s">
        <v>54</v>
      </c>
      <c r="C18" s="57" t="str">
        <f>'Weekly Plan'!G17</f>
        <v xml:space="preserve">RH Mirror Shell - No Hole </v>
      </c>
      <c r="D18" s="58" t="str">
        <f>IF('Weekly Plan'!I17=0,"",'Weekly Plan'!I17)</f>
        <v/>
      </c>
      <c r="E18" s="97">
        <f>'Weekly Plan'!A17</f>
        <v>2</v>
      </c>
      <c r="F18" s="97">
        <f t="shared" si="0"/>
        <v>0</v>
      </c>
      <c r="G18" s="143" t="s">
        <v>253</v>
      </c>
      <c r="H18" s="144"/>
      <c r="I18" s="144"/>
      <c r="J18" s="145"/>
      <c r="K18" s="97"/>
      <c r="L18" s="97"/>
      <c r="M18" s="55">
        <f>'Weekly Plan'!F85</f>
        <v>0</v>
      </c>
      <c r="N18" s="52" t="str">
        <f>'Weekly Plan'!G85</f>
        <v>Base Dual</v>
      </c>
      <c r="O18" s="53" t="str">
        <f>IF('Weekly Plan'!I85=0,"",'Weekly Plan'!I85)</f>
        <v/>
      </c>
      <c r="P18" s="4">
        <f>'Weekly Plan'!A85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64"/>
      <c r="B19" s="64"/>
      <c r="C19" s="64"/>
      <c r="D19" s="64"/>
      <c r="E19" s="97"/>
      <c r="F19" s="97"/>
      <c r="G19" s="50">
        <f>'Weekly Plan'!F19</f>
        <v>705009213</v>
      </c>
      <c r="H19" s="88" t="s">
        <v>261</v>
      </c>
      <c r="I19" s="52" t="str">
        <f>'Weekly Plan'!G19</f>
        <v>LH F3T Low Fairing</v>
      </c>
      <c r="J19" s="53" t="str">
        <f>IF('Weekly Plan'!I19=0,"",'Weekly Plan'!I19)</f>
        <v/>
      </c>
      <c r="K19" s="97">
        <f>'Weekly Plan'!A19</f>
        <v>2</v>
      </c>
      <c r="L19" s="97">
        <f t="shared" si="3"/>
        <v>0</v>
      </c>
      <c r="M19" s="55">
        <f>'Weekly Plan'!F86</f>
        <v>500458</v>
      </c>
      <c r="N19" s="52" t="str">
        <f>'Weekly Plan'!G86</f>
        <v>Face Plate, DTM, SSR</v>
      </c>
      <c r="O19" s="53" t="str">
        <f>IF('Weekly Plan'!I86=0,"",'Weekly Plan'!I86)</f>
        <v/>
      </c>
      <c r="P19" s="4">
        <f>'Weekly Plan'!A86</f>
        <v>16</v>
      </c>
      <c r="Q19" s="4">
        <f t="shared" si="2"/>
        <v>0</v>
      </c>
      <c r="AC19" s="2">
        <v>1</v>
      </c>
    </row>
    <row r="20" spans="1:29" ht="15" customHeight="1" thickBot="1" x14ac:dyDescent="0.25">
      <c r="A20" s="143" t="s">
        <v>79</v>
      </c>
      <c r="B20" s="144"/>
      <c r="C20" s="144"/>
      <c r="D20" s="145"/>
      <c r="E20" s="97"/>
      <c r="F20" s="97"/>
      <c r="G20" s="50">
        <f>'Weekly Plan'!F20</f>
        <v>705009214</v>
      </c>
      <c r="H20" s="88" t="s">
        <v>261</v>
      </c>
      <c r="I20" s="52" t="str">
        <f>'Weekly Plan'!G20</f>
        <v>RH F3T Low Fairing</v>
      </c>
      <c r="J20" s="53" t="str">
        <f>IF('Weekly Plan'!I20=0,"",'Weekly Plan'!I20)</f>
        <v/>
      </c>
      <c r="K20" s="97">
        <f>'Weekly Plan'!A20</f>
        <v>2</v>
      </c>
      <c r="L20" s="97">
        <f t="shared" si="3"/>
        <v>0</v>
      </c>
      <c r="M20" s="56">
        <f>'Weekly Plan'!F87</f>
        <v>500458</v>
      </c>
      <c r="N20" s="57" t="str">
        <f>'Weekly Plan'!G87</f>
        <v>Face Plate, STM, SSR</v>
      </c>
      <c r="O20" s="58" t="str">
        <f>IF('Weekly Plan'!I87=0,"",'Weekly Plan'!I87)</f>
        <v/>
      </c>
      <c r="P20" s="4">
        <f>'Weekly Plan'!A87</f>
        <v>16</v>
      </c>
      <c r="Q20" s="4">
        <f t="shared" si="2"/>
        <v>0</v>
      </c>
      <c r="AC20" s="2">
        <v>2</v>
      </c>
    </row>
    <row r="21" spans="1:29" ht="15" customHeight="1" thickBot="1" x14ac:dyDescent="0.25">
      <c r="A21" s="50">
        <f>'Weekly Plan'!F34</f>
        <v>708400287</v>
      </c>
      <c r="B21" s="51" t="s">
        <v>79</v>
      </c>
      <c r="C21" s="52" t="str">
        <f>'Weekly Plan'!G34</f>
        <v>Tank Cover</v>
      </c>
      <c r="D21" s="53" t="str">
        <f>IF('Weekly Plan'!I34=0,"",'Weekly Plan'!I34)</f>
        <v/>
      </c>
      <c r="E21" s="97">
        <f>'Weekly Plan'!A34</f>
        <v>2</v>
      </c>
      <c r="F21" s="97">
        <f t="shared" ref="F21:F39" si="4">IFERROR(D21/E21,0)</f>
        <v>0</v>
      </c>
      <c r="G21" s="50">
        <f>'Weekly Plan'!F21</f>
        <v>705010835</v>
      </c>
      <c r="H21" s="88" t="s">
        <v>261</v>
      </c>
      <c r="I21" s="52" t="str">
        <f>'Weekly Plan'!G21</f>
        <v>RH Fairing</v>
      </c>
      <c r="J21" s="53" t="str">
        <f>IF('Weekly Plan'!I21=0,"",'Weekly Plan'!I21)</f>
        <v/>
      </c>
      <c r="K21" s="97">
        <f>'Weekly Plan'!A21</f>
        <v>1</v>
      </c>
      <c r="L21" s="97">
        <f t="shared" si="3"/>
        <v>0</v>
      </c>
      <c r="M21" s="61"/>
      <c r="N21" s="61"/>
      <c r="O21" s="61"/>
      <c r="P21" s="4"/>
      <c r="Q21" s="4"/>
      <c r="R21" s="4"/>
      <c r="AC21" s="4">
        <v>1</v>
      </c>
    </row>
    <row r="22" spans="1:29" ht="15" customHeight="1" x14ac:dyDescent="0.2">
      <c r="A22" s="50">
        <f>'Weekly Plan'!F35</f>
        <v>705019189</v>
      </c>
      <c r="B22" s="51" t="s">
        <v>79</v>
      </c>
      <c r="C22" s="52" t="str">
        <f>'Weekly Plan'!G35</f>
        <v>New Tank Cover</v>
      </c>
      <c r="D22" s="53" t="str">
        <f>IF('Weekly Plan'!I35=0,"",'Weekly Plan'!I35)</f>
        <v/>
      </c>
      <c r="E22" s="97">
        <f>'Weekly Plan'!A35</f>
        <v>2</v>
      </c>
      <c r="F22" s="97">
        <f t="shared" si="4"/>
        <v>0</v>
      </c>
      <c r="G22" s="50">
        <f>'Weekly Plan'!F22</f>
        <v>705010851</v>
      </c>
      <c r="H22" s="88" t="s">
        <v>261</v>
      </c>
      <c r="I22" s="52" t="str">
        <f>'Weekly Plan'!G22</f>
        <v>LH Fairing</v>
      </c>
      <c r="J22" s="53" t="str">
        <f>IF('Weekly Plan'!I22=0,"",'Weekly Plan'!I22)</f>
        <v/>
      </c>
      <c r="K22" s="97">
        <f>'Weekly Plan'!A22</f>
        <v>1</v>
      </c>
      <c r="L22" s="97">
        <f t="shared" si="3"/>
        <v>0</v>
      </c>
      <c r="M22" s="138" t="s">
        <v>217</v>
      </c>
      <c r="N22" s="139"/>
      <c r="O22" s="140"/>
      <c r="P22" s="4"/>
      <c r="Q22" s="4"/>
      <c r="R22" s="4"/>
      <c r="AC22" s="4">
        <v>2</v>
      </c>
    </row>
    <row r="23" spans="1:29" ht="15" customHeight="1" x14ac:dyDescent="0.2">
      <c r="A23" s="50">
        <f>'Weekly Plan'!F36</f>
        <v>708001528</v>
      </c>
      <c r="B23" s="51" t="s">
        <v>79</v>
      </c>
      <c r="C23" s="52" t="str">
        <f>'Weekly Plan'!G36</f>
        <v>Tail Fairing</v>
      </c>
      <c r="D23" s="53" t="str">
        <f>IF('Weekly Plan'!I36=0,"",'Weekly Plan'!I36)</f>
        <v/>
      </c>
      <c r="E23" s="97">
        <f>'Weekly Plan'!A36</f>
        <v>2</v>
      </c>
      <c r="F23" s="97">
        <f t="shared" si="4"/>
        <v>0</v>
      </c>
      <c r="G23" s="50">
        <f>'Weekly Plan'!F23</f>
        <v>705012976</v>
      </c>
      <c r="H23" s="88" t="s">
        <v>261</v>
      </c>
      <c r="I23" s="52" t="str">
        <f>'Weekly Plan'!G23</f>
        <v>LH Fender</v>
      </c>
      <c r="J23" s="53" t="str">
        <f>IF('Weekly Plan'!I23=0,"",'Weekly Plan'!I23)</f>
        <v/>
      </c>
      <c r="K23" s="97">
        <f>'Weekly Plan'!A23</f>
        <v>2</v>
      </c>
      <c r="L23" s="97">
        <f t="shared" si="3"/>
        <v>0</v>
      </c>
      <c r="M23" s="55">
        <f>'Weekly Plan'!F89</f>
        <v>2650</v>
      </c>
      <c r="N23" s="52" t="str">
        <f>'Weekly Plan'!G89</f>
        <v>LH Side Puck</v>
      </c>
      <c r="O23" s="53" t="str">
        <f>IF('Weekly Plan'!I89=0,"",'Weekly Plan'!I89)</f>
        <v/>
      </c>
      <c r="P23" s="4">
        <f>'Weekly Plan'!A89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50">
        <f>'Weekly Plan'!F37</f>
        <v>708400069</v>
      </c>
      <c r="B24" s="51" t="s">
        <v>79</v>
      </c>
      <c r="C24" s="52" t="str">
        <f>'Weekly Plan'!G37</f>
        <v>RH Consol Fairing</v>
      </c>
      <c r="D24" s="53" t="str">
        <f>IF('Weekly Plan'!I37=0,"",'Weekly Plan'!I37)</f>
        <v/>
      </c>
      <c r="E24" s="97">
        <f>'Weekly Plan'!A37</f>
        <v>2</v>
      </c>
      <c r="F24" s="97">
        <f t="shared" si="4"/>
        <v>0</v>
      </c>
      <c r="G24" s="50">
        <f>'Weekly Plan'!F24</f>
        <v>705012868</v>
      </c>
      <c r="H24" s="88" t="s">
        <v>261</v>
      </c>
      <c r="I24" s="52" t="str">
        <f>'Weekly Plan'!G24</f>
        <v>RH Fender</v>
      </c>
      <c r="J24" s="53" t="str">
        <f>IF('Weekly Plan'!I24=0,"",'Weekly Plan'!I24)</f>
        <v/>
      </c>
      <c r="K24" s="97">
        <f>'Weekly Plan'!A24</f>
        <v>2</v>
      </c>
      <c r="L24" s="97">
        <f t="shared" si="3"/>
        <v>0</v>
      </c>
      <c r="M24" s="55">
        <f>'Weekly Plan'!F90</f>
        <v>2651</v>
      </c>
      <c r="N24" s="52" t="str">
        <f>'Weekly Plan'!G90</f>
        <v>RH Side Puck</v>
      </c>
      <c r="O24" s="53" t="str">
        <f>IF('Weekly Plan'!I90=0,"",'Weekly Plan'!I90)</f>
        <v/>
      </c>
      <c r="P24" s="4">
        <f>'Weekly Plan'!A90</f>
        <v>6</v>
      </c>
      <c r="Q24" s="4">
        <f t="shared" ref="Q24:Q32" si="5">IFERROR(O24/P24,0)</f>
        <v>0</v>
      </c>
      <c r="R24" s="4"/>
      <c r="AC24" s="4">
        <v>2</v>
      </c>
    </row>
    <row r="25" spans="1:29" ht="15" customHeight="1" x14ac:dyDescent="0.2">
      <c r="A25" s="50">
        <f>'Weekly Plan'!F38</f>
        <v>708400067</v>
      </c>
      <c r="B25" s="51" t="s">
        <v>79</v>
      </c>
      <c r="C25" s="52" t="str">
        <f>'Weekly Plan'!G38</f>
        <v>LH Consol Fairing</v>
      </c>
      <c r="D25" s="53" t="str">
        <f>IF('Weekly Plan'!I38=0,"",'Weekly Plan'!I38)</f>
        <v/>
      </c>
      <c r="E25" s="97">
        <f>'Weekly Plan'!A38</f>
        <v>2</v>
      </c>
      <c r="F25" s="97">
        <f t="shared" si="4"/>
        <v>0</v>
      </c>
      <c r="G25" s="50">
        <f>'Weekly Plan'!F25</f>
        <v>708200366</v>
      </c>
      <c r="H25" s="88" t="s">
        <v>261</v>
      </c>
      <c r="I25" s="52" t="str">
        <f>'Weekly Plan'!G25</f>
        <v>Hood</v>
      </c>
      <c r="J25" s="53" t="str">
        <f>IF('Weekly Plan'!I25=0,"",'Weekly Plan'!I25)</f>
        <v/>
      </c>
      <c r="K25" s="97">
        <f>'Weekly Plan'!A25</f>
        <v>1</v>
      </c>
      <c r="L25" s="97">
        <f t="shared" si="3"/>
        <v>0</v>
      </c>
      <c r="M25" s="55">
        <f>'Weekly Plan'!F91</f>
        <v>2647</v>
      </c>
      <c r="N25" s="52" t="str">
        <f>'Weekly Plan'!G91</f>
        <v>Front Puck</v>
      </c>
      <c r="O25" s="53" t="str">
        <f>IF('Weekly Plan'!I91=0,"",'Weekly Plan'!I91)</f>
        <v/>
      </c>
      <c r="P25" s="4">
        <f>'Weekly Plan'!A91</f>
        <v>6</v>
      </c>
      <c r="Q25" s="4">
        <f t="shared" si="5"/>
        <v>0</v>
      </c>
      <c r="R25" s="4">
        <v>18</v>
      </c>
      <c r="AC25" s="4">
        <v>1</v>
      </c>
    </row>
    <row r="26" spans="1:29" ht="15" customHeight="1" thickBot="1" x14ac:dyDescent="0.25">
      <c r="A26" s="50">
        <f>'Weekly Plan'!F39</f>
        <v>708400956</v>
      </c>
      <c r="B26" s="51" t="s">
        <v>79</v>
      </c>
      <c r="C26" s="52" t="str">
        <f>'Weekly Plan'!G39</f>
        <v>New LH Console Panel</v>
      </c>
      <c r="D26" s="53" t="str">
        <f>IF('Weekly Plan'!I39=0,"",'Weekly Plan'!I39)</f>
        <v/>
      </c>
      <c r="E26" s="97">
        <f>'Weekly Plan'!A39</f>
        <v>2</v>
      </c>
      <c r="F26" s="97">
        <f t="shared" si="4"/>
        <v>0</v>
      </c>
      <c r="G26" s="50">
        <f>'Weekly Plan'!F26</f>
        <v>708200401</v>
      </c>
      <c r="H26" s="88" t="s">
        <v>261</v>
      </c>
      <c r="I26" s="52" t="str">
        <f>'Weekly Plan'!G26</f>
        <v>LH Vent Panel</v>
      </c>
      <c r="J26" s="53" t="str">
        <f>IF('Weekly Plan'!I26=0,"",'Weekly Plan'!I26)</f>
        <v/>
      </c>
      <c r="K26" s="97">
        <f>'Weekly Plan'!A26</f>
        <v>2</v>
      </c>
      <c r="L26" s="97">
        <f t="shared" si="3"/>
        <v>0</v>
      </c>
      <c r="M26" s="56">
        <f>'Weekly Plan'!F92</f>
        <v>0</v>
      </c>
      <c r="N26" s="57">
        <f>'Weekly Plan'!G92</f>
        <v>0</v>
      </c>
      <c r="O26" s="58" t="str">
        <f>IF('Weekly Plan'!I92=0,"",'Weekly Plan'!I92)</f>
        <v/>
      </c>
      <c r="P26" s="4">
        <f>'Weekly Plan'!A92</f>
        <v>0</v>
      </c>
      <c r="Q26" s="4">
        <f t="shared" si="5"/>
        <v>0</v>
      </c>
      <c r="R26" s="4"/>
      <c r="AC26" s="4">
        <v>1</v>
      </c>
    </row>
    <row r="27" spans="1:29" ht="15" customHeight="1" thickBot="1" x14ac:dyDescent="0.25">
      <c r="A27" s="50">
        <f>'Weekly Plan'!F40</f>
        <v>708400957</v>
      </c>
      <c r="B27" s="51" t="s">
        <v>79</v>
      </c>
      <c r="C27" s="52" t="str">
        <f>'Weekly Plan'!G40</f>
        <v>New RH Console Panel</v>
      </c>
      <c r="D27" s="53" t="str">
        <f>IF('Weekly Plan'!I40=0,"",'Weekly Plan'!I40)</f>
        <v/>
      </c>
      <c r="E27" s="97">
        <f>'Weekly Plan'!A40</f>
        <v>2</v>
      </c>
      <c r="F27" s="97">
        <f t="shared" si="4"/>
        <v>0</v>
      </c>
      <c r="G27" s="50">
        <f>'Weekly Plan'!F27</f>
        <v>708200402</v>
      </c>
      <c r="H27" s="88" t="s">
        <v>261</v>
      </c>
      <c r="I27" s="52" t="str">
        <f>'Weekly Plan'!G27</f>
        <v>RH Vent Panel</v>
      </c>
      <c r="J27" s="53" t="str">
        <f>IF('Weekly Plan'!I27=0,"",'Weekly Plan'!I27)</f>
        <v/>
      </c>
      <c r="K27" s="97">
        <f>'Weekly Plan'!A27</f>
        <v>2</v>
      </c>
      <c r="L27" s="97">
        <f t="shared" si="3"/>
        <v>0</v>
      </c>
      <c r="M27" s="65"/>
      <c r="N27" s="65"/>
      <c r="O27" s="65"/>
      <c r="P27" s="4">
        <f>'Weekly Plan'!A93</f>
        <v>0</v>
      </c>
      <c r="Q27" s="4"/>
      <c r="AC27" s="2">
        <v>1</v>
      </c>
    </row>
    <row r="28" spans="1:29" ht="15" customHeight="1" x14ac:dyDescent="0.2">
      <c r="A28" s="50">
        <f>'Weekly Plan'!F41</f>
        <v>708400722</v>
      </c>
      <c r="B28" s="51" t="s">
        <v>79</v>
      </c>
      <c r="C28" s="52" t="str">
        <f>'Weekly Plan'!G41</f>
        <v>New Nose Fairing</v>
      </c>
      <c r="D28" s="53" t="str">
        <f>IF('Weekly Plan'!I41=0,"",'Weekly Plan'!I41)</f>
        <v/>
      </c>
      <c r="E28" s="97">
        <f>'Weekly Plan'!A41</f>
        <v>2</v>
      </c>
      <c r="F28" s="97">
        <f t="shared" si="4"/>
        <v>0</v>
      </c>
      <c r="G28" s="50">
        <f>'Weekly Plan'!F28</f>
        <v>708200698</v>
      </c>
      <c r="H28" s="88" t="s">
        <v>261</v>
      </c>
      <c r="I28" s="52" t="str">
        <f>'Weekly Plan'!G28</f>
        <v>Fascia</v>
      </c>
      <c r="J28" s="53" t="str">
        <f>IF('Weekly Plan'!I28=0,"",'Weekly Plan'!I28)</f>
        <v/>
      </c>
      <c r="K28" s="97">
        <f>'Weekly Plan'!A28</f>
        <v>1</v>
      </c>
      <c r="L28" s="97">
        <f t="shared" si="3"/>
        <v>0</v>
      </c>
      <c r="M28" s="138" t="s">
        <v>209</v>
      </c>
      <c r="N28" s="139"/>
      <c r="O28" s="140"/>
      <c r="P28" s="4">
        <f>'Weekly Plan'!A94</f>
        <v>2</v>
      </c>
      <c r="Q28" s="4"/>
      <c r="AC28" s="2">
        <v>2</v>
      </c>
    </row>
    <row r="29" spans="1:29" ht="15" customHeight="1" x14ac:dyDescent="0.2">
      <c r="A29" s="50">
        <f>'Weekly Plan'!F42</f>
        <v>708400721</v>
      </c>
      <c r="B29" s="51" t="s">
        <v>79</v>
      </c>
      <c r="C29" s="52" t="str">
        <f>'Weekly Plan'!G42</f>
        <v>New Tail Fairing</v>
      </c>
      <c r="D29" s="53" t="str">
        <f>IF('Weekly Plan'!I42=0,"",'Weekly Plan'!I42)</f>
        <v/>
      </c>
      <c r="E29" s="97">
        <f>'Weekly Plan'!A42</f>
        <v>8</v>
      </c>
      <c r="F29" s="97">
        <f t="shared" si="4"/>
        <v>0</v>
      </c>
      <c r="G29" s="50">
        <f>'Weekly Plan'!F29</f>
        <v>708301214</v>
      </c>
      <c r="H29" s="88" t="s">
        <v>261</v>
      </c>
      <c r="I29" s="52" t="str">
        <f>'Weekly Plan'!G29</f>
        <v>LH Cover</v>
      </c>
      <c r="J29" s="53" t="str">
        <f>IF('Weekly Plan'!I29=0,"",'Weekly Plan'!I29)</f>
        <v/>
      </c>
      <c r="K29" s="97">
        <f>'Weekly Plan'!A29</f>
        <v>1</v>
      </c>
      <c r="L29" s="97">
        <f t="shared" si="3"/>
        <v>0</v>
      </c>
      <c r="M29" s="55">
        <f>'Weekly Plan'!F101</f>
        <v>9929</v>
      </c>
      <c r="N29" s="52" t="str">
        <f>'Weekly Plan'!G101</f>
        <v>MS Applique</v>
      </c>
      <c r="O29" s="53" t="str">
        <f>IF('Weekly Plan'!I101=0,"",'Weekly Plan'!I101)</f>
        <v/>
      </c>
      <c r="P29" s="4">
        <f>'Weekly Plan'!A101</f>
        <v>6</v>
      </c>
      <c r="Q29" s="4">
        <f t="shared" si="5"/>
        <v>0</v>
      </c>
      <c r="R29" s="2">
        <v>21</v>
      </c>
      <c r="AC29" s="2"/>
    </row>
    <row r="30" spans="1:29" ht="15" customHeight="1" x14ac:dyDescent="0.2">
      <c r="A30" s="50">
        <f>'Weekly Plan'!F43</f>
        <v>708400462</v>
      </c>
      <c r="B30" s="51" t="s">
        <v>79</v>
      </c>
      <c r="C30" s="52" t="str">
        <f>'Weekly Plan'!G43</f>
        <v>LH Mirror Shell</v>
      </c>
      <c r="D30" s="53" t="str">
        <f>IF('Weekly Plan'!I43=0,"",'Weekly Plan'!I43)</f>
        <v/>
      </c>
      <c r="E30" s="97">
        <f>'Weekly Plan'!A43</f>
        <v>2</v>
      </c>
      <c r="F30" s="97">
        <f t="shared" si="4"/>
        <v>0</v>
      </c>
      <c r="G30" s="50">
        <f>'Weekly Plan'!F30</f>
        <v>708301215</v>
      </c>
      <c r="H30" s="88" t="s">
        <v>261</v>
      </c>
      <c r="I30" s="52" t="str">
        <f>'Weekly Plan'!G30</f>
        <v>RH Cover</v>
      </c>
      <c r="J30" s="53" t="str">
        <f>IF('Weekly Plan'!I30=0,"",'Weekly Plan'!I30)</f>
        <v/>
      </c>
      <c r="K30" s="97">
        <f>'Weekly Plan'!A30</f>
        <v>1</v>
      </c>
      <c r="L30" s="97">
        <f t="shared" si="3"/>
        <v>0</v>
      </c>
      <c r="M30" s="55">
        <f>'Weekly Plan'!F102</f>
        <v>9931</v>
      </c>
      <c r="N30" s="52" t="str">
        <f>'Weekly Plan'!G102</f>
        <v>MX Applique</v>
      </c>
      <c r="O30" s="53" t="str">
        <f>IF('Weekly Plan'!I102=0,"",'Weekly Plan'!I102)</f>
        <v/>
      </c>
      <c r="P30" s="4">
        <f>'Weekly Plan'!A102</f>
        <v>6</v>
      </c>
      <c r="Q30" s="4">
        <f t="shared" si="5"/>
        <v>0</v>
      </c>
      <c r="R30" s="4"/>
      <c r="S30" s="4"/>
      <c r="AC30" s="4">
        <v>1</v>
      </c>
    </row>
    <row r="31" spans="1:29" ht="15" customHeight="1" x14ac:dyDescent="0.2">
      <c r="A31" s="50">
        <f>'Weekly Plan'!F44</f>
        <v>708400464</v>
      </c>
      <c r="B31" s="51" t="s">
        <v>79</v>
      </c>
      <c r="C31" s="52" t="str">
        <f>'Weekly Plan'!G44</f>
        <v>RH Mirror Shell</v>
      </c>
      <c r="D31" s="53" t="str">
        <f>IF('Weekly Plan'!I44=0,"",'Weekly Plan'!I44)</f>
        <v/>
      </c>
      <c r="E31" s="97">
        <f>'Weekly Plan'!A44</f>
        <v>2</v>
      </c>
      <c r="F31" s="97">
        <f t="shared" si="4"/>
        <v>0</v>
      </c>
      <c r="G31" s="50">
        <f>'Weekly Plan'!F31</f>
        <v>708303800</v>
      </c>
      <c r="H31" s="88" t="s">
        <v>261</v>
      </c>
      <c r="I31" s="52" t="str">
        <f>'Weekly Plan'!G31</f>
        <v>LH F3T Panel</v>
      </c>
      <c r="J31" s="53" t="str">
        <f>IF('Weekly Plan'!I31=0,"",'Weekly Plan'!I31)</f>
        <v/>
      </c>
      <c r="K31" s="97">
        <f>'Weekly Plan'!A31</f>
        <v>4</v>
      </c>
      <c r="L31" s="97">
        <f t="shared" si="3"/>
        <v>0</v>
      </c>
      <c r="M31" s="55">
        <f>'Weekly Plan'!F103</f>
        <v>0</v>
      </c>
      <c r="N31" s="52" t="str">
        <f>'Weekly Plan'!G103</f>
        <v>MS Applique Rework</v>
      </c>
      <c r="O31" s="53" t="str">
        <f>IF('Weekly Plan'!I103=0,"",'Weekly Plan'!I103)</f>
        <v/>
      </c>
      <c r="P31" s="4">
        <f>'Weekly Plan'!A103</f>
        <v>6</v>
      </c>
      <c r="Q31" s="4">
        <f t="shared" si="5"/>
        <v>0</v>
      </c>
      <c r="R31" s="4"/>
      <c r="S31" s="4"/>
      <c r="AC31" s="4">
        <v>1</v>
      </c>
    </row>
    <row r="32" spans="1:29" ht="15" customHeight="1" thickBot="1" x14ac:dyDescent="0.25">
      <c r="A32" s="50">
        <f>'Weekly Plan'!F45</f>
        <v>708400461</v>
      </c>
      <c r="B32" s="51" t="s">
        <v>79</v>
      </c>
      <c r="C32" s="52" t="str">
        <f>'Weekly Plan'!G45</f>
        <v xml:space="preserve">LH Mirror Shell - No Hole </v>
      </c>
      <c r="D32" s="53" t="str">
        <f>IF('Weekly Plan'!I45=0,"",'Weekly Plan'!I45)</f>
        <v/>
      </c>
      <c r="E32" s="97">
        <f>'Weekly Plan'!A45</f>
        <v>2</v>
      </c>
      <c r="F32" s="97">
        <f t="shared" si="4"/>
        <v>0</v>
      </c>
      <c r="G32" s="62">
        <f>'Weekly Plan'!F32</f>
        <v>708303801</v>
      </c>
      <c r="H32" s="95" t="s">
        <v>261</v>
      </c>
      <c r="I32" s="57" t="str">
        <f>'Weekly Plan'!G32</f>
        <v>RH F3T Panel</v>
      </c>
      <c r="J32" s="58" t="str">
        <f>IF('Weekly Plan'!I32=0,"",'Weekly Plan'!I32)</f>
        <v/>
      </c>
      <c r="K32" s="97">
        <f>'Weekly Plan'!A32</f>
        <v>4</v>
      </c>
      <c r="L32" s="97">
        <f t="shared" si="3"/>
        <v>0</v>
      </c>
      <c r="M32" s="56">
        <f>'Weekly Plan'!F104</f>
        <v>0</v>
      </c>
      <c r="N32" s="57" t="str">
        <f>'Weekly Plan'!G104</f>
        <v>MX Applique Rework</v>
      </c>
      <c r="O32" s="58" t="str">
        <f>IF('Weekly Plan'!I104=0,"",'Weekly Plan'!I104)</f>
        <v/>
      </c>
      <c r="P32" s="4">
        <f>'Weekly Plan'!A104</f>
        <v>6</v>
      </c>
      <c r="Q32" s="4">
        <f t="shared" si="5"/>
        <v>0</v>
      </c>
      <c r="R32" s="4"/>
      <c r="S32" s="4"/>
      <c r="AC32" s="4">
        <v>1</v>
      </c>
    </row>
    <row r="33" spans="1:29" ht="15" customHeight="1" x14ac:dyDescent="0.2">
      <c r="A33" s="50">
        <f>'Weekly Plan'!F46</f>
        <v>708400463</v>
      </c>
      <c r="B33" s="51" t="s">
        <v>79</v>
      </c>
      <c r="C33" s="52" t="str">
        <f>'Weekly Plan'!G46</f>
        <v xml:space="preserve">RH Mirror Shell - No Hole </v>
      </c>
      <c r="D33" s="53" t="str">
        <f>IF('Weekly Plan'!I46=0,"",'Weekly Plan'!I46)</f>
        <v/>
      </c>
      <c r="E33" s="97">
        <f>'Weekly Plan'!A46</f>
        <v>2</v>
      </c>
      <c r="F33" s="97">
        <f t="shared" si="4"/>
        <v>0</v>
      </c>
      <c r="K33" s="97">
        <f>'Weekly Plan'!A33</f>
        <v>0</v>
      </c>
      <c r="L33" s="97">
        <f t="shared" si="3"/>
        <v>0</v>
      </c>
      <c r="M33" s="65"/>
      <c r="N33" s="65"/>
      <c r="O33" s="65"/>
      <c r="Q33" s="4"/>
      <c r="R33" s="4"/>
      <c r="S33" s="4"/>
      <c r="AC33" s="4">
        <v>1</v>
      </c>
    </row>
    <row r="34" spans="1:29" ht="15" customHeight="1" thickBot="1" x14ac:dyDescent="0.25">
      <c r="A34" s="50">
        <f>'Weekly Plan'!F47</f>
        <v>705012976</v>
      </c>
      <c r="B34" s="51" t="s">
        <v>79</v>
      </c>
      <c r="C34" s="52" t="str">
        <f>'Weekly Plan'!G47</f>
        <v>LH Fender</v>
      </c>
      <c r="D34" s="53" t="str">
        <f>IF('Weekly Plan'!I47=0,"",'Weekly Plan'!I47)</f>
        <v/>
      </c>
      <c r="E34" s="97">
        <f>'Weekly Plan'!A47</f>
        <v>2</v>
      </c>
      <c r="F34" s="97">
        <f t="shared" si="4"/>
        <v>0</v>
      </c>
      <c r="K34" s="97"/>
      <c r="L34" s="97"/>
      <c r="M34" s="65"/>
      <c r="N34" s="65"/>
      <c r="O34" s="65"/>
      <c r="R34" s="4"/>
      <c r="S34" s="4"/>
      <c r="AC34" s="4">
        <v>2</v>
      </c>
    </row>
    <row r="35" spans="1:29" ht="15" customHeight="1" x14ac:dyDescent="0.2">
      <c r="A35" s="50">
        <f>'Weekly Plan'!F48</f>
        <v>705012868</v>
      </c>
      <c r="B35" s="51" t="s">
        <v>79</v>
      </c>
      <c r="C35" s="52" t="str">
        <f>'Weekly Plan'!G48</f>
        <v>RH Fender</v>
      </c>
      <c r="D35" s="53" t="str">
        <f>IF('Weekly Plan'!I48=0,"",'Weekly Plan'!I48)</f>
        <v/>
      </c>
      <c r="E35" s="97">
        <f>'Weekly Plan'!A48</f>
        <v>2</v>
      </c>
      <c r="F35" s="97">
        <f t="shared" si="4"/>
        <v>0</v>
      </c>
      <c r="G35" s="153" t="s">
        <v>81</v>
      </c>
      <c r="H35" s="154"/>
      <c r="I35" s="154"/>
      <c r="J35" s="155"/>
      <c r="K35" s="97"/>
      <c r="L35" s="97"/>
      <c r="M35" s="89" t="s">
        <v>15</v>
      </c>
      <c r="N35" s="89" t="s">
        <v>16</v>
      </c>
      <c r="O35" s="65"/>
      <c r="R35" s="4">
        <v>4</v>
      </c>
      <c r="S35" s="4"/>
      <c r="AC35" s="4">
        <v>1</v>
      </c>
    </row>
    <row r="36" spans="1:29" ht="15" customHeight="1" x14ac:dyDescent="0.2">
      <c r="A36" s="50">
        <f>'Weekly Plan'!F49</f>
        <v>705011169</v>
      </c>
      <c r="B36" s="51" t="s">
        <v>79</v>
      </c>
      <c r="C36" s="52" t="str">
        <f>'Weekly Plan'!G49</f>
        <v>LH Scoop</v>
      </c>
      <c r="D36" s="53" t="str">
        <f>IF('Weekly Plan'!I49=0,"",'Weekly Plan'!I49)</f>
        <v/>
      </c>
      <c r="E36" s="97">
        <f>'Weekly Plan'!A49</f>
        <v>2</v>
      </c>
      <c r="F36" s="97">
        <f t="shared" si="4"/>
        <v>0</v>
      </c>
      <c r="G36" s="156"/>
      <c r="H36" s="157"/>
      <c r="I36" s="157"/>
      <c r="J36" s="158"/>
      <c r="K36" s="97"/>
      <c r="L36" s="97"/>
      <c r="M36" s="66" t="str">
        <f>A4</f>
        <v>Hyper Silver</v>
      </c>
      <c r="N36" s="67">
        <f>SUM(F5:F18)</f>
        <v>0</v>
      </c>
      <c r="O36" s="68"/>
      <c r="Q36" s="4"/>
      <c r="R36" s="4">
        <v>2</v>
      </c>
      <c r="S36" s="4"/>
      <c r="AC36" s="4">
        <v>1</v>
      </c>
    </row>
    <row r="37" spans="1:29" ht="15" customHeight="1" x14ac:dyDescent="0.2">
      <c r="A37" s="50">
        <f>'Weekly Plan'!F50</f>
        <v>705011170</v>
      </c>
      <c r="B37" s="51" t="s">
        <v>79</v>
      </c>
      <c r="C37" s="52" t="str">
        <f>'Weekly Plan'!G50</f>
        <v>RH Scoop</v>
      </c>
      <c r="D37" s="53" t="str">
        <f>IF('Weekly Plan'!I50=0,"",'Weekly Plan'!I50)</f>
        <v/>
      </c>
      <c r="E37" s="97">
        <f>'Weekly Plan'!A50</f>
        <v>2</v>
      </c>
      <c r="F37" s="97">
        <f t="shared" si="4"/>
        <v>0</v>
      </c>
      <c r="G37" s="159"/>
      <c r="H37" s="160"/>
      <c r="I37" s="160"/>
      <c r="J37" s="161"/>
      <c r="K37" s="97"/>
      <c r="L37" s="97"/>
      <c r="M37" s="66" t="str">
        <f>A20</f>
        <v>Deep Black</v>
      </c>
      <c r="N37" s="67">
        <f>SUM(F21:F39)</f>
        <v>0</v>
      </c>
      <c r="O37" s="68"/>
      <c r="Q37" s="4"/>
      <c r="R37" s="4"/>
      <c r="S37" s="4"/>
      <c r="AC37" s="4">
        <v>1</v>
      </c>
    </row>
    <row r="38" spans="1:29" ht="15" customHeight="1" x14ac:dyDescent="0.2">
      <c r="A38" s="50">
        <f>'Weekly Plan'!F51</f>
        <v>708400261</v>
      </c>
      <c r="B38" s="51" t="s">
        <v>79</v>
      </c>
      <c r="C38" s="52" t="str">
        <f>'Weekly Plan'!G51</f>
        <v>LH Access Panel</v>
      </c>
      <c r="D38" s="53" t="str">
        <f>IF('Weekly Plan'!I51=0,"",'Weekly Plan'!I51)</f>
        <v/>
      </c>
      <c r="E38" s="97">
        <f>'Weekly Plan'!A51</f>
        <v>3</v>
      </c>
      <c r="F38" s="97">
        <f t="shared" si="4"/>
        <v>0</v>
      </c>
      <c r="G38" s="159"/>
      <c r="H38" s="160"/>
      <c r="I38" s="160"/>
      <c r="J38" s="161"/>
      <c r="K38" s="97"/>
      <c r="L38" s="97"/>
      <c r="M38" s="66" t="str">
        <f>G18</f>
        <v>British Green</v>
      </c>
      <c r="N38" s="67">
        <f>SUM(L19:L32)</f>
        <v>0</v>
      </c>
      <c r="O38" s="68"/>
      <c r="Q38" s="4"/>
      <c r="R38" s="4">
        <v>1</v>
      </c>
      <c r="S38" s="4"/>
      <c r="AC38" s="4">
        <v>1</v>
      </c>
    </row>
    <row r="39" spans="1:29" ht="15" customHeight="1" thickBot="1" x14ac:dyDescent="0.25">
      <c r="A39" s="62">
        <f>'Weekly Plan'!F52</f>
        <v>708400262</v>
      </c>
      <c r="B39" s="63" t="s">
        <v>79</v>
      </c>
      <c r="C39" s="57" t="str">
        <f>'Weekly Plan'!G52</f>
        <v>RH Access Panel</v>
      </c>
      <c r="D39" s="58" t="str">
        <f>IF('Weekly Plan'!I52=0,"",'Weekly Plan'!I52)</f>
        <v/>
      </c>
      <c r="E39" s="97">
        <f>'Weekly Plan'!A52</f>
        <v>3</v>
      </c>
      <c r="F39" s="97">
        <f t="shared" si="4"/>
        <v>0</v>
      </c>
      <c r="G39" s="159"/>
      <c r="H39" s="160"/>
      <c r="I39" s="160"/>
      <c r="J39" s="161"/>
      <c r="K39" s="97"/>
      <c r="L39" s="97"/>
      <c r="M39" s="66" t="str">
        <f>A44</f>
        <v>Vegas White</v>
      </c>
      <c r="N39" s="67">
        <f>SUM(F45:F56)</f>
        <v>0</v>
      </c>
      <c r="O39" s="65"/>
      <c r="Q39" s="4"/>
      <c r="R39" s="4"/>
      <c r="S39" s="4"/>
      <c r="AC39" s="4">
        <v>4</v>
      </c>
    </row>
    <row r="40" spans="1:29" ht="15" customHeight="1" x14ac:dyDescent="0.2">
      <c r="A40" s="92"/>
      <c r="B40" s="92"/>
      <c r="C40" s="64"/>
      <c r="D40" s="64" t="str">
        <f>IF('Weekly Plan'!H52=0,"",'Weekly Plan'!H52)</f>
        <v/>
      </c>
      <c r="E40" s="97">
        <f>'Weekly Plan'!A53</f>
        <v>0</v>
      </c>
      <c r="F40" s="97">
        <f t="shared" ref="F40:F41" si="6">IFERROR(D41/E40,0)</f>
        <v>0</v>
      </c>
      <c r="G40" s="159"/>
      <c r="H40" s="160"/>
      <c r="I40" s="160"/>
      <c r="J40" s="161"/>
      <c r="K40" s="99"/>
      <c r="L40" s="99"/>
      <c r="M40" s="66" t="str">
        <f>G4</f>
        <v>Black - Laval</v>
      </c>
      <c r="N40" s="67">
        <f>SUM(L5:L10)</f>
        <v>0</v>
      </c>
      <c r="O40" s="65"/>
      <c r="R40" s="4">
        <v>4</v>
      </c>
      <c r="S40" s="4"/>
      <c r="AC40" s="4">
        <v>2</v>
      </c>
    </row>
    <row r="41" spans="1:29" ht="17.25" customHeight="1" x14ac:dyDescent="0.2">
      <c r="A41" s="92"/>
      <c r="B41" s="92"/>
      <c r="C41" s="64"/>
      <c r="D41" s="64" t="str">
        <f>IF('Weekly Plan'!H53=0,"",'Weekly Plan'!H53)</f>
        <v/>
      </c>
      <c r="E41" s="97">
        <f>'Weekly Plan'!A54</f>
        <v>0</v>
      </c>
      <c r="F41" s="97">
        <f t="shared" si="6"/>
        <v>0</v>
      </c>
      <c r="G41" s="159"/>
      <c r="H41" s="160"/>
      <c r="I41" s="160"/>
      <c r="J41" s="161"/>
      <c r="K41" s="97"/>
      <c r="L41" s="97"/>
      <c r="M41" s="66" t="str">
        <f>G12</f>
        <v>Summit White - Laval</v>
      </c>
      <c r="N41" s="67">
        <f>SUM(L13:L16)</f>
        <v>0</v>
      </c>
      <c r="O41" s="65"/>
      <c r="R41" s="4">
        <v>2</v>
      </c>
      <c r="S41" s="4"/>
      <c r="AC41" s="4">
        <v>1</v>
      </c>
    </row>
    <row r="42" spans="1:29" ht="15" customHeight="1" x14ac:dyDescent="0.2">
      <c r="A42" s="92"/>
      <c r="B42" s="92"/>
      <c r="C42" s="64"/>
      <c r="D42" s="64" t="str">
        <f>IF('Weekly Plan'!H54=0,"",'Weekly Plan'!H54)</f>
        <v/>
      </c>
      <c r="E42" s="97"/>
      <c r="F42" s="97"/>
      <c r="G42" s="159"/>
      <c r="H42" s="160"/>
      <c r="I42" s="160"/>
      <c r="J42" s="161"/>
      <c r="K42" s="97"/>
      <c r="L42" s="97"/>
      <c r="M42" s="66" t="str">
        <f>M4</f>
        <v>Mitchell Plastics</v>
      </c>
      <c r="N42" s="67">
        <f>SUM(Q5:Q10)</f>
        <v>0</v>
      </c>
      <c r="O42" s="65"/>
      <c r="R42" s="2">
        <v>1</v>
      </c>
      <c r="AC42" s="2">
        <v>4</v>
      </c>
    </row>
    <row r="43" spans="1:29" ht="15" customHeight="1" thickBot="1" x14ac:dyDescent="0.25">
      <c r="A43" s="64"/>
      <c r="B43" s="64"/>
      <c r="C43" s="64"/>
      <c r="D43" s="64"/>
      <c r="E43" s="97"/>
      <c r="F43" s="97"/>
      <c r="G43" s="78"/>
      <c r="H43" s="79"/>
      <c r="I43" s="79"/>
      <c r="J43" s="80"/>
      <c r="K43" s="97"/>
      <c r="L43" s="97"/>
      <c r="M43" s="66" t="str">
        <f>M12</f>
        <v>Seastar</v>
      </c>
      <c r="N43" s="67">
        <f>SUM(Q13:Q15)</f>
        <v>0</v>
      </c>
      <c r="O43" s="65"/>
      <c r="R43" s="2">
        <v>1</v>
      </c>
      <c r="AC43" s="2">
        <v>2</v>
      </c>
    </row>
    <row r="44" spans="1:29" ht="15" customHeight="1" x14ac:dyDescent="0.2">
      <c r="A44" s="146" t="s">
        <v>12</v>
      </c>
      <c r="B44" s="147"/>
      <c r="C44" s="147"/>
      <c r="D44" s="148"/>
      <c r="E44" s="97">
        <f>'Weekly Plan'!A56</f>
        <v>2</v>
      </c>
      <c r="F44" s="97">
        <f t="shared" ref="F44" si="7">IFERROR(D45/E44,0)</f>
        <v>0</v>
      </c>
      <c r="G44" s="159"/>
      <c r="H44" s="160"/>
      <c r="I44" s="160"/>
      <c r="J44" s="161"/>
      <c r="K44" s="97"/>
      <c r="L44" s="97"/>
      <c r="M44" s="69" t="str">
        <f>M17</f>
        <v>Manterra - Hyper Silver</v>
      </c>
      <c r="N44" s="67">
        <f>SUM(Q18:Q20)</f>
        <v>0</v>
      </c>
      <c r="O44" s="65"/>
      <c r="R44" s="4"/>
      <c r="S44" s="4"/>
      <c r="AC44" s="4">
        <v>1</v>
      </c>
    </row>
    <row r="45" spans="1:29" ht="15" customHeight="1" x14ac:dyDescent="0.2">
      <c r="A45" s="55">
        <f>'Weekly Plan'!F56</f>
        <v>705009213</v>
      </c>
      <c r="B45" s="52" t="s">
        <v>12</v>
      </c>
      <c r="C45" s="52" t="str">
        <f>'Weekly Plan'!G56</f>
        <v>LH F3T Low Fairing</v>
      </c>
      <c r="D45" s="53" t="str">
        <f>IF('Weekly Plan'!I56=0,"",'Weekly Plan'!I56)</f>
        <v/>
      </c>
      <c r="E45" s="97">
        <f>'Weekly Plan'!A56</f>
        <v>2</v>
      </c>
      <c r="F45" s="97">
        <f>IFERROR(D45/E45,0)</f>
        <v>0</v>
      </c>
      <c r="G45" s="159"/>
      <c r="H45" s="160"/>
      <c r="I45" s="160"/>
      <c r="J45" s="161"/>
      <c r="K45" s="97"/>
      <c r="L45" s="97"/>
      <c r="M45" s="69" t="str">
        <f>M22</f>
        <v>Falcon Lakeside Hyper Silver</v>
      </c>
      <c r="N45" s="67">
        <f>SUM(Q23:Q26)</f>
        <v>0</v>
      </c>
      <c r="O45" s="65"/>
      <c r="R45" s="4"/>
      <c r="S45" s="4"/>
      <c r="AC45" s="4">
        <v>1</v>
      </c>
    </row>
    <row r="46" spans="1:29" ht="15" customHeight="1" x14ac:dyDescent="0.2">
      <c r="A46" s="55">
        <f>'Weekly Plan'!F57</f>
        <v>705009214</v>
      </c>
      <c r="B46" s="52" t="s">
        <v>12</v>
      </c>
      <c r="C46" s="52" t="str">
        <f>'Weekly Plan'!G57</f>
        <v>RH F3T Low Fairing</v>
      </c>
      <c r="D46" s="53" t="str">
        <f>IF('Weekly Plan'!I57=0,"",'Weekly Plan'!I57)</f>
        <v/>
      </c>
      <c r="E46" s="97">
        <f>'Weekly Plan'!A57</f>
        <v>2</v>
      </c>
      <c r="F46" s="97">
        <f t="shared" ref="F46:F56" si="8">IFERROR(D46/E46,0)</f>
        <v>0</v>
      </c>
      <c r="G46" s="159"/>
      <c r="H46" s="160"/>
      <c r="I46" s="160"/>
      <c r="J46" s="161"/>
      <c r="K46" s="97"/>
      <c r="L46" s="97"/>
      <c r="M46" s="69" t="str">
        <f>M28</f>
        <v>Tesla - High Gloss Black</v>
      </c>
      <c r="N46" s="67">
        <f>SUM(Q29:Q32)</f>
        <v>0</v>
      </c>
      <c r="O46" s="65"/>
      <c r="R46" s="4"/>
      <c r="S46" s="4"/>
      <c r="AC46" s="4">
        <v>1</v>
      </c>
    </row>
    <row r="47" spans="1:29" ht="15" customHeight="1" x14ac:dyDescent="0.2">
      <c r="A47" s="55">
        <f>'Weekly Plan'!F58</f>
        <v>705010835</v>
      </c>
      <c r="B47" s="52" t="s">
        <v>12</v>
      </c>
      <c r="C47" s="52" t="str">
        <f>'Weekly Plan'!G58</f>
        <v>RH Fairing</v>
      </c>
      <c r="D47" s="53" t="str">
        <f>IF('Weekly Plan'!I58=0,"",'Weekly Plan'!I58)</f>
        <v/>
      </c>
      <c r="E47" s="97">
        <f>'Weekly Plan'!A58</f>
        <v>1</v>
      </c>
      <c r="F47" s="97">
        <f t="shared" si="8"/>
        <v>0</v>
      </c>
      <c r="G47" s="159"/>
      <c r="H47" s="160"/>
      <c r="I47" s="160"/>
      <c r="J47" s="161"/>
      <c r="K47" s="97"/>
      <c r="L47" s="97"/>
      <c r="M47" s="66"/>
      <c r="N47" s="67"/>
      <c r="O47" s="65"/>
      <c r="R47" s="4"/>
      <c r="S47" s="4"/>
      <c r="AC47" s="4">
        <v>4</v>
      </c>
    </row>
    <row r="48" spans="1:29" ht="15" customHeight="1" x14ac:dyDescent="0.2">
      <c r="A48" s="55">
        <f>'Weekly Plan'!F59</f>
        <v>705010851</v>
      </c>
      <c r="B48" s="52" t="s">
        <v>12</v>
      </c>
      <c r="C48" s="52" t="str">
        <f>'Weekly Plan'!G59</f>
        <v>LH Fairing</v>
      </c>
      <c r="D48" s="53" t="str">
        <f>IF('Weekly Plan'!I59=0,"",'Weekly Plan'!I59)</f>
        <v/>
      </c>
      <c r="E48" s="97">
        <f>'Weekly Plan'!A59</f>
        <v>1</v>
      </c>
      <c r="F48" s="97">
        <f t="shared" si="8"/>
        <v>0</v>
      </c>
      <c r="G48" s="162"/>
      <c r="H48" s="163"/>
      <c r="I48" s="163"/>
      <c r="J48" s="164"/>
      <c r="K48" s="97"/>
      <c r="L48" s="97"/>
      <c r="M48" s="66"/>
      <c r="N48" s="67"/>
      <c r="O48" s="65"/>
      <c r="AC48" s="2">
        <v>2</v>
      </c>
    </row>
    <row r="49" spans="1:29" ht="15" customHeight="1" x14ac:dyDescent="0.2">
      <c r="A49" s="55">
        <f>'Weekly Plan'!F60</f>
        <v>705012976</v>
      </c>
      <c r="B49" s="52" t="s">
        <v>12</v>
      </c>
      <c r="C49" s="52" t="str">
        <f>'Weekly Plan'!G60</f>
        <v>LH Fender</v>
      </c>
      <c r="D49" s="53" t="str">
        <f>IF('Weekly Plan'!I60=0,"",'Weekly Plan'!I60)</f>
        <v/>
      </c>
      <c r="E49" s="97">
        <f>'Weekly Plan'!A60</f>
        <v>2</v>
      </c>
      <c r="F49" s="97">
        <f t="shared" si="8"/>
        <v>0</v>
      </c>
      <c r="G49" s="165"/>
      <c r="H49" s="163"/>
      <c r="I49" s="163"/>
      <c r="J49" s="164"/>
      <c r="K49" s="97"/>
      <c r="L49" s="97"/>
      <c r="M49" s="66"/>
      <c r="N49" s="67"/>
      <c r="O49" s="65"/>
      <c r="AC49" s="2">
        <v>1</v>
      </c>
    </row>
    <row r="50" spans="1:29" ht="15" customHeight="1" x14ac:dyDescent="0.25">
      <c r="A50" s="55">
        <f>'Weekly Plan'!F61</f>
        <v>705012868</v>
      </c>
      <c r="B50" s="52" t="s">
        <v>12</v>
      </c>
      <c r="C50" s="52" t="str">
        <f>'Weekly Plan'!G61</f>
        <v>RH Fender</v>
      </c>
      <c r="D50" s="53" t="str">
        <f>IF('Weekly Plan'!I61=0,"",'Weekly Plan'!I61)</f>
        <v/>
      </c>
      <c r="E50" s="97">
        <f>'Weekly Plan'!A61</f>
        <v>2</v>
      </c>
      <c r="F50" s="97">
        <f t="shared" si="8"/>
        <v>0</v>
      </c>
      <c r="G50" s="165"/>
      <c r="H50" s="163"/>
      <c r="I50" s="163"/>
      <c r="J50" s="164"/>
      <c r="K50" s="97"/>
      <c r="L50" s="97"/>
      <c r="M50" s="71" t="s">
        <v>165</v>
      </c>
      <c r="N50" s="70">
        <f>SUM(N36:N49)</f>
        <v>0</v>
      </c>
      <c r="O50" s="65"/>
      <c r="R50" s="4"/>
      <c r="S50" s="4"/>
      <c r="AC50" s="4">
        <v>1</v>
      </c>
    </row>
    <row r="51" spans="1:29" ht="15" customHeight="1" x14ac:dyDescent="0.25">
      <c r="A51" s="55">
        <f>'Weekly Plan'!F62</f>
        <v>708200366</v>
      </c>
      <c r="B51" s="52" t="s">
        <v>12</v>
      </c>
      <c r="C51" s="52" t="str">
        <f>'Weekly Plan'!G62</f>
        <v>Hood</v>
      </c>
      <c r="D51" s="53" t="str">
        <f>IF('Weekly Plan'!I62=0,"",'Weekly Plan'!I62)</f>
        <v/>
      </c>
      <c r="E51" s="97">
        <f>'Weekly Plan'!A62</f>
        <v>1</v>
      </c>
      <c r="F51" s="97">
        <f t="shared" si="8"/>
        <v>0</v>
      </c>
      <c r="G51" s="165"/>
      <c r="H51" s="163"/>
      <c r="I51" s="163"/>
      <c r="J51" s="164"/>
      <c r="K51" s="97"/>
      <c r="L51" s="97"/>
      <c r="M51" s="71"/>
      <c r="N51" s="71"/>
      <c r="O51" s="65"/>
      <c r="R51" s="4"/>
      <c r="S51" s="4"/>
      <c r="AC51" s="4">
        <v>4</v>
      </c>
    </row>
    <row r="52" spans="1:29" ht="15" customHeight="1" x14ac:dyDescent="0.2">
      <c r="A52" s="55">
        <f>'Weekly Plan'!F63</f>
        <v>708200401</v>
      </c>
      <c r="B52" s="52" t="s">
        <v>12</v>
      </c>
      <c r="C52" s="52" t="str">
        <f>'Weekly Plan'!G63</f>
        <v>LH Vent Panel</v>
      </c>
      <c r="D52" s="53" t="str">
        <f>IF('Weekly Plan'!I63=0,"",'Weekly Plan'!I63)</f>
        <v/>
      </c>
      <c r="E52" s="97">
        <f>'Weekly Plan'!A63</f>
        <v>2</v>
      </c>
      <c r="F52" s="97">
        <f t="shared" si="8"/>
        <v>0</v>
      </c>
      <c r="G52" s="165"/>
      <c r="H52" s="163"/>
      <c r="I52" s="163"/>
      <c r="J52" s="164"/>
      <c r="K52" s="97"/>
      <c r="L52" s="97"/>
      <c r="M52" s="66" t="s">
        <v>17</v>
      </c>
      <c r="N52" s="66">
        <f>(COUNTIF(N36:N49, "&gt;0")-1)*(IF(N50&gt;0, 12, 0))</f>
        <v>0</v>
      </c>
      <c r="O52" s="65"/>
      <c r="R52" s="4"/>
      <c r="S52" s="4"/>
      <c r="AC52" s="4">
        <v>2</v>
      </c>
    </row>
    <row r="53" spans="1:29" ht="15" customHeight="1" x14ac:dyDescent="0.2">
      <c r="A53" s="55">
        <f>'Weekly Plan'!F64</f>
        <v>708200402</v>
      </c>
      <c r="B53" s="52" t="s">
        <v>12</v>
      </c>
      <c r="C53" s="52" t="str">
        <f>'Weekly Plan'!G64</f>
        <v>RH Vent Panel</v>
      </c>
      <c r="D53" s="53" t="str">
        <f>IF('Weekly Plan'!I64=0,"",'Weekly Plan'!I64)</f>
        <v/>
      </c>
      <c r="E53" s="97">
        <f>'Weekly Plan'!A64</f>
        <v>2</v>
      </c>
      <c r="F53" s="97">
        <f t="shared" si="8"/>
        <v>0</v>
      </c>
      <c r="G53" s="165"/>
      <c r="H53" s="163"/>
      <c r="I53" s="163"/>
      <c r="J53" s="164"/>
      <c r="K53" s="97"/>
      <c r="L53" s="97"/>
      <c r="M53" s="169"/>
      <c r="N53" s="170"/>
      <c r="O53" s="65"/>
      <c r="R53" s="4"/>
      <c r="S53" s="4"/>
      <c r="AC53" s="4">
        <v>1</v>
      </c>
    </row>
    <row r="54" spans="1:29" ht="15" customHeight="1" x14ac:dyDescent="0.25">
      <c r="A54" s="55">
        <f>'Weekly Plan'!F65</f>
        <v>708200698</v>
      </c>
      <c r="B54" s="52" t="s">
        <v>12</v>
      </c>
      <c r="C54" s="52" t="str">
        <f>'Weekly Plan'!G65</f>
        <v>Fascia</v>
      </c>
      <c r="D54" s="53" t="str">
        <f>IF('Weekly Plan'!I65=0,"",'Weekly Plan'!I65)</f>
        <v/>
      </c>
      <c r="E54" s="97">
        <f>'Weekly Plan'!A65</f>
        <v>1</v>
      </c>
      <c r="F54" s="97">
        <f t="shared" si="8"/>
        <v>0</v>
      </c>
      <c r="G54" s="165"/>
      <c r="H54" s="163"/>
      <c r="I54" s="163"/>
      <c r="J54" s="164"/>
      <c r="K54" s="97"/>
      <c r="L54" s="97"/>
      <c r="M54" s="72" t="s">
        <v>18</v>
      </c>
      <c r="N54" s="73">
        <f>(N50+N52)/60</f>
        <v>0</v>
      </c>
      <c r="O54" s="65"/>
      <c r="AC54" s="2">
        <v>4</v>
      </c>
    </row>
    <row r="55" spans="1:29" ht="15" customHeight="1" thickBot="1" x14ac:dyDescent="0.25">
      <c r="A55" s="55">
        <f>'Weekly Plan'!F66</f>
        <v>708301214</v>
      </c>
      <c r="B55" s="52" t="s">
        <v>12</v>
      </c>
      <c r="C55" s="52" t="str">
        <f>'Weekly Plan'!G66</f>
        <v>LH Cover</v>
      </c>
      <c r="D55" s="53" t="str">
        <f>IF('Weekly Plan'!I66=0,"",'Weekly Plan'!I66)</f>
        <v/>
      </c>
      <c r="E55" s="97">
        <f>'Weekly Plan'!A66</f>
        <v>1</v>
      </c>
      <c r="F55" s="97">
        <f t="shared" si="8"/>
        <v>0</v>
      </c>
      <c r="G55" s="166"/>
      <c r="H55" s="167"/>
      <c r="I55" s="167"/>
      <c r="J55" s="168"/>
      <c r="K55" s="97"/>
      <c r="L55" s="97"/>
      <c r="M55" s="65"/>
      <c r="N55" s="65"/>
      <c r="O55" s="65"/>
      <c r="AC55" s="2">
        <v>2</v>
      </c>
    </row>
    <row r="56" spans="1:29" ht="13.5" customHeight="1" thickBot="1" x14ac:dyDescent="0.25">
      <c r="A56" s="56">
        <f>'Weekly Plan'!F67</f>
        <v>708301215</v>
      </c>
      <c r="B56" s="57" t="s">
        <v>12</v>
      </c>
      <c r="C56" s="57" t="str">
        <f>'Weekly Plan'!G67</f>
        <v>RH Cover</v>
      </c>
      <c r="D56" s="58" t="str">
        <f>IF('Weekly Plan'!I67=0,"",'Weekly Plan'!I67)</f>
        <v/>
      </c>
      <c r="E56" s="97">
        <f>'Weekly Plan'!A67</f>
        <v>1</v>
      </c>
      <c r="F56" s="97">
        <f t="shared" si="8"/>
        <v>0</v>
      </c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22">
    <mergeCell ref="A4:D4"/>
    <mergeCell ref="G4:J4"/>
    <mergeCell ref="M4:O4"/>
    <mergeCell ref="D1:I1"/>
    <mergeCell ref="J1:K1"/>
    <mergeCell ref="N1:O1"/>
    <mergeCell ref="A2:A3"/>
    <mergeCell ref="C2:P3"/>
    <mergeCell ref="A44:D44"/>
    <mergeCell ref="G44:J47"/>
    <mergeCell ref="G48:J51"/>
    <mergeCell ref="G12:J12"/>
    <mergeCell ref="M12:O12"/>
    <mergeCell ref="M17:O17"/>
    <mergeCell ref="G18:J18"/>
    <mergeCell ref="A20:D20"/>
    <mergeCell ref="M22:O22"/>
    <mergeCell ref="G52:J55"/>
    <mergeCell ref="M53:N53"/>
    <mergeCell ref="M28:O28"/>
    <mergeCell ref="G35:J35"/>
    <mergeCell ref="G36:J42"/>
  </mergeCells>
  <pageMargins left="0.23622047244094491" right="0.23622047244094491" top="0.74803149606299213" bottom="0.74803149606299213" header="0.31496062992125984" footer="0.31496062992125984"/>
  <pageSetup scale="81" orientation="portrait" cellComments="asDisplayed" r:id="rId1"/>
  <headerFooter>
    <oddFooter>&amp;L8.2.2.1.11 103 Schedule Template.xlsx&amp;RCreated: 10/22/21TG
Revised: 05/24/24AS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16C21-F754-4D63-9DE6-A8763490690A}">
  <sheetPr>
    <tabColor rgb="FF92D050"/>
    <pageSetUpPr fitToPage="1"/>
  </sheetPr>
  <dimension ref="A1:AC79"/>
  <sheetViews>
    <sheetView showGridLines="0" zoomScale="85" zoomScaleNormal="85" workbookViewId="0">
      <selection activeCell="G36" sqref="G36:J42"/>
    </sheetView>
  </sheetViews>
  <sheetFormatPr defaultColWidth="9" defaultRowHeight="12.75" x14ac:dyDescent="0.2"/>
  <cols>
    <col min="1" max="1" width="11" style="1" customWidth="1"/>
    <col min="2" max="2" width="9.5703125" style="1" hidden="1" customWidth="1"/>
    <col min="3" max="3" width="20" style="1" customWidth="1"/>
    <col min="4" max="4" width="7" style="1" bestFit="1" customWidth="1"/>
    <col min="5" max="5" width="2.5703125" style="2" customWidth="1"/>
    <col min="6" max="6" width="1.28515625" style="2" customWidth="1"/>
    <col min="7" max="7" width="15.85546875" style="1" bestFit="1" customWidth="1"/>
    <col min="8" max="8" width="7.7109375" style="1" hidden="1" customWidth="1"/>
    <col min="9" max="9" width="21" style="1" bestFit="1" customWidth="1"/>
    <col min="10" max="10" width="4.85546875" style="1" customWidth="1"/>
    <col min="11" max="11" width="2.5703125" style="2" customWidth="1"/>
    <col min="12" max="12" width="1.710937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.85546875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40" t="s">
        <v>262</v>
      </c>
      <c r="B1" s="41"/>
      <c r="C1" s="42"/>
      <c r="D1" s="151"/>
      <c r="E1" s="151"/>
      <c r="F1" s="151"/>
      <c r="G1" s="151"/>
      <c r="H1" s="151"/>
      <c r="I1" s="151"/>
      <c r="J1" s="152" t="s">
        <v>29</v>
      </c>
      <c r="K1" s="152"/>
      <c r="L1" s="98"/>
      <c r="M1" s="43">
        <f>'Weekly Plan'!J1</f>
        <v>45301</v>
      </c>
      <c r="N1" s="141"/>
      <c r="O1" s="141"/>
      <c r="T1" s="8"/>
    </row>
    <row r="2" spans="1:29" s="3" customFormat="1" ht="14.25" customHeight="1" x14ac:dyDescent="0.2">
      <c r="A2" s="149" t="s">
        <v>14</v>
      </c>
      <c r="B2" s="44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0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9" s="3" customFormat="1" ht="14.25" customHeight="1" thickBot="1" x14ac:dyDescent="0.25">
      <c r="A3" s="150"/>
      <c r="B3" s="44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0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9" ht="15" customHeight="1" x14ac:dyDescent="0.2">
      <c r="A4" s="143" t="s">
        <v>54</v>
      </c>
      <c r="B4" s="144"/>
      <c r="C4" s="144"/>
      <c r="D4" s="145"/>
      <c r="E4" s="97"/>
      <c r="F4" s="97"/>
      <c r="G4" s="146" t="s">
        <v>242</v>
      </c>
      <c r="H4" s="147"/>
      <c r="I4" s="147"/>
      <c r="J4" s="148"/>
      <c r="K4" s="97"/>
      <c r="L4" s="97"/>
      <c r="M4" s="138" t="s">
        <v>143</v>
      </c>
      <c r="N4" s="139"/>
      <c r="O4" s="140"/>
      <c r="P4" s="5"/>
      <c r="Q4" s="101"/>
      <c r="R4" s="5"/>
      <c r="W4" s="16"/>
      <c r="X4" s="16"/>
      <c r="Y4" s="16"/>
      <c r="Z4" s="16"/>
      <c r="AA4" s="16"/>
      <c r="AB4" s="16"/>
      <c r="AC4" s="5"/>
    </row>
    <row r="5" spans="1:29" ht="15" customHeight="1" x14ac:dyDescent="0.2">
      <c r="A5" s="50">
        <f>'Weekly Plan'!F4</f>
        <v>705014100</v>
      </c>
      <c r="B5" s="51" t="s">
        <v>54</v>
      </c>
      <c r="C5" s="52" t="str">
        <f>'Weekly Plan'!G4</f>
        <v>LH Upper Fairing</v>
      </c>
      <c r="D5" s="53" t="str">
        <f>IF('Weekly Plan'!J4=0,"",'Weekly Plan'!J4)</f>
        <v/>
      </c>
      <c r="E5" s="97">
        <f>'Weekly Plan'!A4</f>
        <v>2</v>
      </c>
      <c r="F5" s="97">
        <f t="shared" ref="F5:F18" si="0">IFERROR(D5/E5,0)</f>
        <v>0</v>
      </c>
      <c r="G5" s="50">
        <f>'Weekly Plan'!F69</f>
        <v>99944</v>
      </c>
      <c r="H5" s="90" t="s">
        <v>167</v>
      </c>
      <c r="I5" s="50" t="str">
        <f>'Weekly Plan'!G69</f>
        <v>Bezel</v>
      </c>
      <c r="J5" s="54" t="str">
        <f>IF('Weekly Plan'!J69=0,"",'Weekly Plan'!J69)</f>
        <v/>
      </c>
      <c r="K5" s="97">
        <f>'Weekly Plan'!A69</f>
        <v>2</v>
      </c>
      <c r="L5" s="97">
        <f>IFERROR(J5/K5,0)</f>
        <v>0</v>
      </c>
      <c r="M5" s="55">
        <f>'Weekly Plan'!F94</f>
        <v>80931</v>
      </c>
      <c r="N5" s="52" t="str">
        <f>'Weekly Plan'!G94</f>
        <v>Black - LH</v>
      </c>
      <c r="O5" s="53" t="str">
        <f>IF('Weekly Plan'!J94=0,"",'Weekly Plan'!J94)</f>
        <v/>
      </c>
      <c r="P5" s="4">
        <f>'Weekly Plan'!A94</f>
        <v>2</v>
      </c>
      <c r="Q5" s="4">
        <f>IFERROR(O5/P5,0)</f>
        <v>0</v>
      </c>
      <c r="W5" s="9"/>
      <c r="X5" s="9"/>
      <c r="Y5" s="9"/>
      <c r="Z5" s="9"/>
      <c r="AA5" s="9"/>
      <c r="AB5" s="9"/>
      <c r="AC5" s="4">
        <v>3</v>
      </c>
    </row>
    <row r="6" spans="1:29" ht="15" customHeight="1" x14ac:dyDescent="0.2">
      <c r="A6" s="50">
        <f>'Weekly Plan'!F5</f>
        <v>705014101</v>
      </c>
      <c r="B6" s="51" t="s">
        <v>54</v>
      </c>
      <c r="C6" s="52" t="str">
        <f>'Weekly Plan'!G5</f>
        <v>RH Upper Fairing</v>
      </c>
      <c r="D6" s="53" t="str">
        <f>IF('Weekly Plan'!J5=0,"",'Weekly Plan'!J5)</f>
        <v/>
      </c>
      <c r="E6" s="97">
        <f>'Weekly Plan'!A5</f>
        <v>2</v>
      </c>
      <c r="F6" s="97">
        <f t="shared" si="0"/>
        <v>0</v>
      </c>
      <c r="G6" s="50">
        <f>'Weekly Plan'!F70</f>
        <v>99633</v>
      </c>
      <c r="H6" s="90" t="s">
        <v>167</v>
      </c>
      <c r="I6" s="50" t="str">
        <f>'Weekly Plan'!G70</f>
        <v>IR Cover LH</v>
      </c>
      <c r="J6" s="54" t="str">
        <f>IF('Weekly Plan'!J70=0,"",'Weekly Plan'!J70)</f>
        <v/>
      </c>
      <c r="K6" s="97">
        <f>'Weekly Plan'!A70</f>
        <v>20</v>
      </c>
      <c r="L6" s="97">
        <f t="shared" ref="L6:L10" si="1">IFERROR(J6/K6,0)</f>
        <v>0</v>
      </c>
      <c r="M6" s="55">
        <f>'Weekly Plan'!F95</f>
        <v>80930</v>
      </c>
      <c r="N6" s="52" t="str">
        <f>'Weekly Plan'!G95</f>
        <v>Black - RH</v>
      </c>
      <c r="O6" s="53" t="str">
        <f>IF('Weekly Plan'!J95=0,"",'Weekly Plan'!J95)</f>
        <v/>
      </c>
      <c r="P6" s="4">
        <f>'Weekly Plan'!A95</f>
        <v>2</v>
      </c>
      <c r="Q6" s="4">
        <f t="shared" ref="Q6:Q20" si="2">IFERROR(O6/P6,0)</f>
        <v>0</v>
      </c>
      <c r="W6" s="9"/>
      <c r="X6" s="9"/>
      <c r="Y6" s="9"/>
      <c r="Z6" s="9"/>
      <c r="AA6" s="9"/>
      <c r="AB6" s="9"/>
      <c r="AC6" s="4">
        <v>4</v>
      </c>
    </row>
    <row r="7" spans="1:29" ht="15" customHeight="1" x14ac:dyDescent="0.2">
      <c r="A7" s="50">
        <f>'Weekly Plan'!F6</f>
        <v>705012976</v>
      </c>
      <c r="B7" s="51" t="s">
        <v>54</v>
      </c>
      <c r="C7" s="52" t="str">
        <f>'Weekly Plan'!G6</f>
        <v>LH Fender</v>
      </c>
      <c r="D7" s="53" t="str">
        <f>IF('Weekly Plan'!J6=0,"",'Weekly Plan'!J6)</f>
        <v/>
      </c>
      <c r="E7" s="97">
        <f>'Weekly Plan'!A6</f>
        <v>2</v>
      </c>
      <c r="F7" s="97">
        <f t="shared" si="0"/>
        <v>0</v>
      </c>
      <c r="G7" s="50">
        <f>'Weekly Plan'!F71</f>
        <v>99646</v>
      </c>
      <c r="H7" s="90" t="s">
        <v>167</v>
      </c>
      <c r="I7" s="50" t="str">
        <f>'Weekly Plan'!G71</f>
        <v>IR Cover RH</v>
      </c>
      <c r="J7" s="54" t="str">
        <f>IF('Weekly Plan'!J71=0,"",'Weekly Plan'!J71)</f>
        <v/>
      </c>
      <c r="K7" s="97">
        <f>'Weekly Plan'!A71</f>
        <v>20</v>
      </c>
      <c r="L7" s="97">
        <f t="shared" si="1"/>
        <v>0</v>
      </c>
      <c r="M7" s="55">
        <f>'Weekly Plan'!F96</f>
        <v>80933</v>
      </c>
      <c r="N7" s="52" t="str">
        <f>'Weekly Plan'!G96</f>
        <v>Red - LH</v>
      </c>
      <c r="O7" s="53" t="str">
        <f>IF('Weekly Plan'!J96=0,"",'Weekly Plan'!J96)</f>
        <v/>
      </c>
      <c r="P7" s="4">
        <f>'Weekly Plan'!A96</f>
        <v>2</v>
      </c>
      <c r="Q7" s="4">
        <f t="shared" si="2"/>
        <v>0</v>
      </c>
      <c r="W7" s="9"/>
      <c r="X7" s="9"/>
      <c r="Y7" s="9"/>
      <c r="Z7" s="9"/>
      <c r="AA7" s="9"/>
      <c r="AB7" s="9"/>
      <c r="AC7" s="4">
        <v>4</v>
      </c>
    </row>
    <row r="8" spans="1:29" ht="15" customHeight="1" x14ac:dyDescent="0.2">
      <c r="A8" s="50">
        <f>'Weekly Plan'!F7</f>
        <v>705012868</v>
      </c>
      <c r="B8" s="51" t="s">
        <v>54</v>
      </c>
      <c r="C8" s="52" t="str">
        <f>'Weekly Plan'!G7</f>
        <v>RH Fender</v>
      </c>
      <c r="D8" s="53" t="str">
        <f>IF('Weekly Plan'!J7=0,"",'Weekly Plan'!J7)</f>
        <v/>
      </c>
      <c r="E8" s="97">
        <f>'Weekly Plan'!A7</f>
        <v>2</v>
      </c>
      <c r="F8" s="97">
        <f t="shared" si="0"/>
        <v>0</v>
      </c>
      <c r="G8" s="50">
        <f>'Weekly Plan'!F72</f>
        <v>99635</v>
      </c>
      <c r="H8" s="90" t="s">
        <v>167</v>
      </c>
      <c r="I8" s="50" t="str">
        <f>'Weekly Plan'!G72</f>
        <v>Lateral Belt LH</v>
      </c>
      <c r="J8" s="54" t="str">
        <f>IF('Weekly Plan'!J72=0,"",'Weekly Plan'!J72)</f>
        <v/>
      </c>
      <c r="K8" s="97">
        <f>'Weekly Plan'!A72</f>
        <v>6</v>
      </c>
      <c r="L8" s="97">
        <f t="shared" si="1"/>
        <v>0</v>
      </c>
      <c r="M8" s="55">
        <f>'Weekly Plan'!F97</f>
        <v>80932</v>
      </c>
      <c r="N8" s="52" t="str">
        <f>'Weekly Plan'!G97</f>
        <v>Red - RH</v>
      </c>
      <c r="O8" s="53" t="str">
        <f>IF('Weekly Plan'!J97=0,"",'Weekly Plan'!J97)</f>
        <v/>
      </c>
      <c r="P8" s="4">
        <f>'Weekly Plan'!A97</f>
        <v>2</v>
      </c>
      <c r="Q8" s="4">
        <f t="shared" si="2"/>
        <v>0</v>
      </c>
      <c r="R8" s="4"/>
      <c r="W8" s="9"/>
      <c r="X8" s="9"/>
      <c r="Y8" s="9"/>
      <c r="Z8" s="9"/>
      <c r="AA8" s="9"/>
      <c r="AB8" s="9"/>
      <c r="AC8" s="4">
        <v>1</v>
      </c>
    </row>
    <row r="9" spans="1:29" ht="15" customHeight="1" x14ac:dyDescent="0.2">
      <c r="A9" s="50">
        <f>'Weekly Plan'!F8</f>
        <v>708003041</v>
      </c>
      <c r="B9" s="51" t="s">
        <v>54</v>
      </c>
      <c r="C9" s="52" t="str">
        <f>'Weekly Plan'!G8</f>
        <v>Rear Fairing</v>
      </c>
      <c r="D9" s="53" t="str">
        <f>IF('Weekly Plan'!J8=0,"",'Weekly Plan'!J8)</f>
        <v/>
      </c>
      <c r="E9" s="97">
        <f>'Weekly Plan'!A8</f>
        <v>2</v>
      </c>
      <c r="F9" s="97">
        <f t="shared" si="0"/>
        <v>0</v>
      </c>
      <c r="G9" s="50">
        <f>'Weekly Plan'!F73</f>
        <v>99944</v>
      </c>
      <c r="H9" s="90" t="s">
        <v>167</v>
      </c>
      <c r="I9" s="50" t="str">
        <f>'Weekly Plan'!G73</f>
        <v>Lateral Belt RH</v>
      </c>
      <c r="J9" s="54" t="str">
        <f>IF('Weekly Plan'!J73=0,"",'Weekly Plan'!J73)</f>
        <v/>
      </c>
      <c r="K9" s="97">
        <f>'Weekly Plan'!A73</f>
        <v>6</v>
      </c>
      <c r="L9" s="97">
        <f t="shared" si="1"/>
        <v>0</v>
      </c>
      <c r="M9" s="55" t="str">
        <f>'Weekly Plan'!F98</f>
        <v>Other</v>
      </c>
      <c r="N9" s="52" t="str">
        <f>'Weekly Plan'!G98</f>
        <v>White - LH</v>
      </c>
      <c r="O9" s="53" t="str">
        <f>IF('Weekly Plan'!J98=0,"",'Weekly Plan'!J98)</f>
        <v/>
      </c>
      <c r="P9" s="4">
        <f>'Weekly Plan'!A98</f>
        <v>2</v>
      </c>
      <c r="Q9" s="4">
        <f t="shared" si="2"/>
        <v>0</v>
      </c>
      <c r="R9" s="4"/>
      <c r="W9" s="9"/>
      <c r="X9" s="9"/>
      <c r="Y9" s="9"/>
      <c r="Z9" s="9"/>
      <c r="AA9" s="9"/>
      <c r="AB9" s="9"/>
      <c r="AC9" s="4">
        <v>1</v>
      </c>
    </row>
    <row r="10" spans="1:29" ht="15" customHeight="1" thickBot="1" x14ac:dyDescent="0.25">
      <c r="A10" s="50">
        <f>'Weekly Plan'!F9</f>
        <v>708200870</v>
      </c>
      <c r="B10" s="51" t="s">
        <v>54</v>
      </c>
      <c r="C10" s="52" t="str">
        <f>'Weekly Plan'!G9</f>
        <v>LH Front Fairing</v>
      </c>
      <c r="D10" s="53" t="str">
        <f>IF('Weekly Plan'!J9=0,"",'Weekly Plan'!J9)</f>
        <v/>
      </c>
      <c r="E10" s="97">
        <f>'Weekly Plan'!A9</f>
        <v>1</v>
      </c>
      <c r="F10" s="97">
        <f t="shared" si="0"/>
        <v>0</v>
      </c>
      <c r="G10" s="62">
        <f>'Weekly Plan'!F74</f>
        <v>99636</v>
      </c>
      <c r="H10" s="93" t="s">
        <v>167</v>
      </c>
      <c r="I10" s="62" t="str">
        <f>'Weekly Plan'!G74</f>
        <v>Rear Belt</v>
      </c>
      <c r="J10" s="60" t="str">
        <f>IF('Weekly Plan'!J74=0,"",'Weekly Plan'!J74)</f>
        <v/>
      </c>
      <c r="K10" s="97">
        <f>'Weekly Plan'!A74</f>
        <v>20</v>
      </c>
      <c r="L10" s="97">
        <f t="shared" si="1"/>
        <v>0</v>
      </c>
      <c r="M10" s="56" t="str">
        <f>'Weekly Plan'!F99</f>
        <v>Other</v>
      </c>
      <c r="N10" s="57" t="str">
        <f>'Weekly Plan'!G99</f>
        <v>White - RH</v>
      </c>
      <c r="O10" s="58" t="str">
        <f>IF('Weekly Plan'!J99=0,"",'Weekly Plan'!J99)</f>
        <v/>
      </c>
      <c r="P10" s="4">
        <f>'Weekly Plan'!A99</f>
        <v>2</v>
      </c>
      <c r="Q10" s="4">
        <f t="shared" si="2"/>
        <v>0</v>
      </c>
      <c r="R10" s="4"/>
      <c r="W10" s="9"/>
      <c r="X10" s="9"/>
      <c r="Y10" s="9"/>
      <c r="Z10" s="9"/>
      <c r="AA10" s="9"/>
      <c r="AB10" s="9"/>
      <c r="AC10" s="4">
        <v>3</v>
      </c>
    </row>
    <row r="11" spans="1:29" ht="15" customHeight="1" thickBot="1" x14ac:dyDescent="0.25">
      <c r="A11" s="50">
        <f>'Weekly Plan'!F10</f>
        <v>708200871</v>
      </c>
      <c r="B11" s="51" t="s">
        <v>54</v>
      </c>
      <c r="C11" s="52" t="str">
        <f>'Weekly Plan'!G10</f>
        <v>RH Front Fairing</v>
      </c>
      <c r="D11" s="53" t="str">
        <f>IF('Weekly Plan'!J10=0,"",'Weekly Plan'!J10)</f>
        <v/>
      </c>
      <c r="E11" s="97">
        <f>'Weekly Plan'!A10</f>
        <v>1</v>
      </c>
      <c r="F11" s="97">
        <f t="shared" si="0"/>
        <v>0</v>
      </c>
      <c r="G11" s="59"/>
      <c r="H11" s="59"/>
      <c r="I11" s="59"/>
      <c r="J11" s="64"/>
      <c r="K11" s="97"/>
      <c r="L11" s="97"/>
      <c r="M11" s="59"/>
      <c r="N11" s="59"/>
      <c r="O11" s="59"/>
      <c r="P11" s="4"/>
      <c r="Q11" s="4"/>
      <c r="R11" s="4"/>
      <c r="W11" s="9"/>
      <c r="X11" s="9"/>
      <c r="Y11" s="9"/>
      <c r="Z11" s="9"/>
      <c r="AA11" s="9"/>
      <c r="AB11" s="9"/>
      <c r="AC11" s="4">
        <v>3</v>
      </c>
    </row>
    <row r="12" spans="1:29" ht="15" customHeight="1" x14ac:dyDescent="0.2">
      <c r="A12" s="50">
        <f>'Weekly Plan'!F11</f>
        <v>708200869</v>
      </c>
      <c r="B12" s="51" t="s">
        <v>54</v>
      </c>
      <c r="C12" s="52" t="str">
        <f>'Weekly Plan'!G11</f>
        <v>R66 Hood</v>
      </c>
      <c r="D12" s="53" t="str">
        <f>IF('Weekly Plan'!J11=0,"",'Weekly Plan'!J11)</f>
        <v/>
      </c>
      <c r="E12" s="97">
        <f>'Weekly Plan'!A11</f>
        <v>1</v>
      </c>
      <c r="F12" s="97">
        <f t="shared" si="0"/>
        <v>0</v>
      </c>
      <c r="G12" s="146" t="s">
        <v>241</v>
      </c>
      <c r="H12" s="147"/>
      <c r="I12" s="147"/>
      <c r="J12" s="148"/>
      <c r="K12" s="97"/>
      <c r="L12" s="97"/>
      <c r="M12" s="138" t="s">
        <v>213</v>
      </c>
      <c r="N12" s="139"/>
      <c r="O12" s="140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50">
        <f>'Weekly Plan'!F12</f>
        <v>708302947</v>
      </c>
      <c r="B13" s="51" t="s">
        <v>54</v>
      </c>
      <c r="C13" s="52" t="str">
        <f>'Weekly Plan'!G12</f>
        <v>LH Box Cover</v>
      </c>
      <c r="D13" s="53" t="str">
        <f>IF('Weekly Plan'!J12=0,"",'Weekly Plan'!J12)</f>
        <v/>
      </c>
      <c r="E13" s="97">
        <f>'Weekly Plan'!A12</f>
        <v>2</v>
      </c>
      <c r="F13" s="97">
        <f t="shared" si="0"/>
        <v>0</v>
      </c>
      <c r="G13" s="50">
        <f>'Weekly Plan'!F76</f>
        <v>99629</v>
      </c>
      <c r="H13" s="91" t="s">
        <v>123</v>
      </c>
      <c r="I13" s="52" t="str">
        <f>'Weekly Plan'!G76</f>
        <v>Main Lower Cover</v>
      </c>
      <c r="J13" s="54" t="str">
        <f>IF('Weekly Plan'!J76=0,"",'Weekly Plan'!J76)</f>
        <v/>
      </c>
      <c r="K13" s="97">
        <f>'Weekly Plan'!A76</f>
        <v>1</v>
      </c>
      <c r="L13" s="97">
        <f t="shared" ref="L13:L33" si="3">IFERROR(J13/K13,0)</f>
        <v>0</v>
      </c>
      <c r="M13" s="55">
        <f>'Weekly Plan'!F81</f>
        <v>0</v>
      </c>
      <c r="N13" s="52" t="str">
        <f>'Weekly Plan'!G81</f>
        <v>Handles</v>
      </c>
      <c r="O13" s="53" t="str">
        <f>IF('Weekly Plan'!J81=0,"",'Weekly Plan'!J81)</f>
        <v/>
      </c>
      <c r="P13" s="2">
        <f>'Weekly Plan'!A81</f>
        <v>18</v>
      </c>
      <c r="Q13" s="4">
        <f t="shared" si="2"/>
        <v>0</v>
      </c>
      <c r="AC13" s="2">
        <v>4</v>
      </c>
    </row>
    <row r="14" spans="1:29" ht="15" customHeight="1" x14ac:dyDescent="0.2">
      <c r="A14" s="50">
        <f>'Weekly Plan'!F13</f>
        <v>708302948</v>
      </c>
      <c r="B14" s="51" t="s">
        <v>54</v>
      </c>
      <c r="C14" s="52" t="str">
        <f>'Weekly Plan'!G13</f>
        <v>RH Box Cover</v>
      </c>
      <c r="D14" s="53" t="str">
        <f>IF('Weekly Plan'!J13=0,"",'Weekly Plan'!J13)</f>
        <v/>
      </c>
      <c r="E14" s="97">
        <f>'Weekly Plan'!A13</f>
        <v>2</v>
      </c>
      <c r="F14" s="97">
        <f t="shared" si="0"/>
        <v>0</v>
      </c>
      <c r="G14" s="50">
        <f>'Weekly Plan'!F77</f>
        <v>99631</v>
      </c>
      <c r="H14" s="91" t="s">
        <v>123</v>
      </c>
      <c r="I14" s="52" t="str">
        <f>'Weekly Plan'!G77</f>
        <v>Main Upper Cover</v>
      </c>
      <c r="J14" s="54" t="str">
        <f>IF('Weekly Plan'!J77=0,"",'Weekly Plan'!J77)</f>
        <v/>
      </c>
      <c r="K14" s="97">
        <f>'Weekly Plan'!A77</f>
        <v>1</v>
      </c>
      <c r="L14" s="97">
        <f t="shared" si="3"/>
        <v>0</v>
      </c>
      <c r="M14" s="55">
        <f>'Weekly Plan'!F82</f>
        <v>0</v>
      </c>
      <c r="N14" s="52">
        <f>'Weekly Plan'!G82</f>
        <v>0</v>
      </c>
      <c r="O14" s="53" t="str">
        <f>IF('Weekly Plan'!J82=0,"",'Weekly Plan'!J82)</f>
        <v/>
      </c>
      <c r="P14" s="2">
        <f>'Weekly Plan'!A82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50">
        <f>'Weekly Plan'!F14</f>
        <v>708303800</v>
      </c>
      <c r="B15" s="51" t="s">
        <v>54</v>
      </c>
      <c r="C15" s="52" t="str">
        <f>'Weekly Plan'!G14</f>
        <v>LH F3T Panel</v>
      </c>
      <c r="D15" s="53" t="str">
        <f>IF('Weekly Plan'!J14=0,"",'Weekly Plan'!J14)</f>
        <v/>
      </c>
      <c r="E15" s="97">
        <f>'Weekly Plan'!A14</f>
        <v>4</v>
      </c>
      <c r="F15" s="97">
        <f t="shared" si="0"/>
        <v>0</v>
      </c>
      <c r="G15" s="50">
        <f>'Weekly Plan'!F78</f>
        <v>99638</v>
      </c>
      <c r="H15" s="91" t="s">
        <v>123</v>
      </c>
      <c r="I15" s="52" t="str">
        <f>'Weekly Plan'!G78</f>
        <v>Rear Plate</v>
      </c>
      <c r="J15" s="54" t="str">
        <f>IF('Weekly Plan'!J78=0,"",'Weekly Plan'!J78)</f>
        <v/>
      </c>
      <c r="K15" s="97">
        <f>'Weekly Plan'!A78</f>
        <v>20</v>
      </c>
      <c r="L15" s="97">
        <f t="shared" si="3"/>
        <v>0</v>
      </c>
      <c r="M15" s="56">
        <f>'Weekly Plan'!F83</f>
        <v>0</v>
      </c>
      <c r="N15" s="57">
        <f>'Weekly Plan'!G83</f>
        <v>0</v>
      </c>
      <c r="O15" s="53" t="str">
        <f>IF('Weekly Plan'!J83=0,"",'Weekly Plan'!J83)</f>
        <v/>
      </c>
      <c r="P15" s="2">
        <f>'Weekly Plan'!A83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50">
        <f>'Weekly Plan'!F15</f>
        <v>708303801</v>
      </c>
      <c r="B16" s="51" t="s">
        <v>54</v>
      </c>
      <c r="C16" s="52" t="str">
        <f>'Weekly Plan'!G15</f>
        <v>RH F3T Panel</v>
      </c>
      <c r="D16" s="53" t="str">
        <f>IF('Weekly Plan'!J15=0,"",'Weekly Plan'!J15)</f>
        <v/>
      </c>
      <c r="E16" s="97">
        <f>'Weekly Plan'!A15</f>
        <v>4</v>
      </c>
      <c r="F16" s="97">
        <f t="shared" si="0"/>
        <v>0</v>
      </c>
      <c r="G16" s="62">
        <f>'Weekly Plan'!F79</f>
        <v>99630</v>
      </c>
      <c r="H16" s="94" t="s">
        <v>123</v>
      </c>
      <c r="I16" s="57" t="str">
        <f>'Weekly Plan'!G79</f>
        <v>Vent Cover</v>
      </c>
      <c r="J16" s="60" t="str">
        <f>IF('Weekly Plan'!J79=0,"",'Weekly Plan'!J79)</f>
        <v/>
      </c>
      <c r="K16" s="97">
        <f>'Weekly Plan'!A79</f>
        <v>1</v>
      </c>
      <c r="L16" s="97">
        <f t="shared" si="3"/>
        <v>0</v>
      </c>
      <c r="M16" s="61"/>
      <c r="N16" s="61"/>
      <c r="O16" s="61"/>
      <c r="P16" s="4"/>
      <c r="Q16" s="4"/>
      <c r="R16" s="4"/>
      <c r="AC16" s="4">
        <v>2</v>
      </c>
    </row>
    <row r="17" spans="1:29" ht="15" customHeight="1" thickBot="1" x14ac:dyDescent="0.25">
      <c r="A17" s="50">
        <f>'Weekly Plan'!F16</f>
        <v>708400461</v>
      </c>
      <c r="B17" s="51" t="s">
        <v>54</v>
      </c>
      <c r="C17" s="52" t="str">
        <f>'Weekly Plan'!G16</f>
        <v>LH Mirror Shell -No Hole</v>
      </c>
      <c r="D17" s="53" t="str">
        <f>IF('Weekly Plan'!J16=0,"",'Weekly Plan'!J16)</f>
        <v/>
      </c>
      <c r="E17" s="97">
        <f>'Weekly Plan'!A16</f>
        <v>2</v>
      </c>
      <c r="F17" s="97">
        <f t="shared" si="0"/>
        <v>0</v>
      </c>
      <c r="G17" s="61"/>
      <c r="H17" s="61"/>
      <c r="I17" s="61"/>
      <c r="J17" s="61"/>
      <c r="K17" s="99"/>
      <c r="L17" s="97"/>
      <c r="M17" s="138" t="s">
        <v>103</v>
      </c>
      <c r="N17" s="139"/>
      <c r="O17" s="140"/>
      <c r="P17" s="4"/>
      <c r="Q17" s="4"/>
      <c r="R17" s="4"/>
      <c r="AC17" s="4">
        <v>1</v>
      </c>
    </row>
    <row r="18" spans="1:29" ht="15" customHeight="1" thickBot="1" x14ac:dyDescent="0.25">
      <c r="A18" s="62">
        <f>'Weekly Plan'!F17</f>
        <v>708400463</v>
      </c>
      <c r="B18" s="63" t="s">
        <v>54</v>
      </c>
      <c r="C18" s="57" t="str">
        <f>'Weekly Plan'!G17</f>
        <v xml:space="preserve">RH Mirror Shell - No Hole </v>
      </c>
      <c r="D18" s="58" t="str">
        <f>IF('Weekly Plan'!J17=0,"",'Weekly Plan'!J17)</f>
        <v/>
      </c>
      <c r="E18" s="97">
        <f>'Weekly Plan'!A17</f>
        <v>2</v>
      </c>
      <c r="F18" s="97">
        <f t="shared" si="0"/>
        <v>0</v>
      </c>
      <c r="G18" s="143" t="s">
        <v>253</v>
      </c>
      <c r="H18" s="144"/>
      <c r="I18" s="144"/>
      <c r="J18" s="145"/>
      <c r="K18" s="97"/>
      <c r="L18" s="97"/>
      <c r="M18" s="55">
        <f>'Weekly Plan'!F85</f>
        <v>0</v>
      </c>
      <c r="N18" s="52" t="str">
        <f>'Weekly Plan'!G85</f>
        <v>Base Dual</v>
      </c>
      <c r="O18" s="53" t="str">
        <f>IF('Weekly Plan'!J85=0,"",'Weekly Plan'!J85)</f>
        <v/>
      </c>
      <c r="P18" s="4">
        <f>'Weekly Plan'!A85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64"/>
      <c r="B19" s="64"/>
      <c r="C19" s="64"/>
      <c r="D19" s="64"/>
      <c r="E19" s="97"/>
      <c r="F19" s="97"/>
      <c r="G19" s="50">
        <f>'Weekly Plan'!F19</f>
        <v>705009213</v>
      </c>
      <c r="H19" s="88" t="s">
        <v>261</v>
      </c>
      <c r="I19" s="52" t="str">
        <f>'Weekly Plan'!G19</f>
        <v>LH F3T Low Fairing</v>
      </c>
      <c r="J19" s="53" t="str">
        <f>IF('Weekly Plan'!J19=0,"",'Weekly Plan'!J19)</f>
        <v/>
      </c>
      <c r="K19" s="97">
        <f>'Weekly Plan'!A19</f>
        <v>2</v>
      </c>
      <c r="L19" s="97">
        <f t="shared" si="3"/>
        <v>0</v>
      </c>
      <c r="M19" s="55">
        <f>'Weekly Plan'!F86</f>
        <v>500458</v>
      </c>
      <c r="N19" s="52" t="str">
        <f>'Weekly Plan'!G86</f>
        <v>Face Plate, DTM, SSR</v>
      </c>
      <c r="O19" s="53" t="str">
        <f>IF('Weekly Plan'!J86=0,"",'Weekly Plan'!J86)</f>
        <v/>
      </c>
      <c r="P19" s="4">
        <f>'Weekly Plan'!A86</f>
        <v>16</v>
      </c>
      <c r="Q19" s="4">
        <f t="shared" si="2"/>
        <v>0</v>
      </c>
      <c r="AC19" s="2">
        <v>1</v>
      </c>
    </row>
    <row r="20" spans="1:29" ht="15" customHeight="1" thickBot="1" x14ac:dyDescent="0.25">
      <c r="A20" s="143" t="s">
        <v>79</v>
      </c>
      <c r="B20" s="144"/>
      <c r="C20" s="144"/>
      <c r="D20" s="145"/>
      <c r="E20" s="97"/>
      <c r="F20" s="97"/>
      <c r="G20" s="50">
        <f>'Weekly Plan'!F20</f>
        <v>705009214</v>
      </c>
      <c r="H20" s="88" t="s">
        <v>261</v>
      </c>
      <c r="I20" s="52" t="str">
        <f>'Weekly Plan'!G20</f>
        <v>RH F3T Low Fairing</v>
      </c>
      <c r="J20" s="53" t="str">
        <f>IF('Weekly Plan'!J20=0,"",'Weekly Plan'!J20)</f>
        <v/>
      </c>
      <c r="K20" s="97">
        <f>'Weekly Plan'!A20</f>
        <v>2</v>
      </c>
      <c r="L20" s="97">
        <f t="shared" si="3"/>
        <v>0</v>
      </c>
      <c r="M20" s="56">
        <f>'Weekly Plan'!F87</f>
        <v>500458</v>
      </c>
      <c r="N20" s="57" t="str">
        <f>'Weekly Plan'!G87</f>
        <v>Face Plate, STM, SSR</v>
      </c>
      <c r="O20" s="58" t="str">
        <f>IF('Weekly Plan'!J87=0,"",'Weekly Plan'!J87)</f>
        <v/>
      </c>
      <c r="P20" s="4">
        <f>'Weekly Plan'!A87</f>
        <v>16</v>
      </c>
      <c r="Q20" s="4">
        <f t="shared" si="2"/>
        <v>0</v>
      </c>
      <c r="AC20" s="2">
        <v>2</v>
      </c>
    </row>
    <row r="21" spans="1:29" ht="15" customHeight="1" thickBot="1" x14ac:dyDescent="0.25">
      <c r="A21" s="50">
        <f>'Weekly Plan'!F34</f>
        <v>708400287</v>
      </c>
      <c r="B21" s="51" t="s">
        <v>79</v>
      </c>
      <c r="C21" s="52" t="str">
        <f>'Weekly Plan'!G34</f>
        <v>Tank Cover</v>
      </c>
      <c r="D21" s="53" t="str">
        <f>IF('Weekly Plan'!J34=0,"",'Weekly Plan'!J34)</f>
        <v/>
      </c>
      <c r="E21" s="97">
        <f>'Weekly Plan'!A34</f>
        <v>2</v>
      </c>
      <c r="F21" s="97">
        <f t="shared" ref="F21:F39" si="4">IFERROR(D21/E21,0)</f>
        <v>0</v>
      </c>
      <c r="G21" s="50">
        <f>'Weekly Plan'!F21</f>
        <v>705010835</v>
      </c>
      <c r="H21" s="88" t="s">
        <v>261</v>
      </c>
      <c r="I21" s="52" t="str">
        <f>'Weekly Plan'!G21</f>
        <v>RH Fairing</v>
      </c>
      <c r="J21" s="53" t="str">
        <f>IF('Weekly Plan'!J21=0,"",'Weekly Plan'!J21)</f>
        <v/>
      </c>
      <c r="K21" s="97">
        <f>'Weekly Plan'!A21</f>
        <v>1</v>
      </c>
      <c r="L21" s="97">
        <f t="shared" si="3"/>
        <v>0</v>
      </c>
      <c r="M21" s="61"/>
      <c r="N21" s="61"/>
      <c r="O21" s="61"/>
      <c r="P21" s="4"/>
      <c r="Q21" s="4"/>
      <c r="R21" s="4"/>
      <c r="AC21" s="4">
        <v>1</v>
      </c>
    </row>
    <row r="22" spans="1:29" ht="15" customHeight="1" x14ac:dyDescent="0.2">
      <c r="A22" s="50">
        <f>'Weekly Plan'!F35</f>
        <v>705019189</v>
      </c>
      <c r="B22" s="51" t="s">
        <v>79</v>
      </c>
      <c r="C22" s="52" t="str">
        <f>'Weekly Plan'!G35</f>
        <v>New Tank Cover</v>
      </c>
      <c r="D22" s="53" t="str">
        <f>IF('Weekly Plan'!J35=0,"",'Weekly Plan'!J35)</f>
        <v/>
      </c>
      <c r="E22" s="97">
        <f>'Weekly Plan'!A35</f>
        <v>2</v>
      </c>
      <c r="F22" s="97">
        <f t="shared" si="4"/>
        <v>0</v>
      </c>
      <c r="G22" s="50">
        <f>'Weekly Plan'!F22</f>
        <v>705010851</v>
      </c>
      <c r="H22" s="88" t="s">
        <v>261</v>
      </c>
      <c r="I22" s="52" t="str">
        <f>'Weekly Plan'!G22</f>
        <v>LH Fairing</v>
      </c>
      <c r="J22" s="53" t="str">
        <f>IF('Weekly Plan'!J22=0,"",'Weekly Plan'!J22)</f>
        <v/>
      </c>
      <c r="K22" s="97">
        <f>'Weekly Plan'!A22</f>
        <v>1</v>
      </c>
      <c r="L22" s="97">
        <f t="shared" si="3"/>
        <v>0</v>
      </c>
      <c r="M22" s="138" t="s">
        <v>217</v>
      </c>
      <c r="N22" s="139"/>
      <c r="O22" s="140"/>
      <c r="P22" s="4"/>
      <c r="Q22" s="4"/>
      <c r="R22" s="4"/>
      <c r="AC22" s="4">
        <v>2</v>
      </c>
    </row>
    <row r="23" spans="1:29" ht="15" customHeight="1" x14ac:dyDescent="0.2">
      <c r="A23" s="50">
        <f>'Weekly Plan'!F36</f>
        <v>708001528</v>
      </c>
      <c r="B23" s="51" t="s">
        <v>79</v>
      </c>
      <c r="C23" s="52" t="str">
        <f>'Weekly Plan'!G36</f>
        <v>Tail Fairing</v>
      </c>
      <c r="D23" s="53" t="str">
        <f>IF('Weekly Plan'!J36=0,"",'Weekly Plan'!J36)</f>
        <v/>
      </c>
      <c r="E23" s="97">
        <f>'Weekly Plan'!A36</f>
        <v>2</v>
      </c>
      <c r="F23" s="97">
        <f t="shared" si="4"/>
        <v>0</v>
      </c>
      <c r="G23" s="50">
        <f>'Weekly Plan'!F23</f>
        <v>705012976</v>
      </c>
      <c r="H23" s="88" t="s">
        <v>261</v>
      </c>
      <c r="I23" s="52" t="str">
        <f>'Weekly Plan'!G23</f>
        <v>LH Fender</v>
      </c>
      <c r="J23" s="53" t="str">
        <f>IF('Weekly Plan'!J23=0,"",'Weekly Plan'!J23)</f>
        <v/>
      </c>
      <c r="K23" s="97">
        <f>'Weekly Plan'!A23</f>
        <v>2</v>
      </c>
      <c r="L23" s="97">
        <f t="shared" si="3"/>
        <v>0</v>
      </c>
      <c r="M23" s="55">
        <f>'Weekly Plan'!F89</f>
        <v>2650</v>
      </c>
      <c r="N23" s="52" t="str">
        <f>'Weekly Plan'!G89</f>
        <v>LH Side Puck</v>
      </c>
      <c r="O23" s="53" t="str">
        <f>IF('Weekly Plan'!J89=0,"",'Weekly Plan'!J89)</f>
        <v/>
      </c>
      <c r="P23" s="4">
        <f>'Weekly Plan'!A89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50">
        <f>'Weekly Plan'!F37</f>
        <v>708400069</v>
      </c>
      <c r="B24" s="51" t="s">
        <v>79</v>
      </c>
      <c r="C24" s="52" t="str">
        <f>'Weekly Plan'!G37</f>
        <v>RH Consol Fairing</v>
      </c>
      <c r="D24" s="53" t="str">
        <f>IF('Weekly Plan'!J37=0,"",'Weekly Plan'!J37)</f>
        <v/>
      </c>
      <c r="E24" s="97">
        <f>'Weekly Plan'!A37</f>
        <v>2</v>
      </c>
      <c r="F24" s="97">
        <f t="shared" si="4"/>
        <v>0</v>
      </c>
      <c r="G24" s="50">
        <f>'Weekly Plan'!F24</f>
        <v>705012868</v>
      </c>
      <c r="H24" s="88" t="s">
        <v>261</v>
      </c>
      <c r="I24" s="52" t="str">
        <f>'Weekly Plan'!G24</f>
        <v>RH Fender</v>
      </c>
      <c r="J24" s="53" t="str">
        <f>IF('Weekly Plan'!J24=0,"",'Weekly Plan'!J24)</f>
        <v/>
      </c>
      <c r="K24" s="97">
        <f>'Weekly Plan'!A24</f>
        <v>2</v>
      </c>
      <c r="L24" s="97">
        <f t="shared" si="3"/>
        <v>0</v>
      </c>
      <c r="M24" s="55">
        <f>'Weekly Plan'!F90</f>
        <v>2651</v>
      </c>
      <c r="N24" s="52" t="str">
        <f>'Weekly Plan'!G90</f>
        <v>RH Side Puck</v>
      </c>
      <c r="O24" s="53" t="str">
        <f>IF('Weekly Plan'!J90=0,"",'Weekly Plan'!J90)</f>
        <v/>
      </c>
      <c r="P24" s="4">
        <f>'Weekly Plan'!A90</f>
        <v>6</v>
      </c>
      <c r="Q24" s="4">
        <f t="shared" ref="Q24:Q32" si="5">IFERROR(O24/P24,0)</f>
        <v>0</v>
      </c>
      <c r="R24" s="4"/>
      <c r="AC24" s="4">
        <v>2</v>
      </c>
    </row>
    <row r="25" spans="1:29" ht="15" customHeight="1" x14ac:dyDescent="0.2">
      <c r="A25" s="50">
        <f>'Weekly Plan'!F38</f>
        <v>708400067</v>
      </c>
      <c r="B25" s="51" t="s">
        <v>79</v>
      </c>
      <c r="C25" s="52" t="str">
        <f>'Weekly Plan'!G38</f>
        <v>LH Consol Fairing</v>
      </c>
      <c r="D25" s="53" t="str">
        <f>IF('Weekly Plan'!J38=0,"",'Weekly Plan'!J38)</f>
        <v/>
      </c>
      <c r="E25" s="97">
        <f>'Weekly Plan'!A38</f>
        <v>2</v>
      </c>
      <c r="F25" s="97">
        <f t="shared" si="4"/>
        <v>0</v>
      </c>
      <c r="G25" s="50">
        <f>'Weekly Plan'!F25</f>
        <v>708200366</v>
      </c>
      <c r="H25" s="88" t="s">
        <v>261</v>
      </c>
      <c r="I25" s="52" t="str">
        <f>'Weekly Plan'!G25</f>
        <v>Hood</v>
      </c>
      <c r="J25" s="53" t="str">
        <f>IF('Weekly Plan'!J25=0,"",'Weekly Plan'!J25)</f>
        <v/>
      </c>
      <c r="K25" s="97">
        <f>'Weekly Plan'!A25</f>
        <v>1</v>
      </c>
      <c r="L25" s="97">
        <f t="shared" si="3"/>
        <v>0</v>
      </c>
      <c r="M25" s="55">
        <f>'Weekly Plan'!F91</f>
        <v>2647</v>
      </c>
      <c r="N25" s="52" t="str">
        <f>'Weekly Plan'!G91</f>
        <v>Front Puck</v>
      </c>
      <c r="O25" s="53" t="str">
        <f>IF('Weekly Plan'!J91=0,"",'Weekly Plan'!J91)</f>
        <v/>
      </c>
      <c r="P25" s="4">
        <f>'Weekly Plan'!A91</f>
        <v>6</v>
      </c>
      <c r="Q25" s="4">
        <f t="shared" si="5"/>
        <v>0</v>
      </c>
      <c r="R25" s="4">
        <v>18</v>
      </c>
      <c r="AC25" s="4">
        <v>1</v>
      </c>
    </row>
    <row r="26" spans="1:29" ht="15" customHeight="1" thickBot="1" x14ac:dyDescent="0.25">
      <c r="A26" s="50">
        <f>'Weekly Plan'!F39</f>
        <v>708400956</v>
      </c>
      <c r="B26" s="51" t="s">
        <v>79</v>
      </c>
      <c r="C26" s="52" t="str">
        <f>'Weekly Plan'!G39</f>
        <v>New LH Console Panel</v>
      </c>
      <c r="D26" s="53" t="str">
        <f>IF('Weekly Plan'!J39=0,"",'Weekly Plan'!J39)</f>
        <v/>
      </c>
      <c r="E26" s="97">
        <f>'Weekly Plan'!A39</f>
        <v>2</v>
      </c>
      <c r="F26" s="97">
        <f t="shared" si="4"/>
        <v>0</v>
      </c>
      <c r="G26" s="50">
        <f>'Weekly Plan'!F26</f>
        <v>708200401</v>
      </c>
      <c r="H26" s="88" t="s">
        <v>261</v>
      </c>
      <c r="I26" s="52" t="str">
        <f>'Weekly Plan'!G26</f>
        <v>LH Vent Panel</v>
      </c>
      <c r="J26" s="53" t="str">
        <f>IF('Weekly Plan'!J26=0,"",'Weekly Plan'!J26)</f>
        <v/>
      </c>
      <c r="K26" s="97">
        <f>'Weekly Plan'!A26</f>
        <v>2</v>
      </c>
      <c r="L26" s="97">
        <f t="shared" si="3"/>
        <v>0</v>
      </c>
      <c r="M26" s="56">
        <f>'Weekly Plan'!F92</f>
        <v>0</v>
      </c>
      <c r="N26" s="57">
        <f>'Weekly Plan'!G92</f>
        <v>0</v>
      </c>
      <c r="O26" s="58" t="str">
        <f>IF('Weekly Plan'!J92=0,"",'Weekly Plan'!J92)</f>
        <v/>
      </c>
      <c r="P26" s="4">
        <f>'Weekly Plan'!A92</f>
        <v>0</v>
      </c>
      <c r="Q26" s="4">
        <f t="shared" si="5"/>
        <v>0</v>
      </c>
      <c r="R26" s="4"/>
      <c r="AC26" s="4">
        <v>1</v>
      </c>
    </row>
    <row r="27" spans="1:29" ht="15" customHeight="1" thickBot="1" x14ac:dyDescent="0.25">
      <c r="A27" s="50">
        <f>'Weekly Plan'!F40</f>
        <v>708400957</v>
      </c>
      <c r="B27" s="51" t="s">
        <v>79</v>
      </c>
      <c r="C27" s="52" t="str">
        <f>'Weekly Plan'!G40</f>
        <v>New RH Console Panel</v>
      </c>
      <c r="D27" s="53" t="str">
        <f>IF('Weekly Plan'!J40=0,"",'Weekly Plan'!J40)</f>
        <v/>
      </c>
      <c r="E27" s="97">
        <f>'Weekly Plan'!A40</f>
        <v>2</v>
      </c>
      <c r="F27" s="97">
        <f t="shared" si="4"/>
        <v>0</v>
      </c>
      <c r="G27" s="50">
        <f>'Weekly Plan'!F27</f>
        <v>708200402</v>
      </c>
      <c r="H27" s="88" t="s">
        <v>261</v>
      </c>
      <c r="I27" s="52" t="str">
        <f>'Weekly Plan'!G27</f>
        <v>RH Vent Panel</v>
      </c>
      <c r="J27" s="53" t="str">
        <f>IF('Weekly Plan'!J27=0,"",'Weekly Plan'!J27)</f>
        <v/>
      </c>
      <c r="K27" s="97">
        <f>'Weekly Plan'!A27</f>
        <v>2</v>
      </c>
      <c r="L27" s="97">
        <f t="shared" si="3"/>
        <v>0</v>
      </c>
      <c r="M27" s="65"/>
      <c r="N27" s="65"/>
      <c r="O27" s="65"/>
      <c r="P27" s="4">
        <f>'Weekly Plan'!A93</f>
        <v>0</v>
      </c>
      <c r="Q27" s="4"/>
      <c r="AC27" s="2">
        <v>1</v>
      </c>
    </row>
    <row r="28" spans="1:29" ht="15" customHeight="1" x14ac:dyDescent="0.2">
      <c r="A28" s="50">
        <f>'Weekly Plan'!F41</f>
        <v>708400722</v>
      </c>
      <c r="B28" s="51" t="s">
        <v>79</v>
      </c>
      <c r="C28" s="52" t="str">
        <f>'Weekly Plan'!G41</f>
        <v>New Nose Fairing</v>
      </c>
      <c r="D28" s="53" t="str">
        <f>IF('Weekly Plan'!J41=0,"",'Weekly Plan'!J41)</f>
        <v/>
      </c>
      <c r="E28" s="97">
        <f>'Weekly Plan'!A41</f>
        <v>2</v>
      </c>
      <c r="F28" s="97">
        <f t="shared" si="4"/>
        <v>0</v>
      </c>
      <c r="G28" s="50">
        <f>'Weekly Plan'!F28</f>
        <v>708200698</v>
      </c>
      <c r="H28" s="88" t="s">
        <v>261</v>
      </c>
      <c r="I28" s="52" t="str">
        <f>'Weekly Plan'!G28</f>
        <v>Fascia</v>
      </c>
      <c r="J28" s="53" t="str">
        <f>IF('Weekly Plan'!J28=0,"",'Weekly Plan'!J28)</f>
        <v/>
      </c>
      <c r="K28" s="97">
        <f>'Weekly Plan'!A28</f>
        <v>1</v>
      </c>
      <c r="L28" s="97">
        <f t="shared" si="3"/>
        <v>0</v>
      </c>
      <c r="M28" s="138" t="s">
        <v>209</v>
      </c>
      <c r="N28" s="139"/>
      <c r="O28" s="140"/>
      <c r="P28" s="4">
        <f>'Weekly Plan'!A94</f>
        <v>2</v>
      </c>
      <c r="Q28" s="4"/>
      <c r="AC28" s="2">
        <v>2</v>
      </c>
    </row>
    <row r="29" spans="1:29" ht="15" customHeight="1" x14ac:dyDescent="0.2">
      <c r="A29" s="50">
        <f>'Weekly Plan'!F42</f>
        <v>708400721</v>
      </c>
      <c r="B29" s="51" t="s">
        <v>79</v>
      </c>
      <c r="C29" s="52" t="str">
        <f>'Weekly Plan'!G42</f>
        <v>New Tail Fairing</v>
      </c>
      <c r="D29" s="53" t="str">
        <f>IF('Weekly Plan'!J42=0,"",'Weekly Plan'!J42)</f>
        <v/>
      </c>
      <c r="E29" s="97">
        <f>'Weekly Plan'!A42</f>
        <v>8</v>
      </c>
      <c r="F29" s="97">
        <f t="shared" si="4"/>
        <v>0</v>
      </c>
      <c r="G29" s="50">
        <f>'Weekly Plan'!F29</f>
        <v>708301214</v>
      </c>
      <c r="H29" s="88" t="s">
        <v>261</v>
      </c>
      <c r="I29" s="52" t="str">
        <f>'Weekly Plan'!G29</f>
        <v>LH Cover</v>
      </c>
      <c r="J29" s="53" t="str">
        <f>IF('Weekly Plan'!J29=0,"",'Weekly Plan'!J29)</f>
        <v/>
      </c>
      <c r="K29" s="97">
        <f>'Weekly Plan'!A29</f>
        <v>1</v>
      </c>
      <c r="L29" s="97">
        <f t="shared" si="3"/>
        <v>0</v>
      </c>
      <c r="M29" s="55">
        <f>'Weekly Plan'!F101</f>
        <v>9929</v>
      </c>
      <c r="N29" s="52" t="str">
        <f>'Weekly Plan'!G101</f>
        <v>MS Applique</v>
      </c>
      <c r="O29" s="53" t="str">
        <f>IF('Weekly Plan'!J101=0,"",'Weekly Plan'!J101)</f>
        <v/>
      </c>
      <c r="P29" s="4">
        <f>'Weekly Plan'!A101</f>
        <v>6</v>
      </c>
      <c r="Q29" s="4">
        <f t="shared" si="5"/>
        <v>0</v>
      </c>
      <c r="R29" s="2">
        <v>21</v>
      </c>
      <c r="AC29" s="2"/>
    </row>
    <row r="30" spans="1:29" ht="15" customHeight="1" x14ac:dyDescent="0.2">
      <c r="A30" s="50">
        <f>'Weekly Plan'!F43</f>
        <v>708400462</v>
      </c>
      <c r="B30" s="51" t="s">
        <v>79</v>
      </c>
      <c r="C30" s="52" t="str">
        <f>'Weekly Plan'!G43</f>
        <v>LH Mirror Shell</v>
      </c>
      <c r="D30" s="53" t="str">
        <f>IF('Weekly Plan'!J43=0,"",'Weekly Plan'!J43)</f>
        <v/>
      </c>
      <c r="E30" s="97">
        <f>'Weekly Plan'!A43</f>
        <v>2</v>
      </c>
      <c r="F30" s="97">
        <f t="shared" si="4"/>
        <v>0</v>
      </c>
      <c r="G30" s="50">
        <f>'Weekly Plan'!F30</f>
        <v>708301215</v>
      </c>
      <c r="H30" s="88" t="s">
        <v>261</v>
      </c>
      <c r="I30" s="52" t="str">
        <f>'Weekly Plan'!G30</f>
        <v>RH Cover</v>
      </c>
      <c r="J30" s="53" t="str">
        <f>IF('Weekly Plan'!J30=0,"",'Weekly Plan'!J30)</f>
        <v/>
      </c>
      <c r="K30" s="97">
        <f>'Weekly Plan'!A30</f>
        <v>1</v>
      </c>
      <c r="L30" s="97">
        <f t="shared" si="3"/>
        <v>0</v>
      </c>
      <c r="M30" s="55">
        <f>'Weekly Plan'!F102</f>
        <v>9931</v>
      </c>
      <c r="N30" s="52" t="str">
        <f>'Weekly Plan'!G102</f>
        <v>MX Applique</v>
      </c>
      <c r="O30" s="53" t="str">
        <f>IF('Weekly Plan'!J102=0,"",'Weekly Plan'!J102)</f>
        <v/>
      </c>
      <c r="P30" s="4">
        <f>'Weekly Plan'!A102</f>
        <v>6</v>
      </c>
      <c r="Q30" s="4">
        <f t="shared" si="5"/>
        <v>0</v>
      </c>
      <c r="R30" s="4"/>
      <c r="S30" s="4"/>
      <c r="AC30" s="4">
        <v>1</v>
      </c>
    </row>
    <row r="31" spans="1:29" ht="15" customHeight="1" x14ac:dyDescent="0.2">
      <c r="A31" s="50">
        <f>'Weekly Plan'!F44</f>
        <v>708400464</v>
      </c>
      <c r="B31" s="51" t="s">
        <v>79</v>
      </c>
      <c r="C31" s="52" t="str">
        <f>'Weekly Plan'!G44</f>
        <v>RH Mirror Shell</v>
      </c>
      <c r="D31" s="53" t="str">
        <f>IF('Weekly Plan'!J44=0,"",'Weekly Plan'!J44)</f>
        <v/>
      </c>
      <c r="E31" s="97">
        <f>'Weekly Plan'!A44</f>
        <v>2</v>
      </c>
      <c r="F31" s="97">
        <f t="shared" si="4"/>
        <v>0</v>
      </c>
      <c r="G31" s="50">
        <f>'Weekly Plan'!F31</f>
        <v>708303800</v>
      </c>
      <c r="H31" s="88" t="s">
        <v>261</v>
      </c>
      <c r="I31" s="52" t="str">
        <f>'Weekly Plan'!G31</f>
        <v>LH F3T Panel</v>
      </c>
      <c r="J31" s="53" t="str">
        <f>IF('Weekly Plan'!J31=0,"",'Weekly Plan'!J31)</f>
        <v/>
      </c>
      <c r="K31" s="97">
        <f>'Weekly Plan'!A31</f>
        <v>4</v>
      </c>
      <c r="L31" s="97">
        <f t="shared" si="3"/>
        <v>0</v>
      </c>
      <c r="M31" s="55">
        <f>'Weekly Plan'!F103</f>
        <v>0</v>
      </c>
      <c r="N31" s="52" t="str">
        <f>'Weekly Plan'!G103</f>
        <v>MS Applique Rework</v>
      </c>
      <c r="O31" s="53" t="str">
        <f>IF('Weekly Plan'!J103=0,"",'Weekly Plan'!J103)</f>
        <v/>
      </c>
      <c r="P31" s="4">
        <f>'Weekly Plan'!A103</f>
        <v>6</v>
      </c>
      <c r="Q31" s="4">
        <f t="shared" si="5"/>
        <v>0</v>
      </c>
      <c r="R31" s="4"/>
      <c r="S31" s="4"/>
      <c r="AC31" s="4">
        <v>1</v>
      </c>
    </row>
    <row r="32" spans="1:29" ht="15" customHeight="1" thickBot="1" x14ac:dyDescent="0.25">
      <c r="A32" s="50">
        <f>'Weekly Plan'!F45</f>
        <v>708400461</v>
      </c>
      <c r="B32" s="51" t="s">
        <v>79</v>
      </c>
      <c r="C32" s="52" t="str">
        <f>'Weekly Plan'!G45</f>
        <v xml:space="preserve">LH Mirror Shell - No Hole </v>
      </c>
      <c r="D32" s="53" t="str">
        <f>IF('Weekly Plan'!J45=0,"",'Weekly Plan'!J45)</f>
        <v/>
      </c>
      <c r="E32" s="97">
        <f>'Weekly Plan'!A45</f>
        <v>2</v>
      </c>
      <c r="F32" s="97">
        <f t="shared" si="4"/>
        <v>0</v>
      </c>
      <c r="G32" s="62">
        <f>'Weekly Plan'!F32</f>
        <v>708303801</v>
      </c>
      <c r="H32" s="95" t="s">
        <v>261</v>
      </c>
      <c r="I32" s="57" t="str">
        <f>'Weekly Plan'!G32</f>
        <v>RH F3T Panel</v>
      </c>
      <c r="J32" s="58" t="str">
        <f>IF('Weekly Plan'!J32=0,"",'Weekly Plan'!J32)</f>
        <v/>
      </c>
      <c r="K32" s="97">
        <f>'Weekly Plan'!A32</f>
        <v>4</v>
      </c>
      <c r="L32" s="97">
        <f t="shared" si="3"/>
        <v>0</v>
      </c>
      <c r="M32" s="56">
        <f>'Weekly Plan'!F104</f>
        <v>0</v>
      </c>
      <c r="N32" s="57" t="str">
        <f>'Weekly Plan'!G104</f>
        <v>MX Applique Rework</v>
      </c>
      <c r="O32" s="58" t="str">
        <f>IF('Weekly Plan'!J104=0,"",'Weekly Plan'!J104)</f>
        <v/>
      </c>
      <c r="P32" s="4">
        <f>'Weekly Plan'!A104</f>
        <v>6</v>
      </c>
      <c r="Q32" s="4">
        <f t="shared" si="5"/>
        <v>0</v>
      </c>
      <c r="R32" s="4"/>
      <c r="S32" s="4"/>
      <c r="AC32" s="4">
        <v>1</v>
      </c>
    </row>
    <row r="33" spans="1:29" ht="15" customHeight="1" x14ac:dyDescent="0.2">
      <c r="A33" s="50">
        <f>'Weekly Plan'!F46</f>
        <v>708400463</v>
      </c>
      <c r="B33" s="51" t="s">
        <v>79</v>
      </c>
      <c r="C33" s="52" t="str">
        <f>'Weekly Plan'!G46</f>
        <v xml:space="preserve">RH Mirror Shell - No Hole </v>
      </c>
      <c r="D33" s="53" t="str">
        <f>IF('Weekly Plan'!J46=0,"",'Weekly Plan'!J46)</f>
        <v/>
      </c>
      <c r="E33" s="97">
        <f>'Weekly Plan'!A46</f>
        <v>2</v>
      </c>
      <c r="F33" s="97">
        <f t="shared" si="4"/>
        <v>0</v>
      </c>
      <c r="K33" s="97">
        <f>'Weekly Plan'!A33</f>
        <v>0</v>
      </c>
      <c r="L33" s="97">
        <f t="shared" si="3"/>
        <v>0</v>
      </c>
      <c r="M33" s="65"/>
      <c r="N33" s="65"/>
      <c r="O33" s="65"/>
      <c r="Q33" s="4"/>
      <c r="R33" s="4"/>
      <c r="S33" s="4"/>
      <c r="AC33" s="4">
        <v>1</v>
      </c>
    </row>
    <row r="34" spans="1:29" ht="15" customHeight="1" thickBot="1" x14ac:dyDescent="0.25">
      <c r="A34" s="50">
        <f>'Weekly Plan'!F47</f>
        <v>705012976</v>
      </c>
      <c r="B34" s="51" t="s">
        <v>79</v>
      </c>
      <c r="C34" s="52" t="str">
        <f>'Weekly Plan'!G47</f>
        <v>LH Fender</v>
      </c>
      <c r="D34" s="53" t="str">
        <f>IF('Weekly Plan'!J47=0,"",'Weekly Plan'!J47)</f>
        <v/>
      </c>
      <c r="E34" s="97">
        <f>'Weekly Plan'!A47</f>
        <v>2</v>
      </c>
      <c r="F34" s="97">
        <f t="shared" si="4"/>
        <v>0</v>
      </c>
      <c r="K34" s="97"/>
      <c r="L34" s="97"/>
      <c r="M34" s="65"/>
      <c r="N34" s="65"/>
      <c r="O34" s="65"/>
      <c r="R34" s="4"/>
      <c r="S34" s="4"/>
      <c r="AC34" s="4">
        <v>2</v>
      </c>
    </row>
    <row r="35" spans="1:29" ht="15" customHeight="1" x14ac:dyDescent="0.2">
      <c r="A35" s="50">
        <f>'Weekly Plan'!F48</f>
        <v>705012868</v>
      </c>
      <c r="B35" s="51" t="s">
        <v>79</v>
      </c>
      <c r="C35" s="52" t="str">
        <f>'Weekly Plan'!G48</f>
        <v>RH Fender</v>
      </c>
      <c r="D35" s="53" t="str">
        <f>IF('Weekly Plan'!J48=0,"",'Weekly Plan'!J48)</f>
        <v/>
      </c>
      <c r="E35" s="97">
        <f>'Weekly Plan'!A48</f>
        <v>2</v>
      </c>
      <c r="F35" s="97">
        <f t="shared" si="4"/>
        <v>0</v>
      </c>
      <c r="G35" s="153" t="s">
        <v>81</v>
      </c>
      <c r="H35" s="154"/>
      <c r="I35" s="154"/>
      <c r="J35" s="155"/>
      <c r="K35" s="97"/>
      <c r="L35" s="97"/>
      <c r="M35" s="89" t="s">
        <v>15</v>
      </c>
      <c r="N35" s="89" t="s">
        <v>16</v>
      </c>
      <c r="O35" s="65"/>
      <c r="R35" s="4">
        <v>4</v>
      </c>
      <c r="S35" s="4"/>
      <c r="AC35" s="4">
        <v>1</v>
      </c>
    </row>
    <row r="36" spans="1:29" ht="15" customHeight="1" x14ac:dyDescent="0.2">
      <c r="A36" s="50">
        <f>'Weekly Plan'!F49</f>
        <v>705011169</v>
      </c>
      <c r="B36" s="51" t="s">
        <v>79</v>
      </c>
      <c r="C36" s="52" t="str">
        <f>'Weekly Plan'!G49</f>
        <v>LH Scoop</v>
      </c>
      <c r="D36" s="53" t="str">
        <f>IF('Weekly Plan'!J49=0,"",'Weekly Plan'!J49)</f>
        <v/>
      </c>
      <c r="E36" s="97">
        <f>'Weekly Plan'!A49</f>
        <v>2</v>
      </c>
      <c r="F36" s="97">
        <f t="shared" si="4"/>
        <v>0</v>
      </c>
      <c r="G36" s="156"/>
      <c r="H36" s="157"/>
      <c r="I36" s="157"/>
      <c r="J36" s="158"/>
      <c r="K36" s="97"/>
      <c r="L36" s="97"/>
      <c r="M36" s="66" t="str">
        <f>A4</f>
        <v>Hyper Silver</v>
      </c>
      <c r="N36" s="67">
        <f>SUM(F5:F18)</f>
        <v>0</v>
      </c>
      <c r="O36" s="68"/>
      <c r="Q36" s="4"/>
      <c r="R36" s="4">
        <v>2</v>
      </c>
      <c r="S36" s="4"/>
      <c r="AC36" s="4">
        <v>1</v>
      </c>
    </row>
    <row r="37" spans="1:29" ht="15" customHeight="1" x14ac:dyDescent="0.2">
      <c r="A37" s="50">
        <f>'Weekly Plan'!F50</f>
        <v>705011170</v>
      </c>
      <c r="B37" s="51" t="s">
        <v>79</v>
      </c>
      <c r="C37" s="52" t="str">
        <f>'Weekly Plan'!G50</f>
        <v>RH Scoop</v>
      </c>
      <c r="D37" s="53" t="str">
        <f>IF('Weekly Plan'!J50=0,"",'Weekly Plan'!J50)</f>
        <v/>
      </c>
      <c r="E37" s="97">
        <f>'Weekly Plan'!A50</f>
        <v>2</v>
      </c>
      <c r="F37" s="97">
        <f t="shared" si="4"/>
        <v>0</v>
      </c>
      <c r="G37" s="159"/>
      <c r="H37" s="160"/>
      <c r="I37" s="160"/>
      <c r="J37" s="161"/>
      <c r="K37" s="97"/>
      <c r="L37" s="97"/>
      <c r="M37" s="66" t="str">
        <f>A20</f>
        <v>Deep Black</v>
      </c>
      <c r="N37" s="67">
        <f>SUM(F21:F39)</f>
        <v>0</v>
      </c>
      <c r="O37" s="68"/>
      <c r="Q37" s="4"/>
      <c r="R37" s="4"/>
      <c r="S37" s="4"/>
      <c r="AC37" s="4">
        <v>1</v>
      </c>
    </row>
    <row r="38" spans="1:29" ht="15" customHeight="1" x14ac:dyDescent="0.2">
      <c r="A38" s="50">
        <f>'Weekly Plan'!F51</f>
        <v>708400261</v>
      </c>
      <c r="B38" s="51" t="s">
        <v>79</v>
      </c>
      <c r="C38" s="52" t="str">
        <f>'Weekly Plan'!G51</f>
        <v>LH Access Panel</v>
      </c>
      <c r="D38" s="53" t="str">
        <f>IF('Weekly Plan'!J51=0,"",'Weekly Plan'!J51)</f>
        <v/>
      </c>
      <c r="E38" s="97">
        <f>'Weekly Plan'!A51</f>
        <v>3</v>
      </c>
      <c r="F38" s="97">
        <f t="shared" si="4"/>
        <v>0</v>
      </c>
      <c r="G38" s="159"/>
      <c r="H38" s="160"/>
      <c r="I38" s="160"/>
      <c r="J38" s="161"/>
      <c r="K38" s="97"/>
      <c r="L38" s="97"/>
      <c r="M38" s="66" t="str">
        <f>G18</f>
        <v>British Green</v>
      </c>
      <c r="N38" s="67">
        <f>SUM(L19:L32)</f>
        <v>0</v>
      </c>
      <c r="O38" s="68"/>
      <c r="Q38" s="4"/>
      <c r="R38" s="4">
        <v>1</v>
      </c>
      <c r="S38" s="4"/>
      <c r="AC38" s="4">
        <v>1</v>
      </c>
    </row>
    <row r="39" spans="1:29" ht="15" customHeight="1" thickBot="1" x14ac:dyDescent="0.25">
      <c r="A39" s="62">
        <f>'Weekly Plan'!F52</f>
        <v>708400262</v>
      </c>
      <c r="B39" s="63" t="s">
        <v>79</v>
      </c>
      <c r="C39" s="57" t="str">
        <f>'Weekly Plan'!G52</f>
        <v>RH Access Panel</v>
      </c>
      <c r="D39" s="58" t="str">
        <f>IF('Weekly Plan'!J52=0,"",'Weekly Plan'!J52)</f>
        <v/>
      </c>
      <c r="E39" s="97">
        <f>'Weekly Plan'!A52</f>
        <v>3</v>
      </c>
      <c r="F39" s="97">
        <f t="shared" si="4"/>
        <v>0</v>
      </c>
      <c r="G39" s="159"/>
      <c r="H39" s="160"/>
      <c r="I39" s="160"/>
      <c r="J39" s="161"/>
      <c r="K39" s="97"/>
      <c r="L39" s="97"/>
      <c r="M39" s="66" t="str">
        <f>A44</f>
        <v>Vegas White</v>
      </c>
      <c r="N39" s="67">
        <f>SUM(F45:F56)</f>
        <v>0</v>
      </c>
      <c r="O39" s="65"/>
      <c r="Q39" s="4"/>
      <c r="R39" s="4"/>
      <c r="S39" s="4"/>
      <c r="AC39" s="4">
        <v>4</v>
      </c>
    </row>
    <row r="40" spans="1:29" ht="15" customHeight="1" x14ac:dyDescent="0.2">
      <c r="A40" s="92"/>
      <c r="B40" s="92"/>
      <c r="C40" s="64"/>
      <c r="D40" s="64" t="str">
        <f>IF('Weekly Plan'!H52=0,"",'Weekly Plan'!H52)</f>
        <v/>
      </c>
      <c r="E40" s="97">
        <f>'Weekly Plan'!A53</f>
        <v>0</v>
      </c>
      <c r="F40" s="97">
        <f t="shared" ref="F40:F41" si="6">IFERROR(D41/E40,0)</f>
        <v>0</v>
      </c>
      <c r="G40" s="159"/>
      <c r="H40" s="160"/>
      <c r="I40" s="160"/>
      <c r="J40" s="161"/>
      <c r="K40" s="99"/>
      <c r="L40" s="99"/>
      <c r="M40" s="66" t="str">
        <f>G4</f>
        <v>Black - Laval</v>
      </c>
      <c r="N40" s="67">
        <f>SUM(L5:L10)</f>
        <v>0</v>
      </c>
      <c r="O40" s="65"/>
      <c r="R40" s="4">
        <v>4</v>
      </c>
      <c r="S40" s="4"/>
      <c r="AC40" s="4">
        <v>2</v>
      </c>
    </row>
    <row r="41" spans="1:29" ht="17.25" customHeight="1" x14ac:dyDescent="0.2">
      <c r="A41" s="92"/>
      <c r="B41" s="92"/>
      <c r="C41" s="64"/>
      <c r="D41" s="64" t="str">
        <f>IF('Weekly Plan'!H53=0,"",'Weekly Plan'!H53)</f>
        <v/>
      </c>
      <c r="E41" s="97">
        <f>'Weekly Plan'!A54</f>
        <v>0</v>
      </c>
      <c r="F41" s="97">
        <f t="shared" si="6"/>
        <v>0</v>
      </c>
      <c r="G41" s="159"/>
      <c r="H41" s="160"/>
      <c r="I41" s="160"/>
      <c r="J41" s="161"/>
      <c r="K41" s="97"/>
      <c r="L41" s="97"/>
      <c r="M41" s="66" t="str">
        <f>G12</f>
        <v>Summit White - Laval</v>
      </c>
      <c r="N41" s="67">
        <f>SUM(L13:L16)</f>
        <v>0</v>
      </c>
      <c r="O41" s="65"/>
      <c r="R41" s="4">
        <v>2</v>
      </c>
      <c r="S41" s="4"/>
      <c r="AC41" s="4">
        <v>1</v>
      </c>
    </row>
    <row r="42" spans="1:29" ht="15" customHeight="1" x14ac:dyDescent="0.2">
      <c r="A42" s="92"/>
      <c r="B42" s="92"/>
      <c r="C42" s="64"/>
      <c r="D42" s="64" t="str">
        <f>IF('Weekly Plan'!H54=0,"",'Weekly Plan'!H54)</f>
        <v/>
      </c>
      <c r="E42" s="97"/>
      <c r="F42" s="97"/>
      <c r="G42" s="159"/>
      <c r="H42" s="160"/>
      <c r="I42" s="160"/>
      <c r="J42" s="161"/>
      <c r="K42" s="97"/>
      <c r="L42" s="97"/>
      <c r="M42" s="66" t="str">
        <f>M4</f>
        <v>Mitchell Plastics</v>
      </c>
      <c r="N42" s="67">
        <f>SUM(Q5:Q10)</f>
        <v>0</v>
      </c>
      <c r="O42" s="65"/>
      <c r="R42" s="2">
        <v>1</v>
      </c>
      <c r="AC42" s="2">
        <v>4</v>
      </c>
    </row>
    <row r="43" spans="1:29" ht="15" customHeight="1" thickBot="1" x14ac:dyDescent="0.25">
      <c r="A43" s="64"/>
      <c r="B43" s="64"/>
      <c r="C43" s="64"/>
      <c r="D43" s="64"/>
      <c r="E43" s="97"/>
      <c r="F43" s="97"/>
      <c r="G43" s="78"/>
      <c r="H43" s="79"/>
      <c r="I43" s="79"/>
      <c r="J43" s="80"/>
      <c r="K43" s="97"/>
      <c r="L43" s="97"/>
      <c r="M43" s="66" t="str">
        <f>M12</f>
        <v>Seastar</v>
      </c>
      <c r="N43" s="67">
        <f>SUM(Q13:Q15)</f>
        <v>0</v>
      </c>
      <c r="O43" s="65"/>
      <c r="R43" s="2">
        <v>1</v>
      </c>
      <c r="AC43" s="2">
        <v>2</v>
      </c>
    </row>
    <row r="44" spans="1:29" ht="15" customHeight="1" x14ac:dyDescent="0.2">
      <c r="A44" s="146" t="s">
        <v>12</v>
      </c>
      <c r="B44" s="147"/>
      <c r="C44" s="147"/>
      <c r="D44" s="148"/>
      <c r="E44" s="97">
        <f>'Weekly Plan'!A56</f>
        <v>2</v>
      </c>
      <c r="F44" s="97">
        <f t="shared" ref="F44" si="7">IFERROR(D45/E44,0)</f>
        <v>0</v>
      </c>
      <c r="G44" s="159"/>
      <c r="H44" s="160"/>
      <c r="I44" s="160"/>
      <c r="J44" s="161"/>
      <c r="K44" s="97"/>
      <c r="L44" s="97"/>
      <c r="M44" s="69" t="str">
        <f>M17</f>
        <v>Manterra - Hyper Silver</v>
      </c>
      <c r="N44" s="67">
        <f>SUM(Q18:Q20)</f>
        <v>0</v>
      </c>
      <c r="O44" s="65"/>
      <c r="R44" s="4"/>
      <c r="S44" s="4"/>
      <c r="AC44" s="4">
        <v>1</v>
      </c>
    </row>
    <row r="45" spans="1:29" ht="15" customHeight="1" x14ac:dyDescent="0.2">
      <c r="A45" s="55">
        <f>'Weekly Plan'!F56</f>
        <v>705009213</v>
      </c>
      <c r="B45" s="52" t="s">
        <v>12</v>
      </c>
      <c r="C45" s="52" t="str">
        <f>'Weekly Plan'!G56</f>
        <v>LH F3T Low Fairing</v>
      </c>
      <c r="D45" s="53" t="str">
        <f>IF('Weekly Plan'!J56=0,"",'Weekly Plan'!J56)</f>
        <v/>
      </c>
      <c r="E45" s="97">
        <f>'Weekly Plan'!A56</f>
        <v>2</v>
      </c>
      <c r="F45" s="97">
        <f>IFERROR(D45/E45,0)</f>
        <v>0</v>
      </c>
      <c r="G45" s="159"/>
      <c r="H45" s="160"/>
      <c r="I45" s="160"/>
      <c r="J45" s="161"/>
      <c r="K45" s="97"/>
      <c r="L45" s="97"/>
      <c r="M45" s="69" t="str">
        <f>M22</f>
        <v>Falcon Lakeside Hyper Silver</v>
      </c>
      <c r="N45" s="67">
        <f>SUM(Q23:Q26)</f>
        <v>0</v>
      </c>
      <c r="O45" s="65"/>
      <c r="R45" s="4"/>
      <c r="S45" s="4"/>
      <c r="AC45" s="4">
        <v>1</v>
      </c>
    </row>
    <row r="46" spans="1:29" ht="15" customHeight="1" x14ac:dyDescent="0.2">
      <c r="A46" s="55">
        <f>'Weekly Plan'!F57</f>
        <v>705009214</v>
      </c>
      <c r="B46" s="52" t="s">
        <v>12</v>
      </c>
      <c r="C46" s="52" t="str">
        <f>'Weekly Plan'!G57</f>
        <v>RH F3T Low Fairing</v>
      </c>
      <c r="D46" s="53" t="str">
        <f>IF('Weekly Plan'!J57=0,"",'Weekly Plan'!J57)</f>
        <v/>
      </c>
      <c r="E46" s="97">
        <f>'Weekly Plan'!A57</f>
        <v>2</v>
      </c>
      <c r="F46" s="97">
        <f t="shared" ref="F46:F56" si="8">IFERROR(D46/E46,0)</f>
        <v>0</v>
      </c>
      <c r="G46" s="159"/>
      <c r="H46" s="160"/>
      <c r="I46" s="160"/>
      <c r="J46" s="161"/>
      <c r="K46" s="97"/>
      <c r="L46" s="97"/>
      <c r="M46" s="69" t="str">
        <f>M28</f>
        <v>Tesla - High Gloss Black</v>
      </c>
      <c r="N46" s="67">
        <f>SUM(Q29:Q32)</f>
        <v>0</v>
      </c>
      <c r="O46" s="65"/>
      <c r="R46" s="4"/>
      <c r="S46" s="4"/>
      <c r="AC46" s="4">
        <v>1</v>
      </c>
    </row>
    <row r="47" spans="1:29" ht="15" customHeight="1" x14ac:dyDescent="0.2">
      <c r="A47" s="55">
        <f>'Weekly Plan'!F58</f>
        <v>705010835</v>
      </c>
      <c r="B47" s="52" t="s">
        <v>12</v>
      </c>
      <c r="C47" s="52" t="str">
        <f>'Weekly Plan'!G58</f>
        <v>RH Fairing</v>
      </c>
      <c r="D47" s="53" t="str">
        <f>IF('Weekly Plan'!J58=0,"",'Weekly Plan'!J58)</f>
        <v/>
      </c>
      <c r="E47" s="97">
        <f>'Weekly Plan'!A58</f>
        <v>1</v>
      </c>
      <c r="F47" s="97">
        <f t="shared" si="8"/>
        <v>0</v>
      </c>
      <c r="G47" s="159"/>
      <c r="H47" s="160"/>
      <c r="I47" s="160"/>
      <c r="J47" s="161"/>
      <c r="K47" s="97"/>
      <c r="L47" s="97"/>
      <c r="M47" s="66"/>
      <c r="N47" s="67"/>
      <c r="O47" s="65"/>
      <c r="R47" s="4"/>
      <c r="S47" s="4"/>
      <c r="AC47" s="4">
        <v>4</v>
      </c>
    </row>
    <row r="48" spans="1:29" ht="15" customHeight="1" x14ac:dyDescent="0.2">
      <c r="A48" s="55">
        <f>'Weekly Plan'!F59</f>
        <v>705010851</v>
      </c>
      <c r="B48" s="52" t="s">
        <v>12</v>
      </c>
      <c r="C48" s="52" t="str">
        <f>'Weekly Plan'!G59</f>
        <v>LH Fairing</v>
      </c>
      <c r="D48" s="53" t="str">
        <f>IF('Weekly Plan'!J59=0,"",'Weekly Plan'!J59)</f>
        <v/>
      </c>
      <c r="E48" s="97">
        <f>'Weekly Plan'!A59</f>
        <v>1</v>
      </c>
      <c r="F48" s="97">
        <f t="shared" si="8"/>
        <v>0</v>
      </c>
      <c r="G48" s="162"/>
      <c r="H48" s="163"/>
      <c r="I48" s="163"/>
      <c r="J48" s="164"/>
      <c r="K48" s="97"/>
      <c r="L48" s="97"/>
      <c r="M48" s="66"/>
      <c r="N48" s="67"/>
      <c r="O48" s="65"/>
      <c r="AC48" s="2">
        <v>2</v>
      </c>
    </row>
    <row r="49" spans="1:29" ht="15" customHeight="1" x14ac:dyDescent="0.2">
      <c r="A49" s="55">
        <f>'Weekly Plan'!F60</f>
        <v>705012976</v>
      </c>
      <c r="B49" s="52" t="s">
        <v>12</v>
      </c>
      <c r="C49" s="52" t="str">
        <f>'Weekly Plan'!G60</f>
        <v>LH Fender</v>
      </c>
      <c r="D49" s="53" t="str">
        <f>IF('Weekly Plan'!J60=0,"",'Weekly Plan'!J60)</f>
        <v/>
      </c>
      <c r="E49" s="97">
        <f>'Weekly Plan'!A60</f>
        <v>2</v>
      </c>
      <c r="F49" s="97">
        <f t="shared" si="8"/>
        <v>0</v>
      </c>
      <c r="G49" s="165"/>
      <c r="H49" s="163"/>
      <c r="I49" s="163"/>
      <c r="J49" s="164"/>
      <c r="K49" s="97"/>
      <c r="L49" s="97"/>
      <c r="M49" s="66"/>
      <c r="N49" s="67"/>
      <c r="O49" s="65"/>
      <c r="AC49" s="2">
        <v>1</v>
      </c>
    </row>
    <row r="50" spans="1:29" ht="15" customHeight="1" x14ac:dyDescent="0.25">
      <c r="A50" s="55">
        <f>'Weekly Plan'!F61</f>
        <v>705012868</v>
      </c>
      <c r="B50" s="52" t="s">
        <v>12</v>
      </c>
      <c r="C50" s="52" t="str">
        <f>'Weekly Plan'!G61</f>
        <v>RH Fender</v>
      </c>
      <c r="D50" s="53" t="str">
        <f>IF('Weekly Plan'!J61=0,"",'Weekly Plan'!J61)</f>
        <v/>
      </c>
      <c r="E50" s="97">
        <f>'Weekly Plan'!A61</f>
        <v>2</v>
      </c>
      <c r="F50" s="97">
        <f t="shared" si="8"/>
        <v>0</v>
      </c>
      <c r="G50" s="165"/>
      <c r="H50" s="163"/>
      <c r="I50" s="163"/>
      <c r="J50" s="164"/>
      <c r="K50" s="97"/>
      <c r="L50" s="97"/>
      <c r="M50" s="71" t="s">
        <v>165</v>
      </c>
      <c r="N50" s="70">
        <f>SUM(N36:N49)</f>
        <v>0</v>
      </c>
      <c r="O50" s="65"/>
      <c r="R50" s="4"/>
      <c r="S50" s="4"/>
      <c r="AC50" s="4">
        <v>1</v>
      </c>
    </row>
    <row r="51" spans="1:29" ht="15" customHeight="1" x14ac:dyDescent="0.25">
      <c r="A51" s="55">
        <f>'Weekly Plan'!F62</f>
        <v>708200366</v>
      </c>
      <c r="B51" s="52" t="s">
        <v>12</v>
      </c>
      <c r="C51" s="52" t="str">
        <f>'Weekly Plan'!G62</f>
        <v>Hood</v>
      </c>
      <c r="D51" s="53" t="str">
        <f>IF('Weekly Plan'!J62=0,"",'Weekly Plan'!J62)</f>
        <v/>
      </c>
      <c r="E51" s="97">
        <f>'Weekly Plan'!A62</f>
        <v>1</v>
      </c>
      <c r="F51" s="97">
        <f t="shared" si="8"/>
        <v>0</v>
      </c>
      <c r="G51" s="165"/>
      <c r="H51" s="163"/>
      <c r="I51" s="163"/>
      <c r="J51" s="164"/>
      <c r="K51" s="97"/>
      <c r="L51" s="97"/>
      <c r="M51" s="71"/>
      <c r="N51" s="71"/>
      <c r="O51" s="65"/>
      <c r="R51" s="4"/>
      <c r="S51" s="4"/>
      <c r="AC51" s="4">
        <v>4</v>
      </c>
    </row>
    <row r="52" spans="1:29" ht="15" customHeight="1" x14ac:dyDescent="0.2">
      <c r="A52" s="55">
        <f>'Weekly Plan'!F63</f>
        <v>708200401</v>
      </c>
      <c r="B52" s="52" t="s">
        <v>12</v>
      </c>
      <c r="C52" s="52" t="str">
        <f>'Weekly Plan'!G63</f>
        <v>LH Vent Panel</v>
      </c>
      <c r="D52" s="53" t="str">
        <f>IF('Weekly Plan'!J63=0,"",'Weekly Plan'!J63)</f>
        <v/>
      </c>
      <c r="E52" s="97">
        <f>'Weekly Plan'!A63</f>
        <v>2</v>
      </c>
      <c r="F52" s="97">
        <f t="shared" si="8"/>
        <v>0</v>
      </c>
      <c r="G52" s="165"/>
      <c r="H52" s="163"/>
      <c r="I52" s="163"/>
      <c r="J52" s="164"/>
      <c r="K52" s="97"/>
      <c r="L52" s="97"/>
      <c r="M52" s="66" t="s">
        <v>17</v>
      </c>
      <c r="N52" s="66">
        <f>(COUNTIF(N36:N49, "&gt;0")-1)*(IF(N50&gt;0, 12, 0))</f>
        <v>0</v>
      </c>
      <c r="O52" s="65"/>
      <c r="R52" s="4"/>
      <c r="S52" s="4"/>
      <c r="AC52" s="4">
        <v>2</v>
      </c>
    </row>
    <row r="53" spans="1:29" ht="15" customHeight="1" x14ac:dyDescent="0.2">
      <c r="A53" s="55">
        <f>'Weekly Plan'!F64</f>
        <v>708200402</v>
      </c>
      <c r="B53" s="52" t="s">
        <v>12</v>
      </c>
      <c r="C53" s="52" t="str">
        <f>'Weekly Plan'!G64</f>
        <v>RH Vent Panel</v>
      </c>
      <c r="D53" s="53" t="str">
        <f>IF('Weekly Plan'!J64=0,"",'Weekly Plan'!J64)</f>
        <v/>
      </c>
      <c r="E53" s="97">
        <f>'Weekly Plan'!A64</f>
        <v>2</v>
      </c>
      <c r="F53" s="97">
        <f t="shared" si="8"/>
        <v>0</v>
      </c>
      <c r="G53" s="165"/>
      <c r="H53" s="163"/>
      <c r="I53" s="163"/>
      <c r="J53" s="164"/>
      <c r="K53" s="97"/>
      <c r="L53" s="97"/>
      <c r="M53" s="169"/>
      <c r="N53" s="170"/>
      <c r="O53" s="65"/>
      <c r="R53" s="4"/>
      <c r="S53" s="4"/>
      <c r="AC53" s="4">
        <v>1</v>
      </c>
    </row>
    <row r="54" spans="1:29" ht="15" customHeight="1" x14ac:dyDescent="0.25">
      <c r="A54" s="55">
        <f>'Weekly Plan'!F65</f>
        <v>708200698</v>
      </c>
      <c r="B54" s="52" t="s">
        <v>12</v>
      </c>
      <c r="C54" s="52" t="str">
        <f>'Weekly Plan'!G65</f>
        <v>Fascia</v>
      </c>
      <c r="D54" s="53" t="str">
        <f>IF('Weekly Plan'!J65=0,"",'Weekly Plan'!J65)</f>
        <v/>
      </c>
      <c r="E54" s="97">
        <f>'Weekly Plan'!A65</f>
        <v>1</v>
      </c>
      <c r="F54" s="97">
        <f t="shared" si="8"/>
        <v>0</v>
      </c>
      <c r="G54" s="165"/>
      <c r="H54" s="163"/>
      <c r="I54" s="163"/>
      <c r="J54" s="164"/>
      <c r="K54" s="97"/>
      <c r="L54" s="97"/>
      <c r="M54" s="72" t="s">
        <v>18</v>
      </c>
      <c r="N54" s="73">
        <f>(N50+N52)/60</f>
        <v>0</v>
      </c>
      <c r="O54" s="65"/>
      <c r="AC54" s="2">
        <v>4</v>
      </c>
    </row>
    <row r="55" spans="1:29" ht="15" customHeight="1" thickBot="1" x14ac:dyDescent="0.25">
      <c r="A55" s="55">
        <f>'Weekly Plan'!F66</f>
        <v>708301214</v>
      </c>
      <c r="B55" s="52" t="s">
        <v>12</v>
      </c>
      <c r="C55" s="52" t="str">
        <f>'Weekly Plan'!G66</f>
        <v>LH Cover</v>
      </c>
      <c r="D55" s="53" t="str">
        <f>IF('Weekly Plan'!J66=0,"",'Weekly Plan'!J66)</f>
        <v/>
      </c>
      <c r="E55" s="97">
        <f>'Weekly Plan'!A66</f>
        <v>1</v>
      </c>
      <c r="F55" s="97">
        <f t="shared" si="8"/>
        <v>0</v>
      </c>
      <c r="G55" s="166"/>
      <c r="H55" s="167"/>
      <c r="I55" s="167"/>
      <c r="J55" s="168"/>
      <c r="K55" s="97"/>
      <c r="L55" s="97"/>
      <c r="M55" s="65"/>
      <c r="N55" s="65"/>
      <c r="O55" s="65"/>
      <c r="AC55" s="2">
        <v>2</v>
      </c>
    </row>
    <row r="56" spans="1:29" ht="13.5" customHeight="1" thickBot="1" x14ac:dyDescent="0.25">
      <c r="A56" s="56">
        <f>'Weekly Plan'!F67</f>
        <v>708301215</v>
      </c>
      <c r="B56" s="57" t="s">
        <v>12</v>
      </c>
      <c r="C56" s="57" t="str">
        <f>'Weekly Plan'!G67</f>
        <v>RH Cover</v>
      </c>
      <c r="D56" s="58" t="str">
        <f>IF('Weekly Plan'!J67=0,"",'Weekly Plan'!J67)</f>
        <v/>
      </c>
      <c r="E56" s="97">
        <f>'Weekly Plan'!A67</f>
        <v>1</v>
      </c>
      <c r="F56" s="97">
        <f t="shared" si="8"/>
        <v>0</v>
      </c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22">
    <mergeCell ref="A4:D4"/>
    <mergeCell ref="G4:J4"/>
    <mergeCell ref="M4:O4"/>
    <mergeCell ref="D1:I1"/>
    <mergeCell ref="J1:K1"/>
    <mergeCell ref="N1:O1"/>
    <mergeCell ref="A2:A3"/>
    <mergeCell ref="C2:P3"/>
    <mergeCell ref="A44:D44"/>
    <mergeCell ref="G44:J47"/>
    <mergeCell ref="G48:J51"/>
    <mergeCell ref="G12:J12"/>
    <mergeCell ref="M12:O12"/>
    <mergeCell ref="M17:O17"/>
    <mergeCell ref="G18:J18"/>
    <mergeCell ref="A20:D20"/>
    <mergeCell ref="M22:O22"/>
    <mergeCell ref="G52:J55"/>
    <mergeCell ref="M53:N53"/>
    <mergeCell ref="M28:O28"/>
    <mergeCell ref="G35:J35"/>
    <mergeCell ref="G36:J42"/>
  </mergeCells>
  <pageMargins left="0.23622047244094491" right="0.23622047244094491" top="0.74803149606299213" bottom="0.74803149606299213" header="0.31496062992125984" footer="0.31496062992125984"/>
  <pageSetup scale="81" orientation="portrait" cellComments="asDisplayed" r:id="rId1"/>
  <headerFooter>
    <oddFooter>&amp;L8.2.2.1.11 103 Schedule Template.xlsx&amp;RCreated: 10/22/21TG
Revised: 05/24/24AS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0D35-678F-4EFF-B085-65AB5080A342}">
  <sheetPr>
    <tabColor rgb="FF92D050"/>
    <pageSetUpPr fitToPage="1"/>
  </sheetPr>
  <dimension ref="A1:AC79"/>
  <sheetViews>
    <sheetView showGridLines="0" zoomScale="85" zoomScaleNormal="85" workbookViewId="0"/>
  </sheetViews>
  <sheetFormatPr defaultColWidth="9" defaultRowHeight="12.75" x14ac:dyDescent="0.2"/>
  <cols>
    <col min="1" max="1" width="11" style="1" customWidth="1"/>
    <col min="2" max="2" width="9.5703125" style="1" hidden="1" customWidth="1"/>
    <col min="3" max="3" width="20" style="1" customWidth="1"/>
    <col min="4" max="4" width="7" style="1" bestFit="1" customWidth="1"/>
    <col min="5" max="5" width="2.28515625" style="2" customWidth="1"/>
    <col min="6" max="6" width="1.85546875" style="2" customWidth="1"/>
    <col min="7" max="7" width="15.85546875" style="1" bestFit="1" customWidth="1"/>
    <col min="8" max="8" width="7.7109375" style="1" hidden="1" customWidth="1"/>
    <col min="9" max="9" width="21" style="1" bestFit="1" customWidth="1"/>
    <col min="10" max="10" width="4.85546875" style="1" customWidth="1"/>
    <col min="11" max="11" width="2.28515625" style="2" customWidth="1"/>
    <col min="12" max="12" width="2.8554687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.85546875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40" t="s">
        <v>262</v>
      </c>
      <c r="B1" s="41"/>
      <c r="C1" s="42"/>
      <c r="D1" s="151"/>
      <c r="E1" s="151"/>
      <c r="F1" s="151"/>
      <c r="G1" s="151"/>
      <c r="H1" s="151"/>
      <c r="I1" s="151"/>
      <c r="J1" s="152" t="s">
        <v>29</v>
      </c>
      <c r="K1" s="152"/>
      <c r="L1" s="98"/>
      <c r="M1" s="43">
        <f>'Weekly Plan'!K1</f>
        <v>45302</v>
      </c>
      <c r="N1" s="141"/>
      <c r="O1" s="141"/>
      <c r="T1" s="8"/>
    </row>
    <row r="2" spans="1:29" s="3" customFormat="1" ht="14.25" customHeight="1" x14ac:dyDescent="0.2">
      <c r="A2" s="149" t="s">
        <v>14</v>
      </c>
      <c r="B2" s="44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0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9" s="3" customFormat="1" ht="14.25" customHeight="1" thickBot="1" x14ac:dyDescent="0.25">
      <c r="A3" s="150"/>
      <c r="B3" s="44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0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9" ht="15" customHeight="1" x14ac:dyDescent="0.2">
      <c r="A4" s="143" t="s">
        <v>54</v>
      </c>
      <c r="B4" s="144"/>
      <c r="C4" s="144"/>
      <c r="D4" s="145"/>
      <c r="E4" s="97"/>
      <c r="F4" s="97"/>
      <c r="G4" s="146" t="s">
        <v>242</v>
      </c>
      <c r="H4" s="147"/>
      <c r="I4" s="147"/>
      <c r="J4" s="148"/>
      <c r="K4" s="97"/>
      <c r="L4" s="97"/>
      <c r="M4" s="138" t="s">
        <v>143</v>
      </c>
      <c r="N4" s="139"/>
      <c r="O4" s="140"/>
      <c r="P4" s="5"/>
      <c r="Q4" s="101"/>
      <c r="R4" s="5"/>
      <c r="W4" s="16"/>
      <c r="X4" s="16"/>
      <c r="Y4" s="16"/>
      <c r="Z4" s="16"/>
      <c r="AA4" s="16"/>
      <c r="AB4" s="16"/>
      <c r="AC4" s="5"/>
    </row>
    <row r="5" spans="1:29" ht="15" customHeight="1" x14ac:dyDescent="0.2">
      <c r="A5" s="50">
        <f>'Weekly Plan'!F4</f>
        <v>705014100</v>
      </c>
      <c r="B5" s="51" t="s">
        <v>54</v>
      </c>
      <c r="C5" s="52" t="str">
        <f>'Weekly Plan'!G4</f>
        <v>LH Upper Fairing</v>
      </c>
      <c r="D5" s="53" t="str">
        <f>IF('Weekly Plan'!K4=0,"",'Weekly Plan'!K4)</f>
        <v/>
      </c>
      <c r="E5" s="97">
        <f>'Weekly Plan'!A4</f>
        <v>2</v>
      </c>
      <c r="F5" s="97">
        <f t="shared" ref="F5:F18" si="0">IFERROR(D5/E5,0)</f>
        <v>0</v>
      </c>
      <c r="G5" s="50">
        <f>'Weekly Plan'!F69</f>
        <v>99944</v>
      </c>
      <c r="H5" s="90" t="s">
        <v>167</v>
      </c>
      <c r="I5" s="50" t="str">
        <f>'Weekly Plan'!G69</f>
        <v>Bezel</v>
      </c>
      <c r="J5" s="54" t="str">
        <f>IF('Weekly Plan'!K69=0,"",'Weekly Plan'!K69)</f>
        <v/>
      </c>
      <c r="K5" s="97">
        <f>'Weekly Plan'!A69</f>
        <v>2</v>
      </c>
      <c r="L5" s="97">
        <f>IFERROR(J5/K5,0)</f>
        <v>0</v>
      </c>
      <c r="M5" s="55">
        <f>'Weekly Plan'!F94</f>
        <v>80931</v>
      </c>
      <c r="N5" s="52" t="str">
        <f>'Weekly Plan'!G94</f>
        <v>Black - LH</v>
      </c>
      <c r="O5" s="53" t="str">
        <f>IF('Weekly Plan'!K94=0,"",'Weekly Plan'!K94)</f>
        <v/>
      </c>
      <c r="P5" s="4">
        <f>'Weekly Plan'!A94</f>
        <v>2</v>
      </c>
      <c r="Q5" s="4">
        <f>IFERROR(O5/P5,0)</f>
        <v>0</v>
      </c>
      <c r="W5" s="9"/>
      <c r="X5" s="9"/>
      <c r="Y5" s="9"/>
      <c r="Z5" s="9"/>
      <c r="AA5" s="9"/>
      <c r="AB5" s="9"/>
      <c r="AC5" s="4">
        <v>3</v>
      </c>
    </row>
    <row r="6" spans="1:29" ht="15" customHeight="1" x14ac:dyDescent="0.2">
      <c r="A6" s="50">
        <f>'Weekly Plan'!F5</f>
        <v>705014101</v>
      </c>
      <c r="B6" s="51" t="s">
        <v>54</v>
      </c>
      <c r="C6" s="52" t="str">
        <f>'Weekly Plan'!G5</f>
        <v>RH Upper Fairing</v>
      </c>
      <c r="D6" s="53" t="str">
        <f>IF('Weekly Plan'!K5=0,"",'Weekly Plan'!K5)</f>
        <v/>
      </c>
      <c r="E6" s="97">
        <f>'Weekly Plan'!A5</f>
        <v>2</v>
      </c>
      <c r="F6" s="97">
        <f t="shared" si="0"/>
        <v>0</v>
      </c>
      <c r="G6" s="50">
        <f>'Weekly Plan'!F70</f>
        <v>99633</v>
      </c>
      <c r="H6" s="90" t="s">
        <v>167</v>
      </c>
      <c r="I6" s="50" t="str">
        <f>'Weekly Plan'!G70</f>
        <v>IR Cover LH</v>
      </c>
      <c r="J6" s="54" t="str">
        <f>IF('Weekly Plan'!K70=0,"",'Weekly Plan'!K70)</f>
        <v/>
      </c>
      <c r="K6" s="97">
        <f>'Weekly Plan'!A70</f>
        <v>20</v>
      </c>
      <c r="L6" s="97">
        <f t="shared" ref="L6:L10" si="1">IFERROR(J6/K6,0)</f>
        <v>0</v>
      </c>
      <c r="M6" s="55">
        <f>'Weekly Plan'!F95</f>
        <v>80930</v>
      </c>
      <c r="N6" s="52" t="str">
        <f>'Weekly Plan'!G95</f>
        <v>Black - RH</v>
      </c>
      <c r="O6" s="53" t="str">
        <f>IF('Weekly Plan'!K95=0,"",'Weekly Plan'!K95)</f>
        <v/>
      </c>
      <c r="P6" s="4">
        <f>'Weekly Plan'!A95</f>
        <v>2</v>
      </c>
      <c r="Q6" s="4">
        <f t="shared" ref="Q6:Q20" si="2">IFERROR(O6/P6,0)</f>
        <v>0</v>
      </c>
      <c r="W6" s="9"/>
      <c r="X6" s="9"/>
      <c r="Y6" s="9"/>
      <c r="Z6" s="9"/>
      <c r="AA6" s="9"/>
      <c r="AB6" s="9"/>
      <c r="AC6" s="4">
        <v>4</v>
      </c>
    </row>
    <row r="7" spans="1:29" ht="15" customHeight="1" x14ac:dyDescent="0.2">
      <c r="A7" s="50">
        <f>'Weekly Plan'!F6</f>
        <v>705012976</v>
      </c>
      <c r="B7" s="51" t="s">
        <v>54</v>
      </c>
      <c r="C7" s="52" t="str">
        <f>'Weekly Plan'!G6</f>
        <v>LH Fender</v>
      </c>
      <c r="D7" s="53" t="str">
        <f>IF('Weekly Plan'!K6=0,"",'Weekly Plan'!K6)</f>
        <v/>
      </c>
      <c r="E7" s="97">
        <f>'Weekly Plan'!A6</f>
        <v>2</v>
      </c>
      <c r="F7" s="97">
        <f t="shared" si="0"/>
        <v>0</v>
      </c>
      <c r="G7" s="50">
        <f>'Weekly Plan'!F71</f>
        <v>99646</v>
      </c>
      <c r="H7" s="90" t="s">
        <v>167</v>
      </c>
      <c r="I7" s="50" t="str">
        <f>'Weekly Plan'!G71</f>
        <v>IR Cover RH</v>
      </c>
      <c r="J7" s="54" t="str">
        <f>IF('Weekly Plan'!K71=0,"",'Weekly Plan'!K71)</f>
        <v/>
      </c>
      <c r="K7" s="97">
        <f>'Weekly Plan'!A71</f>
        <v>20</v>
      </c>
      <c r="L7" s="97">
        <f t="shared" si="1"/>
        <v>0</v>
      </c>
      <c r="M7" s="55">
        <f>'Weekly Plan'!F96</f>
        <v>80933</v>
      </c>
      <c r="N7" s="52" t="str">
        <f>'Weekly Plan'!G96</f>
        <v>Red - LH</v>
      </c>
      <c r="O7" s="53" t="str">
        <f>IF('Weekly Plan'!K96=0,"",'Weekly Plan'!K96)</f>
        <v/>
      </c>
      <c r="P7" s="4">
        <f>'Weekly Plan'!A96</f>
        <v>2</v>
      </c>
      <c r="Q7" s="4">
        <f t="shared" si="2"/>
        <v>0</v>
      </c>
      <c r="W7" s="9"/>
      <c r="X7" s="9"/>
      <c r="Y7" s="9"/>
      <c r="Z7" s="9"/>
      <c r="AA7" s="9"/>
      <c r="AB7" s="9"/>
      <c r="AC7" s="4">
        <v>4</v>
      </c>
    </row>
    <row r="8" spans="1:29" ht="15" customHeight="1" x14ac:dyDescent="0.2">
      <c r="A8" s="50">
        <f>'Weekly Plan'!F7</f>
        <v>705012868</v>
      </c>
      <c r="B8" s="51" t="s">
        <v>54</v>
      </c>
      <c r="C8" s="52" t="str">
        <f>'Weekly Plan'!G7</f>
        <v>RH Fender</v>
      </c>
      <c r="D8" s="53" t="str">
        <f>IF('Weekly Plan'!K7=0,"",'Weekly Plan'!K7)</f>
        <v/>
      </c>
      <c r="E8" s="97">
        <f>'Weekly Plan'!A7</f>
        <v>2</v>
      </c>
      <c r="F8" s="97">
        <f t="shared" si="0"/>
        <v>0</v>
      </c>
      <c r="G8" s="50">
        <f>'Weekly Plan'!F72</f>
        <v>99635</v>
      </c>
      <c r="H8" s="90" t="s">
        <v>167</v>
      </c>
      <c r="I8" s="50" t="str">
        <f>'Weekly Plan'!G72</f>
        <v>Lateral Belt LH</v>
      </c>
      <c r="J8" s="54" t="str">
        <f>IF('Weekly Plan'!K72=0,"",'Weekly Plan'!K72)</f>
        <v/>
      </c>
      <c r="K8" s="97">
        <f>'Weekly Plan'!A72</f>
        <v>6</v>
      </c>
      <c r="L8" s="97">
        <f t="shared" si="1"/>
        <v>0</v>
      </c>
      <c r="M8" s="55">
        <f>'Weekly Plan'!F97</f>
        <v>80932</v>
      </c>
      <c r="N8" s="52" t="str">
        <f>'Weekly Plan'!G97</f>
        <v>Red - RH</v>
      </c>
      <c r="O8" s="53" t="str">
        <f>IF('Weekly Plan'!K97=0,"",'Weekly Plan'!K97)</f>
        <v/>
      </c>
      <c r="P8" s="4">
        <f>'Weekly Plan'!A97</f>
        <v>2</v>
      </c>
      <c r="Q8" s="4">
        <f t="shared" si="2"/>
        <v>0</v>
      </c>
      <c r="R8" s="4"/>
      <c r="W8" s="9"/>
      <c r="X8" s="9"/>
      <c r="Y8" s="9"/>
      <c r="Z8" s="9"/>
      <c r="AA8" s="9"/>
      <c r="AB8" s="9"/>
      <c r="AC8" s="4">
        <v>1</v>
      </c>
    </row>
    <row r="9" spans="1:29" ht="15" customHeight="1" x14ac:dyDescent="0.2">
      <c r="A9" s="50">
        <f>'Weekly Plan'!F8</f>
        <v>708003041</v>
      </c>
      <c r="B9" s="51" t="s">
        <v>54</v>
      </c>
      <c r="C9" s="52" t="str">
        <f>'Weekly Plan'!G8</f>
        <v>Rear Fairing</v>
      </c>
      <c r="D9" s="53" t="str">
        <f>IF('Weekly Plan'!K8=0,"",'Weekly Plan'!K8)</f>
        <v/>
      </c>
      <c r="E9" s="97">
        <f>'Weekly Plan'!A8</f>
        <v>2</v>
      </c>
      <c r="F9" s="97">
        <f t="shared" si="0"/>
        <v>0</v>
      </c>
      <c r="G9" s="50">
        <f>'Weekly Plan'!F73</f>
        <v>99944</v>
      </c>
      <c r="H9" s="90" t="s">
        <v>167</v>
      </c>
      <c r="I9" s="50" t="str">
        <f>'Weekly Plan'!G73</f>
        <v>Lateral Belt RH</v>
      </c>
      <c r="J9" s="54" t="str">
        <f>IF('Weekly Plan'!K73=0,"",'Weekly Plan'!K73)</f>
        <v/>
      </c>
      <c r="K9" s="97">
        <f>'Weekly Plan'!A73</f>
        <v>6</v>
      </c>
      <c r="L9" s="97">
        <f t="shared" si="1"/>
        <v>0</v>
      </c>
      <c r="M9" s="55" t="str">
        <f>'Weekly Plan'!F98</f>
        <v>Other</v>
      </c>
      <c r="N9" s="52" t="str">
        <f>'Weekly Plan'!G98</f>
        <v>White - LH</v>
      </c>
      <c r="O9" s="53" t="str">
        <f>IF('Weekly Plan'!K98=0,"",'Weekly Plan'!K98)</f>
        <v/>
      </c>
      <c r="P9" s="4">
        <f>'Weekly Plan'!A98</f>
        <v>2</v>
      </c>
      <c r="Q9" s="4">
        <f t="shared" si="2"/>
        <v>0</v>
      </c>
      <c r="R9" s="4"/>
      <c r="W9" s="9"/>
      <c r="X9" s="9"/>
      <c r="Y9" s="9"/>
      <c r="Z9" s="9"/>
      <c r="AA9" s="9"/>
      <c r="AB9" s="9"/>
      <c r="AC9" s="4">
        <v>1</v>
      </c>
    </row>
    <row r="10" spans="1:29" ht="15" customHeight="1" thickBot="1" x14ac:dyDescent="0.25">
      <c r="A10" s="50">
        <f>'Weekly Plan'!F9</f>
        <v>708200870</v>
      </c>
      <c r="B10" s="51" t="s">
        <v>54</v>
      </c>
      <c r="C10" s="52" t="str">
        <f>'Weekly Plan'!G9</f>
        <v>LH Front Fairing</v>
      </c>
      <c r="D10" s="53" t="str">
        <f>IF('Weekly Plan'!K9=0,"",'Weekly Plan'!K9)</f>
        <v/>
      </c>
      <c r="E10" s="97">
        <f>'Weekly Plan'!A9</f>
        <v>1</v>
      </c>
      <c r="F10" s="97">
        <f t="shared" si="0"/>
        <v>0</v>
      </c>
      <c r="G10" s="62">
        <f>'Weekly Plan'!F74</f>
        <v>99636</v>
      </c>
      <c r="H10" s="93" t="s">
        <v>167</v>
      </c>
      <c r="I10" s="62" t="str">
        <f>'Weekly Plan'!G74</f>
        <v>Rear Belt</v>
      </c>
      <c r="J10" s="60" t="str">
        <f>IF('Weekly Plan'!K74=0,"",'Weekly Plan'!K74)</f>
        <v/>
      </c>
      <c r="K10" s="97">
        <f>'Weekly Plan'!A74</f>
        <v>20</v>
      </c>
      <c r="L10" s="97">
        <f t="shared" si="1"/>
        <v>0</v>
      </c>
      <c r="M10" s="56" t="str">
        <f>'Weekly Plan'!F99</f>
        <v>Other</v>
      </c>
      <c r="N10" s="57" t="str">
        <f>'Weekly Plan'!G99</f>
        <v>White - RH</v>
      </c>
      <c r="O10" s="58" t="str">
        <f>IF('Weekly Plan'!K99=0,"",'Weekly Plan'!K99)</f>
        <v/>
      </c>
      <c r="P10" s="4">
        <f>'Weekly Plan'!A99</f>
        <v>2</v>
      </c>
      <c r="Q10" s="4">
        <f t="shared" si="2"/>
        <v>0</v>
      </c>
      <c r="R10" s="4"/>
      <c r="W10" s="9"/>
      <c r="X10" s="9"/>
      <c r="Y10" s="9"/>
      <c r="Z10" s="9"/>
      <c r="AA10" s="9"/>
      <c r="AB10" s="9"/>
      <c r="AC10" s="4">
        <v>3</v>
      </c>
    </row>
    <row r="11" spans="1:29" ht="15" customHeight="1" thickBot="1" x14ac:dyDescent="0.25">
      <c r="A11" s="50">
        <f>'Weekly Plan'!F10</f>
        <v>708200871</v>
      </c>
      <c r="B11" s="51" t="s">
        <v>54</v>
      </c>
      <c r="C11" s="52" t="str">
        <f>'Weekly Plan'!G10</f>
        <v>RH Front Fairing</v>
      </c>
      <c r="D11" s="53" t="str">
        <f>IF('Weekly Plan'!K10=0,"",'Weekly Plan'!K10)</f>
        <v/>
      </c>
      <c r="E11" s="97">
        <f>'Weekly Plan'!A10</f>
        <v>1</v>
      </c>
      <c r="F11" s="97">
        <f t="shared" si="0"/>
        <v>0</v>
      </c>
      <c r="G11" s="59"/>
      <c r="H11" s="59"/>
      <c r="I11" s="59"/>
      <c r="J11" s="64"/>
      <c r="K11" s="97"/>
      <c r="L11" s="97"/>
      <c r="M11" s="59"/>
      <c r="N11" s="59"/>
      <c r="O11" s="59"/>
      <c r="P11" s="4"/>
      <c r="Q11" s="4"/>
      <c r="R11" s="4"/>
      <c r="W11" s="9"/>
      <c r="X11" s="9"/>
      <c r="Y11" s="9"/>
      <c r="Z11" s="9"/>
      <c r="AA11" s="9"/>
      <c r="AB11" s="9"/>
      <c r="AC11" s="4">
        <v>3</v>
      </c>
    </row>
    <row r="12" spans="1:29" ht="15" customHeight="1" x14ac:dyDescent="0.2">
      <c r="A12" s="50">
        <f>'Weekly Plan'!F11</f>
        <v>708200869</v>
      </c>
      <c r="B12" s="51" t="s">
        <v>54</v>
      </c>
      <c r="C12" s="52" t="str">
        <f>'Weekly Plan'!G11</f>
        <v>R66 Hood</v>
      </c>
      <c r="D12" s="53" t="str">
        <f>IF('Weekly Plan'!K11=0,"",'Weekly Plan'!K11)</f>
        <v/>
      </c>
      <c r="E12" s="97">
        <f>'Weekly Plan'!A11</f>
        <v>1</v>
      </c>
      <c r="F12" s="97">
        <f t="shared" si="0"/>
        <v>0</v>
      </c>
      <c r="G12" s="146" t="s">
        <v>241</v>
      </c>
      <c r="H12" s="147"/>
      <c r="I12" s="147"/>
      <c r="J12" s="148"/>
      <c r="K12" s="97"/>
      <c r="L12" s="97"/>
      <c r="M12" s="138" t="s">
        <v>213</v>
      </c>
      <c r="N12" s="139"/>
      <c r="O12" s="140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50">
        <f>'Weekly Plan'!F12</f>
        <v>708302947</v>
      </c>
      <c r="B13" s="51" t="s">
        <v>54</v>
      </c>
      <c r="C13" s="52" t="str">
        <f>'Weekly Plan'!G12</f>
        <v>LH Box Cover</v>
      </c>
      <c r="D13" s="53" t="str">
        <f>IF('Weekly Plan'!K12=0,"",'Weekly Plan'!K12)</f>
        <v/>
      </c>
      <c r="E13" s="97">
        <f>'Weekly Plan'!A12</f>
        <v>2</v>
      </c>
      <c r="F13" s="97">
        <f t="shared" si="0"/>
        <v>0</v>
      </c>
      <c r="G13" s="50">
        <f>'Weekly Plan'!F76</f>
        <v>99629</v>
      </c>
      <c r="H13" s="91" t="s">
        <v>123</v>
      </c>
      <c r="I13" s="52" t="str">
        <f>'Weekly Plan'!G76</f>
        <v>Main Lower Cover</v>
      </c>
      <c r="J13" s="54" t="str">
        <f>IF('Weekly Plan'!K76=0,"",'Weekly Plan'!K76)</f>
        <v/>
      </c>
      <c r="K13" s="97">
        <f>'Weekly Plan'!A76</f>
        <v>1</v>
      </c>
      <c r="L13" s="97">
        <f t="shared" ref="L13:L33" si="3">IFERROR(J13/K13,0)</f>
        <v>0</v>
      </c>
      <c r="M13" s="55">
        <f>'Weekly Plan'!F81</f>
        <v>0</v>
      </c>
      <c r="N13" s="52" t="str">
        <f>'Weekly Plan'!G81</f>
        <v>Handles</v>
      </c>
      <c r="O13" s="53" t="str">
        <f>IF('Weekly Plan'!K81=0,"",'Weekly Plan'!K81)</f>
        <v/>
      </c>
      <c r="P13" s="2">
        <f>'Weekly Plan'!A81</f>
        <v>18</v>
      </c>
      <c r="Q13" s="4">
        <f t="shared" si="2"/>
        <v>0</v>
      </c>
      <c r="AC13" s="2">
        <v>4</v>
      </c>
    </row>
    <row r="14" spans="1:29" ht="15" customHeight="1" x14ac:dyDescent="0.2">
      <c r="A14" s="50">
        <f>'Weekly Plan'!F13</f>
        <v>708302948</v>
      </c>
      <c r="B14" s="51" t="s">
        <v>54</v>
      </c>
      <c r="C14" s="52" t="str">
        <f>'Weekly Plan'!G13</f>
        <v>RH Box Cover</v>
      </c>
      <c r="D14" s="53" t="str">
        <f>IF('Weekly Plan'!K13=0,"",'Weekly Plan'!K13)</f>
        <v/>
      </c>
      <c r="E14" s="97">
        <f>'Weekly Plan'!A13</f>
        <v>2</v>
      </c>
      <c r="F14" s="97">
        <f t="shared" si="0"/>
        <v>0</v>
      </c>
      <c r="G14" s="50">
        <f>'Weekly Plan'!F77</f>
        <v>99631</v>
      </c>
      <c r="H14" s="91" t="s">
        <v>123</v>
      </c>
      <c r="I14" s="52" t="str">
        <f>'Weekly Plan'!G77</f>
        <v>Main Upper Cover</v>
      </c>
      <c r="J14" s="54" t="str">
        <f>IF('Weekly Plan'!K77=0,"",'Weekly Plan'!K77)</f>
        <v/>
      </c>
      <c r="K14" s="97">
        <f>'Weekly Plan'!A77</f>
        <v>1</v>
      </c>
      <c r="L14" s="97">
        <f t="shared" si="3"/>
        <v>0</v>
      </c>
      <c r="M14" s="55">
        <f>'Weekly Plan'!F82</f>
        <v>0</v>
      </c>
      <c r="N14" s="52">
        <f>'Weekly Plan'!G82</f>
        <v>0</v>
      </c>
      <c r="O14" s="53" t="str">
        <f>IF('Weekly Plan'!K82=0,"",'Weekly Plan'!K82)</f>
        <v/>
      </c>
      <c r="P14" s="2">
        <f>'Weekly Plan'!A82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50">
        <f>'Weekly Plan'!F14</f>
        <v>708303800</v>
      </c>
      <c r="B15" s="51" t="s">
        <v>54</v>
      </c>
      <c r="C15" s="52" t="str">
        <f>'Weekly Plan'!G14</f>
        <v>LH F3T Panel</v>
      </c>
      <c r="D15" s="53" t="str">
        <f>IF('Weekly Plan'!K14=0,"",'Weekly Plan'!K14)</f>
        <v/>
      </c>
      <c r="E15" s="97">
        <f>'Weekly Plan'!A14</f>
        <v>4</v>
      </c>
      <c r="F15" s="97">
        <f t="shared" si="0"/>
        <v>0</v>
      </c>
      <c r="G15" s="50">
        <f>'Weekly Plan'!F78</f>
        <v>99638</v>
      </c>
      <c r="H15" s="91" t="s">
        <v>123</v>
      </c>
      <c r="I15" s="52" t="str">
        <f>'Weekly Plan'!G78</f>
        <v>Rear Plate</v>
      </c>
      <c r="J15" s="54" t="str">
        <f>IF('Weekly Plan'!K78=0,"",'Weekly Plan'!K78)</f>
        <v/>
      </c>
      <c r="K15" s="97">
        <f>'Weekly Plan'!A78</f>
        <v>20</v>
      </c>
      <c r="L15" s="97">
        <f t="shared" si="3"/>
        <v>0</v>
      </c>
      <c r="M15" s="56">
        <f>'Weekly Plan'!F83</f>
        <v>0</v>
      </c>
      <c r="N15" s="57">
        <f>'Weekly Plan'!G83</f>
        <v>0</v>
      </c>
      <c r="O15" s="58" t="str">
        <f>IF('Weekly Plan'!K83=0,"",'Weekly Plan'!K83)</f>
        <v/>
      </c>
      <c r="P15" s="2">
        <f>'Weekly Plan'!A83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50">
        <f>'Weekly Plan'!F15</f>
        <v>708303801</v>
      </c>
      <c r="B16" s="51" t="s">
        <v>54</v>
      </c>
      <c r="C16" s="52" t="str">
        <f>'Weekly Plan'!G15</f>
        <v>RH F3T Panel</v>
      </c>
      <c r="D16" s="53" t="str">
        <f>IF('Weekly Plan'!K15=0,"",'Weekly Plan'!K15)</f>
        <v/>
      </c>
      <c r="E16" s="97">
        <f>'Weekly Plan'!A15</f>
        <v>4</v>
      </c>
      <c r="F16" s="97">
        <f t="shared" si="0"/>
        <v>0</v>
      </c>
      <c r="G16" s="62">
        <f>'Weekly Plan'!F79</f>
        <v>99630</v>
      </c>
      <c r="H16" s="94" t="s">
        <v>123</v>
      </c>
      <c r="I16" s="57" t="str">
        <f>'Weekly Plan'!G79</f>
        <v>Vent Cover</v>
      </c>
      <c r="J16" s="60" t="str">
        <f>IF('Weekly Plan'!K79=0,"",'Weekly Plan'!K79)</f>
        <v/>
      </c>
      <c r="K16" s="97">
        <f>'Weekly Plan'!A79</f>
        <v>1</v>
      </c>
      <c r="L16" s="97">
        <f t="shared" si="3"/>
        <v>0</v>
      </c>
      <c r="M16" s="61"/>
      <c r="N16" s="61"/>
      <c r="O16" s="61"/>
      <c r="P16" s="4"/>
      <c r="Q16" s="4"/>
      <c r="R16" s="4"/>
      <c r="AC16" s="4">
        <v>2</v>
      </c>
    </row>
    <row r="17" spans="1:29" ht="15" customHeight="1" thickBot="1" x14ac:dyDescent="0.25">
      <c r="A17" s="50">
        <f>'Weekly Plan'!F16</f>
        <v>708400461</v>
      </c>
      <c r="B17" s="51" t="s">
        <v>54</v>
      </c>
      <c r="C17" s="52" t="str">
        <f>'Weekly Plan'!G16</f>
        <v>LH Mirror Shell -No Hole</v>
      </c>
      <c r="D17" s="53" t="str">
        <f>IF('Weekly Plan'!K16=0,"",'Weekly Plan'!K16)</f>
        <v/>
      </c>
      <c r="E17" s="97">
        <f>'Weekly Plan'!A16</f>
        <v>2</v>
      </c>
      <c r="F17" s="97">
        <f t="shared" si="0"/>
        <v>0</v>
      </c>
      <c r="G17" s="61"/>
      <c r="H17" s="61"/>
      <c r="I17" s="61"/>
      <c r="J17" s="61"/>
      <c r="K17" s="99"/>
      <c r="L17" s="97"/>
      <c r="M17" s="138" t="s">
        <v>103</v>
      </c>
      <c r="N17" s="139"/>
      <c r="O17" s="140"/>
      <c r="P17" s="4"/>
      <c r="Q17" s="4"/>
      <c r="R17" s="4"/>
      <c r="AC17" s="4">
        <v>1</v>
      </c>
    </row>
    <row r="18" spans="1:29" ht="15" customHeight="1" thickBot="1" x14ac:dyDescent="0.25">
      <c r="A18" s="62">
        <f>'Weekly Plan'!F17</f>
        <v>708400463</v>
      </c>
      <c r="B18" s="63" t="s">
        <v>54</v>
      </c>
      <c r="C18" s="57" t="str">
        <f>'Weekly Plan'!G17</f>
        <v xml:space="preserve">RH Mirror Shell - No Hole </v>
      </c>
      <c r="D18" s="58" t="str">
        <f>IF('Weekly Plan'!K17=0,"",'Weekly Plan'!K17)</f>
        <v/>
      </c>
      <c r="E18" s="97">
        <f>'Weekly Plan'!A17</f>
        <v>2</v>
      </c>
      <c r="F18" s="97">
        <f t="shared" si="0"/>
        <v>0</v>
      </c>
      <c r="G18" s="143" t="s">
        <v>253</v>
      </c>
      <c r="H18" s="144"/>
      <c r="I18" s="144"/>
      <c r="J18" s="145"/>
      <c r="K18" s="97"/>
      <c r="L18" s="97"/>
      <c r="M18" s="55">
        <f>'Weekly Plan'!F85</f>
        <v>0</v>
      </c>
      <c r="N18" s="52" t="str">
        <f>'Weekly Plan'!G85</f>
        <v>Base Dual</v>
      </c>
      <c r="O18" s="53" t="str">
        <f>IF('Weekly Plan'!K85=0,"",'Weekly Plan'!K85)</f>
        <v/>
      </c>
      <c r="P18" s="4">
        <f>'Weekly Plan'!A85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64"/>
      <c r="B19" s="64"/>
      <c r="C19" s="64"/>
      <c r="D19" s="64"/>
      <c r="E19" s="97"/>
      <c r="F19" s="97"/>
      <c r="G19" s="50">
        <f>'Weekly Plan'!F19</f>
        <v>705009213</v>
      </c>
      <c r="H19" s="88" t="s">
        <v>261</v>
      </c>
      <c r="I19" s="52" t="str">
        <f>'Weekly Plan'!G19</f>
        <v>LH F3T Low Fairing</v>
      </c>
      <c r="J19" s="53" t="str">
        <f>IF('Weekly Plan'!K19=0,"",'Weekly Plan'!K19)</f>
        <v/>
      </c>
      <c r="K19" s="97">
        <f>'Weekly Plan'!A19</f>
        <v>2</v>
      </c>
      <c r="L19" s="97">
        <f t="shared" si="3"/>
        <v>0</v>
      </c>
      <c r="M19" s="55">
        <f>'Weekly Plan'!F86</f>
        <v>500458</v>
      </c>
      <c r="N19" s="52" t="str">
        <f>'Weekly Plan'!G86</f>
        <v>Face Plate, DTM, SSR</v>
      </c>
      <c r="O19" s="53" t="str">
        <f>IF('Weekly Plan'!K86=0,"",'Weekly Plan'!K86)</f>
        <v/>
      </c>
      <c r="P19" s="4">
        <f>'Weekly Plan'!A86</f>
        <v>16</v>
      </c>
      <c r="Q19" s="4">
        <f t="shared" si="2"/>
        <v>0</v>
      </c>
      <c r="AC19" s="2">
        <v>1</v>
      </c>
    </row>
    <row r="20" spans="1:29" ht="15" customHeight="1" thickBot="1" x14ac:dyDescent="0.25">
      <c r="A20" s="143" t="s">
        <v>79</v>
      </c>
      <c r="B20" s="144"/>
      <c r="C20" s="144"/>
      <c r="D20" s="145"/>
      <c r="E20" s="97"/>
      <c r="F20" s="97"/>
      <c r="G20" s="50">
        <f>'Weekly Plan'!F20</f>
        <v>705009214</v>
      </c>
      <c r="H20" s="88" t="s">
        <v>261</v>
      </c>
      <c r="I20" s="52" t="str">
        <f>'Weekly Plan'!G20</f>
        <v>RH F3T Low Fairing</v>
      </c>
      <c r="J20" s="53" t="str">
        <f>IF('Weekly Plan'!K20=0,"",'Weekly Plan'!K20)</f>
        <v/>
      </c>
      <c r="K20" s="97">
        <f>'Weekly Plan'!A20</f>
        <v>2</v>
      </c>
      <c r="L20" s="97">
        <f t="shared" si="3"/>
        <v>0</v>
      </c>
      <c r="M20" s="56">
        <f>'Weekly Plan'!F87</f>
        <v>500458</v>
      </c>
      <c r="N20" s="57" t="str">
        <f>'Weekly Plan'!G87</f>
        <v>Face Plate, STM, SSR</v>
      </c>
      <c r="O20" s="58" t="str">
        <f>IF('Weekly Plan'!K87=0,"",'Weekly Plan'!K87)</f>
        <v/>
      </c>
      <c r="P20" s="4">
        <f>'Weekly Plan'!A87</f>
        <v>16</v>
      </c>
      <c r="Q20" s="4">
        <f t="shared" si="2"/>
        <v>0</v>
      </c>
      <c r="AC20" s="2">
        <v>2</v>
      </c>
    </row>
    <row r="21" spans="1:29" ht="15" customHeight="1" thickBot="1" x14ac:dyDescent="0.25">
      <c r="A21" s="50">
        <f>'Weekly Plan'!F34</f>
        <v>708400287</v>
      </c>
      <c r="B21" s="51" t="s">
        <v>79</v>
      </c>
      <c r="C21" s="52" t="str">
        <f>'Weekly Plan'!G34</f>
        <v>Tank Cover</v>
      </c>
      <c r="D21" s="53" t="str">
        <f>IF('Weekly Plan'!K34=0,"",'Weekly Plan'!K34)</f>
        <v/>
      </c>
      <c r="E21" s="97">
        <f>'Weekly Plan'!A34</f>
        <v>2</v>
      </c>
      <c r="F21" s="97">
        <f t="shared" ref="F21:F39" si="4">IFERROR(D21/E21,0)</f>
        <v>0</v>
      </c>
      <c r="G21" s="50">
        <f>'Weekly Plan'!F21</f>
        <v>705010835</v>
      </c>
      <c r="H21" s="88" t="s">
        <v>261</v>
      </c>
      <c r="I21" s="52" t="str">
        <f>'Weekly Plan'!G21</f>
        <v>RH Fairing</v>
      </c>
      <c r="J21" s="53" t="str">
        <f>IF('Weekly Plan'!K21=0,"",'Weekly Plan'!K21)</f>
        <v/>
      </c>
      <c r="K21" s="97">
        <f>'Weekly Plan'!A21</f>
        <v>1</v>
      </c>
      <c r="L21" s="97">
        <f t="shared" si="3"/>
        <v>0</v>
      </c>
      <c r="M21" s="61"/>
      <c r="N21" s="61"/>
      <c r="O21" s="61"/>
      <c r="P21" s="4"/>
      <c r="Q21" s="4"/>
      <c r="R21" s="4"/>
      <c r="AC21" s="4">
        <v>1</v>
      </c>
    </row>
    <row r="22" spans="1:29" ht="15" customHeight="1" x14ac:dyDescent="0.2">
      <c r="A22" s="50">
        <f>'Weekly Plan'!F35</f>
        <v>705019189</v>
      </c>
      <c r="B22" s="51" t="s">
        <v>79</v>
      </c>
      <c r="C22" s="52" t="str">
        <f>'Weekly Plan'!G35</f>
        <v>New Tank Cover</v>
      </c>
      <c r="D22" s="53" t="str">
        <f>IF('Weekly Plan'!K35=0,"",'Weekly Plan'!K35)</f>
        <v/>
      </c>
      <c r="E22" s="97">
        <f>'Weekly Plan'!A35</f>
        <v>2</v>
      </c>
      <c r="F22" s="97">
        <f t="shared" si="4"/>
        <v>0</v>
      </c>
      <c r="G22" s="50">
        <f>'Weekly Plan'!F22</f>
        <v>705010851</v>
      </c>
      <c r="H22" s="88" t="s">
        <v>261</v>
      </c>
      <c r="I22" s="52" t="str">
        <f>'Weekly Plan'!G22</f>
        <v>LH Fairing</v>
      </c>
      <c r="J22" s="53" t="str">
        <f>IF('Weekly Plan'!K22=0,"",'Weekly Plan'!K22)</f>
        <v/>
      </c>
      <c r="K22" s="97">
        <f>'Weekly Plan'!A22</f>
        <v>1</v>
      </c>
      <c r="L22" s="97">
        <f t="shared" si="3"/>
        <v>0</v>
      </c>
      <c r="M22" s="138" t="s">
        <v>217</v>
      </c>
      <c r="N22" s="139"/>
      <c r="O22" s="140"/>
      <c r="P22" s="4"/>
      <c r="Q22" s="4"/>
      <c r="R22" s="4"/>
      <c r="AC22" s="4">
        <v>2</v>
      </c>
    </row>
    <row r="23" spans="1:29" ht="15" customHeight="1" x14ac:dyDescent="0.2">
      <c r="A23" s="50">
        <f>'Weekly Plan'!F36</f>
        <v>708001528</v>
      </c>
      <c r="B23" s="51" t="s">
        <v>79</v>
      </c>
      <c r="C23" s="52" t="str">
        <f>'Weekly Plan'!G36</f>
        <v>Tail Fairing</v>
      </c>
      <c r="D23" s="53" t="str">
        <f>IF('Weekly Plan'!K36=0,"",'Weekly Plan'!K36)</f>
        <v/>
      </c>
      <c r="E23" s="97">
        <f>'Weekly Plan'!A36</f>
        <v>2</v>
      </c>
      <c r="F23" s="97">
        <f t="shared" si="4"/>
        <v>0</v>
      </c>
      <c r="G23" s="50">
        <f>'Weekly Plan'!F23</f>
        <v>705012976</v>
      </c>
      <c r="H23" s="88" t="s">
        <v>261</v>
      </c>
      <c r="I23" s="52" t="str">
        <f>'Weekly Plan'!G23</f>
        <v>LH Fender</v>
      </c>
      <c r="J23" s="53" t="str">
        <f>IF('Weekly Plan'!K23=0,"",'Weekly Plan'!K23)</f>
        <v/>
      </c>
      <c r="K23" s="97">
        <f>'Weekly Plan'!A23</f>
        <v>2</v>
      </c>
      <c r="L23" s="97">
        <f t="shared" si="3"/>
        <v>0</v>
      </c>
      <c r="M23" s="55">
        <f>'Weekly Plan'!F89</f>
        <v>2650</v>
      </c>
      <c r="N23" s="52" t="str">
        <f>'Weekly Plan'!G89</f>
        <v>LH Side Puck</v>
      </c>
      <c r="O23" s="53" t="str">
        <f>IF('Weekly Plan'!K89=0,"",'Weekly Plan'!K89)</f>
        <v/>
      </c>
      <c r="P23" s="4">
        <f>'Weekly Plan'!A89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50">
        <f>'Weekly Plan'!F37</f>
        <v>708400069</v>
      </c>
      <c r="B24" s="51" t="s">
        <v>79</v>
      </c>
      <c r="C24" s="52" t="str">
        <f>'Weekly Plan'!G37</f>
        <v>RH Consol Fairing</v>
      </c>
      <c r="D24" s="53" t="str">
        <f>IF('Weekly Plan'!K37=0,"",'Weekly Plan'!K37)</f>
        <v/>
      </c>
      <c r="E24" s="97">
        <f>'Weekly Plan'!A37</f>
        <v>2</v>
      </c>
      <c r="F24" s="97">
        <f t="shared" si="4"/>
        <v>0</v>
      </c>
      <c r="G24" s="50">
        <f>'Weekly Plan'!F24</f>
        <v>705012868</v>
      </c>
      <c r="H24" s="88" t="s">
        <v>261</v>
      </c>
      <c r="I24" s="52" t="str">
        <f>'Weekly Plan'!G24</f>
        <v>RH Fender</v>
      </c>
      <c r="J24" s="53" t="str">
        <f>IF('Weekly Plan'!K24=0,"",'Weekly Plan'!K24)</f>
        <v/>
      </c>
      <c r="K24" s="97">
        <f>'Weekly Plan'!A24</f>
        <v>2</v>
      </c>
      <c r="L24" s="97">
        <f t="shared" si="3"/>
        <v>0</v>
      </c>
      <c r="M24" s="55">
        <f>'Weekly Plan'!F90</f>
        <v>2651</v>
      </c>
      <c r="N24" s="52" t="str">
        <f>'Weekly Plan'!G90</f>
        <v>RH Side Puck</v>
      </c>
      <c r="O24" s="53" t="str">
        <f>IF('Weekly Plan'!K90=0,"",'Weekly Plan'!K90)</f>
        <v/>
      </c>
      <c r="P24" s="4">
        <f>'Weekly Plan'!A90</f>
        <v>6</v>
      </c>
      <c r="Q24" s="4">
        <f t="shared" ref="Q24:Q32" si="5">IFERROR(O24/P24,0)</f>
        <v>0</v>
      </c>
      <c r="R24" s="4"/>
      <c r="AC24" s="4">
        <v>2</v>
      </c>
    </row>
    <row r="25" spans="1:29" ht="15" customHeight="1" x14ac:dyDescent="0.2">
      <c r="A25" s="50">
        <f>'Weekly Plan'!F38</f>
        <v>708400067</v>
      </c>
      <c r="B25" s="51" t="s">
        <v>79</v>
      </c>
      <c r="C25" s="52" t="str">
        <f>'Weekly Plan'!G38</f>
        <v>LH Consol Fairing</v>
      </c>
      <c r="D25" s="53" t="str">
        <f>IF('Weekly Plan'!K38=0,"",'Weekly Plan'!K38)</f>
        <v/>
      </c>
      <c r="E25" s="97">
        <f>'Weekly Plan'!A38</f>
        <v>2</v>
      </c>
      <c r="F25" s="97">
        <f t="shared" si="4"/>
        <v>0</v>
      </c>
      <c r="G25" s="50">
        <f>'Weekly Plan'!F25</f>
        <v>708200366</v>
      </c>
      <c r="H25" s="88" t="s">
        <v>261</v>
      </c>
      <c r="I25" s="52" t="str">
        <f>'Weekly Plan'!G25</f>
        <v>Hood</v>
      </c>
      <c r="J25" s="53" t="str">
        <f>IF('Weekly Plan'!K25=0,"",'Weekly Plan'!K25)</f>
        <v/>
      </c>
      <c r="K25" s="97">
        <f>'Weekly Plan'!A25</f>
        <v>1</v>
      </c>
      <c r="L25" s="97">
        <f t="shared" si="3"/>
        <v>0</v>
      </c>
      <c r="M25" s="55">
        <f>'Weekly Plan'!F91</f>
        <v>2647</v>
      </c>
      <c r="N25" s="52" t="str">
        <f>'Weekly Plan'!G91</f>
        <v>Front Puck</v>
      </c>
      <c r="O25" s="53" t="str">
        <f>IF('Weekly Plan'!K91=0,"",'Weekly Plan'!K91)</f>
        <v/>
      </c>
      <c r="P25" s="4">
        <f>'Weekly Plan'!A91</f>
        <v>6</v>
      </c>
      <c r="Q25" s="4">
        <f t="shared" si="5"/>
        <v>0</v>
      </c>
      <c r="R25" s="4">
        <v>18</v>
      </c>
      <c r="AC25" s="4">
        <v>1</v>
      </c>
    </row>
    <row r="26" spans="1:29" ht="15" customHeight="1" thickBot="1" x14ac:dyDescent="0.25">
      <c r="A26" s="50">
        <f>'Weekly Plan'!F39</f>
        <v>708400956</v>
      </c>
      <c r="B26" s="51" t="s">
        <v>79</v>
      </c>
      <c r="C26" s="52" t="str">
        <f>'Weekly Plan'!G39</f>
        <v>New LH Console Panel</v>
      </c>
      <c r="D26" s="53" t="str">
        <f>IF('Weekly Plan'!K39=0,"",'Weekly Plan'!K39)</f>
        <v/>
      </c>
      <c r="E26" s="97">
        <f>'Weekly Plan'!A39</f>
        <v>2</v>
      </c>
      <c r="F26" s="97">
        <f t="shared" si="4"/>
        <v>0</v>
      </c>
      <c r="G26" s="50">
        <f>'Weekly Plan'!F26</f>
        <v>708200401</v>
      </c>
      <c r="H26" s="88" t="s">
        <v>261</v>
      </c>
      <c r="I26" s="52" t="str">
        <f>'Weekly Plan'!G26</f>
        <v>LH Vent Panel</v>
      </c>
      <c r="J26" s="53" t="str">
        <f>IF('Weekly Plan'!K26=0,"",'Weekly Plan'!K26)</f>
        <v/>
      </c>
      <c r="K26" s="97">
        <f>'Weekly Plan'!A26</f>
        <v>2</v>
      </c>
      <c r="L26" s="97">
        <f t="shared" si="3"/>
        <v>0</v>
      </c>
      <c r="M26" s="56">
        <f>'Weekly Plan'!F92</f>
        <v>0</v>
      </c>
      <c r="N26" s="57">
        <f>'Weekly Plan'!G92</f>
        <v>0</v>
      </c>
      <c r="O26" s="58" t="str">
        <f>IF('Weekly Plan'!K92=0,"",'Weekly Plan'!K92)</f>
        <v/>
      </c>
      <c r="P26" s="4">
        <f>'Weekly Plan'!A92</f>
        <v>0</v>
      </c>
      <c r="Q26" s="4">
        <f t="shared" si="5"/>
        <v>0</v>
      </c>
      <c r="R26" s="4"/>
      <c r="AC26" s="4">
        <v>1</v>
      </c>
    </row>
    <row r="27" spans="1:29" ht="15" customHeight="1" thickBot="1" x14ac:dyDescent="0.25">
      <c r="A27" s="50">
        <f>'Weekly Plan'!F40</f>
        <v>708400957</v>
      </c>
      <c r="B27" s="51" t="s">
        <v>79</v>
      </c>
      <c r="C27" s="52" t="str">
        <f>'Weekly Plan'!G40</f>
        <v>New RH Console Panel</v>
      </c>
      <c r="D27" s="53" t="str">
        <f>IF('Weekly Plan'!K40=0,"",'Weekly Plan'!K40)</f>
        <v/>
      </c>
      <c r="E27" s="97">
        <f>'Weekly Plan'!A40</f>
        <v>2</v>
      </c>
      <c r="F27" s="97">
        <f t="shared" si="4"/>
        <v>0</v>
      </c>
      <c r="G27" s="50">
        <f>'Weekly Plan'!F27</f>
        <v>708200402</v>
      </c>
      <c r="H27" s="88" t="s">
        <v>261</v>
      </c>
      <c r="I27" s="52" t="str">
        <f>'Weekly Plan'!G27</f>
        <v>RH Vent Panel</v>
      </c>
      <c r="J27" s="53" t="str">
        <f>IF('Weekly Plan'!K27=0,"",'Weekly Plan'!K27)</f>
        <v/>
      </c>
      <c r="K27" s="97">
        <f>'Weekly Plan'!A27</f>
        <v>2</v>
      </c>
      <c r="L27" s="97">
        <f t="shared" si="3"/>
        <v>0</v>
      </c>
      <c r="M27" s="65"/>
      <c r="N27" s="65"/>
      <c r="O27" s="65"/>
      <c r="P27" s="4">
        <f>'Weekly Plan'!A93</f>
        <v>0</v>
      </c>
      <c r="Q27" s="4"/>
      <c r="AC27" s="2">
        <v>1</v>
      </c>
    </row>
    <row r="28" spans="1:29" ht="15" customHeight="1" x14ac:dyDescent="0.2">
      <c r="A28" s="50">
        <f>'Weekly Plan'!F41</f>
        <v>708400722</v>
      </c>
      <c r="B28" s="51" t="s">
        <v>79</v>
      </c>
      <c r="C28" s="52" t="str">
        <f>'Weekly Plan'!G41</f>
        <v>New Nose Fairing</v>
      </c>
      <c r="D28" s="53" t="str">
        <f>IF('Weekly Plan'!K41=0,"",'Weekly Plan'!K41)</f>
        <v/>
      </c>
      <c r="E28" s="97">
        <f>'Weekly Plan'!A41</f>
        <v>2</v>
      </c>
      <c r="F28" s="97">
        <f t="shared" si="4"/>
        <v>0</v>
      </c>
      <c r="G28" s="50">
        <f>'Weekly Plan'!F28</f>
        <v>708200698</v>
      </c>
      <c r="H28" s="88" t="s">
        <v>261</v>
      </c>
      <c r="I28" s="52" t="str">
        <f>'Weekly Plan'!G28</f>
        <v>Fascia</v>
      </c>
      <c r="J28" s="53" t="str">
        <f>IF('Weekly Plan'!K28=0,"",'Weekly Plan'!K28)</f>
        <v/>
      </c>
      <c r="K28" s="97">
        <f>'Weekly Plan'!A28</f>
        <v>1</v>
      </c>
      <c r="L28" s="97">
        <f t="shared" si="3"/>
        <v>0</v>
      </c>
      <c r="M28" s="138" t="s">
        <v>209</v>
      </c>
      <c r="N28" s="139"/>
      <c r="O28" s="140"/>
      <c r="P28" s="4">
        <f>'Weekly Plan'!A94</f>
        <v>2</v>
      </c>
      <c r="Q28" s="4"/>
      <c r="AC28" s="2">
        <v>2</v>
      </c>
    </row>
    <row r="29" spans="1:29" ht="15" customHeight="1" x14ac:dyDescent="0.2">
      <c r="A29" s="50">
        <f>'Weekly Plan'!F42</f>
        <v>708400721</v>
      </c>
      <c r="B29" s="51" t="s">
        <v>79</v>
      </c>
      <c r="C29" s="52" t="str">
        <f>'Weekly Plan'!G42</f>
        <v>New Tail Fairing</v>
      </c>
      <c r="D29" s="53" t="str">
        <f>IF('Weekly Plan'!K42=0,"",'Weekly Plan'!K42)</f>
        <v/>
      </c>
      <c r="E29" s="97">
        <f>'Weekly Plan'!A42</f>
        <v>8</v>
      </c>
      <c r="F29" s="97">
        <f t="shared" si="4"/>
        <v>0</v>
      </c>
      <c r="G29" s="50">
        <f>'Weekly Plan'!F29</f>
        <v>708301214</v>
      </c>
      <c r="H29" s="88" t="s">
        <v>261</v>
      </c>
      <c r="I29" s="52" t="str">
        <f>'Weekly Plan'!G29</f>
        <v>LH Cover</v>
      </c>
      <c r="J29" s="53" t="str">
        <f>IF('Weekly Plan'!K29=0,"",'Weekly Plan'!K29)</f>
        <v/>
      </c>
      <c r="K29" s="97">
        <f>'Weekly Plan'!A29</f>
        <v>1</v>
      </c>
      <c r="L29" s="97">
        <f t="shared" si="3"/>
        <v>0</v>
      </c>
      <c r="M29" s="55">
        <f>'Weekly Plan'!F101</f>
        <v>9929</v>
      </c>
      <c r="N29" s="52" t="str">
        <f>'Weekly Plan'!G101</f>
        <v>MS Applique</v>
      </c>
      <c r="O29" s="53" t="str">
        <f>IF('Weekly Plan'!K101=0,"",'Weekly Plan'!K101)</f>
        <v/>
      </c>
      <c r="P29" s="4">
        <f>'Weekly Plan'!A101</f>
        <v>6</v>
      </c>
      <c r="Q29" s="4">
        <f t="shared" si="5"/>
        <v>0</v>
      </c>
      <c r="R29" s="2">
        <v>21</v>
      </c>
      <c r="AC29" s="2"/>
    </row>
    <row r="30" spans="1:29" ht="15" customHeight="1" x14ac:dyDescent="0.2">
      <c r="A30" s="50">
        <f>'Weekly Plan'!F43</f>
        <v>708400462</v>
      </c>
      <c r="B30" s="51" t="s">
        <v>79</v>
      </c>
      <c r="C30" s="52" t="str">
        <f>'Weekly Plan'!G43</f>
        <v>LH Mirror Shell</v>
      </c>
      <c r="D30" s="53" t="str">
        <f>IF('Weekly Plan'!K43=0,"",'Weekly Plan'!K43)</f>
        <v/>
      </c>
      <c r="E30" s="97">
        <f>'Weekly Plan'!A43</f>
        <v>2</v>
      </c>
      <c r="F30" s="97">
        <f t="shared" si="4"/>
        <v>0</v>
      </c>
      <c r="G30" s="50">
        <f>'Weekly Plan'!F30</f>
        <v>708301215</v>
      </c>
      <c r="H30" s="88" t="s">
        <v>261</v>
      </c>
      <c r="I30" s="52" t="str">
        <f>'Weekly Plan'!G30</f>
        <v>RH Cover</v>
      </c>
      <c r="J30" s="53" t="str">
        <f>IF('Weekly Plan'!K30=0,"",'Weekly Plan'!K30)</f>
        <v/>
      </c>
      <c r="K30" s="97">
        <f>'Weekly Plan'!A30</f>
        <v>1</v>
      </c>
      <c r="L30" s="97">
        <f t="shared" si="3"/>
        <v>0</v>
      </c>
      <c r="M30" s="55">
        <f>'Weekly Plan'!F102</f>
        <v>9931</v>
      </c>
      <c r="N30" s="52" t="str">
        <f>'Weekly Plan'!G102</f>
        <v>MX Applique</v>
      </c>
      <c r="O30" s="53" t="str">
        <f>IF('Weekly Plan'!K102=0,"",'Weekly Plan'!K102)</f>
        <v/>
      </c>
      <c r="P30" s="4">
        <f>'Weekly Plan'!A102</f>
        <v>6</v>
      </c>
      <c r="Q30" s="4">
        <f t="shared" si="5"/>
        <v>0</v>
      </c>
      <c r="R30" s="4"/>
      <c r="S30" s="4"/>
      <c r="AC30" s="4">
        <v>1</v>
      </c>
    </row>
    <row r="31" spans="1:29" ht="15" customHeight="1" x14ac:dyDescent="0.2">
      <c r="A31" s="50">
        <f>'Weekly Plan'!F44</f>
        <v>708400464</v>
      </c>
      <c r="B31" s="51" t="s">
        <v>79</v>
      </c>
      <c r="C31" s="52" t="str">
        <f>'Weekly Plan'!G44</f>
        <v>RH Mirror Shell</v>
      </c>
      <c r="D31" s="53" t="str">
        <f>IF('Weekly Plan'!K44=0,"",'Weekly Plan'!K44)</f>
        <v/>
      </c>
      <c r="E31" s="97">
        <f>'Weekly Plan'!A44</f>
        <v>2</v>
      </c>
      <c r="F31" s="97">
        <f t="shared" si="4"/>
        <v>0</v>
      </c>
      <c r="G31" s="50">
        <f>'Weekly Plan'!F31</f>
        <v>708303800</v>
      </c>
      <c r="H31" s="88" t="s">
        <v>261</v>
      </c>
      <c r="I31" s="52" t="str">
        <f>'Weekly Plan'!G31</f>
        <v>LH F3T Panel</v>
      </c>
      <c r="J31" s="53" t="str">
        <f>IF('Weekly Plan'!K31=0,"",'Weekly Plan'!K31)</f>
        <v/>
      </c>
      <c r="K31" s="97">
        <f>'Weekly Plan'!A31</f>
        <v>4</v>
      </c>
      <c r="L31" s="97">
        <f t="shared" si="3"/>
        <v>0</v>
      </c>
      <c r="M31" s="55">
        <f>'Weekly Plan'!F103</f>
        <v>0</v>
      </c>
      <c r="N31" s="52" t="str">
        <f>'Weekly Plan'!G103</f>
        <v>MS Applique Rework</v>
      </c>
      <c r="O31" s="53" t="str">
        <f>IF('Weekly Plan'!K103=0,"",'Weekly Plan'!K103)</f>
        <v/>
      </c>
      <c r="P31" s="4">
        <f>'Weekly Plan'!A103</f>
        <v>6</v>
      </c>
      <c r="Q31" s="4">
        <f t="shared" si="5"/>
        <v>0</v>
      </c>
      <c r="R31" s="4"/>
      <c r="S31" s="4"/>
      <c r="AC31" s="4">
        <v>1</v>
      </c>
    </row>
    <row r="32" spans="1:29" ht="15" customHeight="1" thickBot="1" x14ac:dyDescent="0.25">
      <c r="A32" s="50">
        <f>'Weekly Plan'!F45</f>
        <v>708400461</v>
      </c>
      <c r="B32" s="51" t="s">
        <v>79</v>
      </c>
      <c r="C32" s="52" t="str">
        <f>'Weekly Plan'!G45</f>
        <v xml:space="preserve">LH Mirror Shell - No Hole </v>
      </c>
      <c r="D32" s="53" t="str">
        <f>IF('Weekly Plan'!K45=0,"",'Weekly Plan'!K45)</f>
        <v/>
      </c>
      <c r="E32" s="97">
        <f>'Weekly Plan'!A45</f>
        <v>2</v>
      </c>
      <c r="F32" s="97">
        <f t="shared" si="4"/>
        <v>0</v>
      </c>
      <c r="G32" s="62">
        <f>'Weekly Plan'!F32</f>
        <v>708303801</v>
      </c>
      <c r="H32" s="95" t="s">
        <v>261</v>
      </c>
      <c r="I32" s="57" t="str">
        <f>'Weekly Plan'!G32</f>
        <v>RH F3T Panel</v>
      </c>
      <c r="J32" s="58" t="str">
        <f>IF('Weekly Plan'!K32=0,"",'Weekly Plan'!K32)</f>
        <v/>
      </c>
      <c r="K32" s="97">
        <f>'Weekly Plan'!A32</f>
        <v>4</v>
      </c>
      <c r="L32" s="97">
        <f t="shared" si="3"/>
        <v>0</v>
      </c>
      <c r="M32" s="56">
        <f>'Weekly Plan'!F104</f>
        <v>0</v>
      </c>
      <c r="N32" s="57" t="str">
        <f>'Weekly Plan'!G104</f>
        <v>MX Applique Rework</v>
      </c>
      <c r="O32" s="58" t="str">
        <f>IF('Weekly Plan'!K104=0,"",'Weekly Plan'!K104)</f>
        <v/>
      </c>
      <c r="P32" s="4">
        <f>'Weekly Plan'!A104</f>
        <v>6</v>
      </c>
      <c r="Q32" s="4">
        <f t="shared" si="5"/>
        <v>0</v>
      </c>
      <c r="R32" s="4"/>
      <c r="S32" s="4"/>
      <c r="AC32" s="4">
        <v>1</v>
      </c>
    </row>
    <row r="33" spans="1:29" ht="15" customHeight="1" x14ac:dyDescent="0.2">
      <c r="A33" s="50">
        <f>'Weekly Plan'!F46</f>
        <v>708400463</v>
      </c>
      <c r="B33" s="51" t="s">
        <v>79</v>
      </c>
      <c r="C33" s="52" t="str">
        <f>'Weekly Plan'!G46</f>
        <v xml:space="preserve">RH Mirror Shell - No Hole </v>
      </c>
      <c r="D33" s="53" t="str">
        <f>IF('Weekly Plan'!K46=0,"",'Weekly Plan'!K46)</f>
        <v/>
      </c>
      <c r="E33" s="97">
        <f>'Weekly Plan'!A46</f>
        <v>2</v>
      </c>
      <c r="F33" s="97">
        <f t="shared" si="4"/>
        <v>0</v>
      </c>
      <c r="K33" s="97">
        <f>'Weekly Plan'!A33</f>
        <v>0</v>
      </c>
      <c r="L33" s="97">
        <f t="shared" si="3"/>
        <v>0</v>
      </c>
      <c r="M33" s="65"/>
      <c r="N33" s="65"/>
      <c r="O33" s="65"/>
      <c r="Q33" s="4"/>
      <c r="R33" s="4"/>
      <c r="S33" s="4"/>
      <c r="AC33" s="4">
        <v>1</v>
      </c>
    </row>
    <row r="34" spans="1:29" ht="15" customHeight="1" thickBot="1" x14ac:dyDescent="0.25">
      <c r="A34" s="50">
        <f>'Weekly Plan'!F47</f>
        <v>705012976</v>
      </c>
      <c r="B34" s="51" t="s">
        <v>79</v>
      </c>
      <c r="C34" s="52" t="str">
        <f>'Weekly Plan'!G47</f>
        <v>LH Fender</v>
      </c>
      <c r="D34" s="53" t="str">
        <f>IF('Weekly Plan'!K47=0,"",'Weekly Plan'!K47)</f>
        <v/>
      </c>
      <c r="E34" s="97">
        <f>'Weekly Plan'!A47</f>
        <v>2</v>
      </c>
      <c r="F34" s="97">
        <f t="shared" si="4"/>
        <v>0</v>
      </c>
      <c r="K34" s="97"/>
      <c r="L34" s="97"/>
      <c r="M34" s="65"/>
      <c r="N34" s="65"/>
      <c r="O34" s="65"/>
      <c r="R34" s="4"/>
      <c r="S34" s="4"/>
      <c r="AC34" s="4">
        <v>2</v>
      </c>
    </row>
    <row r="35" spans="1:29" ht="15" customHeight="1" x14ac:dyDescent="0.2">
      <c r="A35" s="50">
        <f>'Weekly Plan'!F48</f>
        <v>705012868</v>
      </c>
      <c r="B35" s="51" t="s">
        <v>79</v>
      </c>
      <c r="C35" s="52" t="str">
        <f>'Weekly Plan'!G48</f>
        <v>RH Fender</v>
      </c>
      <c r="D35" s="53" t="str">
        <f>IF('Weekly Plan'!K48=0,"",'Weekly Plan'!K48)</f>
        <v/>
      </c>
      <c r="E35" s="97">
        <f>'Weekly Plan'!A48</f>
        <v>2</v>
      </c>
      <c r="F35" s="97">
        <f t="shared" si="4"/>
        <v>0</v>
      </c>
      <c r="G35" s="153" t="s">
        <v>81</v>
      </c>
      <c r="H35" s="154"/>
      <c r="I35" s="154"/>
      <c r="J35" s="155"/>
      <c r="K35" s="97"/>
      <c r="L35" s="97"/>
      <c r="M35" s="89" t="s">
        <v>15</v>
      </c>
      <c r="N35" s="89" t="s">
        <v>16</v>
      </c>
      <c r="O35" s="65"/>
      <c r="R35" s="4">
        <v>4</v>
      </c>
      <c r="S35" s="4"/>
      <c r="AC35" s="4">
        <v>1</v>
      </c>
    </row>
    <row r="36" spans="1:29" ht="15" customHeight="1" x14ac:dyDescent="0.2">
      <c r="A36" s="50">
        <f>'Weekly Plan'!F49</f>
        <v>705011169</v>
      </c>
      <c r="B36" s="51" t="s">
        <v>79</v>
      </c>
      <c r="C36" s="52" t="str">
        <f>'Weekly Plan'!G49</f>
        <v>LH Scoop</v>
      </c>
      <c r="D36" s="53" t="str">
        <f>IF('Weekly Plan'!K49=0,"",'Weekly Plan'!K49)</f>
        <v/>
      </c>
      <c r="E36" s="97">
        <f>'Weekly Plan'!A49</f>
        <v>2</v>
      </c>
      <c r="F36" s="97">
        <f t="shared" si="4"/>
        <v>0</v>
      </c>
      <c r="G36" s="156"/>
      <c r="H36" s="157"/>
      <c r="I36" s="157"/>
      <c r="J36" s="158"/>
      <c r="K36" s="97"/>
      <c r="L36" s="97"/>
      <c r="M36" s="66" t="str">
        <f>A4</f>
        <v>Hyper Silver</v>
      </c>
      <c r="N36" s="67">
        <f>SUM(F5:F18)</f>
        <v>0</v>
      </c>
      <c r="O36" s="68"/>
      <c r="Q36" s="4"/>
      <c r="R36" s="4">
        <v>2</v>
      </c>
      <c r="S36" s="4"/>
      <c r="AC36" s="4">
        <v>1</v>
      </c>
    </row>
    <row r="37" spans="1:29" ht="15" customHeight="1" x14ac:dyDescent="0.2">
      <c r="A37" s="50">
        <f>'Weekly Plan'!F50</f>
        <v>705011170</v>
      </c>
      <c r="B37" s="51" t="s">
        <v>79</v>
      </c>
      <c r="C37" s="52" t="str">
        <f>'Weekly Plan'!G50</f>
        <v>RH Scoop</v>
      </c>
      <c r="D37" s="53" t="str">
        <f>IF('Weekly Plan'!K50=0,"",'Weekly Plan'!K50)</f>
        <v/>
      </c>
      <c r="E37" s="97">
        <f>'Weekly Plan'!A50</f>
        <v>2</v>
      </c>
      <c r="F37" s="97">
        <f t="shared" si="4"/>
        <v>0</v>
      </c>
      <c r="G37" s="159"/>
      <c r="H37" s="160"/>
      <c r="I37" s="160"/>
      <c r="J37" s="161"/>
      <c r="K37" s="97"/>
      <c r="L37" s="97"/>
      <c r="M37" s="66" t="str">
        <f>A20</f>
        <v>Deep Black</v>
      </c>
      <c r="N37" s="67">
        <f>SUM(F21:F39)</f>
        <v>0</v>
      </c>
      <c r="O37" s="68"/>
      <c r="Q37" s="4"/>
      <c r="R37" s="4"/>
      <c r="S37" s="4"/>
      <c r="AC37" s="4">
        <v>1</v>
      </c>
    </row>
    <row r="38" spans="1:29" ht="15" customHeight="1" x14ac:dyDescent="0.2">
      <c r="A38" s="50">
        <f>'Weekly Plan'!F51</f>
        <v>708400261</v>
      </c>
      <c r="B38" s="51" t="s">
        <v>79</v>
      </c>
      <c r="C38" s="52" t="str">
        <f>'Weekly Plan'!G51</f>
        <v>LH Access Panel</v>
      </c>
      <c r="D38" s="53" t="str">
        <f>IF('Weekly Plan'!K51=0,"",'Weekly Plan'!K51)</f>
        <v/>
      </c>
      <c r="E38" s="97">
        <f>'Weekly Plan'!A51</f>
        <v>3</v>
      </c>
      <c r="F38" s="97">
        <f t="shared" si="4"/>
        <v>0</v>
      </c>
      <c r="G38" s="159"/>
      <c r="H38" s="160"/>
      <c r="I38" s="160"/>
      <c r="J38" s="161"/>
      <c r="K38" s="97"/>
      <c r="L38" s="97"/>
      <c r="M38" s="66" t="str">
        <f>G18</f>
        <v>British Green</v>
      </c>
      <c r="N38" s="67">
        <f>SUM(L19:L32)</f>
        <v>0</v>
      </c>
      <c r="O38" s="68"/>
      <c r="Q38" s="4"/>
      <c r="R38" s="4">
        <v>1</v>
      </c>
      <c r="S38" s="4"/>
      <c r="AC38" s="4">
        <v>1</v>
      </c>
    </row>
    <row r="39" spans="1:29" ht="15" customHeight="1" thickBot="1" x14ac:dyDescent="0.25">
      <c r="A39" s="62">
        <f>'Weekly Plan'!F52</f>
        <v>708400262</v>
      </c>
      <c r="B39" s="63" t="s">
        <v>79</v>
      </c>
      <c r="C39" s="57" t="str">
        <f>'Weekly Plan'!G52</f>
        <v>RH Access Panel</v>
      </c>
      <c r="D39" s="58" t="str">
        <f>IF('Weekly Plan'!K52=0,"",'Weekly Plan'!K52)</f>
        <v/>
      </c>
      <c r="E39" s="97">
        <f>'Weekly Plan'!A52</f>
        <v>3</v>
      </c>
      <c r="F39" s="97">
        <f t="shared" si="4"/>
        <v>0</v>
      </c>
      <c r="G39" s="159"/>
      <c r="H39" s="160"/>
      <c r="I39" s="160"/>
      <c r="J39" s="161"/>
      <c r="K39" s="97"/>
      <c r="L39" s="97"/>
      <c r="M39" s="66" t="str">
        <f>A44</f>
        <v>Vegas White</v>
      </c>
      <c r="N39" s="67">
        <f>SUM(F45:F56)</f>
        <v>0</v>
      </c>
      <c r="O39" s="65"/>
      <c r="Q39" s="4"/>
      <c r="R39" s="4"/>
      <c r="S39" s="4"/>
      <c r="AC39" s="4">
        <v>4</v>
      </c>
    </row>
    <row r="40" spans="1:29" ht="15" customHeight="1" x14ac:dyDescent="0.2">
      <c r="A40" s="92"/>
      <c r="B40" s="92"/>
      <c r="C40" s="64"/>
      <c r="D40" s="64" t="str">
        <f>IF('Weekly Plan'!H52=0,"",'Weekly Plan'!H52)</f>
        <v/>
      </c>
      <c r="E40" s="97">
        <f>'Weekly Plan'!A53</f>
        <v>0</v>
      </c>
      <c r="F40" s="97">
        <f t="shared" ref="F40:F41" si="6">IFERROR(D41/E40,0)</f>
        <v>0</v>
      </c>
      <c r="G40" s="159"/>
      <c r="H40" s="160"/>
      <c r="I40" s="160"/>
      <c r="J40" s="161"/>
      <c r="K40" s="99"/>
      <c r="L40" s="99"/>
      <c r="M40" s="66" t="str">
        <f>G4</f>
        <v>Black - Laval</v>
      </c>
      <c r="N40" s="67">
        <f>SUM(L5:L10)</f>
        <v>0</v>
      </c>
      <c r="O40" s="65"/>
      <c r="R40" s="4">
        <v>4</v>
      </c>
      <c r="S40" s="4"/>
      <c r="AC40" s="4">
        <v>2</v>
      </c>
    </row>
    <row r="41" spans="1:29" ht="17.25" customHeight="1" x14ac:dyDescent="0.2">
      <c r="A41" s="92"/>
      <c r="B41" s="92"/>
      <c r="C41" s="64"/>
      <c r="D41" s="64" t="str">
        <f>IF('Weekly Plan'!H53=0,"",'Weekly Plan'!H53)</f>
        <v/>
      </c>
      <c r="E41" s="97">
        <f>'Weekly Plan'!A54</f>
        <v>0</v>
      </c>
      <c r="F41" s="97">
        <f t="shared" si="6"/>
        <v>0</v>
      </c>
      <c r="G41" s="159"/>
      <c r="H41" s="160"/>
      <c r="I41" s="160"/>
      <c r="J41" s="161"/>
      <c r="K41" s="97"/>
      <c r="L41" s="97"/>
      <c r="M41" s="66" t="str">
        <f>G12</f>
        <v>Summit White - Laval</v>
      </c>
      <c r="N41" s="67">
        <f>SUM(L13:L16)</f>
        <v>0</v>
      </c>
      <c r="O41" s="65"/>
      <c r="R41" s="4">
        <v>2</v>
      </c>
      <c r="S41" s="4"/>
      <c r="AC41" s="4">
        <v>1</v>
      </c>
    </row>
    <row r="42" spans="1:29" ht="15" customHeight="1" x14ac:dyDescent="0.2">
      <c r="A42" s="92"/>
      <c r="B42" s="92"/>
      <c r="C42" s="64"/>
      <c r="D42" s="64" t="str">
        <f>IF('Weekly Plan'!H54=0,"",'Weekly Plan'!H54)</f>
        <v/>
      </c>
      <c r="E42" s="97"/>
      <c r="F42" s="97"/>
      <c r="G42" s="159"/>
      <c r="H42" s="160"/>
      <c r="I42" s="160"/>
      <c r="J42" s="161"/>
      <c r="K42" s="97"/>
      <c r="L42" s="97"/>
      <c r="M42" s="66" t="str">
        <f>M4</f>
        <v>Mitchell Plastics</v>
      </c>
      <c r="N42" s="67">
        <f>SUM(Q5:Q10)</f>
        <v>0</v>
      </c>
      <c r="O42" s="65"/>
      <c r="R42" s="2">
        <v>1</v>
      </c>
      <c r="AC42" s="2">
        <v>4</v>
      </c>
    </row>
    <row r="43" spans="1:29" ht="15" customHeight="1" thickBot="1" x14ac:dyDescent="0.25">
      <c r="A43" s="64"/>
      <c r="B43" s="64"/>
      <c r="C43" s="64"/>
      <c r="D43" s="64"/>
      <c r="E43" s="97"/>
      <c r="F43" s="97"/>
      <c r="G43" s="78"/>
      <c r="H43" s="79"/>
      <c r="I43" s="79"/>
      <c r="J43" s="80"/>
      <c r="K43" s="97"/>
      <c r="L43" s="97"/>
      <c r="M43" s="66" t="str">
        <f>M12</f>
        <v>Seastar</v>
      </c>
      <c r="N43" s="67">
        <f>SUM(Q13:Q15)</f>
        <v>0</v>
      </c>
      <c r="O43" s="65"/>
      <c r="R43" s="2">
        <v>1</v>
      </c>
      <c r="AC43" s="2">
        <v>2</v>
      </c>
    </row>
    <row r="44" spans="1:29" ht="15" customHeight="1" x14ac:dyDescent="0.2">
      <c r="A44" s="146" t="s">
        <v>12</v>
      </c>
      <c r="B44" s="147"/>
      <c r="C44" s="147"/>
      <c r="D44" s="148"/>
      <c r="E44" s="97">
        <f>'Weekly Plan'!A56</f>
        <v>2</v>
      </c>
      <c r="F44" s="97">
        <f t="shared" ref="F44" si="7">IFERROR(D45/E44,0)</f>
        <v>0</v>
      </c>
      <c r="G44" s="159"/>
      <c r="H44" s="160"/>
      <c r="I44" s="160"/>
      <c r="J44" s="161"/>
      <c r="K44" s="97"/>
      <c r="L44" s="97"/>
      <c r="M44" s="69" t="str">
        <f>M17</f>
        <v>Manterra - Hyper Silver</v>
      </c>
      <c r="N44" s="67">
        <f>SUM(Q18:Q20)</f>
        <v>0</v>
      </c>
      <c r="O44" s="65"/>
      <c r="R44" s="4"/>
      <c r="S44" s="4"/>
      <c r="AC44" s="4">
        <v>1</v>
      </c>
    </row>
    <row r="45" spans="1:29" ht="15" customHeight="1" x14ac:dyDescent="0.35">
      <c r="A45" s="55">
        <f>'Weekly Plan'!F56</f>
        <v>705009213</v>
      </c>
      <c r="B45" s="52" t="s">
        <v>12</v>
      </c>
      <c r="C45" s="52" t="str">
        <f>'Weekly Plan'!G56</f>
        <v>LH F3T Low Fairing</v>
      </c>
      <c r="D45" s="53" t="str">
        <f>IF('Weekly Plan'!K56=0,"",'Weekly Plan'!K56)</f>
        <v/>
      </c>
      <c r="E45" s="97">
        <f>'Weekly Plan'!A56</f>
        <v>2</v>
      </c>
      <c r="F45" s="97">
        <f>IFERROR(D45/E45,0)</f>
        <v>0</v>
      </c>
      <c r="G45" s="159"/>
      <c r="H45" s="160"/>
      <c r="I45" s="160"/>
      <c r="J45" s="161"/>
      <c r="K45" s="97"/>
      <c r="L45" s="97"/>
      <c r="M45" s="96" t="str">
        <f>M22</f>
        <v>Falcon Lakeside Hyper Silver</v>
      </c>
      <c r="N45" s="67">
        <f>SUM(Q23:Q26)</f>
        <v>0</v>
      </c>
      <c r="O45" s="65"/>
      <c r="R45" s="4"/>
      <c r="S45" s="4"/>
      <c r="AC45" s="4">
        <v>1</v>
      </c>
    </row>
    <row r="46" spans="1:29" ht="15" customHeight="1" x14ac:dyDescent="0.2">
      <c r="A46" s="55">
        <f>'Weekly Plan'!F57</f>
        <v>705009214</v>
      </c>
      <c r="B46" s="52" t="s">
        <v>12</v>
      </c>
      <c r="C46" s="52" t="str">
        <f>'Weekly Plan'!G57</f>
        <v>RH F3T Low Fairing</v>
      </c>
      <c r="D46" s="53" t="str">
        <f>IF('Weekly Plan'!K57=0,"",'Weekly Plan'!K57)</f>
        <v/>
      </c>
      <c r="E46" s="97">
        <f>'Weekly Plan'!A57</f>
        <v>2</v>
      </c>
      <c r="F46" s="97">
        <f t="shared" ref="F46:F56" si="8">IFERROR(D46/E46,0)</f>
        <v>0</v>
      </c>
      <c r="G46" s="159"/>
      <c r="H46" s="160"/>
      <c r="I46" s="160"/>
      <c r="J46" s="161"/>
      <c r="K46" s="97"/>
      <c r="L46" s="97"/>
      <c r="M46" s="69" t="str">
        <f>M28</f>
        <v>Tesla - High Gloss Black</v>
      </c>
      <c r="N46" s="67">
        <f>SUM(Q29:Q32)</f>
        <v>0</v>
      </c>
      <c r="O46" s="65"/>
      <c r="R46" s="4"/>
      <c r="S46" s="4"/>
      <c r="AC46" s="4">
        <v>1</v>
      </c>
    </row>
    <row r="47" spans="1:29" ht="15" customHeight="1" x14ac:dyDescent="0.2">
      <c r="A47" s="55">
        <f>'Weekly Plan'!F58</f>
        <v>705010835</v>
      </c>
      <c r="B47" s="52" t="s">
        <v>12</v>
      </c>
      <c r="C47" s="52" t="str">
        <f>'Weekly Plan'!G58</f>
        <v>RH Fairing</v>
      </c>
      <c r="D47" s="53" t="str">
        <f>IF('Weekly Plan'!K58=0,"",'Weekly Plan'!K58)</f>
        <v/>
      </c>
      <c r="E47" s="97">
        <f>'Weekly Plan'!A58</f>
        <v>1</v>
      </c>
      <c r="F47" s="97">
        <f t="shared" si="8"/>
        <v>0</v>
      </c>
      <c r="G47" s="159"/>
      <c r="H47" s="160"/>
      <c r="I47" s="160"/>
      <c r="J47" s="161"/>
      <c r="K47" s="97"/>
      <c r="L47" s="97"/>
      <c r="M47" s="66"/>
      <c r="N47" s="67"/>
      <c r="O47" s="65"/>
      <c r="R47" s="4"/>
      <c r="S47" s="4"/>
      <c r="AC47" s="4">
        <v>4</v>
      </c>
    </row>
    <row r="48" spans="1:29" ht="15" customHeight="1" x14ac:dyDescent="0.2">
      <c r="A48" s="55">
        <f>'Weekly Plan'!F59</f>
        <v>705010851</v>
      </c>
      <c r="B48" s="52" t="s">
        <v>12</v>
      </c>
      <c r="C48" s="52" t="str">
        <f>'Weekly Plan'!G59</f>
        <v>LH Fairing</v>
      </c>
      <c r="D48" s="53" t="str">
        <f>IF('Weekly Plan'!K59=0,"",'Weekly Plan'!K59)</f>
        <v/>
      </c>
      <c r="E48" s="97">
        <f>'Weekly Plan'!A59</f>
        <v>1</v>
      </c>
      <c r="F48" s="97">
        <f t="shared" si="8"/>
        <v>0</v>
      </c>
      <c r="G48" s="162"/>
      <c r="H48" s="163"/>
      <c r="I48" s="163"/>
      <c r="J48" s="164"/>
      <c r="K48" s="97"/>
      <c r="L48" s="97"/>
      <c r="M48" s="66"/>
      <c r="N48" s="67"/>
      <c r="O48" s="65"/>
      <c r="AC48" s="2">
        <v>2</v>
      </c>
    </row>
    <row r="49" spans="1:29" ht="15" customHeight="1" x14ac:dyDescent="0.2">
      <c r="A49" s="55">
        <f>'Weekly Plan'!F60</f>
        <v>705012976</v>
      </c>
      <c r="B49" s="52" t="s">
        <v>12</v>
      </c>
      <c r="C49" s="52" t="str">
        <f>'Weekly Plan'!G60</f>
        <v>LH Fender</v>
      </c>
      <c r="D49" s="53" t="str">
        <f>IF('Weekly Plan'!K60=0,"",'Weekly Plan'!K60)</f>
        <v/>
      </c>
      <c r="E49" s="97">
        <f>'Weekly Plan'!A60</f>
        <v>2</v>
      </c>
      <c r="F49" s="97">
        <f t="shared" si="8"/>
        <v>0</v>
      </c>
      <c r="G49" s="165"/>
      <c r="H49" s="163"/>
      <c r="I49" s="163"/>
      <c r="J49" s="164"/>
      <c r="K49" s="97"/>
      <c r="L49" s="97"/>
      <c r="M49" s="66"/>
      <c r="N49" s="67"/>
      <c r="O49" s="65"/>
      <c r="AC49" s="2">
        <v>1</v>
      </c>
    </row>
    <row r="50" spans="1:29" ht="15" customHeight="1" x14ac:dyDescent="0.25">
      <c r="A50" s="55">
        <f>'Weekly Plan'!F61</f>
        <v>705012868</v>
      </c>
      <c r="B50" s="52" t="s">
        <v>12</v>
      </c>
      <c r="C50" s="52" t="str">
        <f>'Weekly Plan'!G61</f>
        <v>RH Fender</v>
      </c>
      <c r="D50" s="53" t="str">
        <f>IF('Weekly Plan'!K61=0,"",'Weekly Plan'!K61)</f>
        <v/>
      </c>
      <c r="E50" s="97">
        <f>'Weekly Plan'!A61</f>
        <v>2</v>
      </c>
      <c r="F50" s="97">
        <f t="shared" si="8"/>
        <v>0</v>
      </c>
      <c r="G50" s="165"/>
      <c r="H50" s="163"/>
      <c r="I50" s="163"/>
      <c r="J50" s="164"/>
      <c r="K50" s="97"/>
      <c r="L50" s="97"/>
      <c r="M50" s="71" t="s">
        <v>165</v>
      </c>
      <c r="N50" s="70">
        <f>SUM(N36:N49)</f>
        <v>0</v>
      </c>
      <c r="O50" s="65"/>
      <c r="R50" s="4"/>
      <c r="S50" s="4"/>
      <c r="AC50" s="4">
        <v>1</v>
      </c>
    </row>
    <row r="51" spans="1:29" ht="15" customHeight="1" x14ac:dyDescent="0.25">
      <c r="A51" s="55">
        <f>'Weekly Plan'!F62</f>
        <v>708200366</v>
      </c>
      <c r="B51" s="52" t="s">
        <v>12</v>
      </c>
      <c r="C51" s="52" t="str">
        <f>'Weekly Plan'!G62</f>
        <v>Hood</v>
      </c>
      <c r="D51" s="53" t="str">
        <f>IF('Weekly Plan'!K62=0,"",'Weekly Plan'!K62)</f>
        <v/>
      </c>
      <c r="E51" s="97">
        <f>'Weekly Plan'!A62</f>
        <v>1</v>
      </c>
      <c r="F51" s="97">
        <f t="shared" si="8"/>
        <v>0</v>
      </c>
      <c r="G51" s="165"/>
      <c r="H51" s="163"/>
      <c r="I51" s="163"/>
      <c r="J51" s="164"/>
      <c r="K51" s="97"/>
      <c r="L51" s="97"/>
      <c r="M51" s="71"/>
      <c r="N51" s="71"/>
      <c r="O51" s="65"/>
      <c r="R51" s="4"/>
      <c r="S51" s="4"/>
      <c r="AC51" s="4">
        <v>4</v>
      </c>
    </row>
    <row r="52" spans="1:29" ht="15" customHeight="1" x14ac:dyDescent="0.2">
      <c r="A52" s="55">
        <f>'Weekly Plan'!F63</f>
        <v>708200401</v>
      </c>
      <c r="B52" s="52" t="s">
        <v>12</v>
      </c>
      <c r="C52" s="52" t="str">
        <f>'Weekly Plan'!G63</f>
        <v>LH Vent Panel</v>
      </c>
      <c r="D52" s="53" t="str">
        <f>IF('Weekly Plan'!K63=0,"",'Weekly Plan'!K63)</f>
        <v/>
      </c>
      <c r="E52" s="97">
        <f>'Weekly Plan'!A63</f>
        <v>2</v>
      </c>
      <c r="F52" s="97">
        <f t="shared" si="8"/>
        <v>0</v>
      </c>
      <c r="G52" s="165"/>
      <c r="H52" s="163"/>
      <c r="I52" s="163"/>
      <c r="J52" s="164"/>
      <c r="K52" s="97"/>
      <c r="L52" s="97"/>
      <c r="M52" s="66" t="s">
        <v>17</v>
      </c>
      <c r="N52" s="66">
        <f>(COUNTIF(N36:N49, "&gt;0")-1)*(IF(N50&gt;0, 12, 0))</f>
        <v>0</v>
      </c>
      <c r="O52" s="65"/>
      <c r="R52" s="4"/>
      <c r="S52" s="4"/>
      <c r="AC52" s="4">
        <v>2</v>
      </c>
    </row>
    <row r="53" spans="1:29" ht="15" customHeight="1" x14ac:dyDescent="0.2">
      <c r="A53" s="55">
        <f>'Weekly Plan'!F64</f>
        <v>708200402</v>
      </c>
      <c r="B53" s="52" t="s">
        <v>12</v>
      </c>
      <c r="C53" s="52" t="str">
        <f>'Weekly Plan'!G64</f>
        <v>RH Vent Panel</v>
      </c>
      <c r="D53" s="53" t="str">
        <f>IF('Weekly Plan'!K64=0,"",'Weekly Plan'!K64)</f>
        <v/>
      </c>
      <c r="E53" s="97">
        <f>'Weekly Plan'!A64</f>
        <v>2</v>
      </c>
      <c r="F53" s="97">
        <f t="shared" si="8"/>
        <v>0</v>
      </c>
      <c r="G53" s="165"/>
      <c r="H53" s="163"/>
      <c r="I53" s="163"/>
      <c r="J53" s="164"/>
      <c r="K53" s="97"/>
      <c r="L53" s="97"/>
      <c r="M53" s="169"/>
      <c r="N53" s="170"/>
      <c r="O53" s="65"/>
      <c r="R53" s="4"/>
      <c r="S53" s="4"/>
      <c r="AC53" s="4">
        <v>1</v>
      </c>
    </row>
    <row r="54" spans="1:29" ht="15" customHeight="1" x14ac:dyDescent="0.25">
      <c r="A54" s="55">
        <f>'Weekly Plan'!F65</f>
        <v>708200698</v>
      </c>
      <c r="B54" s="52" t="s">
        <v>12</v>
      </c>
      <c r="C54" s="52" t="str">
        <f>'Weekly Plan'!G65</f>
        <v>Fascia</v>
      </c>
      <c r="D54" s="53" t="str">
        <f>IF('Weekly Plan'!K65=0,"",'Weekly Plan'!K65)</f>
        <v/>
      </c>
      <c r="E54" s="97">
        <f>'Weekly Plan'!A65</f>
        <v>1</v>
      </c>
      <c r="F54" s="97">
        <f t="shared" si="8"/>
        <v>0</v>
      </c>
      <c r="G54" s="165"/>
      <c r="H54" s="163"/>
      <c r="I54" s="163"/>
      <c r="J54" s="164"/>
      <c r="K54" s="97"/>
      <c r="L54" s="97"/>
      <c r="M54" s="72" t="s">
        <v>18</v>
      </c>
      <c r="N54" s="73">
        <f>(N50+N52)/60</f>
        <v>0</v>
      </c>
      <c r="O54" s="65"/>
      <c r="AC54" s="2">
        <v>4</v>
      </c>
    </row>
    <row r="55" spans="1:29" ht="15" customHeight="1" thickBot="1" x14ac:dyDescent="0.25">
      <c r="A55" s="55">
        <f>'Weekly Plan'!F66</f>
        <v>708301214</v>
      </c>
      <c r="B55" s="52" t="s">
        <v>12</v>
      </c>
      <c r="C55" s="52" t="str">
        <f>'Weekly Plan'!G66</f>
        <v>LH Cover</v>
      </c>
      <c r="D55" s="53" t="str">
        <f>IF('Weekly Plan'!K66=0,"",'Weekly Plan'!K66)</f>
        <v/>
      </c>
      <c r="E55" s="97">
        <f>'Weekly Plan'!A66</f>
        <v>1</v>
      </c>
      <c r="F55" s="97">
        <f t="shared" si="8"/>
        <v>0</v>
      </c>
      <c r="G55" s="166"/>
      <c r="H55" s="167"/>
      <c r="I55" s="167"/>
      <c r="J55" s="168"/>
      <c r="K55" s="97"/>
      <c r="L55" s="97"/>
      <c r="M55" s="65"/>
      <c r="N55" s="65"/>
      <c r="O55" s="65"/>
      <c r="AC55" s="2">
        <v>2</v>
      </c>
    </row>
    <row r="56" spans="1:29" ht="13.5" customHeight="1" thickBot="1" x14ac:dyDescent="0.25">
      <c r="A56" s="56">
        <f>'Weekly Plan'!F67</f>
        <v>708301215</v>
      </c>
      <c r="B56" s="57" t="s">
        <v>12</v>
      </c>
      <c r="C56" s="57" t="str">
        <f>'Weekly Plan'!G67</f>
        <v>RH Cover</v>
      </c>
      <c r="D56" s="58" t="str">
        <f>IF('Weekly Plan'!K67=0,"",'Weekly Plan'!K67)</f>
        <v/>
      </c>
      <c r="E56" s="97">
        <f>'Weekly Plan'!A67</f>
        <v>1</v>
      </c>
      <c r="F56" s="97">
        <f t="shared" si="8"/>
        <v>0</v>
      </c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22">
    <mergeCell ref="G52:J55"/>
    <mergeCell ref="M53:N53"/>
    <mergeCell ref="M28:O28"/>
    <mergeCell ref="G35:J35"/>
    <mergeCell ref="G36:J42"/>
    <mergeCell ref="A44:D44"/>
    <mergeCell ref="G44:J47"/>
    <mergeCell ref="G48:J51"/>
    <mergeCell ref="G12:J12"/>
    <mergeCell ref="M12:O12"/>
    <mergeCell ref="M17:O17"/>
    <mergeCell ref="G18:J18"/>
    <mergeCell ref="A20:D20"/>
    <mergeCell ref="M22:O22"/>
    <mergeCell ref="A4:D4"/>
    <mergeCell ref="G4:J4"/>
    <mergeCell ref="M4:O4"/>
    <mergeCell ref="D1:I1"/>
    <mergeCell ref="J1:K1"/>
    <mergeCell ref="N1:O1"/>
    <mergeCell ref="A2:A3"/>
    <mergeCell ref="C2:P3"/>
  </mergeCells>
  <pageMargins left="0.23622047244094491" right="0.23622047244094491" top="0.74803149606299213" bottom="0.74803149606299213" header="0.31496062992125984" footer="0.31496062992125984"/>
  <pageSetup scale="80" orientation="portrait" cellComments="asDisplayed" r:id="rId1"/>
  <headerFooter>
    <oddFooter>&amp;L8.2.2.1.11 103 Schedule Template.xlsx&amp;RCreated: 10/22/21TG
Revised: 05/24/24AS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2C2B-7073-45B2-B8FB-08FE8A068885}">
  <sheetPr>
    <tabColor rgb="FF92D050"/>
    <pageSetUpPr fitToPage="1"/>
  </sheetPr>
  <dimension ref="A1:AC67"/>
  <sheetViews>
    <sheetView showGridLines="0" zoomScale="85" zoomScaleNormal="85" workbookViewId="0"/>
  </sheetViews>
  <sheetFormatPr defaultColWidth="9" defaultRowHeight="12.75" x14ac:dyDescent="0.2"/>
  <cols>
    <col min="1" max="1" width="11" style="1" customWidth="1"/>
    <col min="2" max="2" width="9.5703125" style="1" hidden="1" customWidth="1"/>
    <col min="3" max="3" width="20" style="1" customWidth="1"/>
    <col min="4" max="4" width="7" style="1" bestFit="1" customWidth="1"/>
    <col min="5" max="6" width="2.140625" style="2" customWidth="1"/>
    <col min="7" max="7" width="15.85546875" style="1" bestFit="1" customWidth="1"/>
    <col min="8" max="8" width="7.7109375" style="1" hidden="1" customWidth="1"/>
    <col min="9" max="9" width="21" style="1" bestFit="1" customWidth="1"/>
    <col min="10" max="10" width="4.85546875" style="1" customWidth="1"/>
    <col min="11" max="12" width="2.14062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7" width="2.1406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40" t="s">
        <v>262</v>
      </c>
      <c r="B1" s="41"/>
      <c r="C1" s="42"/>
      <c r="D1" s="151"/>
      <c r="E1" s="151"/>
      <c r="F1" s="151"/>
      <c r="G1" s="151"/>
      <c r="H1" s="151"/>
      <c r="I1" s="151"/>
      <c r="J1" s="152" t="s">
        <v>29</v>
      </c>
      <c r="K1" s="152"/>
      <c r="L1" s="98"/>
      <c r="M1" s="43">
        <f>'Weekly Plan'!L1</f>
        <v>45303</v>
      </c>
      <c r="N1" s="141"/>
      <c r="O1" s="141"/>
      <c r="T1" s="8"/>
    </row>
    <row r="2" spans="1:29" s="3" customFormat="1" ht="14.25" customHeight="1" x14ac:dyDescent="0.2">
      <c r="A2" s="149" t="s">
        <v>14</v>
      </c>
      <c r="B2" s="44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0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9" s="3" customFormat="1" ht="14.25" customHeight="1" thickBot="1" x14ac:dyDescent="0.25">
      <c r="A3" s="150"/>
      <c r="B3" s="44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0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9" ht="15" customHeight="1" x14ac:dyDescent="0.2">
      <c r="A4" s="143" t="s">
        <v>54</v>
      </c>
      <c r="B4" s="144"/>
      <c r="C4" s="144"/>
      <c r="D4" s="145"/>
      <c r="E4" s="97"/>
      <c r="F4" s="97"/>
      <c r="G4" s="146" t="s">
        <v>242</v>
      </c>
      <c r="H4" s="147"/>
      <c r="I4" s="147"/>
      <c r="J4" s="148"/>
      <c r="K4" s="97"/>
      <c r="L4" s="97"/>
      <c r="M4" s="138" t="s">
        <v>143</v>
      </c>
      <c r="N4" s="139"/>
      <c r="O4" s="140"/>
      <c r="P4" s="5"/>
      <c r="Q4" s="101"/>
      <c r="R4" s="5"/>
      <c r="W4" s="16"/>
      <c r="X4" s="16"/>
      <c r="Y4" s="16"/>
      <c r="Z4" s="16"/>
      <c r="AA4" s="16"/>
      <c r="AB4" s="16"/>
      <c r="AC4" s="5"/>
    </row>
    <row r="5" spans="1:29" ht="15" customHeight="1" x14ac:dyDescent="0.2">
      <c r="A5" s="50">
        <f>'Weekly Plan'!F4</f>
        <v>705014100</v>
      </c>
      <c r="B5" s="51" t="s">
        <v>54</v>
      </c>
      <c r="C5" s="52" t="str">
        <f>'Weekly Plan'!G4</f>
        <v>LH Upper Fairing</v>
      </c>
      <c r="D5" s="53" t="str">
        <f>IF('Weekly Plan'!L4=0,"",'Weekly Plan'!L4)</f>
        <v/>
      </c>
      <c r="E5" s="97">
        <f>'Weekly Plan'!A4</f>
        <v>2</v>
      </c>
      <c r="F5" s="97">
        <f t="shared" ref="F5:F18" si="0">IFERROR(D5/E5,0)</f>
        <v>0</v>
      </c>
      <c r="G5" s="50">
        <f>'Weekly Plan'!F69</f>
        <v>99944</v>
      </c>
      <c r="H5" s="90" t="s">
        <v>167</v>
      </c>
      <c r="I5" s="50" t="str">
        <f>'Weekly Plan'!G69</f>
        <v>Bezel</v>
      </c>
      <c r="J5" s="54" t="str">
        <f>IF('Weekly Plan'!L69=0,"",'Weekly Plan'!L69)</f>
        <v/>
      </c>
      <c r="K5" s="97">
        <f>'Weekly Plan'!A69</f>
        <v>2</v>
      </c>
      <c r="L5" s="97">
        <f>IFERROR(J5/K5,0)</f>
        <v>0</v>
      </c>
      <c r="M5" s="55">
        <f>'Weekly Plan'!F94</f>
        <v>80931</v>
      </c>
      <c r="N5" s="52" t="str">
        <f>'Weekly Plan'!G94</f>
        <v>Black - LH</v>
      </c>
      <c r="O5" s="53" t="str">
        <f>IF('Weekly Plan'!L94=0,"",'Weekly Plan'!L94)</f>
        <v/>
      </c>
      <c r="P5" s="4">
        <f>'Weekly Plan'!A94</f>
        <v>2</v>
      </c>
      <c r="Q5" s="4">
        <f>IFERROR(O5/P5,0)</f>
        <v>0</v>
      </c>
      <c r="W5" s="9"/>
      <c r="X5" s="9"/>
      <c r="Y5" s="9"/>
      <c r="Z5" s="9"/>
      <c r="AA5" s="9"/>
      <c r="AB5" s="9"/>
      <c r="AC5" s="4">
        <v>3</v>
      </c>
    </row>
    <row r="6" spans="1:29" ht="15" customHeight="1" x14ac:dyDescent="0.2">
      <c r="A6" s="50">
        <f>'Weekly Plan'!F5</f>
        <v>705014101</v>
      </c>
      <c r="B6" s="51" t="s">
        <v>54</v>
      </c>
      <c r="C6" s="52" t="str">
        <f>'Weekly Plan'!G5</f>
        <v>RH Upper Fairing</v>
      </c>
      <c r="D6" s="53" t="str">
        <f>IF('Weekly Plan'!L5=0,"",'Weekly Plan'!L5)</f>
        <v/>
      </c>
      <c r="E6" s="97">
        <f>'Weekly Plan'!A5</f>
        <v>2</v>
      </c>
      <c r="F6" s="97">
        <f t="shared" si="0"/>
        <v>0</v>
      </c>
      <c r="G6" s="50">
        <f>'Weekly Plan'!F70</f>
        <v>99633</v>
      </c>
      <c r="H6" s="90" t="s">
        <v>167</v>
      </c>
      <c r="I6" s="50" t="str">
        <f>'Weekly Plan'!G70</f>
        <v>IR Cover LH</v>
      </c>
      <c r="J6" s="54" t="str">
        <f>IF('Weekly Plan'!L70=0,"",'Weekly Plan'!L70)</f>
        <v/>
      </c>
      <c r="K6" s="97">
        <f>'Weekly Plan'!A70</f>
        <v>20</v>
      </c>
      <c r="L6" s="97">
        <f t="shared" ref="L6:L10" si="1">IFERROR(J6/K6,0)</f>
        <v>0</v>
      </c>
      <c r="M6" s="55">
        <f>'Weekly Plan'!F95</f>
        <v>80930</v>
      </c>
      <c r="N6" s="52" t="str">
        <f>'Weekly Plan'!G95</f>
        <v>Black - RH</v>
      </c>
      <c r="O6" s="53" t="str">
        <f>IF('Weekly Plan'!L95=0,"",'Weekly Plan'!L95)</f>
        <v/>
      </c>
      <c r="P6" s="4">
        <f>'Weekly Plan'!A95</f>
        <v>2</v>
      </c>
      <c r="Q6" s="4">
        <f t="shared" ref="Q6:Q20" si="2">IFERROR(O6/P6,0)</f>
        <v>0</v>
      </c>
      <c r="W6" s="9"/>
      <c r="X6" s="9"/>
      <c r="Y6" s="9"/>
      <c r="Z6" s="9"/>
      <c r="AA6" s="9"/>
      <c r="AB6" s="9"/>
      <c r="AC6" s="4">
        <v>4</v>
      </c>
    </row>
    <row r="7" spans="1:29" ht="15" customHeight="1" x14ac:dyDescent="0.2">
      <c r="A7" s="50">
        <f>'Weekly Plan'!F6</f>
        <v>705012976</v>
      </c>
      <c r="B7" s="51" t="s">
        <v>54</v>
      </c>
      <c r="C7" s="52" t="str">
        <f>'Weekly Plan'!G6</f>
        <v>LH Fender</v>
      </c>
      <c r="D7" s="53" t="str">
        <f>IF('Weekly Plan'!L6=0,"",'Weekly Plan'!L6)</f>
        <v/>
      </c>
      <c r="E7" s="97">
        <f>'Weekly Plan'!A6</f>
        <v>2</v>
      </c>
      <c r="F7" s="97">
        <f t="shared" si="0"/>
        <v>0</v>
      </c>
      <c r="G7" s="50">
        <f>'Weekly Plan'!F71</f>
        <v>99646</v>
      </c>
      <c r="H7" s="90" t="s">
        <v>167</v>
      </c>
      <c r="I7" s="50" t="str">
        <f>'Weekly Plan'!G71</f>
        <v>IR Cover RH</v>
      </c>
      <c r="J7" s="54" t="str">
        <f>IF('Weekly Plan'!L71=0,"",'Weekly Plan'!L71)</f>
        <v/>
      </c>
      <c r="K7" s="97">
        <f>'Weekly Plan'!A71</f>
        <v>20</v>
      </c>
      <c r="L7" s="97">
        <f t="shared" si="1"/>
        <v>0</v>
      </c>
      <c r="M7" s="55">
        <f>'Weekly Plan'!F96</f>
        <v>80933</v>
      </c>
      <c r="N7" s="52" t="str">
        <f>'Weekly Plan'!G96</f>
        <v>Red - LH</v>
      </c>
      <c r="O7" s="53" t="str">
        <f>IF('Weekly Plan'!L96=0,"",'Weekly Plan'!L96)</f>
        <v/>
      </c>
      <c r="P7" s="4">
        <f>'Weekly Plan'!A96</f>
        <v>2</v>
      </c>
      <c r="Q7" s="4">
        <f t="shared" si="2"/>
        <v>0</v>
      </c>
      <c r="W7" s="9"/>
      <c r="X7" s="9"/>
      <c r="Y7" s="9"/>
      <c r="Z7" s="9"/>
      <c r="AA7" s="9"/>
      <c r="AB7" s="9"/>
      <c r="AC7" s="4">
        <v>4</v>
      </c>
    </row>
    <row r="8" spans="1:29" ht="15" customHeight="1" x14ac:dyDescent="0.2">
      <c r="A8" s="50">
        <f>'Weekly Plan'!F7</f>
        <v>705012868</v>
      </c>
      <c r="B8" s="51" t="s">
        <v>54</v>
      </c>
      <c r="C8" s="52" t="str">
        <f>'Weekly Plan'!G7</f>
        <v>RH Fender</v>
      </c>
      <c r="D8" s="53" t="str">
        <f>IF('Weekly Plan'!L7=0,"",'Weekly Plan'!L7)</f>
        <v/>
      </c>
      <c r="E8" s="97">
        <f>'Weekly Plan'!A7</f>
        <v>2</v>
      </c>
      <c r="F8" s="97">
        <f t="shared" si="0"/>
        <v>0</v>
      </c>
      <c r="G8" s="50">
        <f>'Weekly Plan'!F72</f>
        <v>99635</v>
      </c>
      <c r="H8" s="90" t="s">
        <v>167</v>
      </c>
      <c r="I8" s="50" t="str">
        <f>'Weekly Plan'!G72</f>
        <v>Lateral Belt LH</v>
      </c>
      <c r="J8" s="54" t="str">
        <f>IF('Weekly Plan'!L72=0,"",'Weekly Plan'!L72)</f>
        <v/>
      </c>
      <c r="K8" s="97">
        <f>'Weekly Plan'!A72</f>
        <v>6</v>
      </c>
      <c r="L8" s="97">
        <f t="shared" si="1"/>
        <v>0</v>
      </c>
      <c r="M8" s="55">
        <f>'Weekly Plan'!F97</f>
        <v>80932</v>
      </c>
      <c r="N8" s="52" t="str">
        <f>'Weekly Plan'!G97</f>
        <v>Red - RH</v>
      </c>
      <c r="O8" s="53" t="str">
        <f>IF('Weekly Plan'!L97=0,"",'Weekly Plan'!L97)</f>
        <v/>
      </c>
      <c r="P8" s="4">
        <f>'Weekly Plan'!A97</f>
        <v>2</v>
      </c>
      <c r="Q8" s="4">
        <f t="shared" si="2"/>
        <v>0</v>
      </c>
      <c r="R8" s="4"/>
      <c r="W8" s="9"/>
      <c r="X8" s="9"/>
      <c r="Y8" s="9"/>
      <c r="Z8" s="9"/>
      <c r="AA8" s="9"/>
      <c r="AB8" s="9"/>
      <c r="AC8" s="4">
        <v>1</v>
      </c>
    </row>
    <row r="9" spans="1:29" ht="15" customHeight="1" x14ac:dyDescent="0.2">
      <c r="A9" s="50">
        <f>'Weekly Plan'!F8</f>
        <v>708003041</v>
      </c>
      <c r="B9" s="51" t="s">
        <v>54</v>
      </c>
      <c r="C9" s="52" t="str">
        <f>'Weekly Plan'!G8</f>
        <v>Rear Fairing</v>
      </c>
      <c r="D9" s="53" t="str">
        <f>IF('Weekly Plan'!L8=0,"",'Weekly Plan'!L8)</f>
        <v/>
      </c>
      <c r="E9" s="97">
        <f>'Weekly Plan'!A8</f>
        <v>2</v>
      </c>
      <c r="F9" s="97">
        <f t="shared" si="0"/>
        <v>0</v>
      </c>
      <c r="G9" s="50">
        <f>'Weekly Plan'!F73</f>
        <v>99944</v>
      </c>
      <c r="H9" s="90" t="s">
        <v>167</v>
      </c>
      <c r="I9" s="50" t="str">
        <f>'Weekly Plan'!G73</f>
        <v>Lateral Belt RH</v>
      </c>
      <c r="J9" s="54" t="str">
        <f>IF('Weekly Plan'!L73=0,"",'Weekly Plan'!L73)</f>
        <v/>
      </c>
      <c r="K9" s="97">
        <f>'Weekly Plan'!A73</f>
        <v>6</v>
      </c>
      <c r="L9" s="97">
        <f t="shared" si="1"/>
        <v>0</v>
      </c>
      <c r="M9" s="55" t="str">
        <f>'Weekly Plan'!F98</f>
        <v>Other</v>
      </c>
      <c r="N9" s="52" t="str">
        <f>'Weekly Plan'!G98</f>
        <v>White - LH</v>
      </c>
      <c r="O9" s="53" t="str">
        <f>IF('Weekly Plan'!L98=0,"",'Weekly Plan'!L98)</f>
        <v/>
      </c>
      <c r="P9" s="4">
        <f>'Weekly Plan'!A98</f>
        <v>2</v>
      </c>
      <c r="Q9" s="4">
        <f t="shared" si="2"/>
        <v>0</v>
      </c>
      <c r="R9" s="4"/>
      <c r="W9" s="9"/>
      <c r="X9" s="9"/>
      <c r="Y9" s="9"/>
      <c r="Z9" s="9"/>
      <c r="AA9" s="9"/>
      <c r="AB9" s="9"/>
      <c r="AC9" s="4">
        <v>1</v>
      </c>
    </row>
    <row r="10" spans="1:29" ht="15" customHeight="1" thickBot="1" x14ac:dyDescent="0.25">
      <c r="A10" s="50">
        <f>'Weekly Plan'!F9</f>
        <v>708200870</v>
      </c>
      <c r="B10" s="51" t="s">
        <v>54</v>
      </c>
      <c r="C10" s="52" t="str">
        <f>'Weekly Plan'!G9</f>
        <v>LH Front Fairing</v>
      </c>
      <c r="D10" s="53" t="str">
        <f>IF('Weekly Plan'!L9=0,"",'Weekly Plan'!L9)</f>
        <v/>
      </c>
      <c r="E10" s="97">
        <f>'Weekly Plan'!A9</f>
        <v>1</v>
      </c>
      <c r="F10" s="97">
        <f t="shared" si="0"/>
        <v>0</v>
      </c>
      <c r="G10" s="62">
        <f>'Weekly Plan'!F74</f>
        <v>99636</v>
      </c>
      <c r="H10" s="93" t="s">
        <v>167</v>
      </c>
      <c r="I10" s="62" t="str">
        <f>'Weekly Plan'!G74</f>
        <v>Rear Belt</v>
      </c>
      <c r="J10" s="60" t="str">
        <f>IF('Weekly Plan'!L74=0,"",'Weekly Plan'!L74)</f>
        <v/>
      </c>
      <c r="K10" s="97">
        <f>'Weekly Plan'!A74</f>
        <v>20</v>
      </c>
      <c r="L10" s="97">
        <f t="shared" si="1"/>
        <v>0</v>
      </c>
      <c r="M10" s="56" t="str">
        <f>'Weekly Plan'!F99</f>
        <v>Other</v>
      </c>
      <c r="N10" s="57" t="str">
        <f>'Weekly Plan'!G99</f>
        <v>White - RH</v>
      </c>
      <c r="O10" s="58" t="str">
        <f>IF('Weekly Plan'!L99=0,"",'Weekly Plan'!L99)</f>
        <v/>
      </c>
      <c r="P10" s="4">
        <f>'Weekly Plan'!A99</f>
        <v>2</v>
      </c>
      <c r="Q10" s="4">
        <f t="shared" si="2"/>
        <v>0</v>
      </c>
      <c r="R10" s="4"/>
      <c r="W10" s="9"/>
      <c r="X10" s="9"/>
      <c r="Y10" s="9"/>
      <c r="Z10" s="9"/>
      <c r="AA10" s="9"/>
      <c r="AB10" s="9"/>
      <c r="AC10" s="4">
        <v>3</v>
      </c>
    </row>
    <row r="11" spans="1:29" ht="15" customHeight="1" thickBot="1" x14ac:dyDescent="0.25">
      <c r="A11" s="50">
        <f>'Weekly Plan'!F10</f>
        <v>708200871</v>
      </c>
      <c r="B11" s="51" t="s">
        <v>54</v>
      </c>
      <c r="C11" s="52" t="str">
        <f>'Weekly Plan'!G10</f>
        <v>RH Front Fairing</v>
      </c>
      <c r="D11" s="53" t="str">
        <f>IF('Weekly Plan'!L10=0,"",'Weekly Plan'!L10)</f>
        <v/>
      </c>
      <c r="E11" s="97">
        <f>'Weekly Plan'!A10</f>
        <v>1</v>
      </c>
      <c r="F11" s="97">
        <f t="shared" si="0"/>
        <v>0</v>
      </c>
      <c r="G11" s="59"/>
      <c r="H11" s="59"/>
      <c r="I11" s="59"/>
      <c r="J11" s="64"/>
      <c r="K11" s="97"/>
      <c r="L11" s="97"/>
      <c r="M11" s="59"/>
      <c r="N11" s="59"/>
      <c r="O11" s="59"/>
      <c r="P11" s="4"/>
      <c r="Q11" s="4"/>
      <c r="R11" s="4"/>
      <c r="W11" s="9"/>
      <c r="X11" s="9"/>
      <c r="Y11" s="9"/>
      <c r="Z11" s="9"/>
      <c r="AA11" s="9"/>
      <c r="AB11" s="9"/>
      <c r="AC11" s="4">
        <v>3</v>
      </c>
    </row>
    <row r="12" spans="1:29" ht="15" customHeight="1" x14ac:dyDescent="0.2">
      <c r="A12" s="50">
        <f>'Weekly Plan'!F11</f>
        <v>708200869</v>
      </c>
      <c r="B12" s="51" t="s">
        <v>54</v>
      </c>
      <c r="C12" s="52" t="str">
        <f>'Weekly Plan'!G11</f>
        <v>R66 Hood</v>
      </c>
      <c r="D12" s="53" t="str">
        <f>IF('Weekly Plan'!L11=0,"",'Weekly Plan'!L11)</f>
        <v/>
      </c>
      <c r="E12" s="97">
        <f>'Weekly Plan'!A11</f>
        <v>1</v>
      </c>
      <c r="F12" s="97">
        <f t="shared" si="0"/>
        <v>0</v>
      </c>
      <c r="G12" s="146" t="s">
        <v>241</v>
      </c>
      <c r="H12" s="147"/>
      <c r="I12" s="147"/>
      <c r="J12" s="148"/>
      <c r="K12" s="97"/>
      <c r="L12" s="97"/>
      <c r="M12" s="138" t="s">
        <v>213</v>
      </c>
      <c r="N12" s="139"/>
      <c r="O12" s="140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50">
        <f>'Weekly Plan'!F12</f>
        <v>708302947</v>
      </c>
      <c r="B13" s="51" t="s">
        <v>54</v>
      </c>
      <c r="C13" s="52" t="str">
        <f>'Weekly Plan'!G12</f>
        <v>LH Box Cover</v>
      </c>
      <c r="D13" s="53" t="str">
        <f>IF('Weekly Plan'!L12=0,"",'Weekly Plan'!L12)</f>
        <v/>
      </c>
      <c r="E13" s="97">
        <f>'Weekly Plan'!A12</f>
        <v>2</v>
      </c>
      <c r="F13" s="97">
        <f t="shared" si="0"/>
        <v>0</v>
      </c>
      <c r="G13" s="50">
        <f>'Weekly Plan'!F76</f>
        <v>99629</v>
      </c>
      <c r="H13" s="91" t="s">
        <v>123</v>
      </c>
      <c r="I13" s="52" t="str">
        <f>'Weekly Plan'!G76</f>
        <v>Main Lower Cover</v>
      </c>
      <c r="J13" s="54" t="str">
        <f>IF('Weekly Plan'!L76=0,"",'Weekly Plan'!L76)</f>
        <v/>
      </c>
      <c r="K13" s="97">
        <f>'Weekly Plan'!A76</f>
        <v>1</v>
      </c>
      <c r="L13" s="97">
        <f t="shared" ref="L13:L33" si="3">IFERROR(J13/K13,0)</f>
        <v>0</v>
      </c>
      <c r="M13" s="55">
        <f>'Weekly Plan'!F81</f>
        <v>0</v>
      </c>
      <c r="N13" s="52" t="str">
        <f>'Weekly Plan'!G81</f>
        <v>Handles</v>
      </c>
      <c r="O13" s="53" t="str">
        <f>IF('Weekly Plan'!L81=0,"",'Weekly Plan'!L81)</f>
        <v/>
      </c>
      <c r="P13" s="2">
        <f>'Weekly Plan'!A81</f>
        <v>18</v>
      </c>
      <c r="Q13" s="4">
        <f t="shared" si="2"/>
        <v>0</v>
      </c>
      <c r="AC13" s="2">
        <v>4</v>
      </c>
    </row>
    <row r="14" spans="1:29" ht="15" customHeight="1" x14ac:dyDescent="0.2">
      <c r="A14" s="50">
        <f>'Weekly Plan'!F13</f>
        <v>708302948</v>
      </c>
      <c r="B14" s="51" t="s">
        <v>54</v>
      </c>
      <c r="C14" s="52" t="str">
        <f>'Weekly Plan'!G13</f>
        <v>RH Box Cover</v>
      </c>
      <c r="D14" s="53" t="str">
        <f>IF('Weekly Plan'!L13=0,"",'Weekly Plan'!L13)</f>
        <v/>
      </c>
      <c r="E14" s="97">
        <f>'Weekly Plan'!A13</f>
        <v>2</v>
      </c>
      <c r="F14" s="97">
        <f t="shared" si="0"/>
        <v>0</v>
      </c>
      <c r="G14" s="50">
        <f>'Weekly Plan'!F77</f>
        <v>99631</v>
      </c>
      <c r="H14" s="91" t="s">
        <v>123</v>
      </c>
      <c r="I14" s="52" t="str">
        <f>'Weekly Plan'!G77</f>
        <v>Main Upper Cover</v>
      </c>
      <c r="J14" s="54" t="str">
        <f>IF('Weekly Plan'!L77=0,"",'Weekly Plan'!L77)</f>
        <v/>
      </c>
      <c r="K14" s="97">
        <f>'Weekly Plan'!A77</f>
        <v>1</v>
      </c>
      <c r="L14" s="97">
        <f t="shared" si="3"/>
        <v>0</v>
      </c>
      <c r="M14" s="55">
        <f>'Weekly Plan'!F82</f>
        <v>0</v>
      </c>
      <c r="N14" s="52">
        <f>'Weekly Plan'!G82</f>
        <v>0</v>
      </c>
      <c r="O14" s="53" t="str">
        <f>IF('Weekly Plan'!L82=0,"",'Weekly Plan'!L82)</f>
        <v/>
      </c>
      <c r="P14" s="2">
        <f>'Weekly Plan'!A82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50">
        <f>'Weekly Plan'!F14</f>
        <v>708303800</v>
      </c>
      <c r="B15" s="51" t="s">
        <v>54</v>
      </c>
      <c r="C15" s="52" t="str">
        <f>'Weekly Plan'!G14</f>
        <v>LH F3T Panel</v>
      </c>
      <c r="D15" s="53" t="str">
        <f>IF('Weekly Plan'!L14=0,"",'Weekly Plan'!L14)</f>
        <v/>
      </c>
      <c r="E15" s="97">
        <f>'Weekly Plan'!A14</f>
        <v>4</v>
      </c>
      <c r="F15" s="97">
        <f t="shared" si="0"/>
        <v>0</v>
      </c>
      <c r="G15" s="50">
        <f>'Weekly Plan'!F78</f>
        <v>99638</v>
      </c>
      <c r="H15" s="91" t="s">
        <v>123</v>
      </c>
      <c r="I15" s="52" t="str">
        <f>'Weekly Plan'!G78</f>
        <v>Rear Plate</v>
      </c>
      <c r="J15" s="54" t="str">
        <f>IF('Weekly Plan'!L78=0,"",'Weekly Plan'!L78)</f>
        <v/>
      </c>
      <c r="K15" s="97">
        <f>'Weekly Plan'!A78</f>
        <v>20</v>
      </c>
      <c r="L15" s="97">
        <f t="shared" si="3"/>
        <v>0</v>
      </c>
      <c r="M15" s="56">
        <f>'Weekly Plan'!F83</f>
        <v>0</v>
      </c>
      <c r="N15" s="57">
        <f>'Weekly Plan'!G83</f>
        <v>0</v>
      </c>
      <c r="O15" s="58" t="str">
        <f>IF('Weekly Plan'!L83=0,"",'Weekly Plan'!L83)</f>
        <v/>
      </c>
      <c r="P15" s="2">
        <f>'Weekly Plan'!A83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50">
        <f>'Weekly Plan'!F15</f>
        <v>708303801</v>
      </c>
      <c r="B16" s="51" t="s">
        <v>54</v>
      </c>
      <c r="C16" s="52" t="str">
        <f>'Weekly Plan'!G15</f>
        <v>RH F3T Panel</v>
      </c>
      <c r="D16" s="53" t="str">
        <f>IF('Weekly Plan'!L15=0,"",'Weekly Plan'!L15)</f>
        <v/>
      </c>
      <c r="E16" s="97">
        <f>'Weekly Plan'!A15</f>
        <v>4</v>
      </c>
      <c r="F16" s="97">
        <f t="shared" si="0"/>
        <v>0</v>
      </c>
      <c r="G16" s="62">
        <f>'Weekly Plan'!F79</f>
        <v>99630</v>
      </c>
      <c r="H16" s="94" t="s">
        <v>123</v>
      </c>
      <c r="I16" s="57" t="str">
        <f>'Weekly Plan'!G79</f>
        <v>Vent Cover</v>
      </c>
      <c r="J16" s="60" t="str">
        <f>IF('Weekly Plan'!L79=0,"",'Weekly Plan'!L79)</f>
        <v/>
      </c>
      <c r="K16" s="97">
        <f>'Weekly Plan'!A79</f>
        <v>1</v>
      </c>
      <c r="L16" s="97">
        <f t="shared" si="3"/>
        <v>0</v>
      </c>
      <c r="M16" s="61"/>
      <c r="N16" s="61"/>
      <c r="O16" s="61"/>
      <c r="P16" s="4"/>
      <c r="Q16" s="4"/>
      <c r="R16" s="4"/>
      <c r="AC16" s="4">
        <v>2</v>
      </c>
    </row>
    <row r="17" spans="1:29" ht="15" customHeight="1" thickBot="1" x14ac:dyDescent="0.25">
      <c r="A17" s="50">
        <f>'Weekly Plan'!F16</f>
        <v>708400461</v>
      </c>
      <c r="B17" s="51" t="s">
        <v>54</v>
      </c>
      <c r="C17" s="52" t="str">
        <f>'Weekly Plan'!G16</f>
        <v>LH Mirror Shell -No Hole</v>
      </c>
      <c r="D17" s="53" t="str">
        <f>IF('Weekly Plan'!L16=0,"",'Weekly Plan'!L16)</f>
        <v/>
      </c>
      <c r="E17" s="97">
        <f>'Weekly Plan'!A16</f>
        <v>2</v>
      </c>
      <c r="F17" s="97">
        <f t="shared" si="0"/>
        <v>0</v>
      </c>
      <c r="G17" s="61"/>
      <c r="H17" s="61"/>
      <c r="I17" s="61"/>
      <c r="J17" s="61"/>
      <c r="K17" s="99"/>
      <c r="L17" s="97"/>
      <c r="M17" s="138" t="s">
        <v>103</v>
      </c>
      <c r="N17" s="139"/>
      <c r="O17" s="140"/>
      <c r="P17" s="4"/>
      <c r="Q17" s="4"/>
      <c r="R17" s="4"/>
      <c r="AC17" s="4">
        <v>1</v>
      </c>
    </row>
    <row r="18" spans="1:29" ht="15" customHeight="1" thickBot="1" x14ac:dyDescent="0.25">
      <c r="A18" s="62">
        <f>'Weekly Plan'!F17</f>
        <v>708400463</v>
      </c>
      <c r="B18" s="63" t="s">
        <v>54</v>
      </c>
      <c r="C18" s="57" t="str">
        <f>'Weekly Plan'!G17</f>
        <v xml:space="preserve">RH Mirror Shell - No Hole </v>
      </c>
      <c r="D18" s="58" t="str">
        <f>IF('Weekly Plan'!L17=0,"",'Weekly Plan'!L17)</f>
        <v/>
      </c>
      <c r="E18" s="97">
        <f>'Weekly Plan'!A17</f>
        <v>2</v>
      </c>
      <c r="F18" s="97">
        <f t="shared" si="0"/>
        <v>0</v>
      </c>
      <c r="G18" s="143" t="s">
        <v>253</v>
      </c>
      <c r="H18" s="144"/>
      <c r="I18" s="144"/>
      <c r="J18" s="145"/>
      <c r="K18" s="97"/>
      <c r="L18" s="97"/>
      <c r="M18" s="55">
        <f>'Weekly Plan'!F85</f>
        <v>0</v>
      </c>
      <c r="N18" s="52" t="str">
        <f>'Weekly Plan'!G85</f>
        <v>Base Dual</v>
      </c>
      <c r="O18" s="53" t="str">
        <f>IF('Weekly Plan'!L85=0,"",'Weekly Plan'!L85)</f>
        <v/>
      </c>
      <c r="P18" s="4">
        <f>'Weekly Plan'!A85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64"/>
      <c r="B19" s="64"/>
      <c r="C19" s="64"/>
      <c r="D19" s="64"/>
      <c r="E19" s="97"/>
      <c r="F19" s="97"/>
      <c r="G19" s="50">
        <f>'Weekly Plan'!F19</f>
        <v>705009213</v>
      </c>
      <c r="H19" s="88" t="s">
        <v>261</v>
      </c>
      <c r="I19" s="52" t="str">
        <f>'Weekly Plan'!G19</f>
        <v>LH F3T Low Fairing</v>
      </c>
      <c r="J19" s="53" t="str">
        <f>IF('Weekly Plan'!L19=0,"",'Weekly Plan'!L19)</f>
        <v/>
      </c>
      <c r="K19" s="97">
        <f>'Weekly Plan'!A19</f>
        <v>2</v>
      </c>
      <c r="L19" s="97">
        <f t="shared" si="3"/>
        <v>0</v>
      </c>
      <c r="M19" s="55">
        <f>'Weekly Plan'!F86</f>
        <v>500458</v>
      </c>
      <c r="N19" s="52" t="str">
        <f>'Weekly Plan'!G86</f>
        <v>Face Plate, DTM, SSR</v>
      </c>
      <c r="O19" s="53" t="str">
        <f>IF('Weekly Plan'!L86=0,"",'Weekly Plan'!L86)</f>
        <v/>
      </c>
      <c r="P19" s="4">
        <f>'Weekly Plan'!A86</f>
        <v>16</v>
      </c>
      <c r="Q19" s="4">
        <f t="shared" si="2"/>
        <v>0</v>
      </c>
      <c r="AC19" s="2">
        <v>1</v>
      </c>
    </row>
    <row r="20" spans="1:29" ht="15" customHeight="1" thickBot="1" x14ac:dyDescent="0.25">
      <c r="A20" s="143" t="s">
        <v>79</v>
      </c>
      <c r="B20" s="144"/>
      <c r="C20" s="144"/>
      <c r="D20" s="145"/>
      <c r="E20" s="97"/>
      <c r="F20" s="97"/>
      <c r="G20" s="50">
        <f>'Weekly Plan'!F20</f>
        <v>705009214</v>
      </c>
      <c r="H20" s="88" t="s">
        <v>261</v>
      </c>
      <c r="I20" s="52" t="str">
        <f>'Weekly Plan'!G20</f>
        <v>RH F3T Low Fairing</v>
      </c>
      <c r="J20" s="53" t="str">
        <f>IF('Weekly Plan'!L20=0,"",'Weekly Plan'!L20)</f>
        <v/>
      </c>
      <c r="K20" s="97">
        <f>'Weekly Plan'!A20</f>
        <v>2</v>
      </c>
      <c r="L20" s="97">
        <f t="shared" si="3"/>
        <v>0</v>
      </c>
      <c r="M20" s="56">
        <f>'Weekly Plan'!F87</f>
        <v>500458</v>
      </c>
      <c r="N20" s="57" t="str">
        <f>'Weekly Plan'!G87</f>
        <v>Face Plate, STM, SSR</v>
      </c>
      <c r="O20" s="58" t="str">
        <f>IF('Weekly Plan'!L87=0,"",'Weekly Plan'!L87)</f>
        <v/>
      </c>
      <c r="P20" s="4">
        <f>'Weekly Plan'!A87</f>
        <v>16</v>
      </c>
      <c r="Q20" s="4">
        <f t="shared" si="2"/>
        <v>0</v>
      </c>
      <c r="AC20" s="2">
        <v>2</v>
      </c>
    </row>
    <row r="21" spans="1:29" ht="15" customHeight="1" thickBot="1" x14ac:dyDescent="0.25">
      <c r="A21" s="50">
        <f>'Weekly Plan'!F34</f>
        <v>708400287</v>
      </c>
      <c r="B21" s="51" t="s">
        <v>79</v>
      </c>
      <c r="C21" s="52" t="str">
        <f>'Weekly Plan'!G34</f>
        <v>Tank Cover</v>
      </c>
      <c r="D21" s="53" t="str">
        <f>IF('Weekly Plan'!L34=0,"",'Weekly Plan'!L34)</f>
        <v/>
      </c>
      <c r="E21" s="97">
        <f>'Weekly Plan'!A34</f>
        <v>2</v>
      </c>
      <c r="F21" s="97">
        <f t="shared" ref="F21:F39" si="4">IFERROR(D21/E21,0)</f>
        <v>0</v>
      </c>
      <c r="G21" s="50">
        <f>'Weekly Plan'!F21</f>
        <v>705010835</v>
      </c>
      <c r="H21" s="88" t="s">
        <v>261</v>
      </c>
      <c r="I21" s="52" t="str">
        <f>'Weekly Plan'!G21</f>
        <v>RH Fairing</v>
      </c>
      <c r="J21" s="53" t="str">
        <f>IF('Weekly Plan'!L21=0,"",'Weekly Plan'!L21)</f>
        <v/>
      </c>
      <c r="K21" s="97">
        <f>'Weekly Plan'!A21</f>
        <v>1</v>
      </c>
      <c r="L21" s="97">
        <f t="shared" si="3"/>
        <v>0</v>
      </c>
      <c r="M21" s="61"/>
      <c r="N21" s="61"/>
      <c r="O21" s="61"/>
      <c r="P21" s="4"/>
      <c r="Q21" s="4"/>
      <c r="R21" s="4"/>
      <c r="AC21" s="4">
        <v>1</v>
      </c>
    </row>
    <row r="22" spans="1:29" ht="15" customHeight="1" x14ac:dyDescent="0.2">
      <c r="A22" s="50">
        <f>'Weekly Plan'!F35</f>
        <v>705019189</v>
      </c>
      <c r="B22" s="51" t="s">
        <v>79</v>
      </c>
      <c r="C22" s="52" t="str">
        <f>'Weekly Plan'!G35</f>
        <v>New Tank Cover</v>
      </c>
      <c r="D22" s="53" t="str">
        <f>IF('Weekly Plan'!L35=0,"",'Weekly Plan'!L35)</f>
        <v/>
      </c>
      <c r="E22" s="97">
        <f>'Weekly Plan'!A35</f>
        <v>2</v>
      </c>
      <c r="F22" s="97">
        <f t="shared" si="4"/>
        <v>0</v>
      </c>
      <c r="G22" s="50">
        <f>'Weekly Plan'!F22</f>
        <v>705010851</v>
      </c>
      <c r="H22" s="88" t="s">
        <v>261</v>
      </c>
      <c r="I22" s="52" t="str">
        <f>'Weekly Plan'!G22</f>
        <v>LH Fairing</v>
      </c>
      <c r="J22" s="53" t="str">
        <f>IF('Weekly Plan'!L22=0,"",'Weekly Plan'!L22)</f>
        <v/>
      </c>
      <c r="K22" s="97">
        <f>'Weekly Plan'!A22</f>
        <v>1</v>
      </c>
      <c r="L22" s="97">
        <f t="shared" si="3"/>
        <v>0</v>
      </c>
      <c r="M22" s="138" t="s">
        <v>217</v>
      </c>
      <c r="N22" s="139"/>
      <c r="O22" s="140"/>
      <c r="P22" s="4"/>
      <c r="Q22" s="4"/>
      <c r="R22" s="4"/>
      <c r="AC22" s="4">
        <v>2</v>
      </c>
    </row>
    <row r="23" spans="1:29" ht="15" customHeight="1" x14ac:dyDescent="0.2">
      <c r="A23" s="50">
        <f>'Weekly Plan'!F36</f>
        <v>708001528</v>
      </c>
      <c r="B23" s="51" t="s">
        <v>79</v>
      </c>
      <c r="C23" s="52" t="str">
        <f>'Weekly Plan'!G36</f>
        <v>Tail Fairing</v>
      </c>
      <c r="D23" s="53" t="str">
        <f>IF('Weekly Plan'!L36=0,"",'Weekly Plan'!L36)</f>
        <v/>
      </c>
      <c r="E23" s="97">
        <f>'Weekly Plan'!A36</f>
        <v>2</v>
      </c>
      <c r="F23" s="97">
        <f t="shared" si="4"/>
        <v>0</v>
      </c>
      <c r="G23" s="50">
        <f>'Weekly Plan'!F23</f>
        <v>705012976</v>
      </c>
      <c r="H23" s="88" t="s">
        <v>261</v>
      </c>
      <c r="I23" s="52" t="str">
        <f>'Weekly Plan'!G23</f>
        <v>LH Fender</v>
      </c>
      <c r="J23" s="53" t="str">
        <f>IF('Weekly Plan'!L23=0,"",'Weekly Plan'!L23)</f>
        <v/>
      </c>
      <c r="K23" s="97">
        <f>'Weekly Plan'!A23</f>
        <v>2</v>
      </c>
      <c r="L23" s="97">
        <f t="shared" si="3"/>
        <v>0</v>
      </c>
      <c r="M23" s="55">
        <f>'Weekly Plan'!F89</f>
        <v>2650</v>
      </c>
      <c r="N23" s="52" t="str">
        <f>'Weekly Plan'!G89</f>
        <v>LH Side Puck</v>
      </c>
      <c r="O23" s="53" t="str">
        <f>IF('Weekly Plan'!L89=0,"",'Weekly Plan'!L89)</f>
        <v/>
      </c>
      <c r="P23" s="4">
        <f>'Weekly Plan'!A89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50">
        <f>'Weekly Plan'!F37</f>
        <v>708400069</v>
      </c>
      <c r="B24" s="51" t="s">
        <v>79</v>
      </c>
      <c r="C24" s="52" t="str">
        <f>'Weekly Plan'!G37</f>
        <v>RH Consol Fairing</v>
      </c>
      <c r="D24" s="53" t="str">
        <f>IF('Weekly Plan'!L37=0,"",'Weekly Plan'!L37)</f>
        <v/>
      </c>
      <c r="E24" s="97">
        <f>'Weekly Plan'!A37</f>
        <v>2</v>
      </c>
      <c r="F24" s="97">
        <f t="shared" si="4"/>
        <v>0</v>
      </c>
      <c r="G24" s="50">
        <f>'Weekly Plan'!F24</f>
        <v>705012868</v>
      </c>
      <c r="H24" s="88" t="s">
        <v>261</v>
      </c>
      <c r="I24" s="52" t="str">
        <f>'Weekly Plan'!G24</f>
        <v>RH Fender</v>
      </c>
      <c r="J24" s="53" t="str">
        <f>IF('Weekly Plan'!L24=0,"",'Weekly Plan'!L24)</f>
        <v/>
      </c>
      <c r="K24" s="97">
        <f>'Weekly Plan'!A24</f>
        <v>2</v>
      </c>
      <c r="L24" s="97">
        <f t="shared" si="3"/>
        <v>0</v>
      </c>
      <c r="M24" s="55">
        <f>'Weekly Plan'!F90</f>
        <v>2651</v>
      </c>
      <c r="N24" s="52" t="str">
        <f>'Weekly Plan'!G90</f>
        <v>RH Side Puck</v>
      </c>
      <c r="O24" s="53" t="str">
        <f>IF('Weekly Plan'!L90=0,"",'Weekly Plan'!L90)</f>
        <v/>
      </c>
      <c r="P24" s="4">
        <f>'Weekly Plan'!A90</f>
        <v>6</v>
      </c>
      <c r="Q24" s="4">
        <f t="shared" ref="Q24:Q32" si="5">IFERROR(O24/P24,0)</f>
        <v>0</v>
      </c>
      <c r="R24" s="4"/>
      <c r="AC24" s="4">
        <v>2</v>
      </c>
    </row>
    <row r="25" spans="1:29" ht="15" customHeight="1" x14ac:dyDescent="0.2">
      <c r="A25" s="50">
        <f>'Weekly Plan'!F38</f>
        <v>708400067</v>
      </c>
      <c r="B25" s="51" t="s">
        <v>79</v>
      </c>
      <c r="C25" s="52" t="str">
        <f>'Weekly Plan'!G38</f>
        <v>LH Consol Fairing</v>
      </c>
      <c r="D25" s="53" t="str">
        <f>IF('Weekly Plan'!L38=0,"",'Weekly Plan'!L38)</f>
        <v/>
      </c>
      <c r="E25" s="97">
        <f>'Weekly Plan'!A38</f>
        <v>2</v>
      </c>
      <c r="F25" s="97">
        <f t="shared" si="4"/>
        <v>0</v>
      </c>
      <c r="G25" s="50">
        <f>'Weekly Plan'!F25</f>
        <v>708200366</v>
      </c>
      <c r="H25" s="88" t="s">
        <v>261</v>
      </c>
      <c r="I25" s="52" t="str">
        <f>'Weekly Plan'!G25</f>
        <v>Hood</v>
      </c>
      <c r="J25" s="53" t="str">
        <f>IF('Weekly Plan'!L25=0,"",'Weekly Plan'!L25)</f>
        <v/>
      </c>
      <c r="K25" s="97">
        <f>'Weekly Plan'!A25</f>
        <v>1</v>
      </c>
      <c r="L25" s="97">
        <f t="shared" si="3"/>
        <v>0</v>
      </c>
      <c r="M25" s="55">
        <f>'Weekly Plan'!F91</f>
        <v>2647</v>
      </c>
      <c r="N25" s="52" t="str">
        <f>'Weekly Plan'!G91</f>
        <v>Front Puck</v>
      </c>
      <c r="O25" s="53" t="str">
        <f>IF('Weekly Plan'!L91=0,"",'Weekly Plan'!L91)</f>
        <v/>
      </c>
      <c r="P25" s="4">
        <f>'Weekly Plan'!A91</f>
        <v>6</v>
      </c>
      <c r="Q25" s="4">
        <f t="shared" si="5"/>
        <v>0</v>
      </c>
      <c r="R25" s="4">
        <v>18</v>
      </c>
      <c r="AC25" s="4">
        <v>1</v>
      </c>
    </row>
    <row r="26" spans="1:29" ht="15" customHeight="1" thickBot="1" x14ac:dyDescent="0.25">
      <c r="A26" s="50">
        <f>'Weekly Plan'!F39</f>
        <v>708400956</v>
      </c>
      <c r="B26" s="51" t="s">
        <v>79</v>
      </c>
      <c r="C26" s="52" t="str">
        <f>'Weekly Plan'!G39</f>
        <v>New LH Console Panel</v>
      </c>
      <c r="D26" s="53" t="str">
        <f>IF('Weekly Plan'!L39=0,"",'Weekly Plan'!L39)</f>
        <v/>
      </c>
      <c r="E26" s="97">
        <f>'Weekly Plan'!A39</f>
        <v>2</v>
      </c>
      <c r="F26" s="97">
        <f t="shared" si="4"/>
        <v>0</v>
      </c>
      <c r="G26" s="50">
        <f>'Weekly Plan'!F26</f>
        <v>708200401</v>
      </c>
      <c r="H26" s="88" t="s">
        <v>261</v>
      </c>
      <c r="I26" s="52" t="str">
        <f>'Weekly Plan'!G26</f>
        <v>LH Vent Panel</v>
      </c>
      <c r="J26" s="53" t="str">
        <f>IF('Weekly Plan'!L26=0,"",'Weekly Plan'!L26)</f>
        <v/>
      </c>
      <c r="K26" s="97">
        <f>'Weekly Plan'!A26</f>
        <v>2</v>
      </c>
      <c r="L26" s="97">
        <f t="shared" si="3"/>
        <v>0</v>
      </c>
      <c r="M26" s="56">
        <f>'Weekly Plan'!F92</f>
        <v>0</v>
      </c>
      <c r="N26" s="57">
        <f>'Weekly Plan'!G92</f>
        <v>0</v>
      </c>
      <c r="O26" s="58" t="str">
        <f>IF('Weekly Plan'!L92=0,"",'Weekly Plan'!L92)</f>
        <v/>
      </c>
      <c r="P26" s="4">
        <f>'Weekly Plan'!A92</f>
        <v>0</v>
      </c>
      <c r="Q26" s="4">
        <f t="shared" si="5"/>
        <v>0</v>
      </c>
      <c r="R26" s="4"/>
      <c r="AC26" s="4">
        <v>1</v>
      </c>
    </row>
    <row r="27" spans="1:29" ht="15" customHeight="1" thickBot="1" x14ac:dyDescent="0.25">
      <c r="A27" s="50">
        <f>'Weekly Plan'!F40</f>
        <v>708400957</v>
      </c>
      <c r="B27" s="51" t="s">
        <v>79</v>
      </c>
      <c r="C27" s="52" t="str">
        <f>'Weekly Plan'!G40</f>
        <v>New RH Console Panel</v>
      </c>
      <c r="D27" s="53" t="str">
        <f>IF('Weekly Plan'!L40=0,"",'Weekly Plan'!L40)</f>
        <v/>
      </c>
      <c r="E27" s="97">
        <f>'Weekly Plan'!A40</f>
        <v>2</v>
      </c>
      <c r="F27" s="97">
        <f t="shared" si="4"/>
        <v>0</v>
      </c>
      <c r="G27" s="50">
        <f>'Weekly Plan'!F27</f>
        <v>708200402</v>
      </c>
      <c r="H27" s="88" t="s">
        <v>261</v>
      </c>
      <c r="I27" s="52" t="str">
        <f>'Weekly Plan'!G27</f>
        <v>RH Vent Panel</v>
      </c>
      <c r="J27" s="53" t="str">
        <f>IF('Weekly Plan'!L27=0,"",'Weekly Plan'!L27)</f>
        <v/>
      </c>
      <c r="K27" s="97">
        <f>'Weekly Plan'!A27</f>
        <v>2</v>
      </c>
      <c r="L27" s="97">
        <f t="shared" si="3"/>
        <v>0</v>
      </c>
      <c r="M27" s="65"/>
      <c r="N27" s="65"/>
      <c r="O27" s="65"/>
      <c r="P27" s="4">
        <f>'Weekly Plan'!A93</f>
        <v>0</v>
      </c>
      <c r="Q27" s="4"/>
      <c r="AC27" s="2">
        <v>1</v>
      </c>
    </row>
    <row r="28" spans="1:29" ht="15" customHeight="1" x14ac:dyDescent="0.2">
      <c r="A28" s="50">
        <f>'Weekly Plan'!F41</f>
        <v>708400722</v>
      </c>
      <c r="B28" s="51" t="s">
        <v>79</v>
      </c>
      <c r="C28" s="52" t="str">
        <f>'Weekly Plan'!G41</f>
        <v>New Nose Fairing</v>
      </c>
      <c r="D28" s="53" t="str">
        <f>IF('Weekly Plan'!L41=0,"",'Weekly Plan'!L41)</f>
        <v/>
      </c>
      <c r="E28" s="97">
        <f>'Weekly Plan'!A41</f>
        <v>2</v>
      </c>
      <c r="F28" s="97">
        <f t="shared" si="4"/>
        <v>0</v>
      </c>
      <c r="G28" s="50">
        <f>'Weekly Plan'!F28</f>
        <v>708200698</v>
      </c>
      <c r="H28" s="88" t="s">
        <v>261</v>
      </c>
      <c r="I28" s="52" t="str">
        <f>'Weekly Plan'!G28</f>
        <v>Fascia</v>
      </c>
      <c r="J28" s="53" t="str">
        <f>IF('Weekly Plan'!L28=0,"",'Weekly Plan'!L28)</f>
        <v/>
      </c>
      <c r="K28" s="97">
        <f>'Weekly Plan'!A28</f>
        <v>1</v>
      </c>
      <c r="L28" s="97">
        <f t="shared" si="3"/>
        <v>0</v>
      </c>
      <c r="M28" s="138" t="s">
        <v>209</v>
      </c>
      <c r="N28" s="139"/>
      <c r="O28" s="140"/>
      <c r="P28" s="4">
        <f>'Weekly Plan'!A94</f>
        <v>2</v>
      </c>
      <c r="Q28" s="4"/>
      <c r="AC28" s="2">
        <v>2</v>
      </c>
    </row>
    <row r="29" spans="1:29" ht="15" customHeight="1" x14ac:dyDescent="0.2">
      <c r="A29" s="50">
        <f>'Weekly Plan'!F42</f>
        <v>708400721</v>
      </c>
      <c r="B29" s="51" t="s">
        <v>79</v>
      </c>
      <c r="C29" s="52" t="str">
        <f>'Weekly Plan'!G42</f>
        <v>New Tail Fairing</v>
      </c>
      <c r="D29" s="53" t="str">
        <f>IF('Weekly Plan'!L42=0,"",'Weekly Plan'!L42)</f>
        <v/>
      </c>
      <c r="E29" s="97">
        <f>'Weekly Plan'!A42</f>
        <v>8</v>
      </c>
      <c r="F29" s="97">
        <f t="shared" si="4"/>
        <v>0</v>
      </c>
      <c r="G29" s="50">
        <f>'Weekly Plan'!F29</f>
        <v>708301214</v>
      </c>
      <c r="H29" s="88" t="s">
        <v>261</v>
      </c>
      <c r="I29" s="52" t="str">
        <f>'Weekly Plan'!G29</f>
        <v>LH Cover</v>
      </c>
      <c r="J29" s="53" t="str">
        <f>IF('Weekly Plan'!L29=0,"",'Weekly Plan'!L29)</f>
        <v/>
      </c>
      <c r="K29" s="97">
        <f>'Weekly Plan'!A29</f>
        <v>1</v>
      </c>
      <c r="L29" s="97">
        <f t="shared" si="3"/>
        <v>0</v>
      </c>
      <c r="M29" s="55">
        <f>'Weekly Plan'!F101</f>
        <v>9929</v>
      </c>
      <c r="N29" s="52" t="str">
        <f>'Weekly Plan'!G101</f>
        <v>MS Applique</v>
      </c>
      <c r="O29" s="53" t="str">
        <f>IF('Weekly Plan'!L101=0,"",'Weekly Plan'!L101)</f>
        <v/>
      </c>
      <c r="P29" s="4">
        <f>'Weekly Plan'!A101</f>
        <v>6</v>
      </c>
      <c r="Q29" s="4">
        <f t="shared" si="5"/>
        <v>0</v>
      </c>
      <c r="R29" s="2">
        <v>21</v>
      </c>
      <c r="AC29" s="2"/>
    </row>
    <row r="30" spans="1:29" ht="15" customHeight="1" x14ac:dyDescent="0.2">
      <c r="A30" s="50">
        <f>'Weekly Plan'!F43</f>
        <v>708400462</v>
      </c>
      <c r="B30" s="51" t="s">
        <v>79</v>
      </c>
      <c r="C30" s="52" t="str">
        <f>'Weekly Plan'!G43</f>
        <v>LH Mirror Shell</v>
      </c>
      <c r="D30" s="53" t="str">
        <f>IF('Weekly Plan'!L43=0,"",'Weekly Plan'!L43)</f>
        <v/>
      </c>
      <c r="E30" s="97">
        <f>'Weekly Plan'!A43</f>
        <v>2</v>
      </c>
      <c r="F30" s="97">
        <f t="shared" si="4"/>
        <v>0</v>
      </c>
      <c r="G30" s="50">
        <f>'Weekly Plan'!F30</f>
        <v>708301215</v>
      </c>
      <c r="H30" s="88" t="s">
        <v>261</v>
      </c>
      <c r="I30" s="52" t="str">
        <f>'Weekly Plan'!G30</f>
        <v>RH Cover</v>
      </c>
      <c r="J30" s="53" t="str">
        <f>IF('Weekly Plan'!L30=0,"",'Weekly Plan'!L30)</f>
        <v/>
      </c>
      <c r="K30" s="97">
        <f>'Weekly Plan'!A30</f>
        <v>1</v>
      </c>
      <c r="L30" s="97">
        <f t="shared" si="3"/>
        <v>0</v>
      </c>
      <c r="M30" s="55">
        <f>'Weekly Plan'!F102</f>
        <v>9931</v>
      </c>
      <c r="N30" s="52" t="str">
        <f>'Weekly Plan'!G102</f>
        <v>MX Applique</v>
      </c>
      <c r="O30" s="53" t="str">
        <f>IF('Weekly Plan'!L102=0,"",'Weekly Plan'!L102)</f>
        <v/>
      </c>
      <c r="P30" s="4">
        <f>'Weekly Plan'!A102</f>
        <v>6</v>
      </c>
      <c r="Q30" s="4">
        <f t="shared" si="5"/>
        <v>0</v>
      </c>
      <c r="R30" s="4"/>
      <c r="S30" s="4"/>
      <c r="AC30" s="4">
        <v>1</v>
      </c>
    </row>
    <row r="31" spans="1:29" ht="15" customHeight="1" x14ac:dyDescent="0.2">
      <c r="A31" s="50">
        <f>'Weekly Plan'!F44</f>
        <v>708400464</v>
      </c>
      <c r="B31" s="51" t="s">
        <v>79</v>
      </c>
      <c r="C31" s="52" t="str">
        <f>'Weekly Plan'!G44</f>
        <v>RH Mirror Shell</v>
      </c>
      <c r="D31" s="53" t="str">
        <f>IF('Weekly Plan'!L44=0,"",'Weekly Plan'!L44)</f>
        <v/>
      </c>
      <c r="E31" s="97">
        <f>'Weekly Plan'!A44</f>
        <v>2</v>
      </c>
      <c r="F31" s="97">
        <f t="shared" si="4"/>
        <v>0</v>
      </c>
      <c r="G31" s="50">
        <f>'Weekly Plan'!F31</f>
        <v>708303800</v>
      </c>
      <c r="H31" s="88" t="s">
        <v>261</v>
      </c>
      <c r="I31" s="52" t="str">
        <f>'Weekly Plan'!G31</f>
        <v>LH F3T Panel</v>
      </c>
      <c r="J31" s="53" t="str">
        <f>IF('Weekly Plan'!L31=0,"",'Weekly Plan'!L31)</f>
        <v/>
      </c>
      <c r="K31" s="97">
        <f>'Weekly Plan'!A31</f>
        <v>4</v>
      </c>
      <c r="L31" s="97">
        <f t="shared" si="3"/>
        <v>0</v>
      </c>
      <c r="M31" s="55">
        <f>'Weekly Plan'!F103</f>
        <v>0</v>
      </c>
      <c r="N31" s="52" t="str">
        <f>'Weekly Plan'!G103</f>
        <v>MS Applique Rework</v>
      </c>
      <c r="O31" s="53" t="str">
        <f>IF('Weekly Plan'!L103=0,"",'Weekly Plan'!L103)</f>
        <v/>
      </c>
      <c r="P31" s="4">
        <f>'Weekly Plan'!A103</f>
        <v>6</v>
      </c>
      <c r="Q31" s="4">
        <f t="shared" si="5"/>
        <v>0</v>
      </c>
      <c r="R31" s="4"/>
      <c r="S31" s="4"/>
      <c r="AC31" s="4">
        <v>1</v>
      </c>
    </row>
    <row r="32" spans="1:29" ht="15" customHeight="1" thickBot="1" x14ac:dyDescent="0.25">
      <c r="A32" s="50">
        <f>'Weekly Plan'!F45</f>
        <v>708400461</v>
      </c>
      <c r="B32" s="51" t="s">
        <v>79</v>
      </c>
      <c r="C32" s="52" t="str">
        <f>'Weekly Plan'!G45</f>
        <v xml:space="preserve">LH Mirror Shell - No Hole </v>
      </c>
      <c r="D32" s="53" t="str">
        <f>IF('Weekly Plan'!L45=0,"",'Weekly Plan'!L45)</f>
        <v/>
      </c>
      <c r="E32" s="97">
        <f>'Weekly Plan'!A45</f>
        <v>2</v>
      </c>
      <c r="F32" s="97">
        <f t="shared" si="4"/>
        <v>0</v>
      </c>
      <c r="G32" s="62">
        <f>'Weekly Plan'!F32</f>
        <v>708303801</v>
      </c>
      <c r="H32" s="95" t="s">
        <v>261</v>
      </c>
      <c r="I32" s="57" t="str">
        <f>'Weekly Plan'!G32</f>
        <v>RH F3T Panel</v>
      </c>
      <c r="J32" s="58" t="str">
        <f>IF('Weekly Plan'!L32=0,"",'Weekly Plan'!L32)</f>
        <v/>
      </c>
      <c r="K32" s="97">
        <f>'Weekly Plan'!A32</f>
        <v>4</v>
      </c>
      <c r="L32" s="97">
        <f t="shared" si="3"/>
        <v>0</v>
      </c>
      <c r="M32" s="56">
        <f>'Weekly Plan'!F104</f>
        <v>0</v>
      </c>
      <c r="N32" s="57" t="str">
        <f>'Weekly Plan'!G104</f>
        <v>MX Applique Rework</v>
      </c>
      <c r="O32" s="58" t="str">
        <f>IF('Weekly Plan'!L104=0,"",'Weekly Plan'!L104)</f>
        <v/>
      </c>
      <c r="P32" s="4">
        <f>'Weekly Plan'!A104</f>
        <v>6</v>
      </c>
      <c r="Q32" s="4">
        <f t="shared" si="5"/>
        <v>0</v>
      </c>
      <c r="R32" s="4"/>
      <c r="S32" s="4"/>
      <c r="AC32" s="4">
        <v>1</v>
      </c>
    </row>
    <row r="33" spans="1:29" ht="15" customHeight="1" x14ac:dyDescent="0.2">
      <c r="A33" s="50">
        <f>'Weekly Plan'!F46</f>
        <v>708400463</v>
      </c>
      <c r="B33" s="51" t="s">
        <v>79</v>
      </c>
      <c r="C33" s="52" t="str">
        <f>'Weekly Plan'!G46</f>
        <v xml:space="preserve">RH Mirror Shell - No Hole </v>
      </c>
      <c r="D33" s="53" t="str">
        <f>IF('Weekly Plan'!L46=0,"",'Weekly Plan'!L46)</f>
        <v/>
      </c>
      <c r="E33" s="97">
        <f>'Weekly Plan'!A46</f>
        <v>2</v>
      </c>
      <c r="F33" s="97">
        <f t="shared" si="4"/>
        <v>0</v>
      </c>
      <c r="K33" s="97">
        <f>'Weekly Plan'!A33</f>
        <v>0</v>
      </c>
      <c r="L33" s="97">
        <f t="shared" si="3"/>
        <v>0</v>
      </c>
      <c r="M33" s="65"/>
      <c r="N33" s="65"/>
      <c r="O33" s="65"/>
      <c r="Q33" s="4"/>
      <c r="R33" s="4"/>
      <c r="S33" s="4"/>
      <c r="AC33" s="4">
        <v>1</v>
      </c>
    </row>
    <row r="34" spans="1:29" ht="15" customHeight="1" thickBot="1" x14ac:dyDescent="0.25">
      <c r="A34" s="50">
        <f>'Weekly Plan'!F47</f>
        <v>705012976</v>
      </c>
      <c r="B34" s="51" t="s">
        <v>79</v>
      </c>
      <c r="C34" s="52" t="str">
        <f>'Weekly Plan'!G47</f>
        <v>LH Fender</v>
      </c>
      <c r="D34" s="53" t="str">
        <f>IF('Weekly Plan'!L47=0,"",'Weekly Plan'!L47)</f>
        <v/>
      </c>
      <c r="E34" s="97">
        <f>'Weekly Plan'!A47</f>
        <v>2</v>
      </c>
      <c r="F34" s="97">
        <f t="shared" si="4"/>
        <v>0</v>
      </c>
      <c r="K34" s="97"/>
      <c r="L34" s="97"/>
      <c r="M34" s="65"/>
      <c r="N34" s="65"/>
      <c r="O34" s="65"/>
      <c r="R34" s="4"/>
      <c r="S34" s="4"/>
      <c r="AC34" s="4">
        <v>2</v>
      </c>
    </row>
    <row r="35" spans="1:29" ht="15" customHeight="1" x14ac:dyDescent="0.2">
      <c r="A35" s="50">
        <f>'Weekly Plan'!F48</f>
        <v>705012868</v>
      </c>
      <c r="B35" s="51" t="s">
        <v>79</v>
      </c>
      <c r="C35" s="52" t="str">
        <f>'Weekly Plan'!G48</f>
        <v>RH Fender</v>
      </c>
      <c r="D35" s="53" t="str">
        <f>IF('Weekly Plan'!L48=0,"",'Weekly Plan'!L48)</f>
        <v/>
      </c>
      <c r="E35" s="97">
        <f>'Weekly Plan'!A48</f>
        <v>2</v>
      </c>
      <c r="F35" s="97">
        <f t="shared" si="4"/>
        <v>0</v>
      </c>
      <c r="G35" s="153" t="s">
        <v>81</v>
      </c>
      <c r="H35" s="154"/>
      <c r="I35" s="154"/>
      <c r="J35" s="155"/>
      <c r="K35" s="97"/>
      <c r="L35" s="97"/>
      <c r="M35" s="89" t="s">
        <v>15</v>
      </c>
      <c r="N35" s="89" t="s">
        <v>16</v>
      </c>
      <c r="O35" s="65"/>
      <c r="R35" s="4">
        <v>4</v>
      </c>
      <c r="S35" s="4"/>
      <c r="AC35" s="4">
        <v>1</v>
      </c>
    </row>
    <row r="36" spans="1:29" ht="15" customHeight="1" x14ac:dyDescent="0.2">
      <c r="A36" s="50">
        <f>'Weekly Plan'!F49</f>
        <v>705011169</v>
      </c>
      <c r="B36" s="51" t="s">
        <v>79</v>
      </c>
      <c r="C36" s="52" t="str">
        <f>'Weekly Plan'!G49</f>
        <v>LH Scoop</v>
      </c>
      <c r="D36" s="53" t="str">
        <f>IF('Weekly Plan'!L49=0,"",'Weekly Plan'!L49)</f>
        <v/>
      </c>
      <c r="E36" s="97">
        <f>'Weekly Plan'!A49</f>
        <v>2</v>
      </c>
      <c r="F36" s="97">
        <f t="shared" si="4"/>
        <v>0</v>
      </c>
      <c r="G36" s="156"/>
      <c r="H36" s="157"/>
      <c r="I36" s="157"/>
      <c r="J36" s="158"/>
      <c r="K36" s="97"/>
      <c r="L36" s="97"/>
      <c r="M36" s="66" t="str">
        <f>A4</f>
        <v>Hyper Silver</v>
      </c>
      <c r="N36" s="67">
        <f>SUM(F5:F18)</f>
        <v>0</v>
      </c>
      <c r="O36" s="68"/>
      <c r="Q36" s="4"/>
      <c r="R36" s="4">
        <v>2</v>
      </c>
      <c r="S36" s="4"/>
      <c r="AC36" s="4">
        <v>1</v>
      </c>
    </row>
    <row r="37" spans="1:29" ht="15" customHeight="1" x14ac:dyDescent="0.2">
      <c r="A37" s="50">
        <f>'Weekly Plan'!F50</f>
        <v>705011170</v>
      </c>
      <c r="B37" s="51" t="s">
        <v>79</v>
      </c>
      <c r="C37" s="52" t="str">
        <f>'Weekly Plan'!G50</f>
        <v>RH Scoop</v>
      </c>
      <c r="D37" s="53" t="str">
        <f>IF('Weekly Plan'!L50=0,"",'Weekly Plan'!L50)</f>
        <v/>
      </c>
      <c r="E37" s="97">
        <f>'Weekly Plan'!A50</f>
        <v>2</v>
      </c>
      <c r="F37" s="97">
        <f t="shared" si="4"/>
        <v>0</v>
      </c>
      <c r="G37" s="159"/>
      <c r="H37" s="160"/>
      <c r="I37" s="160"/>
      <c r="J37" s="161"/>
      <c r="K37" s="97"/>
      <c r="L37" s="97"/>
      <c r="M37" s="66" t="str">
        <f>A20</f>
        <v>Deep Black</v>
      </c>
      <c r="N37" s="67">
        <f>SUM(F21:F39)</f>
        <v>0</v>
      </c>
      <c r="O37" s="68"/>
      <c r="Q37" s="4"/>
      <c r="R37" s="4"/>
      <c r="S37" s="4"/>
      <c r="AC37" s="4">
        <v>1</v>
      </c>
    </row>
    <row r="38" spans="1:29" ht="15" customHeight="1" x14ac:dyDescent="0.2">
      <c r="A38" s="50">
        <f>'Weekly Plan'!F51</f>
        <v>708400261</v>
      </c>
      <c r="B38" s="51" t="s">
        <v>79</v>
      </c>
      <c r="C38" s="52" t="str">
        <f>'Weekly Plan'!G51</f>
        <v>LH Access Panel</v>
      </c>
      <c r="D38" s="53" t="str">
        <f>IF('Weekly Plan'!L51=0,"",'Weekly Plan'!L51)</f>
        <v/>
      </c>
      <c r="E38" s="97">
        <f>'Weekly Plan'!A51</f>
        <v>3</v>
      </c>
      <c r="F38" s="97">
        <f t="shared" si="4"/>
        <v>0</v>
      </c>
      <c r="G38" s="159"/>
      <c r="H38" s="160"/>
      <c r="I38" s="160"/>
      <c r="J38" s="161"/>
      <c r="K38" s="97"/>
      <c r="L38" s="97"/>
      <c r="M38" s="66" t="str">
        <f>G18</f>
        <v>British Green</v>
      </c>
      <c r="N38" s="67">
        <f>SUM(L19:L32)</f>
        <v>0</v>
      </c>
      <c r="O38" s="68"/>
      <c r="Q38" s="4"/>
      <c r="R38" s="4">
        <v>1</v>
      </c>
      <c r="S38" s="4"/>
      <c r="AC38" s="4">
        <v>1</v>
      </c>
    </row>
    <row r="39" spans="1:29" ht="15" customHeight="1" thickBot="1" x14ac:dyDescent="0.25">
      <c r="A39" s="62">
        <f>'Weekly Plan'!F52</f>
        <v>708400262</v>
      </c>
      <c r="B39" s="63" t="s">
        <v>79</v>
      </c>
      <c r="C39" s="57" t="str">
        <f>'Weekly Plan'!G52</f>
        <v>RH Access Panel</v>
      </c>
      <c r="D39" s="58" t="str">
        <f>IF('Weekly Plan'!L52=0,"",'Weekly Plan'!L52)</f>
        <v/>
      </c>
      <c r="E39" s="97">
        <f>'Weekly Plan'!A52</f>
        <v>3</v>
      </c>
      <c r="F39" s="97">
        <f t="shared" si="4"/>
        <v>0</v>
      </c>
      <c r="G39" s="159"/>
      <c r="H39" s="160"/>
      <c r="I39" s="160"/>
      <c r="J39" s="161"/>
      <c r="K39" s="97"/>
      <c r="L39" s="97"/>
      <c r="M39" s="66" t="str">
        <f>A44</f>
        <v>Vegas White</v>
      </c>
      <c r="N39" s="67">
        <f>SUM(F45:F56)</f>
        <v>0</v>
      </c>
      <c r="O39" s="65"/>
      <c r="Q39" s="4"/>
      <c r="R39" s="4"/>
      <c r="S39" s="4"/>
      <c r="AC39" s="4">
        <v>4</v>
      </c>
    </row>
    <row r="40" spans="1:29" ht="15" customHeight="1" x14ac:dyDescent="0.2">
      <c r="A40" s="92"/>
      <c r="B40" s="92"/>
      <c r="C40" s="64"/>
      <c r="D40" s="64" t="str">
        <f>IF('Weekly Plan'!H52=0,"",'Weekly Plan'!H52)</f>
        <v/>
      </c>
      <c r="E40" s="97">
        <f>'Weekly Plan'!A53</f>
        <v>0</v>
      </c>
      <c r="F40" s="97">
        <f t="shared" ref="F40:F41" si="6">IFERROR(D41/E40,0)</f>
        <v>0</v>
      </c>
      <c r="G40" s="159"/>
      <c r="H40" s="160"/>
      <c r="I40" s="160"/>
      <c r="J40" s="161"/>
      <c r="K40" s="99"/>
      <c r="L40" s="99"/>
      <c r="M40" s="66" t="str">
        <f>G4</f>
        <v>Black - Laval</v>
      </c>
      <c r="N40" s="67">
        <f>SUM(L5:L10)</f>
        <v>0</v>
      </c>
      <c r="O40" s="65"/>
      <c r="R40" s="4">
        <v>4</v>
      </c>
      <c r="S40" s="4"/>
      <c r="AC40" s="4">
        <v>2</v>
      </c>
    </row>
    <row r="41" spans="1:29" ht="17.25" customHeight="1" x14ac:dyDescent="0.2">
      <c r="A41" s="92"/>
      <c r="B41" s="92"/>
      <c r="C41" s="64"/>
      <c r="D41" s="64" t="str">
        <f>IF('Weekly Plan'!H53=0,"",'Weekly Plan'!H53)</f>
        <v/>
      </c>
      <c r="E41" s="97">
        <f>'Weekly Plan'!A54</f>
        <v>0</v>
      </c>
      <c r="F41" s="97">
        <f t="shared" si="6"/>
        <v>0</v>
      </c>
      <c r="G41" s="159"/>
      <c r="H41" s="160"/>
      <c r="I41" s="160"/>
      <c r="J41" s="161"/>
      <c r="K41" s="97"/>
      <c r="L41" s="97"/>
      <c r="M41" s="66" t="str">
        <f>G12</f>
        <v>Summit White - Laval</v>
      </c>
      <c r="N41" s="67">
        <f>SUM(L13:L16)</f>
        <v>0</v>
      </c>
      <c r="O41" s="65"/>
      <c r="R41" s="4">
        <v>2</v>
      </c>
      <c r="S41" s="4"/>
      <c r="AC41" s="4">
        <v>1</v>
      </c>
    </row>
    <row r="42" spans="1:29" ht="15" customHeight="1" x14ac:dyDescent="0.2">
      <c r="A42" s="92"/>
      <c r="B42" s="92"/>
      <c r="C42" s="64"/>
      <c r="D42" s="64" t="str">
        <f>IF('Weekly Plan'!H54=0,"",'Weekly Plan'!H54)</f>
        <v/>
      </c>
      <c r="E42" s="97"/>
      <c r="F42" s="97"/>
      <c r="G42" s="159"/>
      <c r="H42" s="160"/>
      <c r="I42" s="160"/>
      <c r="J42" s="161"/>
      <c r="K42" s="97"/>
      <c r="L42" s="97"/>
      <c r="M42" s="66" t="str">
        <f>M4</f>
        <v>Mitchell Plastics</v>
      </c>
      <c r="N42" s="67">
        <f>SUM(Q5:Q10)</f>
        <v>0</v>
      </c>
      <c r="O42" s="65"/>
      <c r="R42" s="2">
        <v>1</v>
      </c>
      <c r="AC42" s="2">
        <v>4</v>
      </c>
    </row>
    <row r="43" spans="1:29" ht="15" customHeight="1" thickBot="1" x14ac:dyDescent="0.25">
      <c r="A43" s="64"/>
      <c r="B43" s="64"/>
      <c r="C43" s="64"/>
      <c r="D43" s="64"/>
      <c r="E43" s="97"/>
      <c r="F43" s="97"/>
      <c r="G43" s="78"/>
      <c r="H43" s="79"/>
      <c r="I43" s="79"/>
      <c r="J43" s="80"/>
      <c r="K43" s="97"/>
      <c r="L43" s="97"/>
      <c r="M43" s="66" t="str">
        <f>M12</f>
        <v>Seastar</v>
      </c>
      <c r="N43" s="67">
        <f>SUM(Q13:Q15)</f>
        <v>0</v>
      </c>
      <c r="O43" s="65"/>
      <c r="R43" s="2">
        <v>1</v>
      </c>
      <c r="AC43" s="2">
        <v>2</v>
      </c>
    </row>
    <row r="44" spans="1:29" ht="15" customHeight="1" x14ac:dyDescent="0.2">
      <c r="A44" s="146" t="s">
        <v>12</v>
      </c>
      <c r="B44" s="147"/>
      <c r="C44" s="147"/>
      <c r="D44" s="148"/>
      <c r="E44" s="97">
        <f>'Weekly Plan'!A56</f>
        <v>2</v>
      </c>
      <c r="F44" s="97">
        <f t="shared" ref="F44" si="7">IFERROR(D45/E44,0)</f>
        <v>0</v>
      </c>
      <c r="G44" s="159"/>
      <c r="H44" s="160"/>
      <c r="I44" s="160"/>
      <c r="J44" s="161"/>
      <c r="K44" s="97"/>
      <c r="L44" s="97"/>
      <c r="M44" s="69" t="str">
        <f>M17</f>
        <v>Manterra - Hyper Silver</v>
      </c>
      <c r="N44" s="67">
        <f>SUM(Q18:Q20)</f>
        <v>0</v>
      </c>
      <c r="O44" s="65"/>
      <c r="R44" s="4"/>
      <c r="S44" s="4"/>
      <c r="AC44" s="4">
        <v>1</v>
      </c>
    </row>
    <row r="45" spans="1:29" ht="15" customHeight="1" x14ac:dyDescent="0.35">
      <c r="A45" s="55">
        <f>'Weekly Plan'!F56</f>
        <v>705009213</v>
      </c>
      <c r="B45" s="52" t="s">
        <v>12</v>
      </c>
      <c r="C45" s="52" t="str">
        <f>'Weekly Plan'!G56</f>
        <v>LH F3T Low Fairing</v>
      </c>
      <c r="D45" s="53" t="str">
        <f>IF('Weekly Plan'!L56=0,"",'Weekly Plan'!L56)</f>
        <v/>
      </c>
      <c r="E45" s="97">
        <f>'Weekly Plan'!A56</f>
        <v>2</v>
      </c>
      <c r="F45" s="97">
        <f>IFERROR(D45/E45,0)</f>
        <v>0</v>
      </c>
      <c r="G45" s="159"/>
      <c r="H45" s="160"/>
      <c r="I45" s="160"/>
      <c r="J45" s="161"/>
      <c r="K45" s="97"/>
      <c r="L45" s="97"/>
      <c r="M45" s="96" t="str">
        <f>M22</f>
        <v>Falcon Lakeside Hyper Silver</v>
      </c>
      <c r="N45" s="67">
        <f>SUM(Q23:Q26)</f>
        <v>0</v>
      </c>
      <c r="O45" s="65"/>
      <c r="R45" s="4"/>
      <c r="S45" s="4"/>
      <c r="AC45" s="4">
        <v>1</v>
      </c>
    </row>
    <row r="46" spans="1:29" ht="15" customHeight="1" x14ac:dyDescent="0.2">
      <c r="A46" s="55">
        <f>'Weekly Plan'!F57</f>
        <v>705009214</v>
      </c>
      <c r="B46" s="52" t="s">
        <v>12</v>
      </c>
      <c r="C46" s="52" t="str">
        <f>'Weekly Plan'!G57</f>
        <v>RH F3T Low Fairing</v>
      </c>
      <c r="D46" s="53" t="str">
        <f>IF('Weekly Plan'!L57=0,"",'Weekly Plan'!L57)</f>
        <v/>
      </c>
      <c r="E46" s="97">
        <f>'Weekly Plan'!A57</f>
        <v>2</v>
      </c>
      <c r="F46" s="97">
        <f t="shared" ref="F46:F56" si="8">IFERROR(D46/E46,0)</f>
        <v>0</v>
      </c>
      <c r="G46" s="159"/>
      <c r="H46" s="160"/>
      <c r="I46" s="160"/>
      <c r="J46" s="161"/>
      <c r="K46" s="97"/>
      <c r="L46" s="97"/>
      <c r="M46" s="69" t="str">
        <f>M28</f>
        <v>Tesla - High Gloss Black</v>
      </c>
      <c r="N46" s="67">
        <f>SUM(Q29:Q32)</f>
        <v>0</v>
      </c>
      <c r="O46" s="65"/>
      <c r="R46" s="4"/>
      <c r="S46" s="4"/>
      <c r="AC46" s="4">
        <v>1</v>
      </c>
    </row>
    <row r="47" spans="1:29" ht="15" customHeight="1" x14ac:dyDescent="0.2">
      <c r="A47" s="55">
        <f>'Weekly Plan'!F58</f>
        <v>705010835</v>
      </c>
      <c r="B47" s="52" t="s">
        <v>12</v>
      </c>
      <c r="C47" s="52" t="str">
        <f>'Weekly Plan'!G58</f>
        <v>RH Fairing</v>
      </c>
      <c r="D47" s="53" t="str">
        <f>IF('Weekly Plan'!L58=0,"",'Weekly Plan'!L58)</f>
        <v/>
      </c>
      <c r="E47" s="97">
        <f>'Weekly Plan'!A58</f>
        <v>1</v>
      </c>
      <c r="F47" s="97">
        <f t="shared" si="8"/>
        <v>0</v>
      </c>
      <c r="G47" s="159"/>
      <c r="H47" s="160"/>
      <c r="I47" s="160"/>
      <c r="J47" s="161"/>
      <c r="K47" s="97"/>
      <c r="L47" s="97"/>
      <c r="M47" s="66"/>
      <c r="N47" s="67"/>
      <c r="O47" s="65"/>
      <c r="R47" s="4"/>
      <c r="S47" s="4"/>
      <c r="AC47" s="4">
        <v>4</v>
      </c>
    </row>
    <row r="48" spans="1:29" ht="15" customHeight="1" x14ac:dyDescent="0.2">
      <c r="A48" s="55">
        <f>'Weekly Plan'!F59</f>
        <v>705010851</v>
      </c>
      <c r="B48" s="52" t="s">
        <v>12</v>
      </c>
      <c r="C48" s="52" t="str">
        <f>'Weekly Plan'!G59</f>
        <v>LH Fairing</v>
      </c>
      <c r="D48" s="53" t="str">
        <f>IF('Weekly Plan'!L59=0,"",'Weekly Plan'!L59)</f>
        <v/>
      </c>
      <c r="E48" s="97">
        <f>'Weekly Plan'!A59</f>
        <v>1</v>
      </c>
      <c r="F48" s="97">
        <f t="shared" si="8"/>
        <v>0</v>
      </c>
      <c r="G48" s="162"/>
      <c r="H48" s="163"/>
      <c r="I48" s="163"/>
      <c r="J48" s="164"/>
      <c r="K48" s="97"/>
      <c r="L48" s="97"/>
      <c r="M48" s="66"/>
      <c r="N48" s="67"/>
      <c r="O48" s="65"/>
      <c r="AC48" s="2">
        <v>2</v>
      </c>
    </row>
    <row r="49" spans="1:29" ht="15" customHeight="1" x14ac:dyDescent="0.2">
      <c r="A49" s="55">
        <f>'Weekly Plan'!F60</f>
        <v>705012976</v>
      </c>
      <c r="B49" s="52" t="s">
        <v>12</v>
      </c>
      <c r="C49" s="52" t="str">
        <f>'Weekly Plan'!G60</f>
        <v>LH Fender</v>
      </c>
      <c r="D49" s="53" t="str">
        <f>IF('Weekly Plan'!L60=0,"",'Weekly Plan'!L60)</f>
        <v/>
      </c>
      <c r="E49" s="97">
        <f>'Weekly Plan'!A60</f>
        <v>2</v>
      </c>
      <c r="F49" s="97">
        <f t="shared" si="8"/>
        <v>0</v>
      </c>
      <c r="G49" s="165"/>
      <c r="H49" s="163"/>
      <c r="I49" s="163"/>
      <c r="J49" s="164"/>
      <c r="K49" s="97"/>
      <c r="L49" s="97"/>
      <c r="M49" s="66"/>
      <c r="N49" s="67"/>
      <c r="O49" s="65"/>
      <c r="AC49" s="2">
        <v>1</v>
      </c>
    </row>
    <row r="50" spans="1:29" ht="15" customHeight="1" x14ac:dyDescent="0.25">
      <c r="A50" s="55">
        <f>'Weekly Plan'!F61</f>
        <v>705012868</v>
      </c>
      <c r="B50" s="52" t="s">
        <v>12</v>
      </c>
      <c r="C50" s="52" t="str">
        <f>'Weekly Plan'!G61</f>
        <v>RH Fender</v>
      </c>
      <c r="D50" s="53" t="str">
        <f>IF('Weekly Plan'!L61=0,"",'Weekly Plan'!L61)</f>
        <v/>
      </c>
      <c r="E50" s="97">
        <f>'Weekly Plan'!A61</f>
        <v>2</v>
      </c>
      <c r="F50" s="97">
        <f t="shared" si="8"/>
        <v>0</v>
      </c>
      <c r="G50" s="165"/>
      <c r="H50" s="163"/>
      <c r="I50" s="163"/>
      <c r="J50" s="164"/>
      <c r="K50" s="97"/>
      <c r="L50" s="97"/>
      <c r="M50" s="71" t="s">
        <v>165</v>
      </c>
      <c r="N50" s="70">
        <f>SUM(N36:N49)</f>
        <v>0</v>
      </c>
      <c r="O50" s="65"/>
      <c r="R50" s="4"/>
      <c r="S50" s="4"/>
      <c r="AC50" s="4">
        <v>1</v>
      </c>
    </row>
    <row r="51" spans="1:29" ht="15" customHeight="1" x14ac:dyDescent="0.25">
      <c r="A51" s="55">
        <f>'Weekly Plan'!F62</f>
        <v>708200366</v>
      </c>
      <c r="B51" s="52" t="s">
        <v>12</v>
      </c>
      <c r="C51" s="52" t="str">
        <f>'Weekly Plan'!G62</f>
        <v>Hood</v>
      </c>
      <c r="D51" s="53" t="str">
        <f>IF('Weekly Plan'!L62=0,"",'Weekly Plan'!L62)</f>
        <v/>
      </c>
      <c r="E51" s="97">
        <f>'Weekly Plan'!A62</f>
        <v>1</v>
      </c>
      <c r="F51" s="97">
        <f t="shared" si="8"/>
        <v>0</v>
      </c>
      <c r="G51" s="165"/>
      <c r="H51" s="163"/>
      <c r="I51" s="163"/>
      <c r="J51" s="164"/>
      <c r="K51" s="97"/>
      <c r="L51" s="97"/>
      <c r="M51" s="71"/>
      <c r="N51" s="71"/>
      <c r="O51" s="65"/>
      <c r="R51" s="4"/>
      <c r="S51" s="4"/>
      <c r="AC51" s="4">
        <v>4</v>
      </c>
    </row>
    <row r="52" spans="1:29" ht="15" customHeight="1" x14ac:dyDescent="0.2">
      <c r="A52" s="55">
        <f>'Weekly Plan'!F63</f>
        <v>708200401</v>
      </c>
      <c r="B52" s="52" t="s">
        <v>12</v>
      </c>
      <c r="C52" s="52" t="str">
        <f>'Weekly Plan'!G63</f>
        <v>LH Vent Panel</v>
      </c>
      <c r="D52" s="53" t="str">
        <f>IF('Weekly Plan'!L63=0,"",'Weekly Plan'!L63)</f>
        <v/>
      </c>
      <c r="E52" s="97">
        <f>'Weekly Plan'!A63</f>
        <v>2</v>
      </c>
      <c r="F52" s="97">
        <f t="shared" si="8"/>
        <v>0</v>
      </c>
      <c r="G52" s="165"/>
      <c r="H52" s="163"/>
      <c r="I52" s="163"/>
      <c r="J52" s="164"/>
      <c r="K52" s="97"/>
      <c r="L52" s="97"/>
      <c r="M52" s="66" t="s">
        <v>17</v>
      </c>
      <c r="N52" s="66">
        <f>(COUNTIF(N36:N49, "&gt;0")-1)*(IF(N50&gt;0, 12, 0))</f>
        <v>0</v>
      </c>
      <c r="O52" s="65"/>
      <c r="R52" s="4"/>
      <c r="S52" s="4"/>
      <c r="AC52" s="4">
        <v>2</v>
      </c>
    </row>
    <row r="53" spans="1:29" ht="15" customHeight="1" x14ac:dyDescent="0.2">
      <c r="A53" s="55">
        <f>'Weekly Plan'!F64</f>
        <v>708200402</v>
      </c>
      <c r="B53" s="52" t="s">
        <v>12</v>
      </c>
      <c r="C53" s="52" t="str">
        <f>'Weekly Plan'!G64</f>
        <v>RH Vent Panel</v>
      </c>
      <c r="D53" s="53" t="str">
        <f>IF('Weekly Plan'!L64=0,"",'Weekly Plan'!L64)</f>
        <v/>
      </c>
      <c r="E53" s="97">
        <f>'Weekly Plan'!A64</f>
        <v>2</v>
      </c>
      <c r="F53" s="97">
        <f t="shared" si="8"/>
        <v>0</v>
      </c>
      <c r="G53" s="165"/>
      <c r="H53" s="163"/>
      <c r="I53" s="163"/>
      <c r="J53" s="164"/>
      <c r="K53" s="97"/>
      <c r="L53" s="97"/>
      <c r="M53" s="169"/>
      <c r="N53" s="170"/>
      <c r="O53" s="65"/>
      <c r="R53" s="4"/>
      <c r="S53" s="4"/>
      <c r="AC53" s="4">
        <v>1</v>
      </c>
    </row>
    <row r="54" spans="1:29" ht="15" customHeight="1" x14ac:dyDescent="0.25">
      <c r="A54" s="55">
        <f>'Weekly Plan'!F65</f>
        <v>708200698</v>
      </c>
      <c r="B54" s="52" t="s">
        <v>12</v>
      </c>
      <c r="C54" s="52" t="str">
        <f>'Weekly Plan'!G65</f>
        <v>Fascia</v>
      </c>
      <c r="D54" s="53" t="str">
        <f>IF('Weekly Plan'!L65=0,"",'Weekly Plan'!L65)</f>
        <v/>
      </c>
      <c r="E54" s="97">
        <f>'Weekly Plan'!A65</f>
        <v>1</v>
      </c>
      <c r="F54" s="97">
        <f t="shared" si="8"/>
        <v>0</v>
      </c>
      <c r="G54" s="165"/>
      <c r="H54" s="163"/>
      <c r="I54" s="163"/>
      <c r="J54" s="164"/>
      <c r="K54" s="97"/>
      <c r="L54" s="97"/>
      <c r="M54" s="72" t="s">
        <v>18</v>
      </c>
      <c r="N54" s="73">
        <f>(N50+N52)/60</f>
        <v>0</v>
      </c>
      <c r="O54" s="65"/>
      <c r="AC54" s="2">
        <v>4</v>
      </c>
    </row>
    <row r="55" spans="1:29" ht="15" customHeight="1" thickBot="1" x14ac:dyDescent="0.25">
      <c r="A55" s="55">
        <f>'Weekly Plan'!F66</f>
        <v>708301214</v>
      </c>
      <c r="B55" s="52" t="s">
        <v>12</v>
      </c>
      <c r="C55" s="52" t="str">
        <f>'Weekly Plan'!G66</f>
        <v>LH Cover</v>
      </c>
      <c r="D55" s="53" t="str">
        <f>IF('Weekly Plan'!L66=0,"",'Weekly Plan'!L66)</f>
        <v/>
      </c>
      <c r="E55" s="97">
        <f>'Weekly Plan'!A66</f>
        <v>1</v>
      </c>
      <c r="F55" s="97">
        <f t="shared" si="8"/>
        <v>0</v>
      </c>
      <c r="G55" s="166"/>
      <c r="H55" s="167"/>
      <c r="I55" s="167"/>
      <c r="J55" s="168"/>
      <c r="K55" s="97"/>
      <c r="L55" s="97"/>
      <c r="M55" s="65"/>
      <c r="N55" s="65"/>
      <c r="O55" s="65"/>
      <c r="AC55" s="2">
        <v>2</v>
      </c>
    </row>
    <row r="56" spans="1:29" ht="13.5" customHeight="1" thickBot="1" x14ac:dyDescent="0.25">
      <c r="A56" s="56">
        <f>'Weekly Plan'!F67</f>
        <v>708301215</v>
      </c>
      <c r="B56" s="57" t="s">
        <v>12</v>
      </c>
      <c r="C56" s="57" t="str">
        <f>'Weekly Plan'!G67</f>
        <v>RH Cover</v>
      </c>
      <c r="D56" s="58" t="str">
        <f>IF('Weekly Plan'!L67=0,"",'Weekly Plan'!L67)</f>
        <v/>
      </c>
      <c r="E56" s="97">
        <f>'Weekly Plan'!A67</f>
        <v>1</v>
      </c>
      <c r="F56" s="97">
        <f t="shared" si="8"/>
        <v>0</v>
      </c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8:19" ht="13.5" customHeight="1" x14ac:dyDescent="0.2"/>
    <row r="66" spans="18:19" ht="13.5" customHeight="1" x14ac:dyDescent="0.2">
      <c r="R66" s="1"/>
      <c r="S66" s="1"/>
    </row>
    <row r="67" spans="18:19" ht="13.5" customHeight="1" x14ac:dyDescent="0.2"/>
  </sheetData>
  <sheetProtection formatCells="0"/>
  <mergeCells count="22">
    <mergeCell ref="G52:J55"/>
    <mergeCell ref="M53:N53"/>
    <mergeCell ref="M28:O28"/>
    <mergeCell ref="G35:J35"/>
    <mergeCell ref="G36:J42"/>
    <mergeCell ref="A44:D44"/>
    <mergeCell ref="G44:J47"/>
    <mergeCell ref="G48:J51"/>
    <mergeCell ref="G12:J12"/>
    <mergeCell ref="M12:O12"/>
    <mergeCell ref="M17:O17"/>
    <mergeCell ref="G18:J18"/>
    <mergeCell ref="A20:D20"/>
    <mergeCell ref="M22:O22"/>
    <mergeCell ref="A4:D4"/>
    <mergeCell ref="G4:J4"/>
    <mergeCell ref="M4:O4"/>
    <mergeCell ref="D1:I1"/>
    <mergeCell ref="J1:K1"/>
    <mergeCell ref="N1:O1"/>
    <mergeCell ref="A2:A3"/>
    <mergeCell ref="C2:P3"/>
  </mergeCells>
  <pageMargins left="0.23622047244094491" right="0.23622047244094491" top="0.74803149606299213" bottom="0.74803149606299213" header="0.31496062992125984" footer="0.31496062992125984"/>
  <pageSetup scale="81" orientation="portrait" cellComments="asDisplayed" r:id="rId1"/>
  <headerFooter>
    <oddFooter>&amp;L8.2.2.1.11 103 Schedule Template.xlsx&amp;RCreated: 10/22/21TG
Revised: 05/24/24AS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87A3-FCFE-4F6A-8AF7-4F7FEB57E72A}">
  <sheetPr>
    <tabColor rgb="FF92D050"/>
    <pageSetUpPr fitToPage="1"/>
  </sheetPr>
  <dimension ref="A1:AC67"/>
  <sheetViews>
    <sheetView showGridLines="0" zoomScale="85" zoomScaleNormal="85" workbookViewId="0">
      <selection activeCell="T26" sqref="T26"/>
    </sheetView>
  </sheetViews>
  <sheetFormatPr defaultColWidth="9" defaultRowHeight="12.75" x14ac:dyDescent="0.2"/>
  <cols>
    <col min="1" max="1" width="11" style="1" customWidth="1"/>
    <col min="2" max="2" width="9.5703125" style="1" hidden="1" customWidth="1"/>
    <col min="3" max="3" width="20" style="1" customWidth="1"/>
    <col min="4" max="4" width="7" style="1" bestFit="1" customWidth="1"/>
    <col min="5" max="6" width="2.85546875" style="2" customWidth="1"/>
    <col min="7" max="7" width="15.85546875" style="1" bestFit="1" customWidth="1"/>
    <col min="8" max="8" width="7.7109375" style="1" hidden="1" customWidth="1"/>
    <col min="9" max="9" width="21" style="1" bestFit="1" customWidth="1"/>
    <col min="10" max="10" width="4.85546875" style="1" customWidth="1"/>
    <col min="11" max="12" width="2.8554687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7" width="2.8554687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40" t="s">
        <v>262</v>
      </c>
      <c r="B1" s="41"/>
      <c r="C1" s="42"/>
      <c r="D1" s="151"/>
      <c r="E1" s="151"/>
      <c r="F1" s="151"/>
      <c r="G1" s="151"/>
      <c r="H1" s="151"/>
      <c r="I1" s="151"/>
      <c r="J1" s="152" t="s">
        <v>29</v>
      </c>
      <c r="K1" s="152"/>
      <c r="L1" s="98"/>
      <c r="M1" s="43">
        <f>'Weekly Plan'!M1</f>
        <v>45304</v>
      </c>
      <c r="N1" s="141"/>
      <c r="O1" s="141"/>
      <c r="T1" s="8"/>
    </row>
    <row r="2" spans="1:29" s="3" customFormat="1" ht="14.25" customHeight="1" x14ac:dyDescent="0.2">
      <c r="A2" s="149" t="s">
        <v>14</v>
      </c>
      <c r="B2" s="44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0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9" s="3" customFormat="1" ht="14.25" customHeight="1" thickBot="1" x14ac:dyDescent="0.25">
      <c r="A3" s="150"/>
      <c r="B3" s="44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0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9" ht="15" customHeight="1" x14ac:dyDescent="0.2">
      <c r="A4" s="143" t="s">
        <v>54</v>
      </c>
      <c r="B4" s="144"/>
      <c r="C4" s="144"/>
      <c r="D4" s="145"/>
      <c r="E4" s="97"/>
      <c r="F4" s="97"/>
      <c r="G4" s="146" t="s">
        <v>242</v>
      </c>
      <c r="H4" s="147"/>
      <c r="I4" s="147"/>
      <c r="J4" s="148"/>
      <c r="K4" s="97"/>
      <c r="L4" s="97"/>
      <c r="M4" s="138" t="s">
        <v>143</v>
      </c>
      <c r="N4" s="139"/>
      <c r="O4" s="140"/>
      <c r="P4" s="5"/>
      <c r="Q4" s="101"/>
      <c r="R4" s="5"/>
      <c r="W4" s="16"/>
      <c r="X4" s="16"/>
      <c r="Y4" s="16"/>
      <c r="Z4" s="16"/>
      <c r="AA4" s="16"/>
      <c r="AB4" s="16"/>
      <c r="AC4" s="5"/>
    </row>
    <row r="5" spans="1:29" ht="15" customHeight="1" x14ac:dyDescent="0.2">
      <c r="A5" s="50">
        <f>'Weekly Plan'!F4</f>
        <v>705014100</v>
      </c>
      <c r="B5" s="51" t="s">
        <v>54</v>
      </c>
      <c r="C5" s="52" t="str">
        <f>'Weekly Plan'!G4</f>
        <v>LH Upper Fairing</v>
      </c>
      <c r="D5" s="53" t="str">
        <f>IF('Weekly Plan'!M4=0,"",'Weekly Plan'!M4)</f>
        <v/>
      </c>
      <c r="E5" s="97">
        <f>'Weekly Plan'!A4</f>
        <v>2</v>
      </c>
      <c r="F5" s="97">
        <f t="shared" ref="F5:F18" si="0">IFERROR(D5/E5,0)</f>
        <v>0</v>
      </c>
      <c r="G5" s="50">
        <f>'Weekly Plan'!F69</f>
        <v>99944</v>
      </c>
      <c r="H5" s="90" t="s">
        <v>167</v>
      </c>
      <c r="I5" s="50" t="str">
        <f>'Weekly Plan'!G69</f>
        <v>Bezel</v>
      </c>
      <c r="J5" s="54" t="str">
        <f>IF('Weekly Plan'!M69=0,"",'Weekly Plan'!M69)</f>
        <v/>
      </c>
      <c r="K5" s="97">
        <f>'Weekly Plan'!A69</f>
        <v>2</v>
      </c>
      <c r="L5" s="97">
        <f>IFERROR(J5/K5,0)</f>
        <v>0</v>
      </c>
      <c r="M5" s="55">
        <f>'Weekly Plan'!F94</f>
        <v>80931</v>
      </c>
      <c r="N5" s="52" t="str">
        <f>'Weekly Plan'!G94</f>
        <v>Black - LH</v>
      </c>
      <c r="O5" s="53" t="str">
        <f>IF('Weekly Plan'!M94=0,"",'Weekly Plan'!M94)</f>
        <v/>
      </c>
      <c r="P5" s="4">
        <f>'Weekly Plan'!A94</f>
        <v>2</v>
      </c>
      <c r="Q5" s="4">
        <f>IFERROR(O5/P5,0)</f>
        <v>0</v>
      </c>
      <c r="W5" s="9"/>
      <c r="X5" s="9"/>
      <c r="Y5" s="9"/>
      <c r="Z5" s="9"/>
      <c r="AA5" s="9"/>
      <c r="AB5" s="9"/>
      <c r="AC5" s="4">
        <v>3</v>
      </c>
    </row>
    <row r="6" spans="1:29" ht="15" customHeight="1" x14ac:dyDescent="0.2">
      <c r="A6" s="50">
        <f>'Weekly Plan'!F5</f>
        <v>705014101</v>
      </c>
      <c r="B6" s="51" t="s">
        <v>54</v>
      </c>
      <c r="C6" s="52" t="str">
        <f>'Weekly Plan'!G5</f>
        <v>RH Upper Fairing</v>
      </c>
      <c r="D6" s="53" t="str">
        <f>IF('Weekly Plan'!M5=0,"",'Weekly Plan'!M5)</f>
        <v/>
      </c>
      <c r="E6" s="97">
        <f>'Weekly Plan'!A5</f>
        <v>2</v>
      </c>
      <c r="F6" s="97">
        <f t="shared" si="0"/>
        <v>0</v>
      </c>
      <c r="G6" s="50">
        <f>'Weekly Plan'!F70</f>
        <v>99633</v>
      </c>
      <c r="H6" s="90" t="s">
        <v>167</v>
      </c>
      <c r="I6" s="50" t="str">
        <f>'Weekly Plan'!G70</f>
        <v>IR Cover LH</v>
      </c>
      <c r="J6" s="54" t="str">
        <f>IF('Weekly Plan'!M70=0,"",'Weekly Plan'!M70)</f>
        <v/>
      </c>
      <c r="K6" s="97">
        <f>'Weekly Plan'!A70</f>
        <v>20</v>
      </c>
      <c r="L6" s="97">
        <f t="shared" ref="L6:L10" si="1">IFERROR(J6/K6,0)</f>
        <v>0</v>
      </c>
      <c r="M6" s="55">
        <f>'Weekly Plan'!F95</f>
        <v>80930</v>
      </c>
      <c r="N6" s="52" t="str">
        <f>'Weekly Plan'!G95</f>
        <v>Black - RH</v>
      </c>
      <c r="O6" s="53" t="str">
        <f>IF('Weekly Plan'!M95=0,"",'Weekly Plan'!M95)</f>
        <v/>
      </c>
      <c r="P6" s="4">
        <f>'Weekly Plan'!A95</f>
        <v>2</v>
      </c>
      <c r="Q6" s="4">
        <f t="shared" ref="Q6:Q20" si="2">IFERROR(O6/P6,0)</f>
        <v>0</v>
      </c>
      <c r="W6" s="9"/>
      <c r="X6" s="9"/>
      <c r="Y6" s="9"/>
      <c r="Z6" s="9"/>
      <c r="AA6" s="9"/>
      <c r="AB6" s="9"/>
      <c r="AC6" s="4">
        <v>4</v>
      </c>
    </row>
    <row r="7" spans="1:29" ht="15" customHeight="1" x14ac:dyDescent="0.2">
      <c r="A7" s="50">
        <f>'Weekly Plan'!F6</f>
        <v>705012976</v>
      </c>
      <c r="B7" s="51" t="s">
        <v>54</v>
      </c>
      <c r="C7" s="52" t="str">
        <f>'Weekly Plan'!G6</f>
        <v>LH Fender</v>
      </c>
      <c r="D7" s="53" t="str">
        <f>IF('Weekly Plan'!M6=0,"",'Weekly Plan'!M6)</f>
        <v/>
      </c>
      <c r="E7" s="97">
        <f>'Weekly Plan'!A6</f>
        <v>2</v>
      </c>
      <c r="F7" s="97">
        <f t="shared" si="0"/>
        <v>0</v>
      </c>
      <c r="G7" s="50">
        <f>'Weekly Plan'!F71</f>
        <v>99646</v>
      </c>
      <c r="H7" s="90" t="s">
        <v>167</v>
      </c>
      <c r="I7" s="50" t="str">
        <f>'Weekly Plan'!G71</f>
        <v>IR Cover RH</v>
      </c>
      <c r="J7" s="54" t="str">
        <f>IF('Weekly Plan'!M71=0,"",'Weekly Plan'!M71)</f>
        <v/>
      </c>
      <c r="K7" s="97">
        <f>'Weekly Plan'!A71</f>
        <v>20</v>
      </c>
      <c r="L7" s="97">
        <f t="shared" si="1"/>
        <v>0</v>
      </c>
      <c r="M7" s="55">
        <f>'Weekly Plan'!F96</f>
        <v>80933</v>
      </c>
      <c r="N7" s="52" t="str">
        <f>'Weekly Plan'!G96</f>
        <v>Red - LH</v>
      </c>
      <c r="O7" s="53" t="str">
        <f>IF('Weekly Plan'!M96=0,"",'Weekly Plan'!M96)</f>
        <v/>
      </c>
      <c r="P7" s="4">
        <f>'Weekly Plan'!A96</f>
        <v>2</v>
      </c>
      <c r="Q7" s="4">
        <f t="shared" si="2"/>
        <v>0</v>
      </c>
      <c r="W7" s="9"/>
      <c r="X7" s="9"/>
      <c r="Y7" s="9"/>
      <c r="Z7" s="9"/>
      <c r="AA7" s="9"/>
      <c r="AB7" s="9"/>
      <c r="AC7" s="4">
        <v>4</v>
      </c>
    </row>
    <row r="8" spans="1:29" ht="15" customHeight="1" x14ac:dyDescent="0.2">
      <c r="A8" s="50">
        <f>'Weekly Plan'!F7</f>
        <v>705012868</v>
      </c>
      <c r="B8" s="51" t="s">
        <v>54</v>
      </c>
      <c r="C8" s="52" t="str">
        <f>'Weekly Plan'!G7</f>
        <v>RH Fender</v>
      </c>
      <c r="D8" s="53" t="str">
        <f>IF('Weekly Plan'!M7=0,"",'Weekly Plan'!M7)</f>
        <v/>
      </c>
      <c r="E8" s="97">
        <f>'Weekly Plan'!A7</f>
        <v>2</v>
      </c>
      <c r="F8" s="97">
        <f t="shared" si="0"/>
        <v>0</v>
      </c>
      <c r="G8" s="50">
        <f>'Weekly Plan'!F72</f>
        <v>99635</v>
      </c>
      <c r="H8" s="90" t="s">
        <v>167</v>
      </c>
      <c r="I8" s="50" t="str">
        <f>'Weekly Plan'!G72</f>
        <v>Lateral Belt LH</v>
      </c>
      <c r="J8" s="54" t="str">
        <f>IF('Weekly Plan'!M72=0,"",'Weekly Plan'!M72)</f>
        <v/>
      </c>
      <c r="K8" s="97">
        <f>'Weekly Plan'!A72</f>
        <v>6</v>
      </c>
      <c r="L8" s="97">
        <f t="shared" si="1"/>
        <v>0</v>
      </c>
      <c r="M8" s="55">
        <f>'Weekly Plan'!F97</f>
        <v>80932</v>
      </c>
      <c r="N8" s="52" t="str">
        <f>'Weekly Plan'!G97</f>
        <v>Red - RH</v>
      </c>
      <c r="O8" s="53" t="str">
        <f>IF('Weekly Plan'!M97=0,"",'Weekly Plan'!M97)</f>
        <v/>
      </c>
      <c r="P8" s="4">
        <f>'Weekly Plan'!A97</f>
        <v>2</v>
      </c>
      <c r="Q8" s="4">
        <f t="shared" si="2"/>
        <v>0</v>
      </c>
      <c r="R8" s="4"/>
      <c r="W8" s="9"/>
      <c r="X8" s="9"/>
      <c r="Y8" s="9"/>
      <c r="Z8" s="9"/>
      <c r="AA8" s="9"/>
      <c r="AB8" s="9"/>
      <c r="AC8" s="4">
        <v>1</v>
      </c>
    </row>
    <row r="9" spans="1:29" ht="15" customHeight="1" x14ac:dyDescent="0.2">
      <c r="A9" s="50">
        <f>'Weekly Plan'!F8</f>
        <v>708003041</v>
      </c>
      <c r="B9" s="51" t="s">
        <v>54</v>
      </c>
      <c r="C9" s="52" t="str">
        <f>'Weekly Plan'!G8</f>
        <v>Rear Fairing</v>
      </c>
      <c r="D9" s="53" t="str">
        <f>IF('Weekly Plan'!M8=0,"",'Weekly Plan'!M8)</f>
        <v/>
      </c>
      <c r="E9" s="97">
        <f>'Weekly Plan'!A8</f>
        <v>2</v>
      </c>
      <c r="F9" s="97">
        <f t="shared" si="0"/>
        <v>0</v>
      </c>
      <c r="G9" s="50">
        <f>'Weekly Plan'!F73</f>
        <v>99944</v>
      </c>
      <c r="H9" s="90" t="s">
        <v>167</v>
      </c>
      <c r="I9" s="50" t="str">
        <f>'Weekly Plan'!G73</f>
        <v>Lateral Belt RH</v>
      </c>
      <c r="J9" s="54" t="str">
        <f>IF('Weekly Plan'!M73=0,"",'Weekly Plan'!M73)</f>
        <v/>
      </c>
      <c r="K9" s="97">
        <f>'Weekly Plan'!A73</f>
        <v>6</v>
      </c>
      <c r="L9" s="97">
        <f t="shared" si="1"/>
        <v>0</v>
      </c>
      <c r="M9" s="55" t="str">
        <f>'Weekly Plan'!F98</f>
        <v>Other</v>
      </c>
      <c r="N9" s="52" t="str">
        <f>'Weekly Plan'!G98</f>
        <v>White - LH</v>
      </c>
      <c r="O9" s="53" t="str">
        <f>IF('Weekly Plan'!M98=0,"",'Weekly Plan'!M98)</f>
        <v/>
      </c>
      <c r="P9" s="4">
        <f>'Weekly Plan'!A98</f>
        <v>2</v>
      </c>
      <c r="Q9" s="4">
        <f t="shared" si="2"/>
        <v>0</v>
      </c>
      <c r="R9" s="4"/>
      <c r="W9" s="9"/>
      <c r="X9" s="9"/>
      <c r="Y9" s="9"/>
      <c r="Z9" s="9"/>
      <c r="AA9" s="9"/>
      <c r="AB9" s="9"/>
      <c r="AC9" s="4">
        <v>1</v>
      </c>
    </row>
    <row r="10" spans="1:29" ht="15" customHeight="1" thickBot="1" x14ac:dyDescent="0.25">
      <c r="A10" s="50">
        <f>'Weekly Plan'!F9</f>
        <v>708200870</v>
      </c>
      <c r="B10" s="51" t="s">
        <v>54</v>
      </c>
      <c r="C10" s="52" t="str">
        <f>'Weekly Plan'!G9</f>
        <v>LH Front Fairing</v>
      </c>
      <c r="D10" s="53" t="str">
        <f>IF('Weekly Plan'!M9=0,"",'Weekly Plan'!M9)</f>
        <v/>
      </c>
      <c r="E10" s="97">
        <f>'Weekly Plan'!A9</f>
        <v>1</v>
      </c>
      <c r="F10" s="97">
        <f t="shared" si="0"/>
        <v>0</v>
      </c>
      <c r="G10" s="62">
        <f>'Weekly Plan'!F74</f>
        <v>99636</v>
      </c>
      <c r="H10" s="93" t="s">
        <v>167</v>
      </c>
      <c r="I10" s="62" t="str">
        <f>'Weekly Plan'!G74</f>
        <v>Rear Belt</v>
      </c>
      <c r="J10" s="60" t="str">
        <f>IF('Weekly Plan'!M74=0,"",'Weekly Plan'!M74)</f>
        <v/>
      </c>
      <c r="K10" s="97">
        <f>'Weekly Plan'!A74</f>
        <v>20</v>
      </c>
      <c r="L10" s="97">
        <f t="shared" si="1"/>
        <v>0</v>
      </c>
      <c r="M10" s="56" t="str">
        <f>'Weekly Plan'!F99</f>
        <v>Other</v>
      </c>
      <c r="N10" s="57" t="str">
        <f>'Weekly Plan'!G99</f>
        <v>White - RH</v>
      </c>
      <c r="O10" s="58" t="str">
        <f>IF('Weekly Plan'!M99=0,"",'Weekly Plan'!M99)</f>
        <v/>
      </c>
      <c r="P10" s="4">
        <f>'Weekly Plan'!A99</f>
        <v>2</v>
      </c>
      <c r="Q10" s="4">
        <f t="shared" si="2"/>
        <v>0</v>
      </c>
      <c r="R10" s="4"/>
      <c r="W10" s="9"/>
      <c r="X10" s="9"/>
      <c r="Y10" s="9"/>
      <c r="Z10" s="9"/>
      <c r="AA10" s="9"/>
      <c r="AB10" s="9"/>
      <c r="AC10" s="4">
        <v>3</v>
      </c>
    </row>
    <row r="11" spans="1:29" ht="15" customHeight="1" thickBot="1" x14ac:dyDescent="0.25">
      <c r="A11" s="50">
        <f>'Weekly Plan'!F10</f>
        <v>708200871</v>
      </c>
      <c r="B11" s="51" t="s">
        <v>54</v>
      </c>
      <c r="C11" s="52" t="str">
        <f>'Weekly Plan'!G10</f>
        <v>RH Front Fairing</v>
      </c>
      <c r="D11" s="53" t="str">
        <f>IF('Weekly Plan'!M10=0,"",'Weekly Plan'!M10)</f>
        <v/>
      </c>
      <c r="E11" s="97">
        <f>'Weekly Plan'!A10</f>
        <v>1</v>
      </c>
      <c r="F11" s="97">
        <f t="shared" si="0"/>
        <v>0</v>
      </c>
      <c r="G11" s="59"/>
      <c r="H11" s="59"/>
      <c r="I11" s="59"/>
      <c r="J11" s="64"/>
      <c r="K11" s="97"/>
      <c r="L11" s="97"/>
      <c r="M11" s="59"/>
      <c r="N11" s="59"/>
      <c r="O11" s="59"/>
      <c r="P11" s="4"/>
      <c r="Q11" s="4"/>
      <c r="R11" s="4"/>
      <c r="W11" s="9"/>
      <c r="X11" s="9"/>
      <c r="Y11" s="9"/>
      <c r="Z11" s="9"/>
      <c r="AA11" s="9"/>
      <c r="AB11" s="9"/>
      <c r="AC11" s="4">
        <v>3</v>
      </c>
    </row>
    <row r="12" spans="1:29" ht="15" customHeight="1" x14ac:dyDescent="0.2">
      <c r="A12" s="50">
        <f>'Weekly Plan'!F11</f>
        <v>708200869</v>
      </c>
      <c r="B12" s="51" t="s">
        <v>54</v>
      </c>
      <c r="C12" s="52" t="str">
        <f>'Weekly Plan'!G11</f>
        <v>R66 Hood</v>
      </c>
      <c r="D12" s="53" t="str">
        <f>IF('Weekly Plan'!M11=0,"",'Weekly Plan'!M11)</f>
        <v/>
      </c>
      <c r="E12" s="97">
        <f>'Weekly Plan'!A11</f>
        <v>1</v>
      </c>
      <c r="F12" s="97">
        <f t="shared" si="0"/>
        <v>0</v>
      </c>
      <c r="G12" s="146" t="s">
        <v>241</v>
      </c>
      <c r="H12" s="147"/>
      <c r="I12" s="147"/>
      <c r="J12" s="148"/>
      <c r="K12" s="97"/>
      <c r="L12" s="97"/>
      <c r="M12" s="138" t="s">
        <v>213</v>
      </c>
      <c r="N12" s="139"/>
      <c r="O12" s="140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50">
        <f>'Weekly Plan'!F12</f>
        <v>708302947</v>
      </c>
      <c r="B13" s="51" t="s">
        <v>54</v>
      </c>
      <c r="C13" s="52" t="str">
        <f>'Weekly Plan'!G12</f>
        <v>LH Box Cover</v>
      </c>
      <c r="D13" s="53" t="str">
        <f>IF('Weekly Plan'!M12=0,"",'Weekly Plan'!M12)</f>
        <v/>
      </c>
      <c r="E13" s="97">
        <f>'Weekly Plan'!A12</f>
        <v>2</v>
      </c>
      <c r="F13" s="97">
        <f t="shared" si="0"/>
        <v>0</v>
      </c>
      <c r="G13" s="50">
        <f>'Weekly Plan'!F76</f>
        <v>99629</v>
      </c>
      <c r="H13" s="91" t="s">
        <v>123</v>
      </c>
      <c r="I13" s="52" t="str">
        <f>'Weekly Plan'!G76</f>
        <v>Main Lower Cover</v>
      </c>
      <c r="J13" s="54" t="str">
        <f>IF('Weekly Plan'!M76=0,"",'Weekly Plan'!M76)</f>
        <v/>
      </c>
      <c r="K13" s="97">
        <f>'Weekly Plan'!A76</f>
        <v>1</v>
      </c>
      <c r="L13" s="97">
        <f t="shared" ref="L13:L33" si="3">IFERROR(J13/K13,0)</f>
        <v>0</v>
      </c>
      <c r="M13" s="55">
        <f>'Weekly Plan'!F81</f>
        <v>0</v>
      </c>
      <c r="N13" s="52" t="str">
        <f>'Weekly Plan'!G81</f>
        <v>Handles</v>
      </c>
      <c r="O13" s="53" t="str">
        <f>IF('Weekly Plan'!M81=0,"",'Weekly Plan'!M81)</f>
        <v/>
      </c>
      <c r="P13" s="2">
        <f>'Weekly Plan'!A81</f>
        <v>18</v>
      </c>
      <c r="Q13" s="4">
        <f t="shared" si="2"/>
        <v>0</v>
      </c>
      <c r="AC13" s="2">
        <v>4</v>
      </c>
    </row>
    <row r="14" spans="1:29" ht="15" customHeight="1" x14ac:dyDescent="0.2">
      <c r="A14" s="50">
        <f>'Weekly Plan'!F13</f>
        <v>708302948</v>
      </c>
      <c r="B14" s="51" t="s">
        <v>54</v>
      </c>
      <c r="C14" s="52" t="str">
        <f>'Weekly Plan'!G13</f>
        <v>RH Box Cover</v>
      </c>
      <c r="D14" s="53" t="str">
        <f>IF('Weekly Plan'!M13=0,"",'Weekly Plan'!M13)</f>
        <v/>
      </c>
      <c r="E14" s="97">
        <f>'Weekly Plan'!A13</f>
        <v>2</v>
      </c>
      <c r="F14" s="97">
        <f t="shared" si="0"/>
        <v>0</v>
      </c>
      <c r="G14" s="50">
        <f>'Weekly Plan'!F77</f>
        <v>99631</v>
      </c>
      <c r="H14" s="91" t="s">
        <v>123</v>
      </c>
      <c r="I14" s="52" t="str">
        <f>'Weekly Plan'!G77</f>
        <v>Main Upper Cover</v>
      </c>
      <c r="J14" s="54" t="str">
        <f>IF('Weekly Plan'!M77=0,"",'Weekly Plan'!M77)</f>
        <v/>
      </c>
      <c r="K14" s="97">
        <f>'Weekly Plan'!A77</f>
        <v>1</v>
      </c>
      <c r="L14" s="97">
        <f t="shared" si="3"/>
        <v>0</v>
      </c>
      <c r="M14" s="55">
        <f>'Weekly Plan'!F82</f>
        <v>0</v>
      </c>
      <c r="N14" s="52">
        <f>'Weekly Plan'!G82</f>
        <v>0</v>
      </c>
      <c r="O14" s="53" t="str">
        <f>IF('Weekly Plan'!M82=0,"",'Weekly Plan'!M82)</f>
        <v/>
      </c>
      <c r="P14" s="2">
        <f>'Weekly Plan'!A82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50">
        <f>'Weekly Plan'!F14</f>
        <v>708303800</v>
      </c>
      <c r="B15" s="51" t="s">
        <v>54</v>
      </c>
      <c r="C15" s="52" t="str">
        <f>'Weekly Plan'!G14</f>
        <v>LH F3T Panel</v>
      </c>
      <c r="D15" s="53" t="str">
        <f>IF('Weekly Plan'!M14=0,"",'Weekly Plan'!M14)</f>
        <v/>
      </c>
      <c r="E15" s="97">
        <f>'Weekly Plan'!A14</f>
        <v>4</v>
      </c>
      <c r="F15" s="97">
        <f t="shared" si="0"/>
        <v>0</v>
      </c>
      <c r="G15" s="50">
        <f>'Weekly Plan'!F78</f>
        <v>99638</v>
      </c>
      <c r="H15" s="91" t="s">
        <v>123</v>
      </c>
      <c r="I15" s="52" t="str">
        <f>'Weekly Plan'!G78</f>
        <v>Rear Plate</v>
      </c>
      <c r="J15" s="54" t="str">
        <f>IF('Weekly Plan'!M78=0,"",'Weekly Plan'!M78)</f>
        <v/>
      </c>
      <c r="K15" s="97">
        <f>'Weekly Plan'!A78</f>
        <v>20</v>
      </c>
      <c r="L15" s="97">
        <f t="shared" si="3"/>
        <v>0</v>
      </c>
      <c r="M15" s="56">
        <f>'Weekly Plan'!F83</f>
        <v>0</v>
      </c>
      <c r="N15" s="57">
        <f>'Weekly Plan'!G83</f>
        <v>0</v>
      </c>
      <c r="O15" s="58" t="str">
        <f>IF('Weekly Plan'!M83=0,"",'Weekly Plan'!M83)</f>
        <v/>
      </c>
      <c r="P15" s="2">
        <f>'Weekly Plan'!A83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50">
        <f>'Weekly Plan'!F15</f>
        <v>708303801</v>
      </c>
      <c r="B16" s="51" t="s">
        <v>54</v>
      </c>
      <c r="C16" s="52" t="str">
        <f>'Weekly Plan'!G15</f>
        <v>RH F3T Panel</v>
      </c>
      <c r="D16" s="53" t="str">
        <f>IF('Weekly Plan'!M15=0,"",'Weekly Plan'!M15)</f>
        <v/>
      </c>
      <c r="E16" s="97">
        <f>'Weekly Plan'!A15</f>
        <v>4</v>
      </c>
      <c r="F16" s="97">
        <f t="shared" si="0"/>
        <v>0</v>
      </c>
      <c r="G16" s="62">
        <f>'Weekly Plan'!F79</f>
        <v>99630</v>
      </c>
      <c r="H16" s="94" t="s">
        <v>123</v>
      </c>
      <c r="I16" s="57" t="str">
        <f>'Weekly Plan'!G79</f>
        <v>Vent Cover</v>
      </c>
      <c r="J16" s="60" t="str">
        <f>IF('Weekly Plan'!M79=0,"",'Weekly Plan'!M79)</f>
        <v/>
      </c>
      <c r="K16" s="97">
        <f>'Weekly Plan'!A79</f>
        <v>1</v>
      </c>
      <c r="L16" s="97">
        <f t="shared" si="3"/>
        <v>0</v>
      </c>
      <c r="M16" s="61"/>
      <c r="N16" s="61"/>
      <c r="O16" s="61"/>
      <c r="P16" s="4"/>
      <c r="Q16" s="4"/>
      <c r="R16" s="4"/>
      <c r="AC16" s="4">
        <v>2</v>
      </c>
    </row>
    <row r="17" spans="1:29" ht="15" customHeight="1" thickBot="1" x14ac:dyDescent="0.25">
      <c r="A17" s="50">
        <f>'Weekly Plan'!F16</f>
        <v>708400461</v>
      </c>
      <c r="B17" s="51" t="s">
        <v>54</v>
      </c>
      <c r="C17" s="52" t="str">
        <f>'Weekly Plan'!G16</f>
        <v>LH Mirror Shell -No Hole</v>
      </c>
      <c r="D17" s="53" t="str">
        <f>IF('Weekly Plan'!M16=0,"",'Weekly Plan'!M16)</f>
        <v/>
      </c>
      <c r="E17" s="97">
        <f>'Weekly Plan'!A16</f>
        <v>2</v>
      </c>
      <c r="F17" s="97">
        <f t="shared" si="0"/>
        <v>0</v>
      </c>
      <c r="G17" s="61"/>
      <c r="H17" s="61"/>
      <c r="I17" s="61"/>
      <c r="J17" s="61"/>
      <c r="K17" s="99"/>
      <c r="L17" s="97"/>
      <c r="M17" s="138" t="s">
        <v>103</v>
      </c>
      <c r="N17" s="139"/>
      <c r="O17" s="140"/>
      <c r="P17" s="4"/>
      <c r="Q17" s="4"/>
      <c r="R17" s="4"/>
      <c r="AC17" s="4">
        <v>1</v>
      </c>
    </row>
    <row r="18" spans="1:29" ht="15" customHeight="1" thickBot="1" x14ac:dyDescent="0.25">
      <c r="A18" s="62">
        <f>'Weekly Plan'!F17</f>
        <v>708400463</v>
      </c>
      <c r="B18" s="63" t="s">
        <v>54</v>
      </c>
      <c r="C18" s="57" t="str">
        <f>'Weekly Plan'!G17</f>
        <v xml:space="preserve">RH Mirror Shell - No Hole </v>
      </c>
      <c r="D18" s="58" t="str">
        <f>IF('Weekly Plan'!M17=0,"",'Weekly Plan'!M17)</f>
        <v/>
      </c>
      <c r="E18" s="97">
        <f>'Weekly Plan'!A17</f>
        <v>2</v>
      </c>
      <c r="F18" s="97">
        <f t="shared" si="0"/>
        <v>0</v>
      </c>
      <c r="G18" s="143" t="s">
        <v>253</v>
      </c>
      <c r="H18" s="144"/>
      <c r="I18" s="144"/>
      <c r="J18" s="145"/>
      <c r="K18" s="97"/>
      <c r="L18" s="97"/>
      <c r="M18" s="55">
        <f>'Weekly Plan'!F85</f>
        <v>0</v>
      </c>
      <c r="N18" s="52" t="str">
        <f>'Weekly Plan'!G85</f>
        <v>Base Dual</v>
      </c>
      <c r="O18" s="53" t="str">
        <f>IF('Weekly Plan'!M85=0,"",'Weekly Plan'!M85)</f>
        <v/>
      </c>
      <c r="P18" s="4">
        <f>'Weekly Plan'!A85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64"/>
      <c r="B19" s="64"/>
      <c r="C19" s="64"/>
      <c r="D19" s="64"/>
      <c r="E19" s="97"/>
      <c r="F19" s="97"/>
      <c r="G19" s="50">
        <f>'Weekly Plan'!F19</f>
        <v>705009213</v>
      </c>
      <c r="H19" s="88" t="s">
        <v>261</v>
      </c>
      <c r="I19" s="52" t="str">
        <f>'Weekly Plan'!G19</f>
        <v>LH F3T Low Fairing</v>
      </c>
      <c r="J19" s="53" t="str">
        <f>IF('Weekly Plan'!M19=0,"",'Weekly Plan'!M19)</f>
        <v/>
      </c>
      <c r="K19" s="97">
        <f>'Weekly Plan'!A19</f>
        <v>2</v>
      </c>
      <c r="L19" s="97">
        <f t="shared" si="3"/>
        <v>0</v>
      </c>
      <c r="M19" s="55">
        <f>'Weekly Plan'!F86</f>
        <v>500458</v>
      </c>
      <c r="N19" s="52" t="str">
        <f>'Weekly Plan'!G86</f>
        <v>Face Plate, DTM, SSR</v>
      </c>
      <c r="O19" s="53" t="str">
        <f>IF('Weekly Plan'!M86=0,"",'Weekly Plan'!M86)</f>
        <v/>
      </c>
      <c r="P19" s="4">
        <f>'Weekly Plan'!A86</f>
        <v>16</v>
      </c>
      <c r="Q19" s="4">
        <f t="shared" si="2"/>
        <v>0</v>
      </c>
      <c r="AC19" s="2">
        <v>1</v>
      </c>
    </row>
    <row r="20" spans="1:29" ht="15" customHeight="1" thickBot="1" x14ac:dyDescent="0.25">
      <c r="A20" s="143" t="s">
        <v>79</v>
      </c>
      <c r="B20" s="144"/>
      <c r="C20" s="144"/>
      <c r="D20" s="145"/>
      <c r="E20" s="97"/>
      <c r="F20" s="97"/>
      <c r="G20" s="50">
        <f>'Weekly Plan'!F20</f>
        <v>705009214</v>
      </c>
      <c r="H20" s="88" t="s">
        <v>261</v>
      </c>
      <c r="I20" s="52" t="str">
        <f>'Weekly Plan'!G20</f>
        <v>RH F3T Low Fairing</v>
      </c>
      <c r="J20" s="53" t="str">
        <f>IF('Weekly Plan'!M20=0,"",'Weekly Plan'!M20)</f>
        <v/>
      </c>
      <c r="K20" s="97">
        <f>'Weekly Plan'!A20</f>
        <v>2</v>
      </c>
      <c r="L20" s="97">
        <f t="shared" si="3"/>
        <v>0</v>
      </c>
      <c r="M20" s="56">
        <f>'Weekly Plan'!F87</f>
        <v>500458</v>
      </c>
      <c r="N20" s="57" t="str">
        <f>'Weekly Plan'!G87</f>
        <v>Face Plate, STM, SSR</v>
      </c>
      <c r="O20" s="58" t="str">
        <f>IF('Weekly Plan'!M87=0,"",'Weekly Plan'!M87)</f>
        <v/>
      </c>
      <c r="P20" s="4">
        <f>'Weekly Plan'!A87</f>
        <v>16</v>
      </c>
      <c r="Q20" s="4">
        <f t="shared" si="2"/>
        <v>0</v>
      </c>
      <c r="AC20" s="2">
        <v>2</v>
      </c>
    </row>
    <row r="21" spans="1:29" ht="15" customHeight="1" thickBot="1" x14ac:dyDescent="0.25">
      <c r="A21" s="50">
        <f>'Weekly Plan'!F34</f>
        <v>708400287</v>
      </c>
      <c r="B21" s="51" t="s">
        <v>79</v>
      </c>
      <c r="C21" s="52" t="str">
        <f>'Weekly Plan'!G34</f>
        <v>Tank Cover</v>
      </c>
      <c r="D21" s="53" t="str">
        <f>IF('Weekly Plan'!M34=0,"",'Weekly Plan'!M34)</f>
        <v/>
      </c>
      <c r="E21" s="97">
        <f>'Weekly Plan'!A34</f>
        <v>2</v>
      </c>
      <c r="F21" s="97">
        <f t="shared" ref="F21:F39" si="4">IFERROR(D21/E21,0)</f>
        <v>0</v>
      </c>
      <c r="G21" s="50">
        <f>'Weekly Plan'!F21</f>
        <v>705010835</v>
      </c>
      <c r="H21" s="88" t="s">
        <v>261</v>
      </c>
      <c r="I21" s="52" t="str">
        <f>'Weekly Plan'!G21</f>
        <v>RH Fairing</v>
      </c>
      <c r="J21" s="53" t="str">
        <f>IF('Weekly Plan'!M21=0,"",'Weekly Plan'!M21)</f>
        <v/>
      </c>
      <c r="K21" s="97">
        <f>'Weekly Plan'!A21</f>
        <v>1</v>
      </c>
      <c r="L21" s="97">
        <f t="shared" si="3"/>
        <v>0</v>
      </c>
      <c r="M21" s="61"/>
      <c r="N21" s="61"/>
      <c r="O21" s="61"/>
      <c r="P21" s="4"/>
      <c r="Q21" s="4"/>
      <c r="R21" s="4"/>
      <c r="AC21" s="4">
        <v>1</v>
      </c>
    </row>
    <row r="22" spans="1:29" ht="15" customHeight="1" x14ac:dyDescent="0.2">
      <c r="A22" s="50">
        <f>'Weekly Plan'!F35</f>
        <v>705019189</v>
      </c>
      <c r="B22" s="51" t="s">
        <v>79</v>
      </c>
      <c r="C22" s="52" t="str">
        <f>'Weekly Plan'!G35</f>
        <v>New Tank Cover</v>
      </c>
      <c r="D22" s="53" t="str">
        <f>IF('Weekly Plan'!M35=0,"",'Weekly Plan'!M35)</f>
        <v/>
      </c>
      <c r="E22" s="97">
        <f>'Weekly Plan'!A35</f>
        <v>2</v>
      </c>
      <c r="F22" s="97">
        <f t="shared" si="4"/>
        <v>0</v>
      </c>
      <c r="G22" s="50">
        <f>'Weekly Plan'!F22</f>
        <v>705010851</v>
      </c>
      <c r="H22" s="88" t="s">
        <v>261</v>
      </c>
      <c r="I22" s="52" t="str">
        <f>'Weekly Plan'!G22</f>
        <v>LH Fairing</v>
      </c>
      <c r="J22" s="53" t="str">
        <f>IF('Weekly Plan'!M22=0,"",'Weekly Plan'!M22)</f>
        <v/>
      </c>
      <c r="K22" s="97">
        <f>'Weekly Plan'!A22</f>
        <v>1</v>
      </c>
      <c r="L22" s="97">
        <f t="shared" si="3"/>
        <v>0</v>
      </c>
      <c r="M22" s="138" t="s">
        <v>217</v>
      </c>
      <c r="N22" s="139"/>
      <c r="O22" s="140"/>
      <c r="P22" s="4"/>
      <c r="Q22" s="4"/>
      <c r="R22" s="4"/>
      <c r="AC22" s="4">
        <v>2</v>
      </c>
    </row>
    <row r="23" spans="1:29" ht="15" customHeight="1" x14ac:dyDescent="0.2">
      <c r="A23" s="50">
        <f>'Weekly Plan'!F36</f>
        <v>708001528</v>
      </c>
      <c r="B23" s="51" t="s">
        <v>79</v>
      </c>
      <c r="C23" s="52" t="str">
        <f>'Weekly Plan'!G36</f>
        <v>Tail Fairing</v>
      </c>
      <c r="D23" s="53" t="str">
        <f>IF('Weekly Plan'!M36=0,"",'Weekly Plan'!M36)</f>
        <v/>
      </c>
      <c r="E23" s="97">
        <f>'Weekly Plan'!A36</f>
        <v>2</v>
      </c>
      <c r="F23" s="97">
        <f t="shared" si="4"/>
        <v>0</v>
      </c>
      <c r="G23" s="50">
        <f>'Weekly Plan'!F23</f>
        <v>705012976</v>
      </c>
      <c r="H23" s="88" t="s">
        <v>261</v>
      </c>
      <c r="I23" s="52" t="str">
        <f>'Weekly Plan'!G23</f>
        <v>LH Fender</v>
      </c>
      <c r="J23" s="53" t="str">
        <f>IF('Weekly Plan'!M23=0,"",'Weekly Plan'!M23)</f>
        <v/>
      </c>
      <c r="K23" s="97">
        <f>'Weekly Plan'!A23</f>
        <v>2</v>
      </c>
      <c r="L23" s="97">
        <f t="shared" si="3"/>
        <v>0</v>
      </c>
      <c r="M23" s="55">
        <f>'Weekly Plan'!F89</f>
        <v>2650</v>
      </c>
      <c r="N23" s="52" t="str">
        <f>'Weekly Plan'!G89</f>
        <v>LH Side Puck</v>
      </c>
      <c r="O23" s="53" t="str">
        <f>IF('Weekly Plan'!M89=0,"",'Weekly Plan'!M89)</f>
        <v/>
      </c>
      <c r="P23" s="4">
        <f>'Weekly Plan'!A89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50">
        <f>'Weekly Plan'!F37</f>
        <v>708400069</v>
      </c>
      <c r="B24" s="51" t="s">
        <v>79</v>
      </c>
      <c r="C24" s="52" t="str">
        <f>'Weekly Plan'!G37</f>
        <v>RH Consol Fairing</v>
      </c>
      <c r="D24" s="53" t="str">
        <f>IF('Weekly Plan'!M37=0,"",'Weekly Plan'!M37)</f>
        <v/>
      </c>
      <c r="E24" s="97">
        <f>'Weekly Plan'!A37</f>
        <v>2</v>
      </c>
      <c r="F24" s="97">
        <f t="shared" si="4"/>
        <v>0</v>
      </c>
      <c r="G24" s="50">
        <f>'Weekly Plan'!F24</f>
        <v>705012868</v>
      </c>
      <c r="H24" s="88" t="s">
        <v>261</v>
      </c>
      <c r="I24" s="52" t="str">
        <f>'Weekly Plan'!G24</f>
        <v>RH Fender</v>
      </c>
      <c r="J24" s="53" t="str">
        <f>IF('Weekly Plan'!M24=0,"",'Weekly Plan'!M24)</f>
        <v/>
      </c>
      <c r="K24" s="97">
        <f>'Weekly Plan'!A24</f>
        <v>2</v>
      </c>
      <c r="L24" s="97">
        <f t="shared" si="3"/>
        <v>0</v>
      </c>
      <c r="M24" s="55">
        <f>'Weekly Plan'!F90</f>
        <v>2651</v>
      </c>
      <c r="N24" s="52" t="str">
        <f>'Weekly Plan'!G90</f>
        <v>RH Side Puck</v>
      </c>
      <c r="O24" s="53" t="str">
        <f>IF('Weekly Plan'!M90=0,"",'Weekly Plan'!M90)</f>
        <v/>
      </c>
      <c r="P24" s="4">
        <f>'Weekly Plan'!A90</f>
        <v>6</v>
      </c>
      <c r="Q24" s="4">
        <f t="shared" ref="Q24:Q32" si="5">IFERROR(O24/P24,0)</f>
        <v>0</v>
      </c>
      <c r="R24" s="4"/>
      <c r="AC24" s="4">
        <v>2</v>
      </c>
    </row>
    <row r="25" spans="1:29" ht="15" customHeight="1" x14ac:dyDescent="0.2">
      <c r="A25" s="50">
        <f>'Weekly Plan'!F38</f>
        <v>708400067</v>
      </c>
      <c r="B25" s="51" t="s">
        <v>79</v>
      </c>
      <c r="C25" s="52" t="str">
        <f>'Weekly Plan'!G38</f>
        <v>LH Consol Fairing</v>
      </c>
      <c r="D25" s="53" t="str">
        <f>IF('Weekly Plan'!M38=0,"",'Weekly Plan'!M38)</f>
        <v/>
      </c>
      <c r="E25" s="97">
        <f>'Weekly Plan'!A38</f>
        <v>2</v>
      </c>
      <c r="F25" s="97">
        <f t="shared" si="4"/>
        <v>0</v>
      </c>
      <c r="G25" s="50">
        <f>'Weekly Plan'!F25</f>
        <v>708200366</v>
      </c>
      <c r="H25" s="88" t="s">
        <v>261</v>
      </c>
      <c r="I25" s="52" t="str">
        <f>'Weekly Plan'!G25</f>
        <v>Hood</v>
      </c>
      <c r="J25" s="53" t="str">
        <f>IF('Weekly Plan'!M25=0,"",'Weekly Plan'!M25)</f>
        <v/>
      </c>
      <c r="K25" s="97">
        <f>'Weekly Plan'!A25</f>
        <v>1</v>
      </c>
      <c r="L25" s="97">
        <f t="shared" si="3"/>
        <v>0</v>
      </c>
      <c r="M25" s="55">
        <f>'Weekly Plan'!F91</f>
        <v>2647</v>
      </c>
      <c r="N25" s="52" t="str">
        <f>'Weekly Plan'!G91</f>
        <v>Front Puck</v>
      </c>
      <c r="O25" s="53" t="str">
        <f>IF('Weekly Plan'!M91=0,"",'Weekly Plan'!M91)</f>
        <v/>
      </c>
      <c r="P25" s="4">
        <f>'Weekly Plan'!A91</f>
        <v>6</v>
      </c>
      <c r="Q25" s="4">
        <f t="shared" si="5"/>
        <v>0</v>
      </c>
      <c r="R25" s="4">
        <v>18</v>
      </c>
      <c r="AC25" s="4">
        <v>1</v>
      </c>
    </row>
    <row r="26" spans="1:29" ht="15" customHeight="1" thickBot="1" x14ac:dyDescent="0.25">
      <c r="A26" s="50">
        <f>'Weekly Plan'!F39</f>
        <v>708400956</v>
      </c>
      <c r="B26" s="51" t="s">
        <v>79</v>
      </c>
      <c r="C26" s="52" t="str">
        <f>'Weekly Plan'!G39</f>
        <v>New LH Console Panel</v>
      </c>
      <c r="D26" s="53" t="str">
        <f>IF('Weekly Plan'!M39=0,"",'Weekly Plan'!M39)</f>
        <v/>
      </c>
      <c r="E26" s="97">
        <f>'Weekly Plan'!A39</f>
        <v>2</v>
      </c>
      <c r="F26" s="97">
        <f t="shared" si="4"/>
        <v>0</v>
      </c>
      <c r="G26" s="50">
        <f>'Weekly Plan'!F26</f>
        <v>708200401</v>
      </c>
      <c r="H26" s="88" t="s">
        <v>261</v>
      </c>
      <c r="I26" s="52" t="str">
        <f>'Weekly Plan'!G26</f>
        <v>LH Vent Panel</v>
      </c>
      <c r="J26" s="53" t="str">
        <f>IF('Weekly Plan'!M26=0,"",'Weekly Plan'!M26)</f>
        <v/>
      </c>
      <c r="K26" s="97">
        <f>'Weekly Plan'!A26</f>
        <v>2</v>
      </c>
      <c r="L26" s="97">
        <f t="shared" si="3"/>
        <v>0</v>
      </c>
      <c r="M26" s="56">
        <f>'Weekly Plan'!F92</f>
        <v>0</v>
      </c>
      <c r="N26" s="57">
        <f>'Weekly Plan'!G92</f>
        <v>0</v>
      </c>
      <c r="O26" s="58" t="str">
        <f>IF('Weekly Plan'!M92=0,"",'Weekly Plan'!M92)</f>
        <v/>
      </c>
      <c r="P26" s="4">
        <f>'Weekly Plan'!A92</f>
        <v>0</v>
      </c>
      <c r="Q26" s="4">
        <f t="shared" si="5"/>
        <v>0</v>
      </c>
      <c r="R26" s="4"/>
      <c r="AC26" s="4">
        <v>1</v>
      </c>
    </row>
    <row r="27" spans="1:29" ht="15" customHeight="1" thickBot="1" x14ac:dyDescent="0.25">
      <c r="A27" s="50">
        <f>'Weekly Plan'!F40</f>
        <v>708400957</v>
      </c>
      <c r="B27" s="51" t="s">
        <v>79</v>
      </c>
      <c r="C27" s="52" t="str">
        <f>'Weekly Plan'!G40</f>
        <v>New RH Console Panel</v>
      </c>
      <c r="D27" s="53" t="str">
        <f>IF('Weekly Plan'!M40=0,"",'Weekly Plan'!M40)</f>
        <v/>
      </c>
      <c r="E27" s="97">
        <f>'Weekly Plan'!A40</f>
        <v>2</v>
      </c>
      <c r="F27" s="97">
        <f t="shared" si="4"/>
        <v>0</v>
      </c>
      <c r="G27" s="50">
        <f>'Weekly Plan'!F27</f>
        <v>708200402</v>
      </c>
      <c r="H27" s="88" t="s">
        <v>261</v>
      </c>
      <c r="I27" s="52" t="str">
        <f>'Weekly Plan'!G27</f>
        <v>RH Vent Panel</v>
      </c>
      <c r="J27" s="53" t="str">
        <f>IF('Weekly Plan'!M27=0,"",'Weekly Plan'!M27)</f>
        <v/>
      </c>
      <c r="K27" s="97">
        <f>'Weekly Plan'!A27</f>
        <v>2</v>
      </c>
      <c r="L27" s="97">
        <f t="shared" si="3"/>
        <v>0</v>
      </c>
      <c r="M27" s="65"/>
      <c r="N27" s="65"/>
      <c r="O27" s="65"/>
      <c r="P27" s="4">
        <f>'Weekly Plan'!A93</f>
        <v>0</v>
      </c>
      <c r="Q27" s="4"/>
      <c r="AC27" s="2">
        <v>1</v>
      </c>
    </row>
    <row r="28" spans="1:29" ht="15" customHeight="1" x14ac:dyDescent="0.2">
      <c r="A28" s="50">
        <f>'Weekly Plan'!F41</f>
        <v>708400722</v>
      </c>
      <c r="B28" s="51" t="s">
        <v>79</v>
      </c>
      <c r="C28" s="52" t="str">
        <f>'Weekly Plan'!G41</f>
        <v>New Nose Fairing</v>
      </c>
      <c r="D28" s="53" t="str">
        <f>IF('Weekly Plan'!M41=0,"",'Weekly Plan'!M41)</f>
        <v/>
      </c>
      <c r="E28" s="97">
        <f>'Weekly Plan'!A41</f>
        <v>2</v>
      </c>
      <c r="F28" s="97">
        <f t="shared" si="4"/>
        <v>0</v>
      </c>
      <c r="G28" s="50">
        <f>'Weekly Plan'!F28</f>
        <v>708200698</v>
      </c>
      <c r="H28" s="88" t="s">
        <v>261</v>
      </c>
      <c r="I28" s="52" t="str">
        <f>'Weekly Plan'!G28</f>
        <v>Fascia</v>
      </c>
      <c r="J28" s="53" t="str">
        <f>IF('Weekly Plan'!M28=0,"",'Weekly Plan'!M28)</f>
        <v/>
      </c>
      <c r="K28" s="97">
        <f>'Weekly Plan'!A28</f>
        <v>1</v>
      </c>
      <c r="L28" s="97">
        <f t="shared" si="3"/>
        <v>0</v>
      </c>
      <c r="M28" s="138" t="s">
        <v>209</v>
      </c>
      <c r="N28" s="139"/>
      <c r="O28" s="140"/>
      <c r="P28" s="4">
        <f>'Weekly Plan'!A94</f>
        <v>2</v>
      </c>
      <c r="Q28" s="4"/>
      <c r="AC28" s="2">
        <v>2</v>
      </c>
    </row>
    <row r="29" spans="1:29" ht="15" customHeight="1" x14ac:dyDescent="0.2">
      <c r="A29" s="50">
        <f>'Weekly Plan'!F42</f>
        <v>708400721</v>
      </c>
      <c r="B29" s="51" t="s">
        <v>79</v>
      </c>
      <c r="C29" s="52" t="str">
        <f>'Weekly Plan'!G42</f>
        <v>New Tail Fairing</v>
      </c>
      <c r="D29" s="53" t="str">
        <f>IF('Weekly Plan'!M42=0,"",'Weekly Plan'!M42)</f>
        <v/>
      </c>
      <c r="E29" s="97">
        <f>'Weekly Plan'!A42</f>
        <v>8</v>
      </c>
      <c r="F29" s="97">
        <f t="shared" si="4"/>
        <v>0</v>
      </c>
      <c r="G29" s="50">
        <f>'Weekly Plan'!F29</f>
        <v>708301214</v>
      </c>
      <c r="H29" s="88" t="s">
        <v>261</v>
      </c>
      <c r="I29" s="52" t="str">
        <f>'Weekly Plan'!G29</f>
        <v>LH Cover</v>
      </c>
      <c r="J29" s="53" t="str">
        <f>IF('Weekly Plan'!M29=0,"",'Weekly Plan'!M29)</f>
        <v/>
      </c>
      <c r="K29" s="97">
        <f>'Weekly Plan'!A29</f>
        <v>1</v>
      </c>
      <c r="L29" s="97">
        <f t="shared" si="3"/>
        <v>0</v>
      </c>
      <c r="M29" s="55">
        <f>'Weekly Plan'!F101</f>
        <v>9929</v>
      </c>
      <c r="N29" s="52" t="str">
        <f>'Weekly Plan'!G101</f>
        <v>MS Applique</v>
      </c>
      <c r="O29" s="53" t="str">
        <f>IF('Weekly Plan'!M101=0,"",'Weekly Plan'!M101)</f>
        <v/>
      </c>
      <c r="P29" s="4">
        <f>'Weekly Plan'!A101</f>
        <v>6</v>
      </c>
      <c r="Q29" s="4">
        <f t="shared" si="5"/>
        <v>0</v>
      </c>
      <c r="R29" s="2">
        <v>21</v>
      </c>
      <c r="AC29" s="2"/>
    </row>
    <row r="30" spans="1:29" ht="15" customHeight="1" x14ac:dyDescent="0.2">
      <c r="A30" s="50">
        <f>'Weekly Plan'!F43</f>
        <v>708400462</v>
      </c>
      <c r="B30" s="51" t="s">
        <v>79</v>
      </c>
      <c r="C30" s="52" t="str">
        <f>'Weekly Plan'!G43</f>
        <v>LH Mirror Shell</v>
      </c>
      <c r="D30" s="53" t="str">
        <f>IF('Weekly Plan'!M43=0,"",'Weekly Plan'!M43)</f>
        <v/>
      </c>
      <c r="E30" s="97">
        <f>'Weekly Plan'!A43</f>
        <v>2</v>
      </c>
      <c r="F30" s="97">
        <f t="shared" si="4"/>
        <v>0</v>
      </c>
      <c r="G30" s="50">
        <f>'Weekly Plan'!F30</f>
        <v>708301215</v>
      </c>
      <c r="H30" s="88" t="s">
        <v>261</v>
      </c>
      <c r="I30" s="52" t="str">
        <f>'Weekly Plan'!G30</f>
        <v>RH Cover</v>
      </c>
      <c r="J30" s="53" t="str">
        <f>IF('Weekly Plan'!M30=0,"",'Weekly Plan'!M30)</f>
        <v/>
      </c>
      <c r="K30" s="97">
        <f>'Weekly Plan'!A30</f>
        <v>1</v>
      </c>
      <c r="L30" s="97">
        <f t="shared" si="3"/>
        <v>0</v>
      </c>
      <c r="M30" s="55">
        <f>'Weekly Plan'!F102</f>
        <v>9931</v>
      </c>
      <c r="N30" s="52" t="str">
        <f>'Weekly Plan'!G102</f>
        <v>MX Applique</v>
      </c>
      <c r="O30" s="53" t="str">
        <f>IF('Weekly Plan'!M102=0,"",'Weekly Plan'!M102)</f>
        <v/>
      </c>
      <c r="P30" s="4">
        <f>'Weekly Plan'!A102</f>
        <v>6</v>
      </c>
      <c r="Q30" s="4">
        <f t="shared" si="5"/>
        <v>0</v>
      </c>
      <c r="R30" s="4"/>
      <c r="S30" s="4"/>
      <c r="AC30" s="4">
        <v>1</v>
      </c>
    </row>
    <row r="31" spans="1:29" ht="15" customHeight="1" x14ac:dyDescent="0.2">
      <c r="A31" s="50">
        <f>'Weekly Plan'!F44</f>
        <v>708400464</v>
      </c>
      <c r="B31" s="51" t="s">
        <v>79</v>
      </c>
      <c r="C31" s="52" t="str">
        <f>'Weekly Plan'!G44</f>
        <v>RH Mirror Shell</v>
      </c>
      <c r="D31" s="53" t="str">
        <f>IF('Weekly Plan'!M44=0,"",'Weekly Plan'!M44)</f>
        <v/>
      </c>
      <c r="E31" s="97">
        <f>'Weekly Plan'!A44</f>
        <v>2</v>
      </c>
      <c r="F31" s="97">
        <f t="shared" si="4"/>
        <v>0</v>
      </c>
      <c r="G31" s="50">
        <f>'Weekly Plan'!F31</f>
        <v>708303800</v>
      </c>
      <c r="H31" s="88" t="s">
        <v>261</v>
      </c>
      <c r="I31" s="52" t="str">
        <f>'Weekly Plan'!G31</f>
        <v>LH F3T Panel</v>
      </c>
      <c r="J31" s="53" t="str">
        <f>IF('Weekly Plan'!M31=0,"",'Weekly Plan'!M31)</f>
        <v/>
      </c>
      <c r="K31" s="97">
        <f>'Weekly Plan'!A31</f>
        <v>4</v>
      </c>
      <c r="L31" s="97">
        <f t="shared" si="3"/>
        <v>0</v>
      </c>
      <c r="M31" s="55">
        <f>'Weekly Plan'!F103</f>
        <v>0</v>
      </c>
      <c r="N31" s="52" t="str">
        <f>'Weekly Plan'!G103</f>
        <v>MS Applique Rework</v>
      </c>
      <c r="O31" s="53" t="str">
        <f>IF('Weekly Plan'!M103=0,"",'Weekly Plan'!M103)</f>
        <v/>
      </c>
      <c r="P31" s="4">
        <f>'Weekly Plan'!A103</f>
        <v>6</v>
      </c>
      <c r="Q31" s="4">
        <f t="shared" si="5"/>
        <v>0</v>
      </c>
      <c r="R31" s="4"/>
      <c r="S31" s="4"/>
      <c r="AC31" s="4">
        <v>1</v>
      </c>
    </row>
    <row r="32" spans="1:29" ht="15" customHeight="1" thickBot="1" x14ac:dyDescent="0.25">
      <c r="A32" s="50">
        <f>'Weekly Plan'!F45</f>
        <v>708400461</v>
      </c>
      <c r="B32" s="51" t="s">
        <v>79</v>
      </c>
      <c r="C32" s="52" t="str">
        <f>'Weekly Plan'!G45</f>
        <v xml:space="preserve">LH Mirror Shell - No Hole </v>
      </c>
      <c r="D32" s="53" t="str">
        <f>IF('Weekly Plan'!M45=0,"",'Weekly Plan'!M45)</f>
        <v/>
      </c>
      <c r="E32" s="97">
        <f>'Weekly Plan'!A45</f>
        <v>2</v>
      </c>
      <c r="F32" s="97">
        <f t="shared" si="4"/>
        <v>0</v>
      </c>
      <c r="G32" s="62">
        <f>'Weekly Plan'!F32</f>
        <v>708303801</v>
      </c>
      <c r="H32" s="95" t="s">
        <v>261</v>
      </c>
      <c r="I32" s="57" t="str">
        <f>'Weekly Plan'!G32</f>
        <v>RH F3T Panel</v>
      </c>
      <c r="J32" s="58" t="str">
        <f>IF('Weekly Plan'!M32=0,"",'Weekly Plan'!M32)</f>
        <v/>
      </c>
      <c r="K32" s="97">
        <f>'Weekly Plan'!A32</f>
        <v>4</v>
      </c>
      <c r="L32" s="97">
        <f t="shared" si="3"/>
        <v>0</v>
      </c>
      <c r="M32" s="56">
        <f>'Weekly Plan'!F104</f>
        <v>0</v>
      </c>
      <c r="N32" s="57" t="str">
        <f>'Weekly Plan'!G104</f>
        <v>MX Applique Rework</v>
      </c>
      <c r="O32" s="58" t="str">
        <f>IF('Weekly Plan'!M104=0,"",'Weekly Plan'!M104)</f>
        <v/>
      </c>
      <c r="P32" s="4">
        <f>'Weekly Plan'!A104</f>
        <v>6</v>
      </c>
      <c r="Q32" s="4">
        <f t="shared" si="5"/>
        <v>0</v>
      </c>
      <c r="R32" s="4"/>
      <c r="S32" s="4"/>
      <c r="AC32" s="4">
        <v>1</v>
      </c>
    </row>
    <row r="33" spans="1:29" ht="15" customHeight="1" x14ac:dyDescent="0.2">
      <c r="A33" s="50">
        <f>'Weekly Plan'!F46</f>
        <v>708400463</v>
      </c>
      <c r="B33" s="51" t="s">
        <v>79</v>
      </c>
      <c r="C33" s="52" t="str">
        <f>'Weekly Plan'!G46</f>
        <v xml:space="preserve">RH Mirror Shell - No Hole </v>
      </c>
      <c r="D33" s="53" t="str">
        <f>IF('Weekly Plan'!M46=0,"",'Weekly Plan'!M46)</f>
        <v/>
      </c>
      <c r="E33" s="97">
        <f>'Weekly Plan'!A46</f>
        <v>2</v>
      </c>
      <c r="F33" s="97">
        <f t="shared" si="4"/>
        <v>0</v>
      </c>
      <c r="K33" s="97">
        <f>'Weekly Plan'!A33</f>
        <v>0</v>
      </c>
      <c r="L33" s="97">
        <f t="shared" si="3"/>
        <v>0</v>
      </c>
      <c r="M33" s="65"/>
      <c r="N33" s="65"/>
      <c r="O33" s="65"/>
      <c r="Q33" s="4"/>
      <c r="R33" s="4"/>
      <c r="S33" s="4"/>
      <c r="AC33" s="4">
        <v>1</v>
      </c>
    </row>
    <row r="34" spans="1:29" ht="15" customHeight="1" thickBot="1" x14ac:dyDescent="0.25">
      <c r="A34" s="50">
        <f>'Weekly Plan'!F47</f>
        <v>705012976</v>
      </c>
      <c r="B34" s="51" t="s">
        <v>79</v>
      </c>
      <c r="C34" s="52" t="str">
        <f>'Weekly Plan'!G47</f>
        <v>LH Fender</v>
      </c>
      <c r="D34" s="53" t="str">
        <f>IF('Weekly Plan'!M47=0,"",'Weekly Plan'!M47)</f>
        <v/>
      </c>
      <c r="E34" s="97">
        <f>'Weekly Plan'!A47</f>
        <v>2</v>
      </c>
      <c r="F34" s="97">
        <f t="shared" si="4"/>
        <v>0</v>
      </c>
      <c r="K34" s="97"/>
      <c r="L34" s="97"/>
      <c r="M34" s="65"/>
      <c r="N34" s="65"/>
      <c r="O34" s="65"/>
      <c r="R34" s="4"/>
      <c r="S34" s="4"/>
      <c r="AC34" s="4">
        <v>2</v>
      </c>
    </row>
    <row r="35" spans="1:29" ht="15" customHeight="1" x14ac:dyDescent="0.2">
      <c r="A35" s="50">
        <f>'Weekly Plan'!F48</f>
        <v>705012868</v>
      </c>
      <c r="B35" s="51" t="s">
        <v>79</v>
      </c>
      <c r="C35" s="52" t="str">
        <f>'Weekly Plan'!G48</f>
        <v>RH Fender</v>
      </c>
      <c r="D35" s="53" t="str">
        <f>IF('Weekly Plan'!M48=0,"",'Weekly Plan'!M48)</f>
        <v/>
      </c>
      <c r="E35" s="97">
        <f>'Weekly Plan'!A48</f>
        <v>2</v>
      </c>
      <c r="F35" s="97">
        <f t="shared" si="4"/>
        <v>0</v>
      </c>
      <c r="G35" s="153" t="s">
        <v>81</v>
      </c>
      <c r="H35" s="154"/>
      <c r="I35" s="154"/>
      <c r="J35" s="155"/>
      <c r="K35" s="97"/>
      <c r="L35" s="97"/>
      <c r="M35" s="89" t="s">
        <v>15</v>
      </c>
      <c r="N35" s="89" t="s">
        <v>16</v>
      </c>
      <c r="O35" s="65"/>
      <c r="R35" s="4">
        <v>4</v>
      </c>
      <c r="S35" s="4"/>
      <c r="AC35" s="4">
        <v>1</v>
      </c>
    </row>
    <row r="36" spans="1:29" ht="15" customHeight="1" x14ac:dyDescent="0.2">
      <c r="A36" s="50">
        <f>'Weekly Plan'!F49</f>
        <v>705011169</v>
      </c>
      <c r="B36" s="51" t="s">
        <v>79</v>
      </c>
      <c r="C36" s="52" t="str">
        <f>'Weekly Plan'!G49</f>
        <v>LH Scoop</v>
      </c>
      <c r="D36" s="53" t="str">
        <f>IF('Weekly Plan'!M49=0,"",'Weekly Plan'!M49)</f>
        <v/>
      </c>
      <c r="E36" s="97">
        <f>'Weekly Plan'!A49</f>
        <v>2</v>
      </c>
      <c r="F36" s="97">
        <f t="shared" si="4"/>
        <v>0</v>
      </c>
      <c r="G36" s="156"/>
      <c r="H36" s="157"/>
      <c r="I36" s="157"/>
      <c r="J36" s="158"/>
      <c r="K36" s="97"/>
      <c r="L36" s="97"/>
      <c r="M36" s="66" t="str">
        <f>A4</f>
        <v>Hyper Silver</v>
      </c>
      <c r="N36" s="67">
        <f>SUM(F5:F18)</f>
        <v>0</v>
      </c>
      <c r="O36" s="68"/>
      <c r="Q36" s="4"/>
      <c r="R36" s="4">
        <v>2</v>
      </c>
      <c r="S36" s="4"/>
      <c r="AC36" s="4">
        <v>1</v>
      </c>
    </row>
    <row r="37" spans="1:29" ht="15" customHeight="1" x14ac:dyDescent="0.2">
      <c r="A37" s="50">
        <f>'Weekly Plan'!F50</f>
        <v>705011170</v>
      </c>
      <c r="B37" s="51" t="s">
        <v>79</v>
      </c>
      <c r="C37" s="52" t="str">
        <f>'Weekly Plan'!G50</f>
        <v>RH Scoop</v>
      </c>
      <c r="D37" s="53" t="str">
        <f>IF('Weekly Plan'!M50=0,"",'Weekly Plan'!M50)</f>
        <v/>
      </c>
      <c r="E37" s="97">
        <f>'Weekly Plan'!A50</f>
        <v>2</v>
      </c>
      <c r="F37" s="97">
        <f t="shared" si="4"/>
        <v>0</v>
      </c>
      <c r="G37" s="159"/>
      <c r="H37" s="160"/>
      <c r="I37" s="160"/>
      <c r="J37" s="161"/>
      <c r="K37" s="97"/>
      <c r="L37" s="97"/>
      <c r="M37" s="66" t="str">
        <f>A20</f>
        <v>Deep Black</v>
      </c>
      <c r="N37" s="67">
        <f>SUM(F21:F39)</f>
        <v>0</v>
      </c>
      <c r="O37" s="68"/>
      <c r="Q37" s="4"/>
      <c r="R37" s="4"/>
      <c r="S37" s="4"/>
      <c r="AC37" s="4">
        <v>1</v>
      </c>
    </row>
    <row r="38" spans="1:29" ht="15" customHeight="1" x14ac:dyDescent="0.2">
      <c r="A38" s="50">
        <f>'Weekly Plan'!F51</f>
        <v>708400261</v>
      </c>
      <c r="B38" s="51" t="s">
        <v>79</v>
      </c>
      <c r="C38" s="52" t="str">
        <f>'Weekly Plan'!G51</f>
        <v>LH Access Panel</v>
      </c>
      <c r="D38" s="53" t="str">
        <f>IF('Weekly Plan'!M51=0,"",'Weekly Plan'!M51)</f>
        <v/>
      </c>
      <c r="E38" s="97">
        <f>'Weekly Plan'!A51</f>
        <v>3</v>
      </c>
      <c r="F38" s="97">
        <f t="shared" si="4"/>
        <v>0</v>
      </c>
      <c r="G38" s="159"/>
      <c r="H38" s="160"/>
      <c r="I38" s="160"/>
      <c r="J38" s="161"/>
      <c r="K38" s="97"/>
      <c r="L38" s="97"/>
      <c r="M38" s="66" t="str">
        <f>G18</f>
        <v>British Green</v>
      </c>
      <c r="N38" s="67">
        <f>SUM(L19:L32)</f>
        <v>0</v>
      </c>
      <c r="O38" s="68"/>
      <c r="Q38" s="4"/>
      <c r="R38" s="4">
        <v>1</v>
      </c>
      <c r="S38" s="4"/>
      <c r="AC38" s="4">
        <v>1</v>
      </c>
    </row>
    <row r="39" spans="1:29" ht="15" customHeight="1" thickBot="1" x14ac:dyDescent="0.25">
      <c r="A39" s="62">
        <f>'Weekly Plan'!F52</f>
        <v>708400262</v>
      </c>
      <c r="B39" s="63" t="s">
        <v>79</v>
      </c>
      <c r="C39" s="57" t="str">
        <f>'Weekly Plan'!G52</f>
        <v>RH Access Panel</v>
      </c>
      <c r="D39" s="58" t="str">
        <f>IF('Weekly Plan'!M52=0,"",'Weekly Plan'!M52)</f>
        <v/>
      </c>
      <c r="E39" s="97">
        <f>'Weekly Plan'!A52</f>
        <v>3</v>
      </c>
      <c r="F39" s="97">
        <f t="shared" si="4"/>
        <v>0</v>
      </c>
      <c r="G39" s="159"/>
      <c r="H39" s="160"/>
      <c r="I39" s="160"/>
      <c r="J39" s="161"/>
      <c r="K39" s="97"/>
      <c r="L39" s="97"/>
      <c r="M39" s="66" t="str">
        <f>A44</f>
        <v>Vegas White</v>
      </c>
      <c r="N39" s="67">
        <f>SUM(F45:F56)</f>
        <v>0</v>
      </c>
      <c r="O39" s="65"/>
      <c r="Q39" s="4"/>
      <c r="R39" s="4"/>
      <c r="S39" s="4"/>
      <c r="AC39" s="4">
        <v>4</v>
      </c>
    </row>
    <row r="40" spans="1:29" ht="15" customHeight="1" x14ac:dyDescent="0.2">
      <c r="A40" s="92"/>
      <c r="B40" s="92"/>
      <c r="C40" s="64"/>
      <c r="D40" s="64" t="str">
        <f>IF('Weekly Plan'!H52=0,"",'Weekly Plan'!H52)</f>
        <v/>
      </c>
      <c r="E40" s="97">
        <f>'Weekly Plan'!A53</f>
        <v>0</v>
      </c>
      <c r="F40" s="97">
        <f t="shared" ref="F40:F41" si="6">IFERROR(D41/E40,0)</f>
        <v>0</v>
      </c>
      <c r="G40" s="159"/>
      <c r="H40" s="160"/>
      <c r="I40" s="160"/>
      <c r="J40" s="161"/>
      <c r="K40" s="99"/>
      <c r="L40" s="99"/>
      <c r="M40" s="66" t="str">
        <f>G4</f>
        <v>Black - Laval</v>
      </c>
      <c r="N40" s="67">
        <f>SUM(L5:L10)</f>
        <v>0</v>
      </c>
      <c r="O40" s="65"/>
      <c r="R40" s="4">
        <v>4</v>
      </c>
      <c r="S40" s="4"/>
      <c r="AC40" s="4">
        <v>2</v>
      </c>
    </row>
    <row r="41" spans="1:29" ht="17.25" customHeight="1" x14ac:dyDescent="0.2">
      <c r="A41" s="92"/>
      <c r="B41" s="92"/>
      <c r="C41" s="64"/>
      <c r="D41" s="64" t="str">
        <f>IF('Weekly Plan'!H53=0,"",'Weekly Plan'!H53)</f>
        <v/>
      </c>
      <c r="E41" s="97">
        <f>'Weekly Plan'!A54</f>
        <v>0</v>
      </c>
      <c r="F41" s="97">
        <f t="shared" si="6"/>
        <v>0</v>
      </c>
      <c r="G41" s="159"/>
      <c r="H41" s="160"/>
      <c r="I41" s="160"/>
      <c r="J41" s="161"/>
      <c r="K41" s="97"/>
      <c r="L41" s="97"/>
      <c r="M41" s="66" t="str">
        <f>G12</f>
        <v>Summit White - Laval</v>
      </c>
      <c r="N41" s="67">
        <f>SUM(L13:L16)</f>
        <v>0</v>
      </c>
      <c r="O41" s="65"/>
      <c r="R41" s="4">
        <v>2</v>
      </c>
      <c r="S41" s="4"/>
      <c r="AC41" s="4">
        <v>1</v>
      </c>
    </row>
    <row r="42" spans="1:29" ht="15" customHeight="1" x14ac:dyDescent="0.2">
      <c r="A42" s="92"/>
      <c r="B42" s="92"/>
      <c r="C42" s="64"/>
      <c r="D42" s="64" t="str">
        <f>IF('Weekly Plan'!H54=0,"",'Weekly Plan'!H54)</f>
        <v/>
      </c>
      <c r="E42" s="97"/>
      <c r="F42" s="97"/>
      <c r="G42" s="159"/>
      <c r="H42" s="160"/>
      <c r="I42" s="160"/>
      <c r="J42" s="161"/>
      <c r="K42" s="97"/>
      <c r="L42" s="97"/>
      <c r="M42" s="66" t="str">
        <f>M4</f>
        <v>Mitchell Plastics</v>
      </c>
      <c r="N42" s="67">
        <f>SUM(Q5:Q10)</f>
        <v>0</v>
      </c>
      <c r="O42" s="65"/>
      <c r="R42" s="2">
        <v>1</v>
      </c>
      <c r="AC42" s="2">
        <v>4</v>
      </c>
    </row>
    <row r="43" spans="1:29" ht="15" customHeight="1" thickBot="1" x14ac:dyDescent="0.25">
      <c r="A43" s="64"/>
      <c r="B43" s="64"/>
      <c r="C43" s="64"/>
      <c r="D43" s="64"/>
      <c r="E43" s="97"/>
      <c r="F43" s="97"/>
      <c r="G43" s="78"/>
      <c r="H43" s="79"/>
      <c r="I43" s="79"/>
      <c r="J43" s="80"/>
      <c r="K43" s="97"/>
      <c r="L43" s="97"/>
      <c r="M43" s="66" t="str">
        <f>M12</f>
        <v>Seastar</v>
      </c>
      <c r="N43" s="67">
        <f>SUM(Q13:Q15)</f>
        <v>0</v>
      </c>
      <c r="O43" s="65"/>
      <c r="R43" s="2">
        <v>1</v>
      </c>
      <c r="AC43" s="2">
        <v>2</v>
      </c>
    </row>
    <row r="44" spans="1:29" ht="15" customHeight="1" x14ac:dyDescent="0.2">
      <c r="A44" s="146" t="s">
        <v>12</v>
      </c>
      <c r="B44" s="147"/>
      <c r="C44" s="147"/>
      <c r="D44" s="148"/>
      <c r="E44" s="97">
        <f>'Weekly Plan'!A56</f>
        <v>2</v>
      </c>
      <c r="F44" s="97">
        <f t="shared" ref="F44" si="7">IFERROR(D45/E44,0)</f>
        <v>0</v>
      </c>
      <c r="G44" s="159"/>
      <c r="H44" s="160"/>
      <c r="I44" s="160"/>
      <c r="J44" s="161"/>
      <c r="K44" s="97"/>
      <c r="L44" s="97"/>
      <c r="M44" s="69" t="str">
        <f>M17</f>
        <v>Manterra - Hyper Silver</v>
      </c>
      <c r="N44" s="67">
        <f>SUM(Q18:Q20)</f>
        <v>0</v>
      </c>
      <c r="O44" s="65"/>
      <c r="R44" s="4"/>
      <c r="S44" s="4"/>
      <c r="AC44" s="4">
        <v>1</v>
      </c>
    </row>
    <row r="45" spans="1:29" ht="15" customHeight="1" x14ac:dyDescent="0.35">
      <c r="A45" s="55">
        <f>'Weekly Plan'!F56</f>
        <v>705009213</v>
      </c>
      <c r="B45" s="52" t="s">
        <v>12</v>
      </c>
      <c r="C45" s="52" t="str">
        <f>'Weekly Plan'!G56</f>
        <v>LH F3T Low Fairing</v>
      </c>
      <c r="D45" s="53" t="str">
        <f>IF('Weekly Plan'!M56=0,"",'Weekly Plan'!M56)</f>
        <v/>
      </c>
      <c r="E45" s="97">
        <f>'Weekly Plan'!A56</f>
        <v>2</v>
      </c>
      <c r="F45" s="97">
        <f>IFERROR(D45/E45,0)</f>
        <v>0</v>
      </c>
      <c r="G45" s="159"/>
      <c r="H45" s="160"/>
      <c r="I45" s="160"/>
      <c r="J45" s="161"/>
      <c r="K45" s="97"/>
      <c r="L45" s="97"/>
      <c r="M45" s="96" t="str">
        <f>M22</f>
        <v>Falcon Lakeside Hyper Silver</v>
      </c>
      <c r="N45" s="67">
        <f>SUM(Q23:Q26)</f>
        <v>0</v>
      </c>
      <c r="O45" s="65"/>
      <c r="R45" s="4"/>
      <c r="S45" s="4"/>
      <c r="AC45" s="4">
        <v>1</v>
      </c>
    </row>
    <row r="46" spans="1:29" ht="15" customHeight="1" x14ac:dyDescent="0.2">
      <c r="A46" s="55">
        <f>'Weekly Plan'!F57</f>
        <v>705009214</v>
      </c>
      <c r="B46" s="52" t="s">
        <v>12</v>
      </c>
      <c r="C46" s="52" t="str">
        <f>'Weekly Plan'!G57</f>
        <v>RH F3T Low Fairing</v>
      </c>
      <c r="D46" s="53" t="str">
        <f>IF('Weekly Plan'!M57=0,"",'Weekly Plan'!M57)</f>
        <v/>
      </c>
      <c r="E46" s="97">
        <f>'Weekly Plan'!A57</f>
        <v>2</v>
      </c>
      <c r="F46" s="97">
        <f t="shared" ref="F46:F56" si="8">IFERROR(D46/E46,0)</f>
        <v>0</v>
      </c>
      <c r="G46" s="159"/>
      <c r="H46" s="160"/>
      <c r="I46" s="160"/>
      <c r="J46" s="161"/>
      <c r="K46" s="97"/>
      <c r="L46" s="97"/>
      <c r="M46" s="69" t="str">
        <f>M28</f>
        <v>Tesla - High Gloss Black</v>
      </c>
      <c r="N46" s="67">
        <f>SUM(Q29:Q32)</f>
        <v>0</v>
      </c>
      <c r="O46" s="65"/>
      <c r="R46" s="4"/>
      <c r="S46" s="4"/>
      <c r="AC46" s="4">
        <v>1</v>
      </c>
    </row>
    <row r="47" spans="1:29" ht="15" customHeight="1" x14ac:dyDescent="0.2">
      <c r="A47" s="55">
        <f>'Weekly Plan'!F58</f>
        <v>705010835</v>
      </c>
      <c r="B47" s="52" t="s">
        <v>12</v>
      </c>
      <c r="C47" s="52" t="str">
        <f>'Weekly Plan'!G58</f>
        <v>RH Fairing</v>
      </c>
      <c r="D47" s="53" t="str">
        <f>IF('Weekly Plan'!M58=0,"",'Weekly Plan'!M58)</f>
        <v/>
      </c>
      <c r="E47" s="97">
        <f>'Weekly Plan'!A58</f>
        <v>1</v>
      </c>
      <c r="F47" s="97">
        <f t="shared" si="8"/>
        <v>0</v>
      </c>
      <c r="G47" s="159"/>
      <c r="H47" s="160"/>
      <c r="I47" s="160"/>
      <c r="J47" s="161"/>
      <c r="K47" s="97"/>
      <c r="L47" s="97"/>
      <c r="M47" s="66"/>
      <c r="N47" s="67"/>
      <c r="O47" s="65"/>
      <c r="R47" s="4"/>
      <c r="S47" s="4"/>
      <c r="AC47" s="4">
        <v>4</v>
      </c>
    </row>
    <row r="48" spans="1:29" ht="15" customHeight="1" x14ac:dyDescent="0.2">
      <c r="A48" s="55">
        <f>'Weekly Plan'!F59</f>
        <v>705010851</v>
      </c>
      <c r="B48" s="52" t="s">
        <v>12</v>
      </c>
      <c r="C48" s="52" t="str">
        <f>'Weekly Plan'!G59</f>
        <v>LH Fairing</v>
      </c>
      <c r="D48" s="53" t="str">
        <f>IF('Weekly Plan'!M59=0,"",'Weekly Plan'!M59)</f>
        <v/>
      </c>
      <c r="E48" s="97">
        <f>'Weekly Plan'!A59</f>
        <v>1</v>
      </c>
      <c r="F48" s="97">
        <f t="shared" si="8"/>
        <v>0</v>
      </c>
      <c r="G48" s="162"/>
      <c r="H48" s="163"/>
      <c r="I48" s="163"/>
      <c r="J48" s="164"/>
      <c r="K48" s="97"/>
      <c r="L48" s="97"/>
      <c r="M48" s="66"/>
      <c r="N48" s="67"/>
      <c r="O48" s="65"/>
      <c r="AC48" s="2">
        <v>2</v>
      </c>
    </row>
    <row r="49" spans="1:29" ht="15" customHeight="1" x14ac:dyDescent="0.2">
      <c r="A49" s="55">
        <f>'Weekly Plan'!F60</f>
        <v>705012976</v>
      </c>
      <c r="B49" s="52" t="s">
        <v>12</v>
      </c>
      <c r="C49" s="52" t="str">
        <f>'Weekly Plan'!G60</f>
        <v>LH Fender</v>
      </c>
      <c r="D49" s="53" t="str">
        <f>IF('Weekly Plan'!M60=0,"",'Weekly Plan'!M60)</f>
        <v/>
      </c>
      <c r="E49" s="97">
        <f>'Weekly Plan'!A60</f>
        <v>2</v>
      </c>
      <c r="F49" s="97">
        <f t="shared" si="8"/>
        <v>0</v>
      </c>
      <c r="G49" s="165"/>
      <c r="H49" s="163"/>
      <c r="I49" s="163"/>
      <c r="J49" s="164"/>
      <c r="K49" s="97"/>
      <c r="L49" s="97"/>
      <c r="M49" s="66"/>
      <c r="N49" s="67"/>
      <c r="O49" s="65"/>
      <c r="AC49" s="2">
        <v>1</v>
      </c>
    </row>
    <row r="50" spans="1:29" ht="15" customHeight="1" x14ac:dyDescent="0.25">
      <c r="A50" s="55">
        <f>'Weekly Plan'!F61</f>
        <v>705012868</v>
      </c>
      <c r="B50" s="52" t="s">
        <v>12</v>
      </c>
      <c r="C50" s="52" t="str">
        <f>'Weekly Plan'!G61</f>
        <v>RH Fender</v>
      </c>
      <c r="D50" s="53" t="str">
        <f>IF('Weekly Plan'!M61=0,"",'Weekly Plan'!M61)</f>
        <v/>
      </c>
      <c r="E50" s="97">
        <f>'Weekly Plan'!A61</f>
        <v>2</v>
      </c>
      <c r="F50" s="97">
        <f t="shared" si="8"/>
        <v>0</v>
      </c>
      <c r="G50" s="165"/>
      <c r="H50" s="163"/>
      <c r="I50" s="163"/>
      <c r="J50" s="164"/>
      <c r="K50" s="97"/>
      <c r="L50" s="97"/>
      <c r="M50" s="71" t="s">
        <v>165</v>
      </c>
      <c r="N50" s="70">
        <f>SUM(N36:N49)</f>
        <v>0</v>
      </c>
      <c r="O50" s="65"/>
      <c r="R50" s="4"/>
      <c r="S50" s="4"/>
      <c r="AC50" s="4">
        <v>1</v>
      </c>
    </row>
    <row r="51" spans="1:29" ht="15" customHeight="1" x14ac:dyDescent="0.25">
      <c r="A51" s="55">
        <f>'Weekly Plan'!F62</f>
        <v>708200366</v>
      </c>
      <c r="B51" s="52" t="s">
        <v>12</v>
      </c>
      <c r="C51" s="52" t="str">
        <f>'Weekly Plan'!G62</f>
        <v>Hood</v>
      </c>
      <c r="D51" s="53" t="str">
        <f>IF('Weekly Plan'!M62=0,"",'Weekly Plan'!M62)</f>
        <v/>
      </c>
      <c r="E51" s="97">
        <f>'Weekly Plan'!A62</f>
        <v>1</v>
      </c>
      <c r="F51" s="97">
        <f t="shared" si="8"/>
        <v>0</v>
      </c>
      <c r="G51" s="165"/>
      <c r="H51" s="163"/>
      <c r="I51" s="163"/>
      <c r="J51" s="164"/>
      <c r="K51" s="97"/>
      <c r="L51" s="97"/>
      <c r="M51" s="71"/>
      <c r="N51" s="71"/>
      <c r="O51" s="65"/>
      <c r="R51" s="4"/>
      <c r="S51" s="4"/>
      <c r="AC51" s="4">
        <v>4</v>
      </c>
    </row>
    <row r="52" spans="1:29" ht="15" customHeight="1" x14ac:dyDescent="0.2">
      <c r="A52" s="55">
        <f>'Weekly Plan'!F63</f>
        <v>708200401</v>
      </c>
      <c r="B52" s="52" t="s">
        <v>12</v>
      </c>
      <c r="C52" s="52" t="str">
        <f>'Weekly Plan'!G63</f>
        <v>LH Vent Panel</v>
      </c>
      <c r="D52" s="53" t="str">
        <f>IF('Weekly Plan'!M63=0,"",'Weekly Plan'!M63)</f>
        <v/>
      </c>
      <c r="E52" s="97">
        <f>'Weekly Plan'!A63</f>
        <v>2</v>
      </c>
      <c r="F52" s="97">
        <f t="shared" si="8"/>
        <v>0</v>
      </c>
      <c r="G52" s="165"/>
      <c r="H52" s="163"/>
      <c r="I52" s="163"/>
      <c r="J52" s="164"/>
      <c r="K52" s="97"/>
      <c r="L52" s="97"/>
      <c r="M52" s="66" t="s">
        <v>17</v>
      </c>
      <c r="N52" s="66">
        <f>(COUNTIF(N36:N49, "&gt;0")-1)*(IF(N50&gt;0, 12, 0))</f>
        <v>0</v>
      </c>
      <c r="O52" s="65"/>
      <c r="R52" s="4"/>
      <c r="S52" s="4"/>
      <c r="AC52" s="4">
        <v>2</v>
      </c>
    </row>
    <row r="53" spans="1:29" ht="15" customHeight="1" x14ac:dyDescent="0.2">
      <c r="A53" s="55">
        <f>'Weekly Plan'!F64</f>
        <v>708200402</v>
      </c>
      <c r="B53" s="52" t="s">
        <v>12</v>
      </c>
      <c r="C53" s="52" t="str">
        <f>'Weekly Plan'!G64</f>
        <v>RH Vent Panel</v>
      </c>
      <c r="D53" s="53" t="str">
        <f>IF('Weekly Plan'!M64=0,"",'Weekly Plan'!M64)</f>
        <v/>
      </c>
      <c r="E53" s="97">
        <f>'Weekly Plan'!A64</f>
        <v>2</v>
      </c>
      <c r="F53" s="97">
        <f t="shared" si="8"/>
        <v>0</v>
      </c>
      <c r="G53" s="165"/>
      <c r="H53" s="163"/>
      <c r="I53" s="163"/>
      <c r="J53" s="164"/>
      <c r="K53" s="97"/>
      <c r="L53" s="97"/>
      <c r="M53" s="169"/>
      <c r="N53" s="170"/>
      <c r="O53" s="65"/>
      <c r="R53" s="4"/>
      <c r="S53" s="4"/>
      <c r="AC53" s="4">
        <v>1</v>
      </c>
    </row>
    <row r="54" spans="1:29" ht="15" customHeight="1" x14ac:dyDescent="0.25">
      <c r="A54" s="55">
        <f>'Weekly Plan'!F65</f>
        <v>708200698</v>
      </c>
      <c r="B54" s="52" t="s">
        <v>12</v>
      </c>
      <c r="C54" s="52" t="str">
        <f>'Weekly Plan'!G65</f>
        <v>Fascia</v>
      </c>
      <c r="D54" s="53" t="str">
        <f>IF('Weekly Plan'!M65=0,"",'Weekly Plan'!M65)</f>
        <v/>
      </c>
      <c r="E54" s="97">
        <f>'Weekly Plan'!A65</f>
        <v>1</v>
      </c>
      <c r="F54" s="97">
        <f t="shared" si="8"/>
        <v>0</v>
      </c>
      <c r="G54" s="165"/>
      <c r="H54" s="163"/>
      <c r="I54" s="163"/>
      <c r="J54" s="164"/>
      <c r="K54" s="97"/>
      <c r="L54" s="97"/>
      <c r="M54" s="72" t="s">
        <v>18</v>
      </c>
      <c r="N54" s="73">
        <f>(N50+N52)/60</f>
        <v>0</v>
      </c>
      <c r="O54" s="65"/>
      <c r="AC54" s="2">
        <v>4</v>
      </c>
    </row>
    <row r="55" spans="1:29" ht="15" customHeight="1" thickBot="1" x14ac:dyDescent="0.25">
      <c r="A55" s="55">
        <f>'Weekly Plan'!F66</f>
        <v>708301214</v>
      </c>
      <c r="B55" s="52" t="s">
        <v>12</v>
      </c>
      <c r="C55" s="52" t="str">
        <f>'Weekly Plan'!G66</f>
        <v>LH Cover</v>
      </c>
      <c r="D55" s="53" t="str">
        <f>IF('Weekly Plan'!M66=0,"",'Weekly Plan'!M66)</f>
        <v/>
      </c>
      <c r="E55" s="97">
        <f>'Weekly Plan'!A66</f>
        <v>1</v>
      </c>
      <c r="F55" s="97">
        <f t="shared" si="8"/>
        <v>0</v>
      </c>
      <c r="G55" s="166"/>
      <c r="H55" s="167"/>
      <c r="I55" s="167"/>
      <c r="J55" s="168"/>
      <c r="K55" s="97"/>
      <c r="L55" s="97"/>
      <c r="M55" s="65"/>
      <c r="N55" s="65"/>
      <c r="O55" s="65"/>
      <c r="AC55" s="2">
        <v>2</v>
      </c>
    </row>
    <row r="56" spans="1:29" ht="13.5" customHeight="1" thickBot="1" x14ac:dyDescent="0.25">
      <c r="A56" s="56">
        <f>'Weekly Plan'!F67</f>
        <v>708301215</v>
      </c>
      <c r="B56" s="57" t="s">
        <v>12</v>
      </c>
      <c r="C56" s="57" t="str">
        <f>'Weekly Plan'!G67</f>
        <v>RH Cover</v>
      </c>
      <c r="D56" s="58" t="str">
        <f>IF('Weekly Plan'!M67=0,"",'Weekly Plan'!M67)</f>
        <v/>
      </c>
      <c r="E56" s="97">
        <f>'Weekly Plan'!A67</f>
        <v>1</v>
      </c>
      <c r="F56" s="97">
        <f t="shared" si="8"/>
        <v>0</v>
      </c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8:19" ht="13.5" customHeight="1" x14ac:dyDescent="0.2"/>
    <row r="66" spans="18:19" ht="13.5" customHeight="1" x14ac:dyDescent="0.2">
      <c r="R66" s="1"/>
      <c r="S66" s="1"/>
    </row>
    <row r="67" spans="18:19" ht="13.5" customHeight="1" x14ac:dyDescent="0.2"/>
  </sheetData>
  <sheetProtection formatCells="0"/>
  <mergeCells count="22">
    <mergeCell ref="G52:J55"/>
    <mergeCell ref="M53:N53"/>
    <mergeCell ref="M28:O28"/>
    <mergeCell ref="G35:J35"/>
    <mergeCell ref="G36:J42"/>
    <mergeCell ref="A44:D44"/>
    <mergeCell ref="G44:J47"/>
    <mergeCell ref="G48:J51"/>
    <mergeCell ref="G12:J12"/>
    <mergeCell ref="M12:O12"/>
    <mergeCell ref="M17:O17"/>
    <mergeCell ref="G18:J18"/>
    <mergeCell ref="A20:D20"/>
    <mergeCell ref="M22:O22"/>
    <mergeCell ref="A4:D4"/>
    <mergeCell ref="G4:J4"/>
    <mergeCell ref="M4:O4"/>
    <mergeCell ref="D1:I1"/>
    <mergeCell ref="J1:K1"/>
    <mergeCell ref="N1:O1"/>
    <mergeCell ref="A2:A3"/>
    <mergeCell ref="C2:P3"/>
  </mergeCells>
  <pageMargins left="0.23622047244094491" right="0.23622047244094491" top="0.74803149606299213" bottom="0.74803149606299213" header="0.31496062992125984" footer="0.31496062992125984"/>
  <pageSetup scale="79" orientation="portrait" cellComments="asDisplayed" r:id="rId1"/>
  <headerFooter>
    <oddFooter>&amp;L8.2.2.1.11 103 Schedule Template.xlsx&amp;RCreated: 10/22/21TG
Revised: 05/24/24AS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O6"/>
  <sheetViews>
    <sheetView workbookViewId="0">
      <selection activeCell="O2" sqref="O2"/>
    </sheetView>
  </sheetViews>
  <sheetFormatPr defaultRowHeight="12.75" x14ac:dyDescent="0.2"/>
  <cols>
    <col min="2" max="2" width="10.85546875" bestFit="1" customWidth="1"/>
    <col min="3" max="3" width="10.5703125" bestFit="1" customWidth="1"/>
    <col min="4" max="15" width="14.28515625" bestFit="1" customWidth="1"/>
  </cols>
  <sheetData>
    <row r="1" spans="1:15" x14ac:dyDescent="0.2">
      <c r="A1" s="1" t="s">
        <v>191</v>
      </c>
      <c r="B1" s="1" t="s">
        <v>54</v>
      </c>
      <c r="C1" s="1" t="s">
        <v>79</v>
      </c>
      <c r="D1" s="1" t="s">
        <v>121</v>
      </c>
      <c r="E1" s="1" t="s">
        <v>12</v>
      </c>
      <c r="F1" s="1" t="s">
        <v>129</v>
      </c>
      <c r="G1" s="1" t="s">
        <v>61</v>
      </c>
      <c r="H1" s="1" t="s">
        <v>108</v>
      </c>
      <c r="I1" s="1" t="s">
        <v>51</v>
      </c>
      <c r="J1" s="1" t="s">
        <v>50</v>
      </c>
      <c r="K1" s="1" t="s">
        <v>150</v>
      </c>
      <c r="L1" t="s">
        <v>30</v>
      </c>
      <c r="M1" s="1" t="s">
        <v>21</v>
      </c>
      <c r="N1" s="1" t="s">
        <v>55</v>
      </c>
      <c r="O1" s="1" t="s">
        <v>56</v>
      </c>
    </row>
    <row r="2" spans="1:15" x14ac:dyDescent="0.2">
      <c r="A2" t="s">
        <v>190</v>
      </c>
      <c r="B2" t="s">
        <v>192</v>
      </c>
      <c r="C2" t="s">
        <v>192</v>
      </c>
      <c r="D2" t="s">
        <v>192</v>
      </c>
      <c r="E2" t="s">
        <v>192</v>
      </c>
      <c r="F2" t="s">
        <v>192</v>
      </c>
      <c r="G2" t="s">
        <v>192</v>
      </c>
      <c r="H2" t="s">
        <v>192</v>
      </c>
      <c r="I2" t="s">
        <v>192</v>
      </c>
      <c r="J2" t="s">
        <v>192</v>
      </c>
      <c r="K2" t="s">
        <v>192</v>
      </c>
      <c r="L2" t="s">
        <v>192</v>
      </c>
      <c r="M2" t="s">
        <v>192</v>
      </c>
      <c r="N2" t="s">
        <v>192</v>
      </c>
      <c r="O2" t="s">
        <v>192</v>
      </c>
    </row>
    <row r="3" spans="1:15" x14ac:dyDescent="0.2">
      <c r="A3">
        <v>1</v>
      </c>
      <c r="B3" t="s">
        <v>193</v>
      </c>
      <c r="C3" t="s">
        <v>193</v>
      </c>
      <c r="D3" t="s">
        <v>193</v>
      </c>
      <c r="E3" t="s">
        <v>193</v>
      </c>
      <c r="F3" t="s">
        <v>193</v>
      </c>
      <c r="G3" t="s">
        <v>193</v>
      </c>
      <c r="H3" t="s">
        <v>193</v>
      </c>
      <c r="I3" t="s">
        <v>193</v>
      </c>
      <c r="J3" t="s">
        <v>193</v>
      </c>
      <c r="K3" t="s">
        <v>193</v>
      </c>
      <c r="L3" t="s">
        <v>193</v>
      </c>
      <c r="M3" t="s">
        <v>193</v>
      </c>
      <c r="N3" t="s">
        <v>193</v>
      </c>
      <c r="O3" t="s">
        <v>193</v>
      </c>
    </row>
    <row r="4" spans="1:15" x14ac:dyDescent="0.2">
      <c r="A4">
        <v>2</v>
      </c>
      <c r="B4" t="s">
        <v>194</v>
      </c>
      <c r="C4" t="s">
        <v>194</v>
      </c>
      <c r="D4" t="s">
        <v>194</v>
      </c>
      <c r="E4" t="s">
        <v>194</v>
      </c>
      <c r="F4" t="s">
        <v>194</v>
      </c>
      <c r="G4" t="s">
        <v>194</v>
      </c>
      <c r="H4" t="s">
        <v>194</v>
      </c>
      <c r="I4" t="s">
        <v>194</v>
      </c>
      <c r="J4" t="s">
        <v>194</v>
      </c>
      <c r="K4" t="s">
        <v>194</v>
      </c>
      <c r="L4" t="s">
        <v>194</v>
      </c>
      <c r="M4" t="s">
        <v>194</v>
      </c>
      <c r="N4" t="s">
        <v>194</v>
      </c>
      <c r="O4" t="s">
        <v>194</v>
      </c>
    </row>
    <row r="5" spans="1:15" x14ac:dyDescent="0.2">
      <c r="A5">
        <v>3</v>
      </c>
      <c r="B5" t="s">
        <v>195</v>
      </c>
      <c r="C5" t="s">
        <v>195</v>
      </c>
      <c r="D5" t="s">
        <v>197</v>
      </c>
      <c r="E5" t="s">
        <v>197</v>
      </c>
      <c r="F5" t="s">
        <v>197</v>
      </c>
      <c r="G5" t="s">
        <v>197</v>
      </c>
      <c r="H5" t="s">
        <v>197</v>
      </c>
      <c r="I5" t="s">
        <v>197</v>
      </c>
      <c r="J5" t="s">
        <v>197</v>
      </c>
      <c r="K5" t="s">
        <v>197</v>
      </c>
      <c r="L5" t="s">
        <v>197</v>
      </c>
      <c r="M5" t="s">
        <v>197</v>
      </c>
      <c r="N5" t="s">
        <v>197</v>
      </c>
      <c r="O5" t="s">
        <v>197</v>
      </c>
    </row>
    <row r="6" spans="1:15" x14ac:dyDescent="0.2">
      <c r="A6">
        <v>4</v>
      </c>
      <c r="B6" t="s">
        <v>196</v>
      </c>
      <c r="C6" t="s">
        <v>196</v>
      </c>
      <c r="D6" t="s">
        <v>198</v>
      </c>
      <c r="E6" t="s">
        <v>198</v>
      </c>
      <c r="F6" t="s">
        <v>198</v>
      </c>
      <c r="G6" t="s">
        <v>198</v>
      </c>
      <c r="H6" t="s">
        <v>198</v>
      </c>
      <c r="I6" t="s">
        <v>198</v>
      </c>
      <c r="J6" t="s">
        <v>198</v>
      </c>
      <c r="K6" t="s">
        <v>198</v>
      </c>
      <c r="L6" t="s">
        <v>198</v>
      </c>
      <c r="M6" t="s">
        <v>198</v>
      </c>
      <c r="N6" t="s">
        <v>198</v>
      </c>
      <c r="O6" t="s">
        <v>198</v>
      </c>
    </row>
  </sheetData>
  <sheetProtection algorithmName="SHA-512" hashValue="7ocS+cTDsVGjOJmzkBeq7keEBczocBD2ExIM5dY2XdvCwrm/r+BLOcZcqB5sH9rPoZZWjRiQWuBdRxF948EHdw==" saltValue="2POgHXND+3Q2bRVvUQXzqg==" spinCount="100000"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K52"/>
  <sheetViews>
    <sheetView topLeftCell="A25" workbookViewId="0">
      <selection activeCell="C23" sqref="C23"/>
    </sheetView>
  </sheetViews>
  <sheetFormatPr defaultColWidth="36" defaultRowHeight="12.75" x14ac:dyDescent="0.2"/>
  <cols>
    <col min="1" max="1" width="18" style="7" bestFit="1" customWidth="1"/>
    <col min="2" max="2" width="20.28515625" style="7" bestFit="1" customWidth="1"/>
    <col min="3" max="3" width="27.28515625" style="7" bestFit="1" customWidth="1"/>
    <col min="4" max="4" width="9.5703125" style="7" bestFit="1" customWidth="1"/>
    <col min="5" max="5" width="12.85546875" style="23" customWidth="1"/>
    <col min="6" max="8" width="12.85546875" customWidth="1"/>
    <col min="9" max="10" width="12.85546875" style="7" customWidth="1"/>
    <col min="11" max="11" width="24" bestFit="1" customWidth="1"/>
  </cols>
  <sheetData>
    <row r="1" spans="1:11" x14ac:dyDescent="0.2">
      <c r="A1" s="18" t="s">
        <v>80</v>
      </c>
      <c r="B1" s="18" t="s">
        <v>115</v>
      </c>
      <c r="C1" s="18" t="s">
        <v>116</v>
      </c>
      <c r="D1" s="18" t="s">
        <v>67</v>
      </c>
      <c r="E1" s="18" t="s">
        <v>126</v>
      </c>
      <c r="F1" s="18" t="s">
        <v>127</v>
      </c>
      <c r="I1" s="18" t="s">
        <v>125</v>
      </c>
      <c r="J1" s="18"/>
      <c r="K1" s="18" t="s">
        <v>129</v>
      </c>
    </row>
    <row r="2" spans="1:11" ht="15" x14ac:dyDescent="0.25">
      <c r="A2" s="7">
        <v>708400067</v>
      </c>
      <c r="B2" s="12" t="s">
        <v>102</v>
      </c>
      <c r="C2" s="9" t="s">
        <v>119</v>
      </c>
      <c r="D2" s="9" t="s">
        <v>117</v>
      </c>
      <c r="E2" s="16">
        <v>2</v>
      </c>
      <c r="F2" s="15"/>
      <c r="G2" s="15"/>
      <c r="H2" s="15"/>
      <c r="I2" s="9" t="s">
        <v>119</v>
      </c>
      <c r="J2" s="9"/>
      <c r="K2" s="21" t="s">
        <v>130</v>
      </c>
    </row>
    <row r="3" spans="1:11" ht="15" x14ac:dyDescent="0.25">
      <c r="A3" s="7">
        <v>708400001</v>
      </c>
      <c r="B3" s="12" t="s">
        <v>74</v>
      </c>
      <c r="C3" s="9" t="s">
        <v>119</v>
      </c>
      <c r="D3" s="9" t="s">
        <v>117</v>
      </c>
      <c r="E3" s="16">
        <v>2</v>
      </c>
      <c r="F3" s="15"/>
      <c r="G3" s="15"/>
      <c r="H3" s="15"/>
      <c r="I3" s="9" t="s">
        <v>120</v>
      </c>
      <c r="J3" s="9"/>
      <c r="K3" s="21" t="s">
        <v>131</v>
      </c>
    </row>
    <row r="4" spans="1:11" ht="15" x14ac:dyDescent="0.25">
      <c r="A4" s="7">
        <v>708400069</v>
      </c>
      <c r="B4" s="12" t="s">
        <v>101</v>
      </c>
      <c r="C4" s="9" t="s">
        <v>119</v>
      </c>
      <c r="D4" s="9" t="s">
        <v>117</v>
      </c>
      <c r="E4" s="16">
        <v>2</v>
      </c>
      <c r="F4" s="15"/>
      <c r="G4" s="15"/>
      <c r="H4" s="15"/>
      <c r="I4" s="9" t="s">
        <v>121</v>
      </c>
      <c r="J4" s="9"/>
      <c r="K4" s="21" t="s">
        <v>141</v>
      </c>
    </row>
    <row r="5" spans="1:11" ht="15" x14ac:dyDescent="0.25">
      <c r="A5" s="7">
        <v>708400002</v>
      </c>
      <c r="B5" s="12" t="s">
        <v>75</v>
      </c>
      <c r="C5" s="9" t="s">
        <v>119</v>
      </c>
      <c r="D5" s="9" t="s">
        <v>117</v>
      </c>
      <c r="E5" s="16">
        <v>2</v>
      </c>
      <c r="F5" s="15"/>
      <c r="G5" s="15"/>
      <c r="H5" s="15"/>
      <c r="I5" s="19" t="s">
        <v>54</v>
      </c>
      <c r="J5" s="19"/>
      <c r="K5" s="21" t="s">
        <v>132</v>
      </c>
    </row>
    <row r="6" spans="1:11" ht="15" x14ac:dyDescent="0.25">
      <c r="A6" s="7">
        <v>708001528</v>
      </c>
      <c r="B6" s="12" t="s">
        <v>71</v>
      </c>
      <c r="C6" s="9" t="s">
        <v>119</v>
      </c>
      <c r="D6" s="9" t="s">
        <v>117</v>
      </c>
      <c r="E6" s="16">
        <v>2</v>
      </c>
      <c r="F6" s="15"/>
      <c r="G6" s="15"/>
      <c r="H6" s="15"/>
      <c r="I6" s="19" t="s">
        <v>122</v>
      </c>
      <c r="J6" s="19"/>
      <c r="K6" s="21" t="s">
        <v>134</v>
      </c>
    </row>
    <row r="7" spans="1:11" ht="15" x14ac:dyDescent="0.25">
      <c r="A7" s="7">
        <v>708400287</v>
      </c>
      <c r="B7" s="12" t="s">
        <v>13</v>
      </c>
      <c r="C7" s="9" t="s">
        <v>119</v>
      </c>
      <c r="D7" s="9" t="s">
        <v>117</v>
      </c>
      <c r="E7" s="16">
        <v>2</v>
      </c>
      <c r="F7" s="15"/>
      <c r="G7" s="15"/>
      <c r="H7" s="15"/>
      <c r="I7" s="9" t="s">
        <v>123</v>
      </c>
      <c r="J7" s="9"/>
      <c r="K7" s="21" t="s">
        <v>135</v>
      </c>
    </row>
    <row r="8" spans="1:11" ht="15" x14ac:dyDescent="0.25">
      <c r="A8" s="7">
        <v>708400398</v>
      </c>
      <c r="B8" s="12" t="s">
        <v>78</v>
      </c>
      <c r="C8" s="9" t="s">
        <v>119</v>
      </c>
      <c r="D8" s="9" t="s">
        <v>117</v>
      </c>
      <c r="E8" s="16">
        <v>2</v>
      </c>
      <c r="F8" s="15"/>
      <c r="G8" s="15"/>
      <c r="H8" s="15"/>
      <c r="I8" s="9" t="s">
        <v>124</v>
      </c>
      <c r="J8" s="9"/>
      <c r="K8" s="21" t="s">
        <v>136</v>
      </c>
    </row>
    <row r="9" spans="1:11" ht="15" x14ac:dyDescent="0.25">
      <c r="A9" s="7">
        <v>708302947</v>
      </c>
      <c r="B9" s="11" t="s">
        <v>111</v>
      </c>
      <c r="C9" s="9" t="s">
        <v>120</v>
      </c>
      <c r="D9" s="9" t="s">
        <v>117</v>
      </c>
      <c r="E9" s="16">
        <v>2</v>
      </c>
      <c r="F9" s="15"/>
      <c r="G9" s="15"/>
      <c r="H9" s="15"/>
      <c r="I9"/>
      <c r="J9"/>
      <c r="K9" s="21" t="s">
        <v>142</v>
      </c>
    </row>
    <row r="10" spans="1:11" ht="15" x14ac:dyDescent="0.25">
      <c r="A10" s="7">
        <v>708303799</v>
      </c>
      <c r="B10" s="11" t="s">
        <v>72</v>
      </c>
      <c r="C10" s="9" t="s">
        <v>120</v>
      </c>
      <c r="D10" s="9" t="s">
        <v>117</v>
      </c>
      <c r="E10" s="22"/>
      <c r="F10" s="15"/>
      <c r="G10" s="15"/>
      <c r="H10" s="15"/>
      <c r="I10"/>
      <c r="J10"/>
      <c r="K10" s="21" t="s">
        <v>137</v>
      </c>
    </row>
    <row r="11" spans="1:11" ht="15" x14ac:dyDescent="0.25">
      <c r="A11" s="7">
        <v>705012976</v>
      </c>
      <c r="B11" s="12" t="s">
        <v>57</v>
      </c>
      <c r="C11" s="9" t="s">
        <v>120</v>
      </c>
      <c r="D11" s="9" t="s">
        <v>117</v>
      </c>
      <c r="E11" s="16">
        <v>2</v>
      </c>
      <c r="F11" s="15"/>
      <c r="G11" s="15"/>
      <c r="H11" s="15"/>
      <c r="I11"/>
      <c r="J11"/>
      <c r="K11" s="21" t="s">
        <v>133</v>
      </c>
    </row>
    <row r="12" spans="1:11" ht="15" x14ac:dyDescent="0.25">
      <c r="A12" s="7">
        <v>708200870</v>
      </c>
      <c r="B12" s="12" t="s">
        <v>113</v>
      </c>
      <c r="C12" s="9" t="s">
        <v>120</v>
      </c>
      <c r="D12" s="9" t="s">
        <v>117</v>
      </c>
      <c r="E12" s="16">
        <v>1</v>
      </c>
      <c r="F12" s="15"/>
      <c r="G12" s="15"/>
      <c r="H12" s="15"/>
      <c r="I12"/>
      <c r="J12"/>
      <c r="K12" s="24" t="s">
        <v>138</v>
      </c>
    </row>
    <row r="13" spans="1:11" ht="15" x14ac:dyDescent="0.25">
      <c r="A13" s="7">
        <v>705012348</v>
      </c>
      <c r="B13" s="12" t="s">
        <v>152</v>
      </c>
      <c r="C13" s="9" t="s">
        <v>120</v>
      </c>
      <c r="D13" s="9" t="s">
        <v>117</v>
      </c>
      <c r="E13" s="22"/>
      <c r="F13" s="15"/>
      <c r="G13" s="15"/>
      <c r="H13" s="15"/>
      <c r="I13"/>
      <c r="J13"/>
      <c r="K13" s="24" t="s">
        <v>139</v>
      </c>
    </row>
    <row r="14" spans="1:11" ht="15" x14ac:dyDescent="0.25">
      <c r="A14" s="7">
        <v>708400461</v>
      </c>
      <c r="B14" s="12" t="s">
        <v>59</v>
      </c>
      <c r="C14" s="9" t="s">
        <v>120</v>
      </c>
      <c r="D14" s="9" t="s">
        <v>117</v>
      </c>
      <c r="E14" s="16">
        <v>6</v>
      </c>
      <c r="F14" s="15"/>
      <c r="G14" s="15"/>
      <c r="H14" s="15"/>
      <c r="I14"/>
      <c r="J14"/>
      <c r="K14" s="21"/>
    </row>
    <row r="15" spans="1:11" ht="15" x14ac:dyDescent="0.25">
      <c r="A15" s="7">
        <v>705014100</v>
      </c>
      <c r="B15" s="11" t="s">
        <v>76</v>
      </c>
      <c r="C15" s="9" t="s">
        <v>120</v>
      </c>
      <c r="D15" s="9" t="s">
        <v>117</v>
      </c>
      <c r="E15" s="16">
        <v>2</v>
      </c>
      <c r="F15" s="15"/>
      <c r="G15" s="15"/>
      <c r="H15" s="15"/>
      <c r="I15"/>
      <c r="J15"/>
      <c r="K15" s="21"/>
    </row>
    <row r="16" spans="1:11" ht="15" x14ac:dyDescent="0.25">
      <c r="A16" s="7">
        <v>708200869</v>
      </c>
      <c r="B16" s="11" t="s">
        <v>69</v>
      </c>
      <c r="C16" s="9" t="s">
        <v>120</v>
      </c>
      <c r="D16" s="9" t="s">
        <v>117</v>
      </c>
      <c r="E16" s="16">
        <v>1</v>
      </c>
      <c r="F16" s="15"/>
      <c r="G16" s="15"/>
      <c r="H16" s="15"/>
      <c r="I16"/>
      <c r="J16"/>
      <c r="K16" s="21"/>
    </row>
    <row r="17" spans="1:11" ht="15" x14ac:dyDescent="0.25">
      <c r="A17" s="7">
        <v>708003041</v>
      </c>
      <c r="B17" s="12" t="s">
        <v>68</v>
      </c>
      <c r="C17" s="9" t="s">
        <v>120</v>
      </c>
      <c r="D17" s="9" t="s">
        <v>117</v>
      </c>
      <c r="E17" s="16">
        <v>2</v>
      </c>
      <c r="F17" s="15"/>
      <c r="G17" s="15"/>
      <c r="H17" s="15"/>
      <c r="I17"/>
      <c r="J17"/>
      <c r="K17" s="21"/>
    </row>
    <row r="18" spans="1:11" ht="15" x14ac:dyDescent="0.25">
      <c r="A18" s="7">
        <v>708302948</v>
      </c>
      <c r="B18" s="11" t="s">
        <v>112</v>
      </c>
      <c r="C18" s="9" t="s">
        <v>120</v>
      </c>
      <c r="D18" s="9" t="s">
        <v>117</v>
      </c>
      <c r="E18" s="16">
        <v>2</v>
      </c>
      <c r="I18"/>
      <c r="J18"/>
      <c r="K18" s="21"/>
    </row>
    <row r="19" spans="1:11" ht="15" x14ac:dyDescent="0.25">
      <c r="A19" s="7">
        <v>708303801</v>
      </c>
      <c r="B19" s="11" t="s">
        <v>73</v>
      </c>
      <c r="C19" s="9" t="s">
        <v>120</v>
      </c>
      <c r="D19" s="9" t="s">
        <v>117</v>
      </c>
      <c r="E19" s="16">
        <v>2</v>
      </c>
      <c r="I19"/>
      <c r="J19"/>
      <c r="K19" s="21"/>
    </row>
    <row r="20" spans="1:11" x14ac:dyDescent="0.2">
      <c r="A20" s="7">
        <v>705012868</v>
      </c>
      <c r="B20" s="12" t="s">
        <v>58</v>
      </c>
      <c r="C20" s="9" t="s">
        <v>120</v>
      </c>
      <c r="D20" s="9" t="s">
        <v>117</v>
      </c>
      <c r="E20" s="16">
        <v>2</v>
      </c>
      <c r="I20"/>
      <c r="J20"/>
    </row>
    <row r="21" spans="1:11" x14ac:dyDescent="0.2">
      <c r="A21" s="7">
        <v>708200871</v>
      </c>
      <c r="B21" s="12" t="s">
        <v>114</v>
      </c>
      <c r="C21" s="9" t="s">
        <v>120</v>
      </c>
      <c r="D21" s="9" t="s">
        <v>117</v>
      </c>
      <c r="E21" s="16">
        <v>1</v>
      </c>
      <c r="I21"/>
      <c r="J21"/>
    </row>
    <row r="22" spans="1:11" x14ac:dyDescent="0.2">
      <c r="A22" s="7">
        <v>705012350</v>
      </c>
      <c r="B22" s="12" t="s">
        <v>153</v>
      </c>
      <c r="C22" s="9" t="s">
        <v>120</v>
      </c>
      <c r="D22" s="9" t="s">
        <v>117</v>
      </c>
      <c r="E22" s="22"/>
      <c r="I22"/>
      <c r="J22"/>
    </row>
    <row r="23" spans="1:11" x14ac:dyDescent="0.2">
      <c r="A23" s="7">
        <v>708400463</v>
      </c>
      <c r="B23" s="12" t="s">
        <v>60</v>
      </c>
      <c r="C23" s="9" t="s">
        <v>120</v>
      </c>
      <c r="D23" s="9" t="s">
        <v>117</v>
      </c>
      <c r="E23" s="16">
        <v>6</v>
      </c>
      <c r="I23"/>
      <c r="J23"/>
    </row>
    <row r="24" spans="1:11" x14ac:dyDescent="0.2">
      <c r="A24" s="7">
        <v>705014101</v>
      </c>
      <c r="B24" s="11" t="s">
        <v>77</v>
      </c>
      <c r="C24" s="9" t="s">
        <v>120</v>
      </c>
      <c r="D24" s="9" t="s">
        <v>117</v>
      </c>
      <c r="E24" s="16">
        <v>2</v>
      </c>
      <c r="I24"/>
      <c r="J24"/>
    </row>
    <row r="25" spans="1:11" x14ac:dyDescent="0.2">
      <c r="A25" s="7">
        <v>708301201</v>
      </c>
      <c r="B25" s="12" t="s">
        <v>90</v>
      </c>
      <c r="C25" s="9" t="s">
        <v>121</v>
      </c>
      <c r="D25" s="9" t="s">
        <v>117</v>
      </c>
      <c r="E25" s="16">
        <v>4</v>
      </c>
      <c r="I25"/>
      <c r="J25"/>
    </row>
    <row r="26" spans="1:11" x14ac:dyDescent="0.2">
      <c r="A26" s="7">
        <v>708200698</v>
      </c>
      <c r="B26" s="12" t="s">
        <v>89</v>
      </c>
      <c r="C26" s="9" t="s">
        <v>121</v>
      </c>
      <c r="D26" s="9" t="s">
        <v>117</v>
      </c>
      <c r="E26" s="16">
        <v>1</v>
      </c>
      <c r="I26"/>
      <c r="J26"/>
    </row>
    <row r="27" spans="1:11" x14ac:dyDescent="0.2">
      <c r="A27" s="7">
        <v>708200366</v>
      </c>
      <c r="B27" s="12" t="s">
        <v>86</v>
      </c>
      <c r="C27" s="9" t="s">
        <v>121</v>
      </c>
      <c r="D27" s="9" t="s">
        <v>117</v>
      </c>
      <c r="E27" s="16">
        <v>1</v>
      </c>
      <c r="I27"/>
      <c r="J27"/>
    </row>
    <row r="28" spans="1:11" x14ac:dyDescent="0.2">
      <c r="A28" s="7">
        <v>705010851</v>
      </c>
      <c r="B28" s="12" t="s">
        <v>84</v>
      </c>
      <c r="C28" s="9" t="s">
        <v>121</v>
      </c>
      <c r="D28" s="9" t="s">
        <v>117</v>
      </c>
      <c r="E28" s="16">
        <v>1</v>
      </c>
      <c r="I28"/>
      <c r="J28"/>
    </row>
    <row r="29" spans="1:11" x14ac:dyDescent="0.2">
      <c r="A29" s="7">
        <v>705007790</v>
      </c>
      <c r="B29" s="12" t="s">
        <v>82</v>
      </c>
      <c r="C29" s="9" t="s">
        <v>121</v>
      </c>
      <c r="D29" s="9" t="s">
        <v>117</v>
      </c>
      <c r="E29" s="16">
        <v>4</v>
      </c>
      <c r="I29"/>
      <c r="J29"/>
    </row>
    <row r="30" spans="1:11" x14ac:dyDescent="0.2">
      <c r="A30" s="7">
        <v>708200401</v>
      </c>
      <c r="B30" s="12" t="s">
        <v>87</v>
      </c>
      <c r="C30" s="9" t="s">
        <v>121</v>
      </c>
      <c r="D30" s="9" t="s">
        <v>117</v>
      </c>
      <c r="E30" s="16">
        <v>2</v>
      </c>
      <c r="I30"/>
      <c r="J30"/>
    </row>
    <row r="31" spans="1:11" x14ac:dyDescent="0.2">
      <c r="A31" s="7">
        <v>705010835</v>
      </c>
      <c r="B31" s="12" t="s">
        <v>85</v>
      </c>
      <c r="C31" s="9" t="s">
        <v>121</v>
      </c>
      <c r="D31" s="9" t="s">
        <v>117</v>
      </c>
      <c r="E31" s="16">
        <v>1</v>
      </c>
      <c r="I31"/>
      <c r="J31"/>
    </row>
    <row r="32" spans="1:11" x14ac:dyDescent="0.2">
      <c r="A32" s="7">
        <v>705007791</v>
      </c>
      <c r="B32" s="12" t="s">
        <v>83</v>
      </c>
      <c r="C32" s="9" t="s">
        <v>121</v>
      </c>
      <c r="D32" s="9" t="s">
        <v>117</v>
      </c>
      <c r="E32" s="16">
        <v>4</v>
      </c>
      <c r="I32"/>
      <c r="J32"/>
    </row>
    <row r="33" spans="1:10" x14ac:dyDescent="0.2">
      <c r="A33" s="7">
        <v>708200402</v>
      </c>
      <c r="B33" s="12" t="s">
        <v>88</v>
      </c>
      <c r="C33" s="9" t="s">
        <v>121</v>
      </c>
      <c r="D33" s="9" t="s">
        <v>117</v>
      </c>
      <c r="E33" s="16">
        <v>2</v>
      </c>
      <c r="I33"/>
      <c r="J33"/>
    </row>
    <row r="34" spans="1:10" ht="22.5" x14ac:dyDescent="0.2">
      <c r="A34" s="9">
        <v>500458</v>
      </c>
      <c r="B34" s="17" t="s">
        <v>104</v>
      </c>
      <c r="C34" s="19" t="s">
        <v>54</v>
      </c>
      <c r="D34" s="9" t="s">
        <v>51</v>
      </c>
      <c r="E34" s="22"/>
      <c r="I34"/>
      <c r="J34"/>
    </row>
    <row r="35" spans="1:10" x14ac:dyDescent="0.2">
      <c r="A35" s="9">
        <v>500458</v>
      </c>
      <c r="B35" s="9" t="s">
        <v>105</v>
      </c>
      <c r="C35" s="19" t="s">
        <v>54</v>
      </c>
      <c r="D35" s="9" t="s">
        <v>51</v>
      </c>
      <c r="E35" s="22"/>
      <c r="I35"/>
      <c r="J35"/>
    </row>
    <row r="36" spans="1:10" x14ac:dyDescent="0.2">
      <c r="A36" s="9">
        <v>500458</v>
      </c>
      <c r="B36" s="9" t="s">
        <v>106</v>
      </c>
      <c r="C36" s="19" t="s">
        <v>54</v>
      </c>
      <c r="D36" s="9" t="s">
        <v>51</v>
      </c>
      <c r="E36" s="22"/>
      <c r="I36"/>
      <c r="J36"/>
    </row>
    <row r="37" spans="1:10" x14ac:dyDescent="0.2">
      <c r="A37" s="9">
        <v>42521680</v>
      </c>
      <c r="B37" s="9" t="s">
        <v>26</v>
      </c>
      <c r="C37" s="19" t="s">
        <v>122</v>
      </c>
      <c r="D37" s="9" t="s">
        <v>118</v>
      </c>
      <c r="E37" s="22"/>
      <c r="I37"/>
      <c r="J37"/>
    </row>
    <row r="38" spans="1:10" x14ac:dyDescent="0.2">
      <c r="A38" s="9">
        <v>42521681</v>
      </c>
      <c r="B38" s="9" t="s">
        <v>25</v>
      </c>
      <c r="C38" s="19" t="s">
        <v>122</v>
      </c>
      <c r="D38" s="9" t="s">
        <v>118</v>
      </c>
      <c r="E38" s="22"/>
      <c r="I38"/>
      <c r="J38"/>
    </row>
    <row r="39" spans="1:10" x14ac:dyDescent="0.2">
      <c r="A39" s="9">
        <v>42521682</v>
      </c>
      <c r="B39" s="9" t="s">
        <v>28</v>
      </c>
      <c r="C39" s="19" t="s">
        <v>122</v>
      </c>
      <c r="D39" s="9" t="s">
        <v>118</v>
      </c>
      <c r="E39" s="22"/>
      <c r="I39"/>
      <c r="J39"/>
    </row>
    <row r="40" spans="1:10" x14ac:dyDescent="0.2">
      <c r="A40" s="9">
        <v>42521683</v>
      </c>
      <c r="B40" s="9" t="s">
        <v>27</v>
      </c>
      <c r="C40" s="19" t="s">
        <v>122</v>
      </c>
      <c r="D40" s="9" t="s">
        <v>118</v>
      </c>
      <c r="E40" s="22"/>
      <c r="I40"/>
      <c r="J40"/>
    </row>
    <row r="41" spans="1:10" ht="15" x14ac:dyDescent="0.25">
      <c r="A41" s="21" t="s">
        <v>130</v>
      </c>
      <c r="B41" s="12" t="s">
        <v>140</v>
      </c>
      <c r="C41" s="9" t="str">
        <f>A41</f>
        <v xml:space="preserve"> BLACK</v>
      </c>
      <c r="D41" s="7" t="s">
        <v>151</v>
      </c>
      <c r="E41" s="23">
        <v>2</v>
      </c>
      <c r="I41"/>
      <c r="J41"/>
    </row>
    <row r="42" spans="1:10" ht="15" x14ac:dyDescent="0.25">
      <c r="A42" s="21" t="s">
        <v>131</v>
      </c>
      <c r="B42" s="12" t="s">
        <v>140</v>
      </c>
      <c r="C42" s="9" t="str">
        <f t="shared" ref="C42:C52" si="0">A42</f>
        <v xml:space="preserve"> CHERRY BOMB</v>
      </c>
      <c r="D42" s="7" t="s">
        <v>151</v>
      </c>
      <c r="E42" s="23">
        <v>2</v>
      </c>
      <c r="I42"/>
      <c r="J42"/>
    </row>
    <row r="43" spans="1:10" ht="15" x14ac:dyDescent="0.25">
      <c r="A43" s="21" t="s">
        <v>141</v>
      </c>
      <c r="B43" s="12" t="s">
        <v>140</v>
      </c>
      <c r="C43" s="9" t="str">
        <f t="shared" si="0"/>
        <v xml:space="preserve"> DARK SHADOW</v>
      </c>
      <c r="D43" s="7" t="s">
        <v>151</v>
      </c>
      <c r="E43" s="23">
        <v>2</v>
      </c>
      <c r="I43"/>
      <c r="J43"/>
    </row>
    <row r="44" spans="1:10" ht="15" x14ac:dyDescent="0.25">
      <c r="A44" s="21" t="s">
        <v>132</v>
      </c>
      <c r="B44" s="12" t="s">
        <v>140</v>
      </c>
      <c r="C44" s="9" t="str">
        <f t="shared" si="0"/>
        <v xml:space="preserve"> LG BLACK</v>
      </c>
      <c r="D44" s="7" t="s">
        <v>151</v>
      </c>
      <c r="E44" s="23">
        <v>2</v>
      </c>
      <c r="I44"/>
      <c r="J44"/>
    </row>
    <row r="45" spans="1:10" ht="15" x14ac:dyDescent="0.25">
      <c r="A45" s="21" t="s">
        <v>134</v>
      </c>
      <c r="B45" s="12" t="s">
        <v>140</v>
      </c>
      <c r="C45" s="9" t="str">
        <f t="shared" si="0"/>
        <v xml:space="preserve"> OCONUS MET</v>
      </c>
      <c r="D45" s="7" t="s">
        <v>151</v>
      </c>
      <c r="E45" s="23">
        <v>2</v>
      </c>
      <c r="I45"/>
      <c r="J45"/>
    </row>
    <row r="46" spans="1:10" ht="15" x14ac:dyDescent="0.25">
      <c r="A46" s="21" t="s">
        <v>135</v>
      </c>
      <c r="B46" s="12" t="s">
        <v>140</v>
      </c>
      <c r="C46" s="9" t="str">
        <f t="shared" si="0"/>
        <v xml:space="preserve"> PRIMER</v>
      </c>
      <c r="D46" s="7" t="s">
        <v>151</v>
      </c>
      <c r="E46" s="23">
        <v>2</v>
      </c>
    </row>
    <row r="47" spans="1:10" ht="15" x14ac:dyDescent="0.25">
      <c r="A47" s="21" t="s">
        <v>136</v>
      </c>
      <c r="B47" s="12" t="s">
        <v>140</v>
      </c>
      <c r="C47" s="9" t="str">
        <f t="shared" si="0"/>
        <v xml:space="preserve"> PULL ME OVER RED</v>
      </c>
      <c r="D47" s="7" t="s">
        <v>151</v>
      </c>
      <c r="E47" s="23">
        <v>2</v>
      </c>
    </row>
    <row r="48" spans="1:10" ht="15" x14ac:dyDescent="0.25">
      <c r="A48" s="21" t="s">
        <v>142</v>
      </c>
      <c r="B48" s="12" t="s">
        <v>140</v>
      </c>
      <c r="C48" s="9" t="str">
        <f t="shared" si="0"/>
        <v xml:space="preserve"> SATIN STEEL</v>
      </c>
      <c r="D48" s="7" t="s">
        <v>151</v>
      </c>
      <c r="E48" s="23">
        <v>2</v>
      </c>
    </row>
    <row r="49" spans="1:5" ht="15" x14ac:dyDescent="0.25">
      <c r="A49" s="21" t="s">
        <v>137</v>
      </c>
      <c r="B49" s="12" t="s">
        <v>140</v>
      </c>
      <c r="C49" s="9" t="str">
        <f t="shared" si="0"/>
        <v xml:space="preserve"> SUMMIT WHITE</v>
      </c>
      <c r="D49" s="7" t="s">
        <v>151</v>
      </c>
      <c r="E49" s="23">
        <v>2</v>
      </c>
    </row>
    <row r="50" spans="1:5" ht="15" x14ac:dyDescent="0.25">
      <c r="A50" s="21" t="s">
        <v>133</v>
      </c>
      <c r="B50" s="12" t="s">
        <v>140</v>
      </c>
      <c r="C50" s="9" t="str">
        <f t="shared" si="0"/>
        <v>CARBON FLASH</v>
      </c>
      <c r="D50" s="7" t="s">
        <v>151</v>
      </c>
      <c r="E50" s="23">
        <v>2</v>
      </c>
    </row>
    <row r="51" spans="1:5" ht="15" x14ac:dyDescent="0.25">
      <c r="A51" s="24" t="s">
        <v>138</v>
      </c>
      <c r="B51" s="12" t="s">
        <v>140</v>
      </c>
      <c r="C51" s="9" t="str">
        <f t="shared" si="0"/>
        <v>RAPID</v>
      </c>
      <c r="D51" s="7" t="s">
        <v>151</v>
      </c>
      <c r="E51" s="23">
        <v>2</v>
      </c>
    </row>
    <row r="52" spans="1:5" ht="15" x14ac:dyDescent="0.25">
      <c r="A52" s="24" t="s">
        <v>139</v>
      </c>
      <c r="B52" s="12" t="s">
        <v>140</v>
      </c>
      <c r="C52" s="9" t="str">
        <f t="shared" si="0"/>
        <v>VIVID</v>
      </c>
      <c r="D52" s="7" t="s">
        <v>151</v>
      </c>
      <c r="E52" s="23">
        <v>2</v>
      </c>
    </row>
  </sheetData>
  <sortState xmlns:xlrd2="http://schemas.microsoft.com/office/spreadsheetml/2017/richdata2" ref="K2:K19">
    <sortCondition ref="K2:K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Weekly Plan</vt:lpstr>
      <vt:lpstr>Paint Usage</vt:lpstr>
      <vt:lpstr>Time Matrix</vt:lpstr>
      <vt:lpstr>Mon (103)</vt:lpstr>
      <vt:lpstr>Tue (103)</vt:lpstr>
      <vt:lpstr>Wed (103)</vt:lpstr>
      <vt:lpstr>Thur (103)</vt:lpstr>
      <vt:lpstr>Fri (103)</vt:lpstr>
      <vt:lpstr>Sat (103)</vt:lpstr>
      <vt:lpstr>Painter Matrix</vt:lpstr>
      <vt:lpstr>Part Info</vt:lpstr>
      <vt:lpstr>'Fri (103)'!Print_Area</vt:lpstr>
      <vt:lpstr>'Mon (103)'!Print_Area</vt:lpstr>
      <vt:lpstr>'Sat (103)'!Print_Area</vt:lpstr>
      <vt:lpstr>'Thur (103)'!Print_Area</vt:lpstr>
      <vt:lpstr>'Tue (103)'!Print_Area</vt:lpstr>
      <vt:lpstr>'Wed (103)'!Print_Area</vt:lpstr>
      <vt:lpstr>'Weekly Plan'!Print_Area</vt:lpstr>
    </vt:vector>
  </TitlesOfParts>
  <Company>Select Finishing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Amit Shinde</cp:lastModifiedBy>
  <cp:lastPrinted>2024-06-04T20:19:22Z</cp:lastPrinted>
  <dcterms:created xsi:type="dcterms:W3CDTF">2013-04-05T13:09:26Z</dcterms:created>
  <dcterms:modified xsi:type="dcterms:W3CDTF">2024-06-04T20:19:25Z</dcterms:modified>
</cp:coreProperties>
</file>