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24226"/>
  <mc:AlternateContent xmlns:mc="http://schemas.openxmlformats.org/markup-compatibility/2006">
    <mc:Choice Requires="x15">
      <x15ac:absPath xmlns:x15ac="http://schemas.microsoft.com/office/spreadsheetml/2010/11/ac" url="\\192.168.20.202\Select\8.0 Production\8.2 Forms\8.2.2 Plant 2\8.2.2.4 Shipping Forms\"/>
    </mc:Choice>
  </mc:AlternateContent>
  <xr:revisionPtr revIDLastSave="0" documentId="13_ncr:1_{217AC5B1-8DE1-4224-9276-499C056D2136}" xr6:coauthVersionLast="47" xr6:coauthVersionMax="47" xr10:uidLastSave="{00000000-0000-0000-0000-000000000000}"/>
  <bookViews>
    <workbookView xWindow="-120" yWindow="-120" windowWidth="29040" windowHeight="15720" xr2:uid="{00000000-000D-0000-FFFF-FFFF00000000}"/>
  </bookViews>
  <sheets>
    <sheet name="Packing Slip" sheetId="1" r:id="rId1"/>
    <sheet name="MasterList" sheetId="4" r:id="rId2"/>
  </sheets>
  <externalReferences>
    <externalReference r:id="rId3"/>
    <externalReference r:id="rId4"/>
    <externalReference r:id="rId5"/>
  </externalReferences>
  <definedNames>
    <definedName name="_xlnm._FilterDatabase" localSheetId="1" hidden="1">MasterList!$A$1:$E$49</definedName>
    <definedName name="_xlnm._FilterDatabase" localSheetId="0" hidden="1">'Packing Slip'!$C$1:$I$65</definedName>
    <definedName name="Cavities">'[1]Overall Status'!$A:$IV</definedName>
    <definedName name="pack">[2]Data!$A$163:$M$201</definedName>
    <definedName name="_xlnm.Print_Area" localSheetId="1">MasterList!$A$1:$E$1</definedName>
    <definedName name="_xlnm.Print_Area" localSheetId="0">'Packing Slip'!$C$1:$I$65</definedName>
    <definedName name="_xlnm.Print_Titles" localSheetId="0">'Packing Slip'!$1:$2</definedName>
    <definedName name="ToolNoOptions">[3]Lists!$D$3:$D$7</definedName>
  </definedNames>
  <calcPr calcId="181029"/>
</workbook>
</file>

<file path=xl/calcChain.xml><?xml version="1.0" encoding="utf-8"?>
<calcChain xmlns="http://schemas.openxmlformats.org/spreadsheetml/2006/main">
  <c r="G13" i="1" l="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12" i="1"/>
  <c r="H58" i="1" l="1"/>
  <c r="I58" i="1"/>
  <c r="I60" i="1" s="1"/>
</calcChain>
</file>

<file path=xl/sharedStrings.xml><?xml version="1.0" encoding="utf-8"?>
<sst xmlns="http://schemas.openxmlformats.org/spreadsheetml/2006/main" count="182" uniqueCount="83">
  <si>
    <t>CUSTOM COATING AND MANUFACTURING</t>
  </si>
  <si>
    <t>Wallaceburg, ON</t>
  </si>
  <si>
    <t>Phone: 519-627-7885</t>
  </si>
  <si>
    <t>Ship to:</t>
  </si>
  <si>
    <t xml:space="preserve">Bill to:  </t>
  </si>
  <si>
    <t>Total Parts
Shipped</t>
  </si>
  <si>
    <t xml:space="preserve">Date: </t>
  </si>
  <si>
    <t>Ship Via:</t>
  </si>
  <si>
    <t>Shipper Init:</t>
  </si>
  <si>
    <t>Driver Signature:</t>
  </si>
  <si>
    <t>Truck/Trailer#:</t>
  </si>
  <si>
    <t>Driver Print:</t>
  </si>
  <si>
    <t>Fax: 519-627-7245</t>
  </si>
  <si>
    <r>
      <t>Select Finishing Return Policy:</t>
    </r>
    <r>
      <rPr>
        <sz val="10"/>
        <color indexed="8"/>
        <rFont val="Brush Script MT"/>
        <family val="4"/>
      </rPr>
      <t xml:space="preserve">  Material returns will be accepted only with prior written authorization and within 30 days of receipt.  You must contact Select Finishing for a </t>
    </r>
    <r>
      <rPr>
        <i/>
        <sz val="10"/>
        <color indexed="8"/>
        <rFont val="Brush Script MT"/>
        <family val="4"/>
      </rPr>
      <t xml:space="preserve">Returned Material Authorization Number </t>
    </r>
    <r>
      <rPr>
        <sz val="10"/>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</si>
  <si>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 of Boxes</t>
  </si>
  <si>
    <t>BRP</t>
  </si>
  <si>
    <t>Description</t>
  </si>
  <si>
    <t>Line #</t>
  </si>
  <si>
    <t>Total</t>
  </si>
  <si>
    <t>Total Skids</t>
  </si>
  <si>
    <t>Total Weight (lbs)</t>
  </si>
  <si>
    <t>Packing Slip/ BOL</t>
  </si>
  <si>
    <t>Part #</t>
  </si>
  <si>
    <t>Color</t>
  </si>
  <si>
    <t>PO #: SEE PO # COLUMN</t>
  </si>
  <si>
    <t>565 Rue de la Montagne</t>
  </si>
  <si>
    <t>Valcourt, QC, J0E 2L0</t>
  </si>
  <si>
    <t>Same</t>
  </si>
  <si>
    <t>PO #</t>
  </si>
  <si>
    <t xml:space="preserve"> </t>
  </si>
  <si>
    <t>LINE ITEM</t>
  </si>
  <si>
    <t>DESCRIPTION (English)</t>
  </si>
  <si>
    <t>COLOUR</t>
  </si>
  <si>
    <t>Vegas White</t>
  </si>
  <si>
    <t>Hyper Silver</t>
  </si>
  <si>
    <t>Deep Black</t>
  </si>
  <si>
    <t>PO#</t>
  </si>
  <si>
    <t>125 Mason St</t>
  </si>
  <si>
    <t>N8A 4L7</t>
  </si>
  <si>
    <t>FINISHED PN</t>
  </si>
  <si>
    <t>Tank Cover</t>
  </si>
  <si>
    <t>Tail Fairing</t>
  </si>
  <si>
    <t>RH Consol Fairing</t>
  </si>
  <si>
    <t>LH Consol Fairing</t>
  </si>
  <si>
    <t>New LH Console Panel</t>
  </si>
  <si>
    <t>New RH Console Panel</t>
  </si>
  <si>
    <t>New Nose Fairing</t>
  </si>
  <si>
    <t>New Tail Fairing</t>
  </si>
  <si>
    <t>LH Upper Fairing</t>
  </si>
  <si>
    <t>RH Upper Fairing</t>
  </si>
  <si>
    <t>LH Fender</t>
  </si>
  <si>
    <t>RH Fender</t>
  </si>
  <si>
    <t>Rear Fairing</t>
  </si>
  <si>
    <t>LH Front Fairing</t>
  </si>
  <si>
    <t>RH Front Fairing</t>
  </si>
  <si>
    <t>R66 Hood</t>
  </si>
  <si>
    <t>LH Box Cover</t>
  </si>
  <si>
    <t>RH Box Cover</t>
  </si>
  <si>
    <t>LH F3T Panel</t>
  </si>
  <si>
    <t>RH F3T Panel</t>
  </si>
  <si>
    <t>LH Mirror Shell</t>
  </si>
  <si>
    <t>RH Mirror Shell</t>
  </si>
  <si>
    <t>LH F3T Low Fairing</t>
  </si>
  <si>
    <t>RH F3T Low Fairing</t>
  </si>
  <si>
    <t>RH Fairing</t>
  </si>
  <si>
    <t>LH Fairing</t>
  </si>
  <si>
    <t>Hood</t>
  </si>
  <si>
    <t>LH Vent Panel</t>
  </si>
  <si>
    <t>RH Vent Panel</t>
  </si>
  <si>
    <t>Fascia</t>
  </si>
  <si>
    <t>LH Cover</t>
  </si>
  <si>
    <t>RH Cover</t>
  </si>
  <si>
    <t>Satin Vegas White</t>
  </si>
  <si>
    <t>Central Cover</t>
  </si>
  <si>
    <t>New Tank Cover</t>
  </si>
  <si>
    <t xml:space="preserve">Deep Black </t>
  </si>
  <si>
    <t>British Green</t>
  </si>
  <si>
    <t>LH Scoop</t>
  </si>
  <si>
    <t>RH Scoop</t>
  </si>
  <si>
    <t>LH Access Panel</t>
  </si>
  <si>
    <t>RH Access Panel</t>
  </si>
  <si>
    <t>LH Mirror Shell - No Hole</t>
  </si>
  <si>
    <t>RH Mirror Shell - No 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</si>
</sst>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 #,##0.00_);_(* \(#,##0.00\);_(* &quot;-&quot;??_);_(@_)"/>
  </numFmts>
  <fonts count="53" x14ac:knownFonts="1">
    <font>
      <sz val="10"/>
      <name val="Arial"/>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8"/>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8.5"/>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b/>
      <u/>
      <sz val="10"/>
      <color indexed="8"/>
      <name val="Brush Script MT"/>
      <family val="4"/>
    </font>
    <font>
      <sz val="10"/>
      <color indexed="8"/>
      <name val="Brush Script MT"/>
      <family val="4"/>
    </font>
    <font>
      <i/>
      <sz val="10"/>
      <color indexed="8"/>
      <name val="Brush Script MT"/>
      <family val="4"/>
    </font>
    <font>
      <b/>
      <sz val="11"/>
      <color indexed="8"/>
      <name val="Arial"/>
      <family val="2"/>
    </font>
    <font>
      <sz val="12"/>
      <color indexed="8"/>
      <name val="Arial"/>
      <family val="2"/>
    </font>
    <font>
      <sz val="20"/>
      <color indexed="8"/>
      <name val="Arial"/>
      <family val="2"/>
    </font>
    <font>
      <b/>
      <sz val="10"/>
      <name val="Times New Roman"/>
      <family val="1"/>
    </font>
    <font>
      <sz val="10"/>
      <name val="Times New Roman"/>
      <family val="1"/>
    </font>
    <font>
      <b/>
      <sz val="12"/>
      <name val="Arial"/>
      <family val="2"/>
    </font>
    <font>
      <b/>
      <sz val="12"/>
      <color indexed="8"/>
      <name val="Arial"/>
      <family val="2"/>
    </font>
    <font>
      <b/>
      <sz val="16"/>
      <color indexed="8"/>
      <name val="Arial"/>
      <family val="2"/>
    </font>
    <font>
      <b/>
      <sz val="22"/>
      <color indexed="8"/>
      <name val="Arial"/>
      <family val="2"/>
    </font>
    <font>
      <b/>
      <sz val="22"/>
      <name val="Arial"/>
      <family val="2"/>
    </font>
    <font>
      <u/>
      <sz val="10"/>
      <color theme="10"/>
      <name val="Arial"/>
      <family val="2"/>
    </font>
    <font>
      <sz val="11"/>
      <color theme="1"/>
      <name val="Calibri"/>
      <family val="2"/>
      <scheme val="minor"/>
    </font>
    <font>
      <sz val="20"/>
      <color rgb="FFFF0000"/>
      <name val="Arial"/>
      <family val="2"/>
    </font>
    <font>
      <b/>
      <sz val="12"/>
      <color theme="1"/>
      <name val="Arial"/>
      <family val="2"/>
    </font>
    <font>
      <sz val="10"/>
      <name val="Arial"/>
      <family val="2"/>
    </font>
    <font>
      <b/>
      <sz val="24"/>
      <color rgb="FFFF0000"/>
      <name val="Arial"/>
      <family val="2"/>
    </font>
    <font>
      <sz val="10"/>
      <color theme="1"/>
      <name val="Calibri"/>
      <family val="2"/>
      <scheme val="minor"/>
    </font>
    <font>
      <b/>
      <sz val="10"/>
      <color theme="1"/>
      <name val="Calibri"/>
      <family val="2"/>
      <scheme val="minor"/>
    </font>
    <font>
      <sz val="10"/>
      <color theme="1"/>
      <name val="Arial"/>
      <family val="2"/>
    </font>
  </fonts>
  <fills count="19">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
      <patternFill patternType="solid">
        <fgColor theme="0" tint="-0.14999847407452621"/>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top/>
      <bottom/>
      <diagonal/>
    </border>
    <border>
      <left/>
      <right style="thin">
        <color indexed="64"/>
      </right>
      <top style="thin">
        <color indexed="64"/>
      </top>
      <bottom/>
      <diagonal/>
    </border>
    <border>
      <left/>
      <right style="thin">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medium">
        <color indexed="64"/>
      </top>
      <bottom style="medium">
        <color indexed="8"/>
      </bottom>
      <diagonal/>
    </border>
    <border>
      <left/>
      <right/>
      <top style="medium">
        <color indexed="8"/>
      </top>
      <bottom style="medium">
        <color indexed="8"/>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8"/>
      </top>
      <bottom/>
      <diagonal/>
    </border>
    <border>
      <left style="medium">
        <color indexed="64"/>
      </left>
      <right/>
      <top/>
      <bottom style="medium">
        <color indexed="64"/>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5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5" fillId="16" borderId="1" applyNumberFormat="0" applyAlignment="0" applyProtection="0"/>
    <xf numFmtId="0" fontId="6" fillId="17" borderId="2" applyNumberFormat="0" applyAlignment="0" applyProtection="0"/>
    <xf numFmtId="164" fontId="26" fillId="0" borderId="0" applyFont="0" applyFill="0" applyBorder="0" applyAlignment="0" applyProtection="0"/>
    <xf numFmtId="0" fontId="7" fillId="0" borderId="0" applyNumberFormat="0" applyFill="0" applyBorder="0" applyAlignment="0" applyProtection="0"/>
    <xf numFmtId="0" fontId="8" fillId="6"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44"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7" borderId="0" applyNumberFormat="0" applyBorder="0" applyAlignment="0" applyProtection="0"/>
    <xf numFmtId="0" fontId="26" fillId="0" borderId="0"/>
    <xf numFmtId="0" fontId="45" fillId="0" borderId="0"/>
    <xf numFmtId="0" fontId="45" fillId="0" borderId="0"/>
    <xf numFmtId="0" fontId="26" fillId="0" borderId="0"/>
    <xf numFmtId="0" fontId="26" fillId="0" borderId="0"/>
    <xf numFmtId="0" fontId="15" fillId="0" borderId="0"/>
    <xf numFmtId="0" fontId="15" fillId="4" borderId="7" applyNumberFormat="0" applyAlignment="0" applyProtection="0"/>
    <xf numFmtId="0" fontId="16" fillId="16"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3" fillId="0" borderId="0" applyNumberFormat="0" applyFill="0" applyBorder="0" applyAlignment="0" applyProtection="0"/>
    <xf numFmtId="44" fontId="48" fillId="0" borderId="0" applyFont="0" applyFill="0" applyBorder="0" applyAlignment="0" applyProtection="0"/>
    <xf numFmtId="0" fontId="1" fillId="0" borderId="0"/>
  </cellStyleXfs>
  <cellXfs count="98">
    <xf numFmtId="0" fontId="0" fillId="0" borderId="0" xfId="0"/>
    <xf numFmtId="0" fontId="20" fillId="0" borderId="0" xfId="44" applyFont="1" applyAlignment="1">
      <alignment vertical="center"/>
    </xf>
    <xf numFmtId="0" fontId="21" fillId="0" borderId="0" xfId="44" applyFont="1" applyAlignment="1">
      <alignment vertical="center"/>
    </xf>
    <xf numFmtId="0" fontId="24" fillId="0" borderId="0" xfId="44" applyFont="1"/>
    <xf numFmtId="0" fontId="26" fillId="0" borderId="0" xfId="0" applyFont="1"/>
    <xf numFmtId="49" fontId="24" fillId="0" borderId="0" xfId="44" applyNumberFormat="1" applyFont="1"/>
    <xf numFmtId="49" fontId="21" fillId="0" borderId="0" xfId="44" applyNumberFormat="1" applyFont="1" applyAlignment="1">
      <alignment vertical="center"/>
    </xf>
    <xf numFmtId="49" fontId="26" fillId="0" borderId="0" xfId="0" applyNumberFormat="1" applyFont="1"/>
    <xf numFmtId="0" fontId="22" fillId="0" borderId="10" xfId="44" applyFont="1" applyBorder="1" applyAlignment="1">
      <alignment horizontal="left" vertical="center"/>
    </xf>
    <xf numFmtId="0" fontId="20" fillId="0" borderId="11" xfId="44" applyFont="1" applyBorder="1" applyAlignment="1">
      <alignment vertical="center"/>
    </xf>
    <xf numFmtId="0" fontId="24" fillId="0" borderId="11" xfId="44" applyFont="1" applyBorder="1"/>
    <xf numFmtId="0" fontId="24" fillId="0" borderId="12" xfId="44" applyFont="1" applyBorder="1"/>
    <xf numFmtId="0" fontId="24" fillId="0" borderId="0" xfId="44" applyFont="1" applyAlignment="1">
      <alignment horizontal="left" shrinkToFit="1"/>
    </xf>
    <xf numFmtId="0" fontId="24" fillId="0" borderId="0" xfId="44" applyFont="1" applyAlignment="1">
      <alignment horizontal="right"/>
    </xf>
    <xf numFmtId="0" fontId="34" fillId="0" borderId="0" xfId="44" applyFont="1"/>
    <xf numFmtId="0" fontId="28" fillId="0" borderId="0" xfId="44" applyFont="1"/>
    <xf numFmtId="0" fontId="28" fillId="0" borderId="0" xfId="44" applyFont="1" applyAlignment="1">
      <alignment vertical="center"/>
    </xf>
    <xf numFmtId="0" fontId="28" fillId="0" borderId="13" xfId="44" applyFont="1" applyBorder="1" applyAlignment="1">
      <alignment horizontal="center" shrinkToFit="1"/>
    </xf>
    <xf numFmtId="0" fontId="28" fillId="0" borderId="13" xfId="44" applyFont="1" applyBorder="1" applyAlignment="1">
      <alignment horizontal="center"/>
    </xf>
    <xf numFmtId="0" fontId="27" fillId="0" borderId="12" xfId="44" applyFont="1" applyBorder="1"/>
    <xf numFmtId="0" fontId="35" fillId="0" borderId="0" xfId="44" applyFont="1" applyAlignment="1">
      <alignment horizontal="left" shrinkToFit="1"/>
    </xf>
    <xf numFmtId="0" fontId="26" fillId="0" borderId="0" xfId="39"/>
    <xf numFmtId="0" fontId="26" fillId="0" borderId="14" xfId="39" applyBorder="1"/>
    <xf numFmtId="0" fontId="26" fillId="0" borderId="15" xfId="39" applyBorder="1"/>
    <xf numFmtId="0" fontId="30" fillId="0" borderId="13" xfId="39" applyFont="1" applyBorder="1" applyAlignment="1">
      <alignment horizontal="centerContinuous"/>
    </xf>
    <xf numFmtId="0" fontId="26" fillId="0" borderId="16" xfId="39" applyBorder="1"/>
    <xf numFmtId="0" fontId="26" fillId="0" borderId="17" xfId="39" applyBorder="1"/>
    <xf numFmtId="49" fontId="26" fillId="0" borderId="0" xfId="39" applyNumberFormat="1"/>
    <xf numFmtId="0" fontId="27" fillId="0" borderId="18" xfId="44" applyFont="1" applyBorder="1" applyAlignment="1">
      <alignment horizontal="center" wrapText="1" shrinkToFit="1"/>
    </xf>
    <xf numFmtId="0" fontId="27" fillId="0" borderId="0" xfId="44" applyFont="1" applyAlignment="1">
      <alignment horizontal="center" wrapText="1" shrinkToFit="1"/>
    </xf>
    <xf numFmtId="0" fontId="30" fillId="0" borderId="0" xfId="39" applyFont="1" applyAlignment="1">
      <alignment horizontal="right"/>
    </xf>
    <xf numFmtId="0" fontId="39" fillId="0" borderId="0" xfId="39" applyFont="1" applyAlignment="1">
      <alignment horizontal="center"/>
    </xf>
    <xf numFmtId="0" fontId="40" fillId="0" borderId="0" xfId="44" applyFont="1" applyAlignment="1">
      <alignment horizontal="center" shrinkToFit="1"/>
    </xf>
    <xf numFmtId="0" fontId="19" fillId="0" borderId="0" xfId="44" applyFont="1" applyAlignment="1">
      <alignment vertical="center"/>
    </xf>
    <xf numFmtId="3" fontId="40" fillId="0" borderId="23" xfId="44" applyNumberFormat="1" applyFont="1" applyBorder="1" applyAlignment="1">
      <alignment shrinkToFit="1"/>
    </xf>
    <xf numFmtId="0" fontId="40" fillId="0" borderId="24" xfId="28" applyNumberFormat="1" applyFont="1" applyFill="1" applyBorder="1" applyAlignment="1" applyProtection="1"/>
    <xf numFmtId="0" fontId="39" fillId="0" borderId="18" xfId="28" applyNumberFormat="1" applyFont="1" applyFill="1" applyBorder="1" applyAlignment="1">
      <alignment horizontal="center"/>
    </xf>
    <xf numFmtId="0" fontId="26" fillId="0" borderId="22" xfId="39" applyBorder="1" applyAlignment="1">
      <alignment horizontal="left" shrinkToFit="1"/>
    </xf>
    <xf numFmtId="0" fontId="26" fillId="0" borderId="25" xfId="39" applyBorder="1" applyAlignment="1">
      <alignment horizontal="left" shrinkToFit="1"/>
    </xf>
    <xf numFmtId="0" fontId="39" fillId="0" borderId="0" xfId="39" applyFont="1" applyAlignment="1">
      <alignment wrapText="1"/>
    </xf>
    <xf numFmtId="0" fontId="27" fillId="0" borderId="10" xfId="44" applyFont="1" applyBorder="1" applyAlignment="1">
      <alignment horizontal="left" vertical="center"/>
    </xf>
    <xf numFmtId="49" fontId="24" fillId="0" borderId="14" xfId="44" applyNumberFormat="1" applyFont="1" applyBorder="1"/>
    <xf numFmtId="0" fontId="37" fillId="0" borderId="12" xfId="39" applyFont="1" applyBorder="1"/>
    <xf numFmtId="49" fontId="24" fillId="0" borderId="15" xfId="44" applyNumberFormat="1" applyFont="1" applyBorder="1"/>
    <xf numFmtId="0" fontId="38" fillId="0" borderId="12" xfId="39" applyFont="1" applyBorder="1" applyAlignment="1">
      <alignment vertical="center"/>
    </xf>
    <xf numFmtId="0" fontId="24" fillId="0" borderId="26" xfId="44" applyFont="1" applyBorder="1"/>
    <xf numFmtId="14" fontId="26" fillId="0" borderId="0" xfId="39" applyNumberFormat="1" applyAlignment="1">
      <alignment horizontal="left" shrinkToFit="1"/>
    </xf>
    <xf numFmtId="0" fontId="41" fillId="0" borderId="0" xfId="44" applyFont="1"/>
    <xf numFmtId="0" fontId="39" fillId="0" borderId="27" xfId="28" applyNumberFormat="1" applyFont="1" applyFill="1" applyBorder="1" applyAlignment="1">
      <alignment horizontal="center"/>
    </xf>
    <xf numFmtId="0" fontId="46" fillId="0" borderId="0" xfId="44" applyFont="1"/>
    <xf numFmtId="0" fontId="36" fillId="0" borderId="0" xfId="44" applyFont="1"/>
    <xf numFmtId="0" fontId="39" fillId="0" borderId="13" xfId="39" applyFont="1" applyBorder="1" applyAlignment="1">
      <alignment horizontal="center"/>
    </xf>
    <xf numFmtId="0" fontId="39" fillId="0" borderId="0" xfId="39" applyFont="1" applyAlignment="1">
      <alignment horizontal="left"/>
    </xf>
    <xf numFmtId="0" fontId="40" fillId="0" borderId="27" xfId="44" applyFont="1" applyBorder="1" applyAlignment="1">
      <alignment horizontal="center" shrinkToFit="1"/>
    </xf>
    <xf numFmtId="14" fontId="26" fillId="0" borderId="16" xfId="39" applyNumberFormat="1" applyBorder="1" applyAlignment="1">
      <alignment horizontal="center" shrinkToFit="1"/>
    </xf>
    <xf numFmtId="0" fontId="24" fillId="0" borderId="19" xfId="44" applyFont="1" applyBorder="1" applyAlignment="1">
      <alignment horizontal="center"/>
    </xf>
    <xf numFmtId="0" fontId="24" fillId="0" borderId="20" xfId="44" applyFont="1" applyBorder="1" applyAlignment="1">
      <alignment horizontal="center"/>
    </xf>
    <xf numFmtId="44" fontId="36" fillId="0" borderId="0" xfId="50" applyFont="1" applyFill="1" applyBorder="1" applyAlignment="1" applyProtection="1"/>
    <xf numFmtId="0" fontId="29" fillId="0" borderId="28" xfId="39" applyFont="1" applyBorder="1" applyAlignment="1">
      <alignment horizontal="center" vertical="center" wrapText="1"/>
    </xf>
    <xf numFmtId="0" fontId="27" fillId="0" borderId="29" xfId="44" applyFont="1" applyBorder="1" applyAlignment="1">
      <alignment horizontal="center" vertical="center" wrapText="1"/>
    </xf>
    <xf numFmtId="0" fontId="50" fillId="0" borderId="0" xfId="51" applyFont="1"/>
    <xf numFmtId="0" fontId="50" fillId="0" borderId="0" xfId="51" applyFont="1" applyAlignment="1">
      <alignment horizontal="center" vertical="center"/>
    </xf>
    <xf numFmtId="0" fontId="50" fillId="0" borderId="0" xfId="51" applyFont="1" applyAlignment="1">
      <alignment horizontal="left" vertical="center"/>
    </xf>
    <xf numFmtId="0" fontId="39" fillId="0" borderId="30" xfId="39" applyFont="1" applyBorder="1" applyAlignment="1">
      <alignment horizontal="center"/>
    </xf>
    <xf numFmtId="0" fontId="39" fillId="0" borderId="31" xfId="39" applyFont="1" applyBorder="1" applyAlignment="1">
      <alignment horizontal="center"/>
    </xf>
    <xf numFmtId="0" fontId="39" fillId="0" borderId="34" xfId="39" applyFont="1" applyBorder="1" applyAlignment="1">
      <alignment horizontal="center"/>
    </xf>
    <xf numFmtId="0" fontId="39" fillId="0" borderId="36" xfId="28" applyNumberFormat="1" applyFont="1" applyFill="1" applyBorder="1" applyAlignment="1">
      <alignment horizontal="center"/>
    </xf>
    <xf numFmtId="0" fontId="39" fillId="0" borderId="32" xfId="28" applyNumberFormat="1" applyFont="1" applyFill="1" applyBorder="1" applyAlignment="1">
      <alignment horizontal="center"/>
    </xf>
    <xf numFmtId="0" fontId="39" fillId="0" borderId="33" xfId="28" applyNumberFormat="1" applyFont="1" applyFill="1" applyBorder="1" applyAlignment="1">
      <alignment horizontal="center"/>
    </xf>
    <xf numFmtId="0" fontId="39" fillId="0" borderId="35" xfId="28" applyNumberFormat="1" applyFont="1" applyFill="1" applyBorder="1" applyAlignment="1">
      <alignment horizontal="center"/>
    </xf>
    <xf numFmtId="0" fontId="51" fillId="0" borderId="37" xfId="51" applyFont="1" applyBorder="1" applyAlignment="1">
      <alignment horizontal="center" wrapText="1"/>
    </xf>
    <xf numFmtId="0" fontId="51" fillId="0" borderId="37" xfId="51" applyFont="1" applyBorder="1" applyAlignment="1">
      <alignment horizontal="center"/>
    </xf>
    <xf numFmtId="0" fontId="51" fillId="0" borderId="22" xfId="51" applyFont="1" applyBorder="1" applyAlignment="1">
      <alignment horizontal="center"/>
    </xf>
    <xf numFmtId="0" fontId="0" fillId="0" borderId="30" xfId="0" applyBorder="1" applyAlignment="1">
      <alignment horizontal="center"/>
    </xf>
    <xf numFmtId="0" fontId="51" fillId="0" borderId="37" xfId="51" applyFont="1" applyBorder="1" applyAlignment="1">
      <alignment horizontal="center" vertical="center" wrapText="1"/>
    </xf>
    <xf numFmtId="0" fontId="25" fillId="0" borderId="0" xfId="44" applyFont="1"/>
    <xf numFmtId="0" fontId="26" fillId="0" borderId="30" xfId="0" applyFont="1" applyBorder="1" applyAlignment="1">
      <alignment horizontal="center"/>
    </xf>
    <xf numFmtId="0" fontId="41" fillId="0" borderId="0" xfId="44" applyFont="1" applyAlignment="1">
      <alignment horizontal="center" vertical="center" shrinkToFit="1"/>
    </xf>
    <xf numFmtId="0" fontId="52" fillId="0" borderId="30" xfId="51" applyFont="1" applyBorder="1" applyAlignment="1">
      <alignment horizontal="center"/>
    </xf>
    <xf numFmtId="0" fontId="52" fillId="0" borderId="30" xfId="51" applyFont="1" applyBorder="1" applyAlignment="1">
      <alignment horizontal="center" vertical="center"/>
    </xf>
    <xf numFmtId="0" fontId="26" fillId="0" borderId="30" xfId="51" applyFont="1" applyBorder="1" applyAlignment="1">
      <alignment horizontal="center" vertical="center" wrapText="1"/>
    </xf>
    <xf numFmtId="0" fontId="29" fillId="0" borderId="22" xfId="39" applyFont="1" applyBorder="1" applyAlignment="1">
      <alignment horizontal="center" vertical="center"/>
    </xf>
    <xf numFmtId="0" fontId="27" fillId="0" borderId="21" xfId="44" applyFont="1" applyBorder="1" applyAlignment="1">
      <alignment horizontal="center" vertical="center"/>
    </xf>
    <xf numFmtId="1" fontId="47" fillId="0" borderId="30" xfId="0" quotePrefix="1" applyNumberFormat="1" applyFont="1" applyBorder="1" applyAlignment="1">
      <alignment horizontal="center"/>
    </xf>
    <xf numFmtId="0" fontId="29" fillId="0" borderId="25" xfId="39" applyFont="1" applyBorder="1" applyAlignment="1">
      <alignment horizontal="center" vertical="center"/>
    </xf>
    <xf numFmtId="0" fontId="29" fillId="0" borderId="37" xfId="39" applyFont="1" applyBorder="1" applyAlignment="1">
      <alignment horizontal="center" vertical="center" wrapText="1"/>
    </xf>
    <xf numFmtId="0" fontId="19" fillId="0" borderId="0" xfId="44" applyFont="1" applyAlignment="1">
      <alignment horizontal="center" vertical="center"/>
    </xf>
    <xf numFmtId="0" fontId="31" fillId="0" borderId="21" xfId="39" applyFont="1" applyBorder="1" applyAlignment="1">
      <alignment horizontal="center" wrapText="1"/>
    </xf>
    <xf numFmtId="0" fontId="31" fillId="0" borderId="22" xfId="39" applyFont="1" applyBorder="1" applyAlignment="1">
      <alignment horizontal="center" wrapText="1"/>
    </xf>
    <xf numFmtId="0" fontId="31" fillId="0" borderId="25" xfId="39" applyFont="1" applyBorder="1" applyAlignment="1">
      <alignment horizontal="center" wrapText="1"/>
    </xf>
    <xf numFmtId="0" fontId="31" fillId="0" borderId="27" xfId="39" applyFont="1" applyBorder="1" applyAlignment="1">
      <alignment horizontal="center" wrapText="1"/>
    </xf>
    <xf numFmtId="0" fontId="31" fillId="0" borderId="16" xfId="39" applyFont="1" applyBorder="1" applyAlignment="1">
      <alignment horizontal="center" wrapText="1"/>
    </xf>
    <xf numFmtId="0" fontId="31" fillId="0" borderId="17" xfId="39" applyFont="1" applyBorder="1" applyAlignment="1">
      <alignment horizontal="center" wrapText="1"/>
    </xf>
    <xf numFmtId="0" fontId="42" fillId="18" borderId="0" xfId="44" quotePrefix="1" applyFont="1" applyFill="1" applyAlignment="1">
      <alignment horizontal="left"/>
    </xf>
    <xf numFmtId="0" fontId="43" fillId="18" borderId="0" xfId="39" applyFont="1" applyFill="1" applyAlignment="1">
      <alignment horizontal="left"/>
    </xf>
    <xf numFmtId="0" fontId="41" fillId="0" borderId="12" xfId="44" applyFont="1" applyBorder="1" applyAlignment="1">
      <alignment horizontal="center"/>
    </xf>
    <xf numFmtId="0" fontId="41" fillId="0" borderId="0" xfId="44" applyFont="1" applyAlignment="1">
      <alignment horizontal="center"/>
    </xf>
    <xf numFmtId="49" fontId="49" fillId="0" borderId="0" xfId="44" applyNumberFormat="1" applyFont="1" applyAlignment="1">
      <alignment horizontal="center" vertical="center"/>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B000000}"/>
    <cellStyle name="Currency" xfId="50"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2" xfId="35" xr:uid="{00000000-0005-0000-0000-000023000000}"/>
    <cellStyle name="Input" xfId="36" builtinId="20" customBuiltin="1"/>
    <cellStyle name="Linked Cell" xfId="37" builtinId="24" customBuiltin="1"/>
    <cellStyle name="Neutral" xfId="38" builtinId="28" customBuiltin="1"/>
    <cellStyle name="Normal" xfId="0" builtinId="0"/>
    <cellStyle name="Normal 2" xfId="39" xr:uid="{00000000-0005-0000-0000-000028000000}"/>
    <cellStyle name="Normal 3" xfId="40" xr:uid="{00000000-0005-0000-0000-000029000000}"/>
    <cellStyle name="Normal 3 2" xfId="41" xr:uid="{00000000-0005-0000-0000-00002A000000}"/>
    <cellStyle name="Normal 3 3" xfId="42" xr:uid="{00000000-0005-0000-0000-00002B000000}"/>
    <cellStyle name="Normal 4" xfId="43" xr:uid="{00000000-0005-0000-0000-00002C000000}"/>
    <cellStyle name="Normal 7" xfId="51" xr:uid="{2E1C768B-8F8C-4C67-B558-7E0429F1BE47}"/>
    <cellStyle name="Normal_Sheet1" xfId="44" xr:uid="{00000000-0005-0000-0000-00002D000000}"/>
    <cellStyle name="Note" xfId="45" builtinId="10" customBuiltin="1"/>
    <cellStyle name="Output" xfId="46" builtinId="21" customBuiltin="1"/>
    <cellStyle name="Title" xfId="47" builtinId="15" customBuiltin="1"/>
    <cellStyle name="Total" xfId="48" builtinId="25" customBuiltin="1"/>
    <cellStyle name="Warning Text" xfId="49"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438150</xdr:colOff>
      <xdr:row>0</xdr:row>
      <xdr:rowOff>466725</xdr:rowOff>
    </xdr:to>
    <xdr:pic>
      <xdr:nvPicPr>
        <xdr:cNvPr id="8782" name="Picture 2">
          <a:extLst>
            <a:ext uri="{FF2B5EF4-FFF2-40B4-BE49-F238E27FC236}">
              <a16:creationId xmlns:a16="http://schemas.microsoft.com/office/drawing/2014/main" id="{51A6FA6D-C0D1-4CFF-8BCC-420C6E7E91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0"/>
          <a:ext cx="2076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odbridge.corp\locations\Documents%20and%20Settings\KDolan\Local%20Settings\Temporary%20Internet%20Files\OLKE1\PM-MK%20tool%20rework%20to%20WB%20line%204-4-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odbridgegroup.sharepoint.com/COSTING/Enerflex%20qq$%20drive/Costing_Pending/Lowrie/CD539%20U540%20Ford%20160825%20density%20reduction/B%20CD539%20U540%20Ford%20160825%20density%20reduc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oodbridgegroup.sharepoint.com/QUALITY/Customer%20Files/ProdCodeMasterList_Chattanoog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Tool Ship Dates"/>
      <sheetName val="Overall Status"/>
      <sheetName val="Mounting Orient."/>
    </sheetNames>
    <sheetDataSet>
      <sheetData sheetId="0" refreshError="1"/>
      <sheetData sheetId="1" refreshError="1"/>
      <sheetData sheetId="2" refreshError="1">
        <row r="1">
          <cell r="A1" t="str">
            <v>-</v>
          </cell>
          <cell r="B1" t="str">
            <v>-</v>
          </cell>
          <cell r="C1" t="str">
            <v>-</v>
          </cell>
          <cell r="D1" t="str">
            <v>-</v>
          </cell>
          <cell r="E1" t="str">
            <v>-</v>
          </cell>
          <cell r="G1" t="str">
            <v>-</v>
          </cell>
        </row>
        <row r="2">
          <cell r="A2" t="str">
            <v>PART</v>
          </cell>
          <cell r="B2" t="str">
            <v>PART</v>
          </cell>
          <cell r="C2" t="str">
            <v>REV</v>
          </cell>
          <cell r="D2" t="str">
            <v>#CAV.</v>
          </cell>
          <cell r="E2" t="str">
            <v># CAV"S.</v>
          </cell>
          <cell r="F2" t="str">
            <v># CAV"S</v>
          </cell>
          <cell r="G2" t="str">
            <v xml:space="preserve">    '# of CAVITIES Unmounted </v>
          </cell>
        </row>
        <row r="3">
          <cell r="A3" t="str">
            <v>NUMBER</v>
          </cell>
          <cell r="B3" t="str">
            <v>DESCR.</v>
          </cell>
          <cell r="C3" t="str">
            <v>LEVEL</v>
          </cell>
          <cell r="D3" t="str">
            <v>BUILT</v>
          </cell>
          <cell r="E3" t="str">
            <v>Mounted</v>
          </cell>
          <cell r="F3" t="str">
            <v>Required</v>
          </cell>
          <cell r="G3" t="str">
            <v>Ready to Transfer</v>
          </cell>
        </row>
        <row r="4">
          <cell r="G4" t="str">
            <v>Immediately</v>
          </cell>
        </row>
        <row r="5">
          <cell r="A5" t="str">
            <v>-</v>
          </cell>
          <cell r="B5" t="str">
            <v>-</v>
          </cell>
          <cell r="C5" t="str">
            <v>-</v>
          </cell>
          <cell r="D5" t="str">
            <v>-</v>
          </cell>
          <cell r="E5" t="str">
            <v>-</v>
          </cell>
          <cell r="G5" t="str">
            <v>-</v>
          </cell>
        </row>
        <row r="6">
          <cell r="A6" t="str">
            <v>TILLSONBURG FOAM PLANT</v>
          </cell>
        </row>
        <row r="9">
          <cell r="G9" t="str">
            <v>PM   49</v>
          </cell>
        </row>
        <row r="12">
          <cell r="A12">
            <v>617104</v>
          </cell>
          <cell r="B12" t="str">
            <v>FSB</v>
          </cell>
          <cell r="C12">
            <v>12</v>
          </cell>
          <cell r="D12">
            <v>10</v>
          </cell>
          <cell r="E12">
            <v>4</v>
          </cell>
          <cell r="F12">
            <v>4</v>
          </cell>
          <cell r="G12">
            <v>6</v>
          </cell>
        </row>
        <row r="13">
          <cell r="A13">
            <v>617105</v>
          </cell>
          <cell r="B13" t="str">
            <v>FSB</v>
          </cell>
          <cell r="C13">
            <v>12</v>
          </cell>
          <cell r="D13">
            <v>7</v>
          </cell>
          <cell r="E13">
            <v>4</v>
          </cell>
          <cell r="F13">
            <v>4</v>
          </cell>
          <cell r="G13">
            <v>3</v>
          </cell>
        </row>
        <row r="14">
          <cell r="A14">
            <v>618232</v>
          </cell>
          <cell r="B14" t="str">
            <v>FSC</v>
          </cell>
          <cell r="C14">
            <v>10</v>
          </cell>
          <cell r="D14">
            <v>13</v>
          </cell>
          <cell r="E14">
            <v>8</v>
          </cell>
          <cell r="F14">
            <v>8</v>
          </cell>
          <cell r="G14">
            <v>5</v>
          </cell>
        </row>
        <row r="15">
          <cell r="A15">
            <v>1236019</v>
          </cell>
          <cell r="B15" t="str">
            <v>40% RSB</v>
          </cell>
          <cell r="C15">
            <v>7</v>
          </cell>
          <cell r="D15">
            <v>6</v>
          </cell>
          <cell r="E15">
            <v>4</v>
          </cell>
          <cell r="F15">
            <v>4</v>
          </cell>
          <cell r="G15">
            <v>2</v>
          </cell>
        </row>
        <row r="16">
          <cell r="A16">
            <v>1212825</v>
          </cell>
          <cell r="B16" t="str">
            <v>60% RSB</v>
          </cell>
          <cell r="C16">
            <v>9</v>
          </cell>
          <cell r="D16">
            <v>5</v>
          </cell>
          <cell r="E16">
            <v>4</v>
          </cell>
          <cell r="F16">
            <v>4</v>
          </cell>
          <cell r="G16">
            <v>1</v>
          </cell>
        </row>
        <row r="17">
          <cell r="A17">
            <v>1154224</v>
          </cell>
          <cell r="B17" t="str">
            <v>60% RSB</v>
          </cell>
          <cell r="C17">
            <v>10</v>
          </cell>
          <cell r="D17">
            <v>2</v>
          </cell>
          <cell r="E17">
            <v>1</v>
          </cell>
          <cell r="F17">
            <v>1</v>
          </cell>
          <cell r="G17">
            <v>1</v>
          </cell>
        </row>
        <row r="18">
          <cell r="A18">
            <v>1154394</v>
          </cell>
          <cell r="B18" t="str">
            <v>40% RSB</v>
          </cell>
          <cell r="C18">
            <v>9</v>
          </cell>
          <cell r="D18">
            <v>2</v>
          </cell>
          <cell r="E18">
            <v>1</v>
          </cell>
          <cell r="F18">
            <v>1</v>
          </cell>
          <cell r="G18">
            <v>1</v>
          </cell>
        </row>
        <row r="19">
          <cell r="A19">
            <v>1298066</v>
          </cell>
          <cell r="B19" t="str">
            <v>RSC Bench</v>
          </cell>
          <cell r="C19">
            <v>5</v>
          </cell>
          <cell r="D19">
            <v>8</v>
          </cell>
          <cell r="E19">
            <v>4</v>
          </cell>
          <cell r="F19">
            <v>4</v>
          </cell>
          <cell r="G19">
            <v>4</v>
          </cell>
        </row>
        <row r="20">
          <cell r="A20">
            <v>1298062</v>
          </cell>
          <cell r="B20" t="str">
            <v>60% RSB</v>
          </cell>
          <cell r="C20">
            <v>8</v>
          </cell>
          <cell r="D20">
            <v>3</v>
          </cell>
          <cell r="E20">
            <v>1</v>
          </cell>
          <cell r="F20">
            <v>1</v>
          </cell>
          <cell r="G20">
            <v>2</v>
          </cell>
        </row>
        <row r="21">
          <cell r="A21">
            <v>1298064</v>
          </cell>
          <cell r="B21" t="str">
            <v>40% RSB</v>
          </cell>
          <cell r="C21">
            <v>7</v>
          </cell>
          <cell r="D21">
            <v>2</v>
          </cell>
          <cell r="E21">
            <v>1</v>
          </cell>
          <cell r="F21">
            <v>1</v>
          </cell>
          <cell r="G21">
            <v>1</v>
          </cell>
        </row>
        <row r="22">
          <cell r="A22">
            <v>1376132</v>
          </cell>
          <cell r="B22" t="str">
            <v xml:space="preserve">FSB LH </v>
          </cell>
          <cell r="C22">
            <v>8</v>
          </cell>
          <cell r="D22">
            <v>1</v>
          </cell>
          <cell r="E22">
            <v>1</v>
          </cell>
          <cell r="F22">
            <v>1</v>
          </cell>
          <cell r="G22">
            <v>0</v>
          </cell>
        </row>
        <row r="23">
          <cell r="A23">
            <v>1376140</v>
          </cell>
          <cell r="B23" t="str">
            <v>FSB RH</v>
          </cell>
          <cell r="C23">
            <v>8</v>
          </cell>
          <cell r="D23">
            <v>1</v>
          </cell>
          <cell r="E23">
            <v>1</v>
          </cell>
          <cell r="F23">
            <v>1</v>
          </cell>
          <cell r="G23">
            <v>0</v>
          </cell>
        </row>
        <row r="24">
          <cell r="A24">
            <v>1376152</v>
          </cell>
          <cell r="B24" t="str">
            <v>FSB RH</v>
          </cell>
          <cell r="C24">
            <v>8</v>
          </cell>
          <cell r="D24">
            <v>1</v>
          </cell>
          <cell r="E24">
            <v>1</v>
          </cell>
          <cell r="F24">
            <v>1</v>
          </cell>
          <cell r="G24">
            <v>0</v>
          </cell>
        </row>
        <row r="25">
          <cell r="A25">
            <v>1376148</v>
          </cell>
          <cell r="B25" t="str">
            <v xml:space="preserve">FSB LH </v>
          </cell>
          <cell r="C25">
            <v>8</v>
          </cell>
          <cell r="D25">
            <v>1</v>
          </cell>
          <cell r="E25">
            <v>1</v>
          </cell>
          <cell r="F25">
            <v>1</v>
          </cell>
          <cell r="G25">
            <v>0</v>
          </cell>
        </row>
        <row r="27">
          <cell r="G27" t="str">
            <v>MK  74</v>
          </cell>
        </row>
        <row r="29">
          <cell r="A29">
            <v>1304717</v>
          </cell>
          <cell r="B29" t="str">
            <v>RSC Bench</v>
          </cell>
          <cell r="C29">
            <v>10</v>
          </cell>
          <cell r="D29">
            <v>8</v>
          </cell>
          <cell r="E29">
            <v>4</v>
          </cell>
          <cell r="F29">
            <v>4</v>
          </cell>
          <cell r="G29">
            <v>4</v>
          </cell>
        </row>
        <row r="30">
          <cell r="A30">
            <v>1236029</v>
          </cell>
          <cell r="B30" t="str">
            <v>60% RSB</v>
          </cell>
          <cell r="C30">
            <v>6</v>
          </cell>
          <cell r="D30">
            <v>5</v>
          </cell>
          <cell r="E30">
            <v>2</v>
          </cell>
          <cell r="F30">
            <v>2</v>
          </cell>
          <cell r="G30">
            <v>3</v>
          </cell>
        </row>
        <row r="31">
          <cell r="A31">
            <v>616136</v>
          </cell>
          <cell r="B31" t="str">
            <v>FSB</v>
          </cell>
          <cell r="C31">
            <v>7</v>
          </cell>
          <cell r="D31">
            <v>5</v>
          </cell>
          <cell r="E31">
            <v>4</v>
          </cell>
          <cell r="F31">
            <v>4</v>
          </cell>
          <cell r="G31">
            <v>1</v>
          </cell>
        </row>
        <row r="32">
          <cell r="A32">
            <v>1236036</v>
          </cell>
          <cell r="B32" t="str">
            <v>40% RSB</v>
          </cell>
          <cell r="C32">
            <v>6</v>
          </cell>
          <cell r="D32">
            <v>5</v>
          </cell>
          <cell r="E32">
            <v>3</v>
          </cell>
          <cell r="F32">
            <v>3</v>
          </cell>
          <cell r="G32">
            <v>2</v>
          </cell>
        </row>
        <row r="33">
          <cell r="A33">
            <v>1380003</v>
          </cell>
          <cell r="B33" t="str">
            <v>FSB LH w/ SIAB</v>
          </cell>
          <cell r="C33">
            <v>7</v>
          </cell>
          <cell r="D33">
            <v>2</v>
          </cell>
          <cell r="E33">
            <v>2</v>
          </cell>
          <cell r="F33">
            <v>2</v>
          </cell>
          <cell r="G33">
            <v>0</v>
          </cell>
        </row>
        <row r="34">
          <cell r="A34">
            <v>1380614</v>
          </cell>
          <cell r="B34" t="str">
            <v>FSB FF RH w/ SIAB</v>
          </cell>
          <cell r="C34">
            <v>7</v>
          </cell>
          <cell r="D34">
            <v>2</v>
          </cell>
          <cell r="E34">
            <v>2</v>
          </cell>
          <cell r="F34">
            <v>2</v>
          </cell>
          <cell r="G34">
            <v>0</v>
          </cell>
        </row>
        <row r="35">
          <cell r="A35">
            <v>1380016</v>
          </cell>
          <cell r="B35" t="str">
            <v>FSB RH w/ SIAB</v>
          </cell>
          <cell r="C35">
            <v>6</v>
          </cell>
          <cell r="D35">
            <v>1</v>
          </cell>
          <cell r="E35">
            <v>1</v>
          </cell>
          <cell r="F35">
            <v>1</v>
          </cell>
          <cell r="G35">
            <v>0</v>
          </cell>
        </row>
        <row r="36">
          <cell r="A36">
            <v>1380331</v>
          </cell>
          <cell r="B36" t="str">
            <v>FSB FF LH w/ SIAB</v>
          </cell>
          <cell r="C36">
            <v>7</v>
          </cell>
          <cell r="D36">
            <v>1</v>
          </cell>
          <cell r="E36">
            <v>1</v>
          </cell>
          <cell r="F36">
            <v>1</v>
          </cell>
          <cell r="G36">
            <v>0</v>
          </cell>
        </row>
        <row r="37">
          <cell r="A37">
            <v>616143</v>
          </cell>
          <cell r="B37" t="str">
            <v>FSC</v>
          </cell>
          <cell r="C37">
            <v>12</v>
          </cell>
          <cell r="D37">
            <v>12</v>
          </cell>
          <cell r="E37">
            <v>10</v>
          </cell>
          <cell r="F37">
            <v>10</v>
          </cell>
          <cell r="G37">
            <v>2</v>
          </cell>
        </row>
        <row r="38">
          <cell r="A38">
            <v>616134</v>
          </cell>
          <cell r="B38" t="str">
            <v>FSB</v>
          </cell>
          <cell r="C38">
            <v>9</v>
          </cell>
          <cell r="D38">
            <v>7</v>
          </cell>
          <cell r="E38">
            <v>5</v>
          </cell>
          <cell r="F38">
            <v>5</v>
          </cell>
          <cell r="G38">
            <v>2</v>
          </cell>
        </row>
        <row r="39">
          <cell r="A39">
            <v>1235595</v>
          </cell>
          <cell r="B39" t="str">
            <v>60% RSB</v>
          </cell>
          <cell r="C39">
            <v>7</v>
          </cell>
          <cell r="D39">
            <v>2</v>
          </cell>
          <cell r="E39">
            <v>2</v>
          </cell>
          <cell r="F39">
            <v>2</v>
          </cell>
          <cell r="G39">
            <v>0</v>
          </cell>
        </row>
        <row r="40">
          <cell r="A40">
            <v>1235600</v>
          </cell>
          <cell r="B40" t="str">
            <v>40% RSB</v>
          </cell>
          <cell r="C40">
            <v>7</v>
          </cell>
          <cell r="D40">
            <v>2</v>
          </cell>
          <cell r="E40">
            <v>2</v>
          </cell>
          <cell r="F40">
            <v>2</v>
          </cell>
          <cell r="G40">
            <v>0</v>
          </cell>
        </row>
        <row r="41">
          <cell r="A41">
            <v>1304713</v>
          </cell>
          <cell r="B41" t="str">
            <v>60%  RSB H/R Dom.</v>
          </cell>
          <cell r="C41">
            <v>7</v>
          </cell>
          <cell r="D41">
            <v>2</v>
          </cell>
          <cell r="E41">
            <v>2</v>
          </cell>
          <cell r="F41">
            <v>2</v>
          </cell>
          <cell r="G41">
            <v>0</v>
          </cell>
        </row>
        <row r="42">
          <cell r="A42">
            <v>1304714</v>
          </cell>
          <cell r="B42" t="str">
            <v>40%  RSB H/R Dom.</v>
          </cell>
          <cell r="C42">
            <v>7</v>
          </cell>
          <cell r="D42">
            <v>2</v>
          </cell>
          <cell r="E42">
            <v>2</v>
          </cell>
          <cell r="F42">
            <v>2</v>
          </cell>
          <cell r="G42">
            <v>0</v>
          </cell>
        </row>
        <row r="51">
          <cell r="A51" t="str">
            <v>|::</v>
          </cell>
        </row>
        <row r="53">
          <cell r="B53" t="str">
            <v>Total Tools</v>
          </cell>
          <cell r="D53">
            <v>118</v>
          </cell>
          <cell r="E53">
            <v>78</v>
          </cell>
          <cell r="G53">
            <v>40</v>
          </cell>
        </row>
        <row r="72">
          <cell r="A72" t="str">
            <v>|::</v>
          </cell>
        </row>
        <row r="77">
          <cell r="G77" t="str">
            <v>Service</v>
          </cell>
        </row>
        <row r="79">
          <cell r="A79">
            <v>4244</v>
          </cell>
          <cell r="H79" t="str">
            <v>FOAM-FSB LH BASE</v>
          </cell>
          <cell r="I79" t="str">
            <v>Service?</v>
          </cell>
        </row>
        <row r="80">
          <cell r="A80">
            <v>8130</v>
          </cell>
          <cell r="H80" t="str">
            <v>PAD ASM.FSC BKT</v>
          </cell>
          <cell r="I80" t="str">
            <v>Service?</v>
          </cell>
        </row>
        <row r="81">
          <cell r="A81">
            <v>8131</v>
          </cell>
          <cell r="H81" t="str">
            <v>PAD ASM.FSC BKT</v>
          </cell>
          <cell r="I81" t="str">
            <v>Service?</v>
          </cell>
        </row>
        <row r="82">
          <cell r="A82">
            <v>8135</v>
          </cell>
          <cell r="D82">
            <v>1</v>
          </cell>
          <cell r="G82" t="str">
            <v>4</v>
          </cell>
          <cell r="H82" t="str">
            <v>VN-127</v>
          </cell>
          <cell r="I82" t="str">
            <v>Service?</v>
          </cell>
        </row>
        <row r="83">
          <cell r="A83">
            <v>8136</v>
          </cell>
          <cell r="D83">
            <v>1</v>
          </cell>
          <cell r="G83" t="str">
            <v>3</v>
          </cell>
          <cell r="H83" t="str">
            <v>VN-127</v>
          </cell>
          <cell r="I83" t="str">
            <v>Service?</v>
          </cell>
        </row>
        <row r="84">
          <cell r="A84">
            <v>3558</v>
          </cell>
          <cell r="H84" t="str">
            <v>PAD ASM.RSCBEN3RDFOAMPAS</v>
          </cell>
          <cell r="I84" t="str">
            <v>Service?</v>
          </cell>
        </row>
        <row r="85">
          <cell r="A85">
            <v>5954</v>
          </cell>
          <cell r="H85" t="str">
            <v>PAD ASM.RSB BKT 3PASS LH</v>
          </cell>
          <cell r="I85" t="str">
            <v>Service?</v>
          </cell>
        </row>
        <row r="86">
          <cell r="A86">
            <v>5957</v>
          </cell>
          <cell r="D86">
            <v>1</v>
          </cell>
          <cell r="G86" t="str">
            <v>2</v>
          </cell>
          <cell r="H86" t="str">
            <v>VN-127</v>
          </cell>
          <cell r="I86" t="str">
            <v>Service?</v>
          </cell>
        </row>
        <row r="87">
          <cell r="A87">
            <v>5959</v>
          </cell>
          <cell r="D87">
            <v>1</v>
          </cell>
          <cell r="G87" t="str">
            <v>2</v>
          </cell>
          <cell r="H87" t="str">
            <v>VN-127</v>
          </cell>
          <cell r="I87" t="str">
            <v>Service?</v>
          </cell>
        </row>
        <row r="88">
          <cell r="A88">
            <v>5960</v>
          </cell>
          <cell r="H88" t="str">
            <v>PAD.RSC BKT 2ND 3PASS</v>
          </cell>
          <cell r="I88" t="str">
            <v>Service?</v>
          </cell>
        </row>
        <row r="89">
          <cell r="A89">
            <v>4569</v>
          </cell>
          <cell r="H89" t="str">
            <v>RSB 65% FOAM PAD</v>
          </cell>
          <cell r="I89" t="str">
            <v>Service?</v>
          </cell>
        </row>
        <row r="90">
          <cell r="A90">
            <v>4593</v>
          </cell>
          <cell r="H90" t="str">
            <v>RSC 35% FOAM PAD</v>
          </cell>
          <cell r="I90" t="str">
            <v>Service?</v>
          </cell>
        </row>
        <row r="91">
          <cell r="A91">
            <v>4614</v>
          </cell>
          <cell r="H91" t="str">
            <v>FSC FOAM</v>
          </cell>
          <cell r="I91" t="str">
            <v>Service?</v>
          </cell>
        </row>
        <row r="92">
          <cell r="A92">
            <v>4625</v>
          </cell>
          <cell r="H92" t="str">
            <v>FSB HI-BACK FOAM</v>
          </cell>
          <cell r="I92" t="str">
            <v>Service?</v>
          </cell>
        </row>
        <row r="93">
          <cell r="A93">
            <v>4629</v>
          </cell>
          <cell r="H93" t="str">
            <v>FSB LO-BACK FOAM</v>
          </cell>
          <cell r="I93" t="str">
            <v>Service?</v>
          </cell>
        </row>
        <row r="94">
          <cell r="A94">
            <v>3854</v>
          </cell>
          <cell r="H94" t="str">
            <v>PAD, BCK, BKT, FRT</v>
          </cell>
          <cell r="I94" t="str">
            <v>Service?</v>
          </cell>
        </row>
        <row r="95">
          <cell r="A95">
            <v>5929</v>
          </cell>
          <cell r="H95" t="str">
            <v>PAD ASM.CSH BKT FRT RH</v>
          </cell>
          <cell r="I95" t="str">
            <v>Service?</v>
          </cell>
        </row>
        <row r="96">
          <cell r="A96">
            <v>3694</v>
          </cell>
          <cell r="H96" t="str">
            <v>RSC RH ELEMENT WG 2007</v>
          </cell>
          <cell r="I96" t="str">
            <v>Service?</v>
          </cell>
        </row>
        <row r="97">
          <cell r="A97">
            <v>6199</v>
          </cell>
          <cell r="H97" t="str">
            <v>FSBRH ACURA XN 07 MODEL</v>
          </cell>
          <cell r="I97" t="str">
            <v>Service?</v>
          </cell>
        </row>
        <row r="98">
          <cell r="A98">
            <v>4030</v>
          </cell>
          <cell r="H98" t="str">
            <v>FSBRH ACURA XN 07 MODEL</v>
          </cell>
          <cell r="I98" t="str">
            <v>Service?</v>
          </cell>
        </row>
        <row r="99">
          <cell r="A99">
            <v>7890</v>
          </cell>
          <cell r="H99" t="str">
            <v>PAD ASM.RSC 60% 2ND 65%</v>
          </cell>
          <cell r="I99" t="str">
            <v>Service?</v>
          </cell>
        </row>
        <row r="100">
          <cell r="A100">
            <v>9409</v>
          </cell>
          <cell r="H100" t="str">
            <v>PAD ASM.FSC BKTPWRDRV LH</v>
          </cell>
          <cell r="I100" t="str">
            <v>Service?</v>
          </cell>
        </row>
        <row r="101">
          <cell r="A101">
            <v>3399</v>
          </cell>
          <cell r="H101" t="str">
            <v>GM 360 05 PAD ASM,</v>
          </cell>
          <cell r="I101" t="str">
            <v>Service?</v>
          </cell>
        </row>
        <row r="102">
          <cell r="A102">
            <v>3621</v>
          </cell>
          <cell r="H102" t="str">
            <v>GM 360 05 PAD ASM,</v>
          </cell>
          <cell r="I102" t="str">
            <v>Service?</v>
          </cell>
        </row>
        <row r="103">
          <cell r="A103">
            <v>9043</v>
          </cell>
          <cell r="H103" t="str">
            <v>GM 360 05 PAD ASM,</v>
          </cell>
          <cell r="I103" t="str">
            <v>Service?</v>
          </cell>
        </row>
        <row r="104">
          <cell r="A104">
            <v>4243</v>
          </cell>
          <cell r="D104">
            <v>1</v>
          </cell>
          <cell r="G104" t="str">
            <v>6</v>
          </cell>
          <cell r="H104" t="str">
            <v>VN-127</v>
          </cell>
        </row>
        <row r="105">
          <cell r="A105" t="str">
            <v>8133</v>
          </cell>
          <cell r="D105">
            <v>1</v>
          </cell>
          <cell r="G105" t="str">
            <v>4</v>
          </cell>
          <cell r="H105" t="str">
            <v>VN-127</v>
          </cell>
        </row>
        <row r="106">
          <cell r="A106" t="str">
            <v>9966</v>
          </cell>
          <cell r="D106">
            <v>1</v>
          </cell>
          <cell r="G106" t="str">
            <v>2</v>
          </cell>
          <cell r="H106" t="str">
            <v>VN-127</v>
          </cell>
        </row>
        <row r="107">
          <cell r="A107" t="str">
            <v>9968</v>
          </cell>
          <cell r="D107">
            <v>1</v>
          </cell>
          <cell r="G107" t="str">
            <v>3</v>
          </cell>
          <cell r="H107" t="str">
            <v>VN-127</v>
          </cell>
        </row>
        <row r="108">
          <cell r="A108" t="str">
            <v>0186</v>
          </cell>
          <cell r="D108">
            <v>1</v>
          </cell>
          <cell r="G108" t="str">
            <v>1</v>
          </cell>
          <cell r="H108" t="str">
            <v>VN-127</v>
          </cell>
        </row>
        <row r="109">
          <cell r="A109" t="str">
            <v>0191</v>
          </cell>
          <cell r="D109">
            <v>1</v>
          </cell>
          <cell r="G109" t="str">
            <v>1</v>
          </cell>
          <cell r="H109" t="str">
            <v>VN-127</v>
          </cell>
        </row>
        <row r="110">
          <cell r="A110" t="str">
            <v>5588</v>
          </cell>
          <cell r="D110">
            <v>1</v>
          </cell>
          <cell r="G110" t="str">
            <v>1</v>
          </cell>
          <cell r="H110" t="str">
            <v>VN-127</v>
          </cell>
        </row>
        <row r="111">
          <cell r="A111" t="str">
            <v>6966</v>
          </cell>
          <cell r="D111">
            <v>1</v>
          </cell>
          <cell r="G111" t="str">
            <v>1</v>
          </cell>
          <cell r="H111" t="str">
            <v>VN-127</v>
          </cell>
        </row>
        <row r="112">
          <cell r="A112" t="str">
            <v>6970</v>
          </cell>
          <cell r="D112">
            <v>1</v>
          </cell>
          <cell r="G112" t="str">
            <v>1</v>
          </cell>
          <cell r="H112" t="str">
            <v>VN-127</v>
          </cell>
        </row>
        <row r="113">
          <cell r="A113" t="str">
            <v>6980</v>
          </cell>
          <cell r="D113">
            <v>1</v>
          </cell>
          <cell r="G113" t="str">
            <v>1</v>
          </cell>
          <cell r="H113" t="str">
            <v>VN-127</v>
          </cell>
        </row>
        <row r="114">
          <cell r="A114" t="str">
            <v>6989</v>
          </cell>
          <cell r="D114">
            <v>1</v>
          </cell>
          <cell r="G114" t="str">
            <v>1</v>
          </cell>
          <cell r="H114" t="str">
            <v>VN-127</v>
          </cell>
        </row>
        <row r="115">
          <cell r="A115" t="str">
            <v>2860</v>
          </cell>
          <cell r="D115">
            <v>1</v>
          </cell>
          <cell r="G115" t="str">
            <v>7</v>
          </cell>
          <cell r="H115" t="str">
            <v>VN-127</v>
          </cell>
        </row>
        <row r="116">
          <cell r="A116" t="str">
            <v>4470</v>
          </cell>
          <cell r="D116">
            <v>1</v>
          </cell>
          <cell r="G116" t="str">
            <v>7</v>
          </cell>
          <cell r="H116" t="str">
            <v>VN-127</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S"/>
      <sheetName val="Quick check"/>
      <sheetName val="ROGA Calc"/>
      <sheetName val="Data"/>
      <sheetName val="Sales Inquiry"/>
      <sheetName val="Cost_Est"/>
      <sheetName val="Tool Sum"/>
      <sheetName val="Pack"/>
      <sheetName val="BOM"/>
      <sheetName val="Tool work"/>
      <sheetName val="Tool break"/>
      <sheetName val="QUOTE"/>
      <sheetName val="Summary"/>
      <sheetName val="AWARD (internal only)"/>
      <sheetName val="Assump Auto"/>
      <sheetName val="Assump Pack"/>
      <sheetName val="Feasibility"/>
      <sheetName val="RFQ TRACKER"/>
      <sheetName val="Version"/>
    </sheetNames>
    <sheetDataSet>
      <sheetData sheetId="0" refreshError="1"/>
      <sheetData sheetId="1" refreshError="1"/>
      <sheetData sheetId="2" refreshError="1"/>
      <sheetData sheetId="3">
        <row r="163">
          <cell r="A163" t="str">
            <v>CS_ELT</v>
          </cell>
          <cell r="B163">
            <v>1</v>
          </cell>
          <cell r="C163">
            <v>0</v>
          </cell>
          <cell r="D163">
            <v>0</v>
          </cell>
          <cell r="E163">
            <v>0</v>
          </cell>
          <cell r="F163">
            <v>12</v>
          </cell>
          <cell r="G163">
            <v>0</v>
          </cell>
          <cell r="H163">
            <v>2.5000000000000001E-2</v>
          </cell>
          <cell r="I163">
            <v>0</v>
          </cell>
          <cell r="J163" t="str">
            <v>45.25X13X10</v>
          </cell>
          <cell r="K163">
            <v>45.25</v>
          </cell>
          <cell r="L163">
            <v>13</v>
          </cell>
          <cell r="M163">
            <v>10</v>
          </cell>
        </row>
        <row r="164">
          <cell r="A164" t="str">
            <v>CS_EMT</v>
          </cell>
          <cell r="B164">
            <v>1</v>
          </cell>
          <cell r="C164">
            <v>0</v>
          </cell>
          <cell r="D164">
            <v>0</v>
          </cell>
          <cell r="E164">
            <v>0</v>
          </cell>
          <cell r="F164">
            <v>12</v>
          </cell>
          <cell r="G164">
            <v>0</v>
          </cell>
          <cell r="H164">
            <v>2.5000000000000001E-2</v>
          </cell>
          <cell r="I164">
            <v>0</v>
          </cell>
          <cell r="J164" t="str">
            <v>21.4X20.5X13.8</v>
          </cell>
          <cell r="K164">
            <v>21.4</v>
          </cell>
          <cell r="L164">
            <v>20.5</v>
          </cell>
          <cell r="M164">
            <v>13.8</v>
          </cell>
        </row>
        <row r="165">
          <cell r="A165" t="str">
            <v>CS_PST</v>
          </cell>
          <cell r="B165">
            <v>1</v>
          </cell>
          <cell r="C165">
            <v>0</v>
          </cell>
          <cell r="D165">
            <v>0</v>
          </cell>
          <cell r="E165">
            <v>0</v>
          </cell>
          <cell r="F165">
            <v>16</v>
          </cell>
          <cell r="G165">
            <v>0</v>
          </cell>
          <cell r="H165">
            <v>2.5000000000000001E-2</v>
          </cell>
          <cell r="I165">
            <v>0</v>
          </cell>
          <cell r="J165" t="str">
            <v>21.4X20.5X10</v>
          </cell>
          <cell r="K165">
            <v>21.4</v>
          </cell>
          <cell r="L165">
            <v>20.5</v>
          </cell>
          <cell r="M165">
            <v>10</v>
          </cell>
        </row>
        <row r="166">
          <cell r="A166" t="str">
            <v>CS_TSP</v>
          </cell>
          <cell r="B166">
            <v>1</v>
          </cell>
          <cell r="C166">
            <v>0</v>
          </cell>
          <cell r="D166">
            <v>0</v>
          </cell>
          <cell r="E166">
            <v>0</v>
          </cell>
          <cell r="F166">
            <v>1</v>
          </cell>
          <cell r="G166">
            <v>0</v>
          </cell>
          <cell r="H166">
            <v>2.5000000000000001E-2</v>
          </cell>
          <cell r="I166">
            <v>0</v>
          </cell>
          <cell r="J166" t="str">
            <v>60x45x42</v>
          </cell>
          <cell r="K166">
            <v>60</v>
          </cell>
          <cell r="L166">
            <v>45</v>
          </cell>
          <cell r="M166">
            <v>42</v>
          </cell>
        </row>
        <row r="167">
          <cell r="A167" t="str">
            <v>CS_WICSP</v>
          </cell>
          <cell r="B167">
            <v>1</v>
          </cell>
          <cell r="C167">
            <v>0</v>
          </cell>
          <cell r="D167">
            <v>0</v>
          </cell>
          <cell r="E167">
            <v>0</v>
          </cell>
          <cell r="F167">
            <v>1</v>
          </cell>
          <cell r="G167">
            <v>0</v>
          </cell>
          <cell r="H167">
            <v>2.5000000000000001E-2</v>
          </cell>
          <cell r="I167">
            <v>0</v>
          </cell>
          <cell r="J167" t="str">
            <v>63X48X34</v>
          </cell>
          <cell r="K167">
            <v>63</v>
          </cell>
          <cell r="L167">
            <v>48</v>
          </cell>
          <cell r="M167">
            <v>34</v>
          </cell>
        </row>
        <row r="168">
          <cell r="A168" t="str">
            <v>CS_XTL (Black Beauty)</v>
          </cell>
          <cell r="B168">
            <v>1</v>
          </cell>
          <cell r="C168">
            <v>0</v>
          </cell>
          <cell r="D168">
            <v>0</v>
          </cell>
          <cell r="E168">
            <v>0</v>
          </cell>
          <cell r="F168">
            <v>1</v>
          </cell>
          <cell r="G168">
            <v>0</v>
          </cell>
          <cell r="H168">
            <v>0.16500000000000001</v>
          </cell>
          <cell r="I168">
            <v>0</v>
          </cell>
          <cell r="J168" t="str">
            <v>44.5X41.5X43.3</v>
          </cell>
          <cell r="K168">
            <v>44.5</v>
          </cell>
          <cell r="L168">
            <v>41.5</v>
          </cell>
          <cell r="M168">
            <v>43.3</v>
          </cell>
        </row>
        <row r="169">
          <cell r="A169" t="str">
            <v>CS_XYTEC</v>
          </cell>
          <cell r="B169">
            <v>1</v>
          </cell>
          <cell r="C169">
            <v>0</v>
          </cell>
          <cell r="D169">
            <v>0</v>
          </cell>
          <cell r="E169">
            <v>0</v>
          </cell>
          <cell r="F169">
            <v>1</v>
          </cell>
          <cell r="G169">
            <v>0</v>
          </cell>
          <cell r="H169">
            <v>0.16500000000000001</v>
          </cell>
          <cell r="I169">
            <v>0</v>
          </cell>
          <cell r="J169" t="str">
            <v>44.5X41.5X28</v>
          </cell>
          <cell r="K169">
            <v>44.5</v>
          </cell>
          <cell r="L169">
            <v>41.5</v>
          </cell>
          <cell r="M169">
            <v>28</v>
          </cell>
        </row>
        <row r="170">
          <cell r="A170" t="str">
            <v>CS_XYTECLRG</v>
          </cell>
          <cell r="B170">
            <v>1</v>
          </cell>
          <cell r="C170">
            <v>0</v>
          </cell>
          <cell r="D170">
            <v>0</v>
          </cell>
          <cell r="E170">
            <v>0</v>
          </cell>
          <cell r="F170">
            <v>1</v>
          </cell>
          <cell r="G170">
            <v>0</v>
          </cell>
          <cell r="H170">
            <v>0.16500000000000001</v>
          </cell>
          <cell r="I170">
            <v>0</v>
          </cell>
          <cell r="J170" t="str">
            <v>61x44.5x26.5</v>
          </cell>
          <cell r="K170">
            <v>61</v>
          </cell>
          <cell r="L170">
            <v>44.5</v>
          </cell>
          <cell r="M170">
            <v>26.5</v>
          </cell>
        </row>
        <row r="171">
          <cell r="A171" t="str">
            <v>CS_XYTECMED</v>
          </cell>
          <cell r="B171">
            <v>1</v>
          </cell>
          <cell r="C171">
            <v>0</v>
          </cell>
          <cell r="D171">
            <v>0</v>
          </cell>
          <cell r="E171">
            <v>0</v>
          </cell>
          <cell r="F171">
            <v>1</v>
          </cell>
          <cell r="G171">
            <v>0</v>
          </cell>
          <cell r="H171">
            <v>0.16500000000000001</v>
          </cell>
          <cell r="I171">
            <v>0</v>
          </cell>
          <cell r="J171" t="str">
            <v>44.5X41.5X18.9</v>
          </cell>
          <cell r="K171">
            <v>44.5</v>
          </cell>
          <cell r="L171">
            <v>41.5</v>
          </cell>
          <cell r="M171">
            <v>18.899999999999999</v>
          </cell>
        </row>
        <row r="172">
          <cell r="A172" t="str">
            <v>CS_XYTECSMALL</v>
          </cell>
          <cell r="B172">
            <v>1</v>
          </cell>
          <cell r="C172">
            <v>0</v>
          </cell>
          <cell r="D172">
            <v>0</v>
          </cell>
          <cell r="E172">
            <v>0</v>
          </cell>
          <cell r="F172">
            <v>1</v>
          </cell>
          <cell r="G172">
            <v>0</v>
          </cell>
          <cell r="H172">
            <v>0.16500000000000001</v>
          </cell>
          <cell r="I172">
            <v>0</v>
          </cell>
          <cell r="J172" t="str">
            <v>28.5X26.5X26.5</v>
          </cell>
          <cell r="K172">
            <v>28.5</v>
          </cell>
          <cell r="L172">
            <v>26.5</v>
          </cell>
          <cell r="M172">
            <v>26.5</v>
          </cell>
        </row>
        <row r="173">
          <cell r="A173" t="str">
            <v>D12M P021275</v>
          </cell>
          <cell r="B173">
            <v>0</v>
          </cell>
          <cell r="C173">
            <v>10</v>
          </cell>
          <cell r="D173">
            <v>0.56100000000000005</v>
          </cell>
          <cell r="E173">
            <v>2.2999999999999998</v>
          </cell>
          <cell r="F173">
            <v>12</v>
          </cell>
          <cell r="G173">
            <v>38.161000000000001</v>
          </cell>
          <cell r="H173">
            <v>0.108333333</v>
          </cell>
          <cell r="I173">
            <v>0</v>
          </cell>
          <cell r="J173" t="str">
            <v>22X23X21</v>
          </cell>
          <cell r="K173">
            <v>22</v>
          </cell>
          <cell r="L173">
            <v>23</v>
          </cell>
          <cell r="M173">
            <v>21</v>
          </cell>
        </row>
        <row r="174">
          <cell r="A174" t="str">
            <v>D13M P021274</v>
          </cell>
          <cell r="B174">
            <v>0</v>
          </cell>
          <cell r="C174">
            <v>10</v>
          </cell>
          <cell r="D174">
            <v>0.56100000000000005</v>
          </cell>
          <cell r="E174">
            <v>4.9000000000000004</v>
          </cell>
          <cell r="F174">
            <v>6</v>
          </cell>
          <cell r="G174">
            <v>39.960999999999999</v>
          </cell>
          <cell r="H174">
            <v>0.10829999999999999</v>
          </cell>
          <cell r="I174">
            <v>0</v>
          </cell>
          <cell r="J174" t="str">
            <v>48X22X21</v>
          </cell>
          <cell r="K174">
            <v>48</v>
          </cell>
          <cell r="L174">
            <v>22</v>
          </cell>
          <cell r="M174">
            <v>21</v>
          </cell>
        </row>
        <row r="175">
          <cell r="A175" t="str">
            <v>D33 P021286</v>
          </cell>
          <cell r="B175">
            <v>0</v>
          </cell>
          <cell r="C175">
            <v>10</v>
          </cell>
          <cell r="D175">
            <v>0.56100000000000005</v>
          </cell>
          <cell r="E175">
            <v>2.0499999999999998</v>
          </cell>
          <cell r="F175">
            <v>16</v>
          </cell>
          <cell r="G175">
            <v>43.360999999999997</v>
          </cell>
          <cell r="H175">
            <v>0.10829999999999999</v>
          </cell>
          <cell r="I175">
            <v>0</v>
          </cell>
          <cell r="J175" t="str">
            <v>23.5x22.375x14.5</v>
          </cell>
          <cell r="K175">
            <v>23.5</v>
          </cell>
          <cell r="L175">
            <v>22.375</v>
          </cell>
          <cell r="M175">
            <v>14.5</v>
          </cell>
        </row>
        <row r="176">
          <cell r="A176" t="str">
            <v>D42</v>
          </cell>
          <cell r="B176">
            <v>0</v>
          </cell>
          <cell r="C176">
            <v>10</v>
          </cell>
          <cell r="D176">
            <v>0.56100000000000005</v>
          </cell>
          <cell r="E176">
            <v>34</v>
          </cell>
          <cell r="F176">
            <v>1</v>
          </cell>
          <cell r="G176">
            <v>44.561</v>
          </cell>
          <cell r="H176">
            <v>0.10829999999999999</v>
          </cell>
          <cell r="I176">
            <v>0</v>
          </cell>
          <cell r="J176" t="str">
            <v>64x44x40</v>
          </cell>
          <cell r="K176">
            <v>64</v>
          </cell>
          <cell r="L176">
            <v>44</v>
          </cell>
          <cell r="M176">
            <v>40</v>
          </cell>
        </row>
        <row r="177">
          <cell r="A177" t="str">
            <v>D84M P021284</v>
          </cell>
          <cell r="B177">
            <v>0</v>
          </cell>
          <cell r="C177">
            <v>10</v>
          </cell>
          <cell r="D177">
            <v>0.56100000000000005</v>
          </cell>
          <cell r="E177">
            <v>2.16</v>
          </cell>
          <cell r="F177">
            <v>8</v>
          </cell>
          <cell r="G177">
            <v>27.841000000000001</v>
          </cell>
          <cell r="H177">
            <v>0.10829999999999999</v>
          </cell>
          <cell r="I177">
            <v>0</v>
          </cell>
          <cell r="J177" t="str">
            <v>23.5x22.0625x31</v>
          </cell>
          <cell r="K177">
            <v>23.5</v>
          </cell>
          <cell r="L177">
            <v>22.0625</v>
          </cell>
          <cell r="M177">
            <v>31</v>
          </cell>
        </row>
        <row r="178">
          <cell r="A178" t="str">
            <v>DPretoria</v>
          </cell>
          <cell r="B178">
            <v>0</v>
          </cell>
          <cell r="C178">
            <v>10</v>
          </cell>
          <cell r="D178">
            <v>0.56100000000000005</v>
          </cell>
          <cell r="E178">
            <v>42.32</v>
          </cell>
          <cell r="F178">
            <v>1</v>
          </cell>
          <cell r="G178">
            <v>52.881</v>
          </cell>
          <cell r="H178">
            <v>0.10829999999999999</v>
          </cell>
          <cell r="I178">
            <v>0</v>
          </cell>
          <cell r="J178" t="str">
            <v>52x40x44</v>
          </cell>
          <cell r="K178">
            <v>52</v>
          </cell>
          <cell r="L178">
            <v>40</v>
          </cell>
          <cell r="M178">
            <v>44</v>
          </cell>
        </row>
        <row r="179">
          <cell r="A179" t="str">
            <v>DSPAN</v>
          </cell>
          <cell r="B179">
            <v>0</v>
          </cell>
          <cell r="C179">
            <v>10</v>
          </cell>
          <cell r="D179">
            <v>0.56100000000000005</v>
          </cell>
          <cell r="E179">
            <v>3.29</v>
          </cell>
          <cell r="F179">
            <v>9</v>
          </cell>
          <cell r="G179">
            <v>40.170999999999999</v>
          </cell>
          <cell r="H179">
            <v>0.10833333333333334</v>
          </cell>
          <cell r="I179">
            <v>0</v>
          </cell>
          <cell r="J179" t="str">
            <v>48x15x11</v>
          </cell>
          <cell r="K179">
            <v>48</v>
          </cell>
          <cell r="L179">
            <v>15</v>
          </cell>
          <cell r="M179">
            <v>11</v>
          </cell>
        </row>
        <row r="180">
          <cell r="A180" t="str">
            <v>DTomato</v>
          </cell>
          <cell r="B180">
            <v>0</v>
          </cell>
          <cell r="C180">
            <v>10</v>
          </cell>
          <cell r="D180">
            <v>0.56100000000000005</v>
          </cell>
          <cell r="E180">
            <v>2.2799999999999998</v>
          </cell>
          <cell r="F180">
            <v>16</v>
          </cell>
          <cell r="G180">
            <v>47.040999999999997</v>
          </cell>
          <cell r="H180">
            <v>0.10833333333333334</v>
          </cell>
          <cell r="I180">
            <v>0</v>
          </cell>
          <cell r="J180" t="str">
            <v>22.25X20.75X10.75</v>
          </cell>
          <cell r="K180">
            <v>22.25</v>
          </cell>
          <cell r="L180">
            <v>20.75</v>
          </cell>
          <cell r="M180">
            <v>10.75</v>
          </cell>
        </row>
        <row r="181">
          <cell r="A181" t="str">
            <v>ELT</v>
          </cell>
          <cell r="B181">
            <v>1</v>
          </cell>
          <cell r="C181">
            <v>0</v>
          </cell>
          <cell r="D181">
            <v>0</v>
          </cell>
          <cell r="E181">
            <v>0</v>
          </cell>
          <cell r="F181">
            <v>12</v>
          </cell>
          <cell r="G181">
            <v>0</v>
          </cell>
          <cell r="H181">
            <v>2.5000000000000001E-2</v>
          </cell>
          <cell r="I181">
            <v>27.6</v>
          </cell>
          <cell r="J181" t="str">
            <v>45.25X13X10</v>
          </cell>
          <cell r="K181">
            <v>45.25</v>
          </cell>
          <cell r="L181">
            <v>13</v>
          </cell>
          <cell r="M181">
            <v>10</v>
          </cell>
        </row>
        <row r="182">
          <cell r="A182" t="str">
            <v>EMT</v>
          </cell>
          <cell r="B182">
            <v>1</v>
          </cell>
          <cell r="C182">
            <v>0</v>
          </cell>
          <cell r="D182">
            <v>0</v>
          </cell>
          <cell r="E182">
            <v>0</v>
          </cell>
          <cell r="F182">
            <v>12</v>
          </cell>
          <cell r="G182">
            <v>0</v>
          </cell>
          <cell r="H182">
            <v>2.5000000000000001E-2</v>
          </cell>
          <cell r="I182">
            <v>24.53</v>
          </cell>
          <cell r="J182" t="str">
            <v>21.4x20.5x13.8</v>
          </cell>
          <cell r="K182">
            <v>21.4</v>
          </cell>
          <cell r="L182">
            <v>20.5</v>
          </cell>
          <cell r="M182">
            <v>13.8</v>
          </cell>
        </row>
        <row r="183">
          <cell r="A183" t="str">
            <v>GM 20x16x8</v>
          </cell>
          <cell r="B183">
            <v>1</v>
          </cell>
          <cell r="C183">
            <v>0</v>
          </cell>
          <cell r="D183">
            <v>0</v>
          </cell>
          <cell r="E183">
            <v>0</v>
          </cell>
          <cell r="F183">
            <v>24</v>
          </cell>
          <cell r="G183">
            <v>0</v>
          </cell>
          <cell r="H183">
            <v>2.5000000000000001E-2</v>
          </cell>
          <cell r="I183">
            <v>0</v>
          </cell>
          <cell r="J183" t="str">
            <v>20x16x8</v>
          </cell>
          <cell r="K183">
            <v>20</v>
          </cell>
          <cell r="L183">
            <v>16</v>
          </cell>
          <cell r="M183">
            <v>8</v>
          </cell>
        </row>
        <row r="184">
          <cell r="A184" t="str">
            <v>GM 24x15x8</v>
          </cell>
          <cell r="B184">
            <v>1</v>
          </cell>
          <cell r="C184">
            <v>0</v>
          </cell>
          <cell r="D184">
            <v>0</v>
          </cell>
          <cell r="E184">
            <v>0</v>
          </cell>
          <cell r="F184">
            <v>8</v>
          </cell>
          <cell r="G184">
            <v>0</v>
          </cell>
          <cell r="H184">
            <v>2.5000000000000001E-2</v>
          </cell>
          <cell r="I184">
            <v>0</v>
          </cell>
          <cell r="J184" t="str">
            <v>24x15x8</v>
          </cell>
          <cell r="K184">
            <v>24</v>
          </cell>
          <cell r="L184">
            <v>15</v>
          </cell>
          <cell r="M184">
            <v>8</v>
          </cell>
        </row>
        <row r="185">
          <cell r="A185" t="str">
            <v>GM 32x30x34</v>
          </cell>
          <cell r="B185">
            <v>1</v>
          </cell>
          <cell r="C185">
            <v>0</v>
          </cell>
          <cell r="D185">
            <v>0</v>
          </cell>
          <cell r="E185">
            <v>0</v>
          </cell>
          <cell r="F185">
            <v>2</v>
          </cell>
          <cell r="G185">
            <v>0</v>
          </cell>
          <cell r="H185">
            <v>2.5000000000000001E-2</v>
          </cell>
          <cell r="I185">
            <v>0</v>
          </cell>
          <cell r="J185" t="str">
            <v>32x30x34</v>
          </cell>
          <cell r="K185">
            <v>32</v>
          </cell>
          <cell r="L185">
            <v>30</v>
          </cell>
          <cell r="M185">
            <v>34</v>
          </cell>
        </row>
        <row r="186">
          <cell r="A186" t="str">
            <v>GM 48x15x8</v>
          </cell>
          <cell r="B186">
            <v>1</v>
          </cell>
          <cell r="C186">
            <v>0</v>
          </cell>
          <cell r="D186">
            <v>0</v>
          </cell>
          <cell r="E186">
            <v>0</v>
          </cell>
          <cell r="F186">
            <v>8</v>
          </cell>
          <cell r="G186">
            <v>0</v>
          </cell>
          <cell r="H186">
            <v>2.5000000000000001E-2</v>
          </cell>
          <cell r="I186">
            <v>0</v>
          </cell>
          <cell r="J186" t="str">
            <v>48x15x8</v>
          </cell>
          <cell r="K186">
            <v>48</v>
          </cell>
          <cell r="L186">
            <v>15</v>
          </cell>
          <cell r="M186">
            <v>8</v>
          </cell>
        </row>
        <row r="187">
          <cell r="A187" t="str">
            <v>GM 48x45x34</v>
          </cell>
          <cell r="B187">
            <v>1</v>
          </cell>
          <cell r="C187">
            <v>0</v>
          </cell>
          <cell r="D187">
            <v>0</v>
          </cell>
          <cell r="E187">
            <v>0</v>
          </cell>
          <cell r="F187">
            <v>2</v>
          </cell>
          <cell r="G187">
            <v>0</v>
          </cell>
          <cell r="H187">
            <v>2.5000000000000001E-2</v>
          </cell>
          <cell r="I187">
            <v>0</v>
          </cell>
          <cell r="J187" t="str">
            <v>48x45x34</v>
          </cell>
          <cell r="K187">
            <v>48</v>
          </cell>
          <cell r="L187">
            <v>45</v>
          </cell>
          <cell r="M187">
            <v>34</v>
          </cell>
        </row>
        <row r="188">
          <cell r="A188" t="str">
            <v>GM 63x48x34</v>
          </cell>
          <cell r="B188">
            <v>1</v>
          </cell>
          <cell r="C188">
            <v>0</v>
          </cell>
          <cell r="D188">
            <v>0</v>
          </cell>
          <cell r="E188">
            <v>0</v>
          </cell>
          <cell r="F188">
            <v>1</v>
          </cell>
          <cell r="G188">
            <v>0</v>
          </cell>
          <cell r="H188">
            <v>2.5000000000000001E-2</v>
          </cell>
          <cell r="I188">
            <v>0</v>
          </cell>
          <cell r="J188" t="str">
            <v>63X48X34</v>
          </cell>
          <cell r="K188">
            <v>63</v>
          </cell>
          <cell r="L188">
            <v>48</v>
          </cell>
          <cell r="M188">
            <v>34</v>
          </cell>
        </row>
        <row r="189">
          <cell r="A189" t="str">
            <v>P012910-IBM</v>
          </cell>
          <cell r="B189">
            <v>0</v>
          </cell>
          <cell r="C189">
            <v>10</v>
          </cell>
          <cell r="D189">
            <v>0</v>
          </cell>
          <cell r="E189">
            <v>0.44</v>
          </cell>
          <cell r="F189">
            <v>8</v>
          </cell>
          <cell r="G189">
            <v>13.52</v>
          </cell>
          <cell r="H189">
            <v>0.10829999999999999</v>
          </cell>
          <cell r="I189">
            <v>0</v>
          </cell>
          <cell r="J189" t="str">
            <v>BAG</v>
          </cell>
        </row>
        <row r="190">
          <cell r="A190" t="str">
            <v>P012913-bag WOB</v>
          </cell>
          <cell r="B190">
            <v>0</v>
          </cell>
          <cell r="C190">
            <v>10</v>
          </cell>
          <cell r="D190">
            <v>0</v>
          </cell>
          <cell r="E190">
            <v>0.5</v>
          </cell>
          <cell r="F190">
            <v>6</v>
          </cell>
          <cell r="G190">
            <v>13</v>
          </cell>
          <cell r="H190">
            <v>0.10829999999999999</v>
          </cell>
          <cell r="I190">
            <v>0</v>
          </cell>
          <cell r="J190" t="str">
            <v>BAG</v>
          </cell>
        </row>
        <row r="191">
          <cell r="A191" t="str">
            <v>P021276-box</v>
          </cell>
          <cell r="B191">
            <v>0</v>
          </cell>
          <cell r="C191">
            <v>10</v>
          </cell>
          <cell r="D191">
            <v>0.56100000000000005</v>
          </cell>
          <cell r="E191">
            <v>1.24</v>
          </cell>
          <cell r="F191">
            <v>27</v>
          </cell>
          <cell r="G191">
            <v>44.040999999999997</v>
          </cell>
          <cell r="H191">
            <v>0.10829999999999999</v>
          </cell>
          <cell r="I191">
            <v>0</v>
          </cell>
          <cell r="J191" t="str">
            <v>15.625 X 14.625 X 14</v>
          </cell>
          <cell r="K191">
            <v>15.625</v>
          </cell>
          <cell r="L191">
            <v>14.625</v>
          </cell>
          <cell r="M191">
            <v>14</v>
          </cell>
        </row>
        <row r="192">
          <cell r="A192" t="str">
            <v>P021277-box</v>
          </cell>
          <cell r="B192">
            <v>0</v>
          </cell>
          <cell r="C192">
            <v>10</v>
          </cell>
          <cell r="D192">
            <v>0.56100000000000005</v>
          </cell>
          <cell r="E192">
            <v>4.93</v>
          </cell>
          <cell r="F192">
            <v>6</v>
          </cell>
          <cell r="G192">
            <v>40.140999999999998</v>
          </cell>
          <cell r="H192">
            <v>0.10829999999999999</v>
          </cell>
          <cell r="I192">
            <v>0</v>
          </cell>
          <cell r="J192" t="str">
            <v>48.875 X 22.125 X 30</v>
          </cell>
          <cell r="K192">
            <v>48.875</v>
          </cell>
          <cell r="L192">
            <v>22.125</v>
          </cell>
          <cell r="M192">
            <v>30</v>
          </cell>
        </row>
        <row r="193">
          <cell r="A193" t="str">
            <v>P099205-skid</v>
          </cell>
          <cell r="B193">
            <v>0</v>
          </cell>
          <cell r="C193">
            <v>10</v>
          </cell>
          <cell r="D193">
            <v>0.56100000000000005</v>
          </cell>
          <cell r="E193">
            <v>0</v>
          </cell>
          <cell r="F193">
            <v>1</v>
          </cell>
          <cell r="G193">
            <v>10.561</v>
          </cell>
          <cell r="H193">
            <v>0.10829999999999999</v>
          </cell>
          <cell r="I193">
            <v>0</v>
          </cell>
          <cell r="J193" t="str">
            <v>48x45</v>
          </cell>
          <cell r="K193">
            <v>48</v>
          </cell>
          <cell r="L193">
            <v>45</v>
          </cell>
        </row>
        <row r="194">
          <cell r="A194" t="str">
            <v>PST</v>
          </cell>
          <cell r="B194">
            <v>1</v>
          </cell>
          <cell r="C194">
            <v>0</v>
          </cell>
          <cell r="D194">
            <v>0</v>
          </cell>
          <cell r="E194">
            <v>0</v>
          </cell>
          <cell r="F194">
            <v>16</v>
          </cell>
          <cell r="G194">
            <v>0</v>
          </cell>
          <cell r="H194">
            <v>2.5000000000000001E-2</v>
          </cell>
          <cell r="I194">
            <v>17.88</v>
          </cell>
          <cell r="J194" t="str">
            <v>21.4X20.5X10</v>
          </cell>
          <cell r="K194">
            <v>21.4</v>
          </cell>
          <cell r="L194">
            <v>20.5</v>
          </cell>
          <cell r="M194">
            <v>10</v>
          </cell>
        </row>
        <row r="195">
          <cell r="A195" t="str">
            <v>SB43</v>
          </cell>
          <cell r="B195">
            <v>1</v>
          </cell>
          <cell r="C195">
            <v>0</v>
          </cell>
          <cell r="D195">
            <v>0</v>
          </cell>
          <cell r="E195">
            <v>0</v>
          </cell>
          <cell r="F195">
            <v>1</v>
          </cell>
          <cell r="G195">
            <v>0</v>
          </cell>
          <cell r="H195">
            <v>0.16500000000000001</v>
          </cell>
          <cell r="I195">
            <v>140</v>
          </cell>
          <cell r="J195" t="str">
            <v>48x45x34</v>
          </cell>
          <cell r="K195">
            <v>48</v>
          </cell>
          <cell r="L195">
            <v>45</v>
          </cell>
          <cell r="M195">
            <v>34</v>
          </cell>
        </row>
        <row r="196">
          <cell r="A196" t="str">
            <v>SB67</v>
          </cell>
          <cell r="B196">
            <v>1</v>
          </cell>
          <cell r="C196">
            <v>0</v>
          </cell>
          <cell r="D196">
            <v>0</v>
          </cell>
          <cell r="E196">
            <v>0</v>
          </cell>
          <cell r="F196">
            <v>1</v>
          </cell>
          <cell r="G196">
            <v>0</v>
          </cell>
          <cell r="H196">
            <v>2.5000000000000001E-2</v>
          </cell>
          <cell r="I196">
            <v>210</v>
          </cell>
          <cell r="J196" t="str">
            <v>48x45x50</v>
          </cell>
          <cell r="K196">
            <v>48</v>
          </cell>
          <cell r="L196">
            <v>45</v>
          </cell>
          <cell r="M196">
            <v>50</v>
          </cell>
        </row>
        <row r="197">
          <cell r="A197" t="str">
            <v>ST96</v>
          </cell>
          <cell r="B197">
            <v>1</v>
          </cell>
          <cell r="C197">
            <v>0</v>
          </cell>
          <cell r="D197">
            <v>0</v>
          </cell>
          <cell r="E197">
            <v>0</v>
          </cell>
          <cell r="F197">
            <v>12</v>
          </cell>
          <cell r="G197">
            <v>0</v>
          </cell>
          <cell r="H197">
            <v>2.5000000000000001E-2</v>
          </cell>
          <cell r="I197">
            <v>23</v>
          </cell>
          <cell r="J197" t="str">
            <v>24x22x14.5</v>
          </cell>
          <cell r="K197">
            <v>24</v>
          </cell>
          <cell r="L197">
            <v>22</v>
          </cell>
          <cell r="M197">
            <v>14.4</v>
          </cell>
        </row>
        <row r="198">
          <cell r="A198" t="str">
            <v>WICSP</v>
          </cell>
          <cell r="B198">
            <v>1</v>
          </cell>
          <cell r="C198">
            <v>0</v>
          </cell>
          <cell r="D198">
            <v>0</v>
          </cell>
          <cell r="E198">
            <v>0</v>
          </cell>
          <cell r="F198">
            <v>1</v>
          </cell>
          <cell r="G198">
            <v>0</v>
          </cell>
          <cell r="H198">
            <v>2.5000000000000001E-2</v>
          </cell>
          <cell r="I198">
            <v>255</v>
          </cell>
          <cell r="J198" t="str">
            <v>63X48X34</v>
          </cell>
          <cell r="K198">
            <v>63</v>
          </cell>
          <cell r="L198">
            <v>48</v>
          </cell>
          <cell r="M198">
            <v>34</v>
          </cell>
        </row>
        <row r="199">
          <cell r="A199" t="str">
            <v>XYTEC</v>
          </cell>
          <cell r="B199">
            <v>1</v>
          </cell>
          <cell r="C199">
            <v>0</v>
          </cell>
          <cell r="D199">
            <v>0</v>
          </cell>
          <cell r="E199">
            <v>0</v>
          </cell>
          <cell r="F199">
            <v>1</v>
          </cell>
          <cell r="G199">
            <v>0</v>
          </cell>
          <cell r="H199">
            <v>0.16500000000000001</v>
          </cell>
          <cell r="I199">
            <v>170</v>
          </cell>
          <cell r="J199" t="str">
            <v>44.5X41.5X28</v>
          </cell>
          <cell r="K199">
            <v>44.5</v>
          </cell>
          <cell r="L199">
            <v>41.5</v>
          </cell>
          <cell r="M199">
            <v>28</v>
          </cell>
        </row>
        <row r="200">
          <cell r="A200" t="str">
            <v>XYTECMED</v>
          </cell>
          <cell r="B200">
            <v>1</v>
          </cell>
          <cell r="C200">
            <v>0</v>
          </cell>
          <cell r="D200">
            <v>0</v>
          </cell>
          <cell r="E200">
            <v>0</v>
          </cell>
          <cell r="F200">
            <v>1</v>
          </cell>
          <cell r="G200">
            <v>0</v>
          </cell>
          <cell r="H200">
            <v>0.16500000000000001</v>
          </cell>
          <cell r="I200">
            <v>160</v>
          </cell>
          <cell r="J200" t="str">
            <v>44.5X41.5X18.9</v>
          </cell>
          <cell r="K200">
            <v>44.5</v>
          </cell>
          <cell r="L200">
            <v>41.5</v>
          </cell>
          <cell r="M200">
            <v>18.899999999999999</v>
          </cell>
        </row>
        <row r="201">
          <cell r="A201" t="str">
            <v>XYTECSMALL</v>
          </cell>
          <cell r="B201">
            <v>1</v>
          </cell>
          <cell r="C201">
            <v>0</v>
          </cell>
          <cell r="D201">
            <v>0</v>
          </cell>
          <cell r="E201">
            <v>0</v>
          </cell>
          <cell r="F201">
            <v>1</v>
          </cell>
          <cell r="G201">
            <v>0</v>
          </cell>
          <cell r="H201">
            <v>0.16500000000000001</v>
          </cell>
          <cell r="I201">
            <v>138</v>
          </cell>
          <cell r="J201" t="str">
            <v>28.5X26.5X26.5</v>
          </cell>
          <cell r="K201">
            <v>28.5</v>
          </cell>
          <cell r="L201">
            <v>26.5</v>
          </cell>
          <cell r="M201">
            <v>26.5</v>
          </cell>
        </row>
      </sheetData>
      <sheetData sheetId="4"/>
      <sheetData sheetId="5"/>
      <sheetData sheetId="6"/>
      <sheetData sheetId="7"/>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 Master List"/>
      <sheetName val="Lists"/>
      <sheetName val="Changes, bugs list"/>
    </sheetNames>
    <sheetDataSet>
      <sheetData sheetId="0"/>
      <sheetData sheetId="1">
        <row r="3">
          <cell r="D3" t="e">
            <v>#REF!</v>
          </cell>
        </row>
        <row r="4">
          <cell r="D4" t="e">
            <v>#REF!</v>
          </cell>
        </row>
        <row r="5">
          <cell r="D5" t="e">
            <v>#REF!</v>
          </cell>
        </row>
        <row r="6">
          <cell r="D6" t="e">
            <v>#REF!</v>
          </cell>
        </row>
        <row r="7">
          <cell r="D7" t="e">
            <v>#REF!</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6"/>
  <sheetViews>
    <sheetView showGridLines="0" showZeros="0" tabSelected="1" zoomScaleNormal="100" workbookViewId="0">
      <selection activeCell="D14" sqref="D14"/>
    </sheetView>
  </sheetViews>
  <sheetFormatPr defaultColWidth="9.140625" defaultRowHeight="12.75" x14ac:dyDescent="0.2"/>
  <cols>
    <col min="1" max="1" width="4" style="4" bestFit="1" customWidth="1"/>
    <col min="2" max="2" width="3.28515625" style="4" customWidth="1"/>
    <col min="3" max="3" width="24.5703125" style="7" customWidth="1"/>
    <col min="4" max="4" width="30.5703125" style="4" customWidth="1"/>
    <col min="5" max="5" width="22.28515625" style="4" customWidth="1"/>
    <col min="6" max="6" width="15.42578125" style="4" customWidth="1"/>
    <col min="7" max="7" width="10.85546875" style="4" customWidth="1"/>
    <col min="8" max="8" width="9.42578125" style="4" customWidth="1"/>
    <col min="9" max="9" width="12.42578125" style="4" customWidth="1"/>
    <col min="10" max="10" width="9.28515625" style="4" customWidth="1"/>
    <col min="11" max="11" width="9.7109375" style="4" customWidth="1"/>
    <col min="12" max="16384" width="9.140625" style="4"/>
  </cols>
  <sheetData>
    <row r="1" spans="1:13" ht="38.25" customHeight="1" x14ac:dyDescent="0.2">
      <c r="A1" s="21"/>
      <c r="B1" s="21"/>
      <c r="C1" s="3"/>
      <c r="D1" s="5"/>
      <c r="E1" s="5"/>
      <c r="F1" s="3"/>
      <c r="G1" s="86" t="s">
        <v>21</v>
      </c>
      <c r="H1" s="86"/>
      <c r="I1" s="86"/>
      <c r="J1" s="33"/>
      <c r="K1" s="21"/>
    </row>
    <row r="2" spans="1:13" ht="15" customHeight="1" x14ac:dyDescent="0.3">
      <c r="A2" s="21"/>
      <c r="B2" s="21"/>
      <c r="C2" s="14" t="s">
        <v>0</v>
      </c>
      <c r="D2" s="5"/>
      <c r="E2" s="97"/>
      <c r="F2" s="3"/>
      <c r="G2" s="93" t="s">
        <v>15</v>
      </c>
      <c r="H2" s="94"/>
      <c r="I2" s="77"/>
      <c r="J2" s="47"/>
      <c r="K2" s="21"/>
    </row>
    <row r="3" spans="1:13" ht="13.5" customHeight="1" x14ac:dyDescent="0.3">
      <c r="A3" s="21"/>
      <c r="B3" s="21"/>
      <c r="C3" s="15" t="s">
        <v>37</v>
      </c>
      <c r="D3" s="5"/>
      <c r="E3" s="97"/>
      <c r="F3" s="3"/>
      <c r="G3" s="94"/>
      <c r="H3" s="94"/>
      <c r="I3" s="47"/>
      <c r="J3" s="47"/>
      <c r="K3" s="21"/>
    </row>
    <row r="4" spans="1:13" ht="13.5" customHeight="1" x14ac:dyDescent="0.35">
      <c r="A4" s="21"/>
      <c r="B4" s="21"/>
      <c r="C4" s="16" t="s">
        <v>1</v>
      </c>
      <c r="D4" s="49"/>
      <c r="E4" s="97"/>
      <c r="F4" s="96" t="s">
        <v>24</v>
      </c>
      <c r="G4" s="96"/>
      <c r="H4" s="96"/>
      <c r="I4" s="13"/>
      <c r="J4" s="21"/>
      <c r="K4" s="21"/>
    </row>
    <row r="5" spans="1:13" ht="13.5" customHeight="1" x14ac:dyDescent="0.35">
      <c r="A5" s="21"/>
      <c r="B5" s="21"/>
      <c r="C5" s="16" t="s">
        <v>38</v>
      </c>
      <c r="D5" s="50"/>
      <c r="E5" s="57"/>
      <c r="F5" s="96"/>
      <c r="G5" s="96"/>
      <c r="H5" s="96"/>
      <c r="I5" s="1"/>
      <c r="J5" s="21"/>
      <c r="K5" s="21"/>
    </row>
    <row r="6" spans="1:13" ht="13.5" customHeight="1" x14ac:dyDescent="0.2">
      <c r="A6" s="21"/>
      <c r="B6" s="21"/>
      <c r="C6" s="2" t="s">
        <v>2</v>
      </c>
      <c r="D6" s="6" t="s">
        <v>12</v>
      </c>
      <c r="E6" s="6"/>
      <c r="F6" s="21"/>
      <c r="G6" s="75"/>
      <c r="H6" s="3"/>
      <c r="I6" s="3"/>
      <c r="J6" s="21"/>
      <c r="K6" s="21"/>
    </row>
    <row r="7" spans="1:13" ht="13.5" customHeight="1" x14ac:dyDescent="0.2">
      <c r="A7" s="21"/>
      <c r="B7" s="21"/>
      <c r="C7" s="40" t="s">
        <v>3</v>
      </c>
      <c r="D7" s="41"/>
      <c r="E7" s="5"/>
      <c r="F7" s="8" t="s">
        <v>4</v>
      </c>
      <c r="G7" s="9"/>
      <c r="H7" s="10"/>
      <c r="I7" s="22"/>
      <c r="J7" s="21"/>
      <c r="K7" s="21"/>
    </row>
    <row r="8" spans="1:13" ht="13.5" customHeight="1" x14ac:dyDescent="0.2">
      <c r="A8" s="21"/>
      <c r="B8" s="21"/>
      <c r="C8" s="42" t="s">
        <v>15</v>
      </c>
      <c r="D8" s="43"/>
      <c r="E8" s="5"/>
      <c r="F8" s="19" t="s">
        <v>27</v>
      </c>
      <c r="G8" s="1"/>
      <c r="H8" s="3"/>
      <c r="I8" s="23"/>
      <c r="J8" s="21"/>
      <c r="K8" s="21"/>
    </row>
    <row r="9" spans="1:13" ht="13.5" customHeight="1" x14ac:dyDescent="0.2">
      <c r="A9" s="21"/>
      <c r="B9" s="21"/>
      <c r="C9" s="44" t="s">
        <v>25</v>
      </c>
      <c r="D9" s="43"/>
      <c r="E9" s="5"/>
      <c r="F9" s="11"/>
      <c r="G9" s="1"/>
      <c r="H9" s="3"/>
      <c r="I9" s="23"/>
      <c r="J9" s="21"/>
      <c r="K9" s="21"/>
      <c r="M9" s="4" t="s">
        <v>29</v>
      </c>
    </row>
    <row r="10" spans="1:13" ht="13.5" customHeight="1" thickBot="1" x14ac:dyDescent="0.35">
      <c r="A10" s="21"/>
      <c r="B10" s="21"/>
      <c r="C10" s="44" t="s">
        <v>26</v>
      </c>
      <c r="D10" s="43"/>
      <c r="E10" s="5"/>
      <c r="F10" s="95"/>
      <c r="G10" s="96"/>
      <c r="H10" s="96"/>
      <c r="I10" s="23"/>
      <c r="J10" s="21"/>
      <c r="K10" s="21"/>
    </row>
    <row r="11" spans="1:13" ht="26.25" thickBot="1" x14ac:dyDescent="0.25">
      <c r="A11" s="21"/>
      <c r="B11" s="21"/>
      <c r="C11" s="82" t="s">
        <v>22</v>
      </c>
      <c r="D11" s="81" t="s">
        <v>16</v>
      </c>
      <c r="E11" s="81" t="s">
        <v>23</v>
      </c>
      <c r="F11" s="84" t="s">
        <v>28</v>
      </c>
      <c r="G11" s="85" t="s">
        <v>17</v>
      </c>
      <c r="H11" s="58" t="s">
        <v>14</v>
      </c>
      <c r="I11" s="59" t="s">
        <v>5</v>
      </c>
      <c r="J11" s="21"/>
      <c r="K11" s="21"/>
    </row>
    <row r="12" spans="1:13" ht="17.25" customHeight="1" x14ac:dyDescent="0.25">
      <c r="A12" s="21"/>
      <c r="B12" s="21"/>
      <c r="C12" s="83"/>
      <c r="D12" s="63" t="str">
        <f>IFERROR(VLOOKUP(C12,MasterList!$A$2:$E$73,2,0),"")</f>
        <v/>
      </c>
      <c r="E12" s="63" t="str">
        <f>IFERROR(VLOOKUP(C12,MasterList!$A$2:$E$73,3,0),"")</f>
        <v/>
      </c>
      <c r="F12" s="63" t="str">
        <f>IFERROR(VLOOKUP(C12,MasterList!$A$2:$E$73,4,0),"")</f>
        <v/>
      </c>
      <c r="G12" s="63" t="str">
        <f>IFERROR(VLOOKUP(C12,MasterList!$A$2:$E$73,5,0),"")</f>
        <v/>
      </c>
      <c r="H12" s="64"/>
      <c r="I12" s="67"/>
      <c r="J12" s="21"/>
      <c r="K12" s="21"/>
    </row>
    <row r="13" spans="1:13" ht="17.25" customHeight="1" x14ac:dyDescent="0.25">
      <c r="A13" s="21"/>
      <c r="B13" s="21"/>
      <c r="C13" s="83"/>
      <c r="D13" s="63" t="str">
        <f>IFERROR(VLOOKUP(C13,MasterList!$A$2:$E$73,2,0),"")</f>
        <v/>
      </c>
      <c r="E13" s="63" t="str">
        <f>IFERROR(VLOOKUP(C13,MasterList!$A$2:$E$73,3,0),"")</f>
        <v/>
      </c>
      <c r="F13" s="63" t="str">
        <f>IFERROR(VLOOKUP(C13,MasterList!$A$2:$E$73,4,0),"")</f>
        <v/>
      </c>
      <c r="G13" s="63" t="str">
        <f>IFERROR(VLOOKUP(C13,MasterList!$A$2:$E$73,5,0),"")</f>
        <v/>
      </c>
      <c r="H13" s="63"/>
      <c r="I13" s="68"/>
      <c r="J13" s="21"/>
      <c r="K13" s="21"/>
    </row>
    <row r="14" spans="1:13" ht="17.25" customHeight="1" x14ac:dyDescent="0.25">
      <c r="A14" s="21"/>
      <c r="B14" s="21"/>
      <c r="C14" s="83"/>
      <c r="D14" s="63" t="str">
        <f>IFERROR(VLOOKUP(C14,MasterList!$A$2:$E$73,2,0),"")</f>
        <v/>
      </c>
      <c r="E14" s="63" t="str">
        <f>IFERROR(VLOOKUP(C14,MasterList!$A$2:$E$73,3,0),"")</f>
        <v/>
      </c>
      <c r="F14" s="63" t="str">
        <f>IFERROR(VLOOKUP(C14,MasterList!$A$2:$E$73,4,0),"")</f>
        <v/>
      </c>
      <c r="G14" s="63" t="str">
        <f>IFERROR(VLOOKUP(C14,MasterList!$A$2:$E$73,5,0),"")</f>
        <v/>
      </c>
      <c r="H14" s="63"/>
      <c r="I14" s="68"/>
      <c r="J14" s="21"/>
      <c r="K14" s="21"/>
    </row>
    <row r="15" spans="1:13" ht="17.25" customHeight="1" x14ac:dyDescent="0.25">
      <c r="A15" s="21"/>
      <c r="B15" s="21"/>
      <c r="C15" s="83"/>
      <c r="D15" s="63" t="str">
        <f>IFERROR(VLOOKUP(C15,MasterList!$A$2:$E$73,2,0),"")</f>
        <v/>
      </c>
      <c r="E15" s="63" t="str">
        <f>IFERROR(VLOOKUP(C15,MasterList!$A$2:$E$73,3,0),"")</f>
        <v/>
      </c>
      <c r="F15" s="63" t="str">
        <f>IFERROR(VLOOKUP(C15,MasterList!$A$2:$E$73,4,0),"")</f>
        <v/>
      </c>
      <c r="G15" s="63" t="str">
        <f>IFERROR(VLOOKUP(C15,MasterList!$A$2:$E$73,5,0),"")</f>
        <v/>
      </c>
      <c r="H15" s="63"/>
      <c r="I15" s="68"/>
      <c r="J15" s="21"/>
      <c r="K15" s="21"/>
    </row>
    <row r="16" spans="1:13" ht="17.25" customHeight="1" x14ac:dyDescent="0.25">
      <c r="A16" s="21"/>
      <c r="B16" s="21"/>
      <c r="C16" s="83"/>
      <c r="D16" s="63" t="str">
        <f>IFERROR(VLOOKUP(C16,MasterList!$A$2:$E$73,2,0),"")</f>
        <v/>
      </c>
      <c r="E16" s="63" t="str">
        <f>IFERROR(VLOOKUP(C16,MasterList!$A$2:$E$73,3,0),"")</f>
        <v/>
      </c>
      <c r="F16" s="63" t="str">
        <f>IFERROR(VLOOKUP(C16,MasterList!$A$2:$E$73,4,0),"")</f>
        <v/>
      </c>
      <c r="G16" s="63" t="str">
        <f>IFERROR(VLOOKUP(C16,MasterList!$A$2:$E$73,5,0),"")</f>
        <v/>
      </c>
      <c r="H16" s="63"/>
      <c r="I16" s="68"/>
      <c r="J16" s="21"/>
      <c r="K16" s="21"/>
    </row>
    <row r="17" spans="1:11" ht="17.25" customHeight="1" x14ac:dyDescent="0.25">
      <c r="A17" s="21"/>
      <c r="B17" s="21"/>
      <c r="C17" s="83"/>
      <c r="D17" s="63" t="str">
        <f>IFERROR(VLOOKUP(C17,MasterList!$A$2:$E$73,2,0),"")</f>
        <v/>
      </c>
      <c r="E17" s="63" t="str">
        <f>IFERROR(VLOOKUP(C17,MasterList!$A$2:$E$73,3,0),"")</f>
        <v/>
      </c>
      <c r="F17" s="63" t="str">
        <f>IFERROR(VLOOKUP(C17,MasterList!$A$2:$E$73,4,0),"")</f>
        <v/>
      </c>
      <c r="G17" s="63" t="str">
        <f>IFERROR(VLOOKUP(C17,MasterList!$A$2:$E$73,5,0),"")</f>
        <v/>
      </c>
      <c r="H17" s="63"/>
      <c r="I17" s="68"/>
      <c r="J17" s="21"/>
      <c r="K17" s="21"/>
    </row>
    <row r="18" spans="1:11" ht="17.25" customHeight="1" x14ac:dyDescent="0.25">
      <c r="A18" s="21"/>
      <c r="B18" s="21"/>
      <c r="C18" s="83"/>
      <c r="D18" s="63" t="str">
        <f>IFERROR(VLOOKUP(C18,MasterList!$A$2:$E$73,2,0),"")</f>
        <v/>
      </c>
      <c r="E18" s="63" t="str">
        <f>IFERROR(VLOOKUP(C18,MasterList!$A$2:$E$73,3,0),"")</f>
        <v/>
      </c>
      <c r="F18" s="63" t="str">
        <f>IFERROR(VLOOKUP(C18,MasterList!$A$2:$E$73,4,0),"")</f>
        <v/>
      </c>
      <c r="G18" s="63" t="str">
        <f>IFERROR(VLOOKUP(C18,MasterList!$A$2:$E$73,5,0),"")</f>
        <v/>
      </c>
      <c r="H18" s="63"/>
      <c r="I18" s="68"/>
      <c r="J18" s="21"/>
      <c r="K18" s="21"/>
    </row>
    <row r="19" spans="1:11" ht="17.25" customHeight="1" x14ac:dyDescent="0.25">
      <c r="A19" s="21"/>
      <c r="B19" s="21"/>
      <c r="C19" s="83"/>
      <c r="D19" s="63" t="str">
        <f>IFERROR(VLOOKUP(C19,MasterList!$A$2:$E$73,2,0),"")</f>
        <v/>
      </c>
      <c r="E19" s="63" t="str">
        <f>IFERROR(VLOOKUP(C19,MasterList!$A$2:$E$73,3,0),"")</f>
        <v/>
      </c>
      <c r="F19" s="63" t="str">
        <f>IFERROR(VLOOKUP(C19,MasterList!$A$2:$E$73,4,0),"")</f>
        <v/>
      </c>
      <c r="G19" s="63" t="str">
        <f>IFERROR(VLOOKUP(C19,MasterList!$A$2:$E$73,5,0),"")</f>
        <v/>
      </c>
      <c r="H19" s="63"/>
      <c r="I19" s="68"/>
      <c r="J19" s="21"/>
      <c r="K19" s="21"/>
    </row>
    <row r="20" spans="1:11" ht="17.25" customHeight="1" x14ac:dyDescent="0.25">
      <c r="A20" s="21"/>
      <c r="B20" s="21"/>
      <c r="C20" s="83"/>
      <c r="D20" s="63" t="str">
        <f>IFERROR(VLOOKUP(C20,MasterList!$A$2:$E$73,2,0),"")</f>
        <v/>
      </c>
      <c r="E20" s="63" t="str">
        <f>IFERROR(VLOOKUP(C20,MasterList!$A$2:$E$73,3,0),"")</f>
        <v/>
      </c>
      <c r="F20" s="63" t="str">
        <f>IFERROR(VLOOKUP(C20,MasterList!$A$2:$E$73,4,0),"")</f>
        <v/>
      </c>
      <c r="G20" s="63" t="str">
        <f>IFERROR(VLOOKUP(C20,MasterList!$A$2:$E$73,5,0),"")</f>
        <v/>
      </c>
      <c r="H20" s="63"/>
      <c r="I20" s="68"/>
      <c r="J20" s="21"/>
      <c r="K20" s="21"/>
    </row>
    <row r="21" spans="1:11" ht="17.25" customHeight="1" x14ac:dyDescent="0.25">
      <c r="A21" s="21"/>
      <c r="B21" s="21"/>
      <c r="C21" s="83"/>
      <c r="D21" s="63" t="str">
        <f>IFERROR(VLOOKUP(C21,MasterList!$A$2:$E$73,2,0),"")</f>
        <v/>
      </c>
      <c r="E21" s="63" t="str">
        <f>IFERROR(VLOOKUP(C21,MasterList!$A$2:$E$73,3,0),"")</f>
        <v/>
      </c>
      <c r="F21" s="63" t="str">
        <f>IFERROR(VLOOKUP(C21,MasterList!$A$2:$E$73,4,0),"")</f>
        <v/>
      </c>
      <c r="G21" s="63" t="str">
        <f>IFERROR(VLOOKUP(C21,MasterList!$A$2:$E$73,5,0),"")</f>
        <v/>
      </c>
      <c r="H21" s="63"/>
      <c r="I21" s="68"/>
      <c r="J21" s="21"/>
      <c r="K21" s="21"/>
    </row>
    <row r="22" spans="1:11" ht="17.25" customHeight="1" x14ac:dyDescent="0.25">
      <c r="A22" s="21"/>
      <c r="B22" s="21"/>
      <c r="C22" s="83"/>
      <c r="D22" s="63" t="str">
        <f>IFERROR(VLOOKUP(C22,MasterList!$A$2:$E$73,2,0),"")</f>
        <v/>
      </c>
      <c r="E22" s="63" t="str">
        <f>IFERROR(VLOOKUP(C22,MasterList!$A$2:$E$73,3,0),"")</f>
        <v/>
      </c>
      <c r="F22" s="63" t="str">
        <f>IFERROR(VLOOKUP(C22,MasterList!$A$2:$E$73,4,0),"")</f>
        <v/>
      </c>
      <c r="G22" s="63" t="str">
        <f>IFERROR(VLOOKUP(C22,MasterList!$A$2:$E$73,5,0),"")</f>
        <v/>
      </c>
      <c r="H22" s="63"/>
      <c r="I22" s="68"/>
      <c r="J22" s="21"/>
      <c r="K22" s="21"/>
    </row>
    <row r="23" spans="1:11" ht="17.25" customHeight="1" x14ac:dyDescent="0.25">
      <c r="A23" s="21"/>
      <c r="B23" s="21"/>
      <c r="C23" s="83"/>
      <c r="D23" s="63" t="str">
        <f>IFERROR(VLOOKUP(C23,MasterList!$A$2:$E$73,2,0),"")</f>
        <v/>
      </c>
      <c r="E23" s="63" t="str">
        <f>IFERROR(VLOOKUP(C23,MasterList!$A$2:$E$73,3,0),"")</f>
        <v/>
      </c>
      <c r="F23" s="63" t="str">
        <f>IFERROR(VLOOKUP(C23,MasterList!$A$2:$E$73,4,0),"")</f>
        <v/>
      </c>
      <c r="G23" s="63" t="str">
        <f>IFERROR(VLOOKUP(C23,MasterList!$A$2:$E$73,5,0),"")</f>
        <v/>
      </c>
      <c r="H23" s="63"/>
      <c r="I23" s="68"/>
      <c r="J23" s="21"/>
      <c r="K23" s="21"/>
    </row>
    <row r="24" spans="1:11" ht="17.25" customHeight="1" x14ac:dyDescent="0.25">
      <c r="A24" s="21"/>
      <c r="B24" s="21"/>
      <c r="C24" s="83"/>
      <c r="D24" s="63" t="str">
        <f>IFERROR(VLOOKUP(C24,MasterList!$A$2:$E$73,2,0),"")</f>
        <v/>
      </c>
      <c r="E24" s="63" t="str">
        <f>IFERROR(VLOOKUP(C24,MasterList!$A$2:$E$73,3,0),"")</f>
        <v/>
      </c>
      <c r="F24" s="63" t="str">
        <f>IFERROR(VLOOKUP(C24,MasterList!$A$2:$E$73,4,0),"")</f>
        <v/>
      </c>
      <c r="G24" s="63" t="str">
        <f>IFERROR(VLOOKUP(C24,MasterList!$A$2:$E$73,5,0),"")</f>
        <v/>
      </c>
      <c r="H24" s="63"/>
      <c r="I24" s="68"/>
      <c r="J24" s="21"/>
      <c r="K24" s="21"/>
    </row>
    <row r="25" spans="1:11" ht="17.25" customHeight="1" x14ac:dyDescent="0.25">
      <c r="A25" s="21"/>
      <c r="B25" s="21"/>
      <c r="C25" s="83"/>
      <c r="D25" s="63" t="str">
        <f>IFERROR(VLOOKUP(C25,MasterList!$A$2:$E$73,2,0),"")</f>
        <v/>
      </c>
      <c r="E25" s="63" t="str">
        <f>IFERROR(VLOOKUP(C25,MasterList!$A$2:$E$73,3,0),"")</f>
        <v/>
      </c>
      <c r="F25" s="63" t="str">
        <f>IFERROR(VLOOKUP(C25,MasterList!$A$2:$E$73,4,0),"")</f>
        <v/>
      </c>
      <c r="G25" s="63" t="str">
        <f>IFERROR(VLOOKUP(C25,MasterList!$A$2:$E$73,5,0),"")</f>
        <v/>
      </c>
      <c r="H25" s="63"/>
      <c r="I25" s="68"/>
      <c r="J25" s="21"/>
      <c r="K25" s="21"/>
    </row>
    <row r="26" spans="1:11" ht="17.25" customHeight="1" x14ac:dyDescent="0.25">
      <c r="A26" s="21"/>
      <c r="B26" s="21"/>
      <c r="C26" s="83"/>
      <c r="D26" s="63" t="str">
        <f>IFERROR(VLOOKUP(C26,MasterList!$A$2:$E$73,2,0),"")</f>
        <v/>
      </c>
      <c r="E26" s="63" t="str">
        <f>IFERROR(VLOOKUP(C26,MasterList!$A$2:$E$73,3,0),"")</f>
        <v/>
      </c>
      <c r="F26" s="63" t="str">
        <f>IFERROR(VLOOKUP(C26,MasterList!$A$2:$E$73,4,0),"")</f>
        <v/>
      </c>
      <c r="G26" s="63" t="str">
        <f>IFERROR(VLOOKUP(C26,MasterList!$A$2:$E$73,5,0),"")</f>
        <v/>
      </c>
      <c r="H26" s="63"/>
      <c r="I26" s="68"/>
      <c r="J26" s="21"/>
      <c r="K26" s="21"/>
    </row>
    <row r="27" spans="1:11" ht="17.25" customHeight="1" x14ac:dyDescent="0.25">
      <c r="A27" s="21"/>
      <c r="B27" s="21"/>
      <c r="C27" s="83"/>
      <c r="D27" s="63" t="str">
        <f>IFERROR(VLOOKUP(C27,MasterList!$A$2:$E$73,2,0),"")</f>
        <v/>
      </c>
      <c r="E27" s="63" t="str">
        <f>IFERROR(VLOOKUP(C27,MasterList!$A$2:$E$73,3,0),"")</f>
        <v/>
      </c>
      <c r="F27" s="63" t="str">
        <f>IFERROR(VLOOKUP(C27,MasterList!$A$2:$E$73,4,0),"")</f>
        <v/>
      </c>
      <c r="G27" s="63" t="str">
        <f>IFERROR(VLOOKUP(C27,MasterList!$A$2:$E$73,5,0),"")</f>
        <v/>
      </c>
      <c r="H27" s="63"/>
      <c r="I27" s="68"/>
      <c r="J27" s="21"/>
      <c r="K27" s="21"/>
    </row>
    <row r="28" spans="1:11" ht="17.25" customHeight="1" x14ac:dyDescent="0.25">
      <c r="A28" s="21"/>
      <c r="B28" s="21"/>
      <c r="C28" s="83"/>
      <c r="D28" s="63" t="str">
        <f>IFERROR(VLOOKUP(C28,MasterList!$A$2:$E$73,2,0),"")</f>
        <v/>
      </c>
      <c r="E28" s="63" t="str">
        <f>IFERROR(VLOOKUP(C28,MasterList!$A$2:$E$73,3,0),"")</f>
        <v/>
      </c>
      <c r="F28" s="63" t="str">
        <f>IFERROR(VLOOKUP(C28,MasterList!$A$2:$E$73,4,0),"")</f>
        <v/>
      </c>
      <c r="G28" s="63" t="str">
        <f>IFERROR(VLOOKUP(C28,MasterList!$A$2:$E$73,5,0),"")</f>
        <v/>
      </c>
      <c r="H28" s="63"/>
      <c r="I28" s="68"/>
      <c r="J28" s="21"/>
      <c r="K28" s="21"/>
    </row>
    <row r="29" spans="1:11" ht="17.25" customHeight="1" x14ac:dyDescent="0.25">
      <c r="A29" s="21"/>
      <c r="B29" s="21"/>
      <c r="C29" s="83"/>
      <c r="D29" s="63" t="str">
        <f>IFERROR(VLOOKUP(C29,MasterList!$A$2:$E$73,2,0),"")</f>
        <v/>
      </c>
      <c r="E29" s="63" t="str">
        <f>IFERROR(VLOOKUP(C29,MasterList!$A$2:$E$73,3,0),"")</f>
        <v/>
      </c>
      <c r="F29" s="63" t="str">
        <f>IFERROR(VLOOKUP(C29,MasterList!$A$2:$E$73,4,0),"")</f>
        <v/>
      </c>
      <c r="G29" s="63" t="str">
        <f>IFERROR(VLOOKUP(C29,MasterList!$A$2:$E$73,5,0),"")</f>
        <v/>
      </c>
      <c r="H29" s="63"/>
      <c r="I29" s="68"/>
      <c r="J29" s="21"/>
      <c r="K29" s="21"/>
    </row>
    <row r="30" spans="1:11" ht="17.25" customHeight="1" x14ac:dyDescent="0.25">
      <c r="A30" s="21"/>
      <c r="B30" s="21"/>
      <c r="C30" s="83"/>
      <c r="D30" s="63" t="str">
        <f>IFERROR(VLOOKUP(C30,MasterList!$A$2:$E$73,2,0),"")</f>
        <v/>
      </c>
      <c r="E30" s="63" t="str">
        <f>IFERROR(VLOOKUP(C30,MasterList!$A$2:$E$73,3,0),"")</f>
        <v/>
      </c>
      <c r="F30" s="63" t="str">
        <f>IFERROR(VLOOKUP(C30,MasterList!$A$2:$E$73,4,0),"")</f>
        <v/>
      </c>
      <c r="G30" s="63" t="str">
        <f>IFERROR(VLOOKUP(C30,MasterList!$A$2:$E$73,5,0),"")</f>
        <v/>
      </c>
      <c r="H30" s="63"/>
      <c r="I30" s="68"/>
      <c r="J30" s="21"/>
      <c r="K30" s="21"/>
    </row>
    <row r="31" spans="1:11" ht="17.25" customHeight="1" x14ac:dyDescent="0.25">
      <c r="A31" s="21"/>
      <c r="B31" s="21"/>
      <c r="C31" s="83"/>
      <c r="D31" s="63" t="str">
        <f>IFERROR(VLOOKUP(C31,MasterList!$A$2:$E$73,2,0),"")</f>
        <v/>
      </c>
      <c r="E31" s="63" t="str">
        <f>IFERROR(VLOOKUP(C31,MasterList!$A$2:$E$73,3,0),"")</f>
        <v/>
      </c>
      <c r="F31" s="63" t="str">
        <f>IFERROR(VLOOKUP(C31,MasterList!$A$2:$E$73,4,0),"")</f>
        <v/>
      </c>
      <c r="G31" s="63" t="str">
        <f>IFERROR(VLOOKUP(C31,MasterList!$A$2:$E$73,5,0),"")</f>
        <v/>
      </c>
      <c r="H31" s="63"/>
      <c r="I31" s="68"/>
      <c r="J31" s="21"/>
      <c r="K31" s="21"/>
    </row>
    <row r="32" spans="1:11" ht="17.25" customHeight="1" x14ac:dyDescent="0.25">
      <c r="A32" s="21"/>
      <c r="B32" s="21"/>
      <c r="C32" s="83"/>
      <c r="D32" s="63" t="str">
        <f>IFERROR(VLOOKUP(C32,MasterList!$A$2:$E$73,2,0),"")</f>
        <v/>
      </c>
      <c r="E32" s="63" t="str">
        <f>IFERROR(VLOOKUP(C32,MasterList!$A$2:$E$73,3,0),"")</f>
        <v/>
      </c>
      <c r="F32" s="63" t="str">
        <f>IFERROR(VLOOKUP(C32,MasterList!$A$2:$E$73,4,0),"")</f>
        <v/>
      </c>
      <c r="G32" s="63" t="str">
        <f>IFERROR(VLOOKUP(C32,MasterList!$A$2:$E$73,5,0),"")</f>
        <v/>
      </c>
      <c r="H32" s="63"/>
      <c r="I32" s="68"/>
      <c r="J32" s="21"/>
      <c r="K32" s="21"/>
    </row>
    <row r="33" spans="1:11" ht="17.25" customHeight="1" x14ac:dyDescent="0.25">
      <c r="A33" s="21"/>
      <c r="B33" s="21"/>
      <c r="C33" s="83"/>
      <c r="D33" s="63" t="str">
        <f>IFERROR(VLOOKUP(C33,MasterList!$A$2:$E$73,2,0),"")</f>
        <v/>
      </c>
      <c r="E33" s="63" t="str">
        <f>IFERROR(VLOOKUP(C33,MasterList!$A$2:$E$73,3,0),"")</f>
        <v/>
      </c>
      <c r="F33" s="63" t="str">
        <f>IFERROR(VLOOKUP(C33,MasterList!$A$2:$E$73,4,0),"")</f>
        <v/>
      </c>
      <c r="G33" s="63" t="str">
        <f>IFERROR(VLOOKUP(C33,MasterList!$A$2:$E$73,5,0),"")</f>
        <v/>
      </c>
      <c r="H33" s="63"/>
      <c r="I33" s="68"/>
      <c r="J33" s="21"/>
      <c r="K33" s="21"/>
    </row>
    <row r="34" spans="1:11" ht="17.25" customHeight="1" x14ac:dyDescent="0.25">
      <c r="A34" s="21"/>
      <c r="B34" s="21"/>
      <c r="C34" s="83"/>
      <c r="D34" s="63" t="str">
        <f>IFERROR(VLOOKUP(C34,MasterList!$A$2:$E$73,2,0),"")</f>
        <v/>
      </c>
      <c r="E34" s="63" t="str">
        <f>IFERROR(VLOOKUP(C34,MasterList!$A$2:$E$73,3,0),"")</f>
        <v/>
      </c>
      <c r="F34" s="63" t="str">
        <f>IFERROR(VLOOKUP(C34,MasterList!$A$2:$E$73,4,0),"")</f>
        <v/>
      </c>
      <c r="G34" s="63" t="str">
        <f>IFERROR(VLOOKUP(C34,MasterList!$A$2:$E$73,5,0),"")</f>
        <v/>
      </c>
      <c r="H34" s="63"/>
      <c r="I34" s="68"/>
      <c r="J34" s="21"/>
      <c r="K34" s="21"/>
    </row>
    <row r="35" spans="1:11" ht="17.25" customHeight="1" x14ac:dyDescent="0.25">
      <c r="A35" s="21"/>
      <c r="B35" s="21"/>
      <c r="C35" s="83"/>
      <c r="D35" s="63" t="str">
        <f>IFERROR(VLOOKUP(C35,MasterList!$A$2:$E$73,2,0),"")</f>
        <v/>
      </c>
      <c r="E35" s="63" t="str">
        <f>IFERROR(VLOOKUP(C35,MasterList!$A$2:$E$73,3,0),"")</f>
        <v/>
      </c>
      <c r="F35" s="63" t="str">
        <f>IFERROR(VLOOKUP(C35,MasterList!$A$2:$E$73,4,0),"")</f>
        <v/>
      </c>
      <c r="G35" s="63" t="str">
        <f>IFERROR(VLOOKUP(C35,MasterList!$A$2:$E$73,5,0),"")</f>
        <v/>
      </c>
      <c r="H35" s="63"/>
      <c r="I35" s="68"/>
      <c r="J35" s="21"/>
      <c r="K35" s="21"/>
    </row>
    <row r="36" spans="1:11" ht="17.25" customHeight="1" x14ac:dyDescent="0.25">
      <c r="A36" s="21"/>
      <c r="B36" s="21"/>
      <c r="C36" s="83"/>
      <c r="D36" s="63" t="str">
        <f>IFERROR(VLOOKUP(C36,MasterList!$A$2:$E$73,2,0),"")</f>
        <v/>
      </c>
      <c r="E36" s="63" t="str">
        <f>IFERROR(VLOOKUP(C36,MasterList!$A$2:$E$73,3,0),"")</f>
        <v/>
      </c>
      <c r="F36" s="63" t="str">
        <f>IFERROR(VLOOKUP(C36,MasterList!$A$2:$E$73,4,0),"")</f>
        <v/>
      </c>
      <c r="G36" s="63" t="str">
        <f>IFERROR(VLOOKUP(C36,MasterList!$A$2:$E$73,5,0),"")</f>
        <v/>
      </c>
      <c r="H36" s="63"/>
      <c r="I36" s="68"/>
      <c r="J36" s="21"/>
      <c r="K36" s="21"/>
    </row>
    <row r="37" spans="1:11" ht="17.25" customHeight="1" x14ac:dyDescent="0.25">
      <c r="A37" s="21"/>
      <c r="B37" s="21"/>
      <c r="C37" s="83"/>
      <c r="D37" s="63" t="str">
        <f>IFERROR(VLOOKUP(C37,MasterList!$A$2:$E$73,2,0),"")</f>
        <v/>
      </c>
      <c r="E37" s="63" t="str">
        <f>IFERROR(VLOOKUP(C37,MasterList!$A$2:$E$73,3,0),"")</f>
        <v/>
      </c>
      <c r="F37" s="63" t="str">
        <f>IFERROR(VLOOKUP(C37,MasterList!$A$2:$E$73,4,0),"")</f>
        <v/>
      </c>
      <c r="G37" s="63" t="str">
        <f>IFERROR(VLOOKUP(C37,MasterList!$A$2:$E$73,5,0),"")</f>
        <v/>
      </c>
      <c r="H37" s="63"/>
      <c r="I37" s="68"/>
      <c r="J37" s="21"/>
      <c r="K37" s="21"/>
    </row>
    <row r="38" spans="1:11" ht="17.25" customHeight="1" x14ac:dyDescent="0.25">
      <c r="A38" s="21"/>
      <c r="B38" s="21"/>
      <c r="C38" s="83"/>
      <c r="D38" s="63" t="str">
        <f>IFERROR(VLOOKUP(C38,MasterList!$A$2:$E$73,2,0),"")</f>
        <v/>
      </c>
      <c r="E38" s="63" t="str">
        <f>IFERROR(VLOOKUP(C38,MasterList!$A$2:$E$73,3,0),"")</f>
        <v/>
      </c>
      <c r="F38" s="63" t="str">
        <f>IFERROR(VLOOKUP(C38,MasterList!$A$2:$E$73,4,0),"")</f>
        <v/>
      </c>
      <c r="G38" s="63" t="str">
        <f>IFERROR(VLOOKUP(C38,MasterList!$A$2:$E$73,5,0),"")</f>
        <v/>
      </c>
      <c r="H38" s="63"/>
      <c r="I38" s="68"/>
      <c r="J38" s="21"/>
      <c r="K38" s="21"/>
    </row>
    <row r="39" spans="1:11" ht="17.25" customHeight="1" x14ac:dyDescent="0.25">
      <c r="A39" s="21"/>
      <c r="B39" s="21"/>
      <c r="C39" s="83"/>
      <c r="D39" s="63" t="str">
        <f>IFERROR(VLOOKUP(C39,MasterList!$A$2:$E$73,2,0),"")</f>
        <v/>
      </c>
      <c r="E39" s="63" t="str">
        <f>IFERROR(VLOOKUP(C39,MasterList!$A$2:$E$73,3,0),"")</f>
        <v/>
      </c>
      <c r="F39" s="63" t="str">
        <f>IFERROR(VLOOKUP(C39,MasterList!$A$2:$E$73,4,0),"")</f>
        <v/>
      </c>
      <c r="G39" s="63" t="str">
        <f>IFERROR(VLOOKUP(C39,MasterList!$A$2:$E$73,5,0),"")</f>
        <v/>
      </c>
      <c r="H39" s="63"/>
      <c r="I39" s="68"/>
      <c r="J39" s="21"/>
      <c r="K39" s="21"/>
    </row>
    <row r="40" spans="1:11" ht="17.25" customHeight="1" x14ac:dyDescent="0.25">
      <c r="A40" s="21"/>
      <c r="B40" s="21"/>
      <c r="C40" s="83"/>
      <c r="D40" s="63" t="str">
        <f>IFERROR(VLOOKUP(C40,MasterList!$A$2:$E$73,2,0),"")</f>
        <v/>
      </c>
      <c r="E40" s="63" t="str">
        <f>IFERROR(VLOOKUP(C40,MasterList!$A$2:$E$73,3,0),"")</f>
        <v/>
      </c>
      <c r="F40" s="63" t="str">
        <f>IFERROR(VLOOKUP(C40,MasterList!$A$2:$E$73,4,0),"")</f>
        <v/>
      </c>
      <c r="G40" s="63" t="str">
        <f>IFERROR(VLOOKUP(C40,MasterList!$A$2:$E$73,5,0),"")</f>
        <v/>
      </c>
      <c r="H40" s="63"/>
      <c r="I40" s="68"/>
      <c r="J40" s="21"/>
      <c r="K40" s="21"/>
    </row>
    <row r="41" spans="1:11" ht="17.25" customHeight="1" x14ac:dyDescent="0.25">
      <c r="A41" s="21"/>
      <c r="B41" s="21"/>
      <c r="C41" s="83"/>
      <c r="D41" s="63" t="str">
        <f>IFERROR(VLOOKUP(C41,MasterList!$A$2:$E$73,2,0),"")</f>
        <v/>
      </c>
      <c r="E41" s="63" t="str">
        <f>IFERROR(VLOOKUP(C41,MasterList!$A$2:$E$73,3,0),"")</f>
        <v/>
      </c>
      <c r="F41" s="63" t="str">
        <f>IFERROR(VLOOKUP(C41,MasterList!$A$2:$E$73,4,0),"")</f>
        <v/>
      </c>
      <c r="G41" s="63" t="str">
        <f>IFERROR(VLOOKUP(C41,MasterList!$A$2:$E$73,5,0),"")</f>
        <v/>
      </c>
      <c r="H41" s="63"/>
      <c r="I41" s="68"/>
      <c r="J41" s="21"/>
      <c r="K41" s="21"/>
    </row>
    <row r="42" spans="1:11" ht="17.25" customHeight="1" x14ac:dyDescent="0.25">
      <c r="A42" s="21"/>
      <c r="B42" s="21"/>
      <c r="C42" s="83"/>
      <c r="D42" s="63" t="str">
        <f>IFERROR(VLOOKUP(C42,MasterList!$A$2:$E$73,2,0),"")</f>
        <v/>
      </c>
      <c r="E42" s="63" t="str">
        <f>IFERROR(VLOOKUP(C42,MasterList!$A$2:$E$73,3,0),"")</f>
        <v/>
      </c>
      <c r="F42" s="63" t="str">
        <f>IFERROR(VLOOKUP(C42,MasterList!$A$2:$E$73,4,0),"")</f>
        <v/>
      </c>
      <c r="G42" s="63" t="str">
        <f>IFERROR(VLOOKUP(C42,MasterList!$A$2:$E$73,5,0),"")</f>
        <v/>
      </c>
      <c r="H42" s="63"/>
      <c r="I42" s="68"/>
      <c r="J42" s="21"/>
      <c r="K42" s="21"/>
    </row>
    <row r="43" spans="1:11" ht="17.25" customHeight="1" x14ac:dyDescent="0.25">
      <c r="A43" s="21"/>
      <c r="B43" s="21"/>
      <c r="C43" s="83"/>
      <c r="D43" s="63" t="str">
        <f>IFERROR(VLOOKUP(C43,MasterList!$A$2:$E$73,2,0),"")</f>
        <v/>
      </c>
      <c r="E43" s="63" t="str">
        <f>IFERROR(VLOOKUP(C43,MasterList!$A$2:$E$73,3,0),"")</f>
        <v/>
      </c>
      <c r="F43" s="63" t="str">
        <f>IFERROR(VLOOKUP(C43,MasterList!$A$2:$E$73,4,0),"")</f>
        <v/>
      </c>
      <c r="G43" s="63" t="str">
        <f>IFERROR(VLOOKUP(C43,MasterList!$A$2:$E$73,5,0),"")</f>
        <v/>
      </c>
      <c r="H43" s="63"/>
      <c r="I43" s="68"/>
      <c r="J43" s="21"/>
      <c r="K43" s="21"/>
    </row>
    <row r="44" spans="1:11" ht="17.25" customHeight="1" x14ac:dyDescent="0.25">
      <c r="A44" s="21"/>
      <c r="B44" s="21"/>
      <c r="C44" s="83"/>
      <c r="D44" s="63" t="str">
        <f>IFERROR(VLOOKUP(C44,MasterList!$A$2:$E$73,2,0),"")</f>
        <v/>
      </c>
      <c r="E44" s="63" t="str">
        <f>IFERROR(VLOOKUP(C44,MasterList!$A$2:$E$73,3,0),"")</f>
        <v/>
      </c>
      <c r="F44" s="63" t="str">
        <f>IFERROR(VLOOKUP(C44,MasterList!$A$2:$E$73,4,0),"")</f>
        <v/>
      </c>
      <c r="G44" s="63" t="str">
        <f>IFERROR(VLOOKUP(C44,MasterList!$A$2:$E$73,5,0),"")</f>
        <v/>
      </c>
      <c r="H44" s="63"/>
      <c r="I44" s="68"/>
      <c r="J44" s="21"/>
      <c r="K44" s="21"/>
    </row>
    <row r="45" spans="1:11" ht="17.25" customHeight="1" x14ac:dyDescent="0.25">
      <c r="A45" s="21"/>
      <c r="B45" s="21"/>
      <c r="C45" s="83"/>
      <c r="D45" s="63" t="str">
        <f>IFERROR(VLOOKUP(C45,MasterList!$A$2:$E$73,2,0),"")</f>
        <v/>
      </c>
      <c r="E45" s="63" t="str">
        <f>IFERROR(VLOOKUP(C45,MasterList!$A$2:$E$73,3,0),"")</f>
        <v/>
      </c>
      <c r="F45" s="63" t="str">
        <f>IFERROR(VLOOKUP(C45,MasterList!$A$2:$E$73,4,0),"")</f>
        <v/>
      </c>
      <c r="G45" s="63" t="str">
        <f>IFERROR(VLOOKUP(C45,MasterList!$A$2:$E$73,5,0),"")</f>
        <v/>
      </c>
      <c r="H45" s="63"/>
      <c r="I45" s="68"/>
      <c r="J45" s="21"/>
      <c r="K45" s="21"/>
    </row>
    <row r="46" spans="1:11" ht="17.25" customHeight="1" x14ac:dyDescent="0.25">
      <c r="A46" s="21"/>
      <c r="B46" s="21"/>
      <c r="C46" s="83"/>
      <c r="D46" s="63" t="str">
        <f>IFERROR(VLOOKUP(C46,MasterList!$A$2:$E$73,2,0),"")</f>
        <v/>
      </c>
      <c r="E46" s="63" t="str">
        <f>IFERROR(VLOOKUP(C46,MasterList!$A$2:$E$73,3,0),"")</f>
        <v/>
      </c>
      <c r="F46" s="63" t="str">
        <f>IFERROR(VLOOKUP(C46,MasterList!$A$2:$E$73,4,0),"")</f>
        <v/>
      </c>
      <c r="G46" s="63" t="str">
        <f>IFERROR(VLOOKUP(C46,MasterList!$A$2:$E$73,5,0),"")</f>
        <v/>
      </c>
      <c r="H46" s="63"/>
      <c r="I46" s="68"/>
      <c r="J46" s="21"/>
      <c r="K46" s="21"/>
    </row>
    <row r="47" spans="1:11" ht="17.25" customHeight="1" x14ac:dyDescent="0.25">
      <c r="A47" s="21"/>
      <c r="B47" s="21"/>
      <c r="C47" s="83"/>
      <c r="D47" s="63" t="str">
        <f>IFERROR(VLOOKUP(C47,MasterList!$A$2:$E$73,2,0),"")</f>
        <v/>
      </c>
      <c r="E47" s="63" t="str">
        <f>IFERROR(VLOOKUP(C47,MasterList!$A$2:$E$73,3,0),"")</f>
        <v/>
      </c>
      <c r="F47" s="63" t="str">
        <f>IFERROR(VLOOKUP(C47,MasterList!$A$2:$E$73,4,0),"")</f>
        <v/>
      </c>
      <c r="G47" s="63" t="str">
        <f>IFERROR(VLOOKUP(C47,MasterList!$A$2:$E$73,5,0),"")</f>
        <v/>
      </c>
      <c r="H47" s="63"/>
      <c r="I47" s="68"/>
      <c r="J47" s="21"/>
      <c r="K47" s="21"/>
    </row>
    <row r="48" spans="1:11" ht="17.25" customHeight="1" x14ac:dyDescent="0.25">
      <c r="A48" s="21"/>
      <c r="B48" s="21"/>
      <c r="C48" s="83"/>
      <c r="D48" s="63" t="str">
        <f>IFERROR(VLOOKUP(C48,MasterList!$A$2:$E$73,2,0),"")</f>
        <v/>
      </c>
      <c r="E48" s="63" t="str">
        <f>IFERROR(VLOOKUP(C48,MasterList!$A$2:$E$73,3,0),"")</f>
        <v/>
      </c>
      <c r="F48" s="63" t="str">
        <f>IFERROR(VLOOKUP(C48,MasterList!$A$2:$E$73,4,0),"")</f>
        <v/>
      </c>
      <c r="G48" s="63" t="str">
        <f>IFERROR(VLOOKUP(C48,MasterList!$A$2:$E$73,5,0),"")</f>
        <v/>
      </c>
      <c r="H48" s="63"/>
      <c r="I48" s="68"/>
      <c r="J48" s="21"/>
      <c r="K48" s="21"/>
    </row>
    <row r="49" spans="1:11" ht="17.25" customHeight="1" x14ac:dyDescent="0.25">
      <c r="A49" s="21"/>
      <c r="B49" s="21"/>
      <c r="C49" s="83"/>
      <c r="D49" s="63" t="str">
        <f>IFERROR(VLOOKUP(C49,MasterList!$A$2:$E$73,2,0),"")</f>
        <v/>
      </c>
      <c r="E49" s="63" t="str">
        <f>IFERROR(VLOOKUP(C49,MasterList!$A$2:$E$73,3,0),"")</f>
        <v/>
      </c>
      <c r="F49" s="63" t="str">
        <f>IFERROR(VLOOKUP(C49,MasterList!$A$2:$E$73,4,0),"")</f>
        <v/>
      </c>
      <c r="G49" s="63" t="str">
        <f>IFERROR(VLOOKUP(C49,MasterList!$A$2:$E$73,5,0),"")</f>
        <v/>
      </c>
      <c r="H49" s="63"/>
      <c r="I49" s="68"/>
      <c r="J49" s="21"/>
      <c r="K49" s="21"/>
    </row>
    <row r="50" spans="1:11" ht="17.25" customHeight="1" x14ac:dyDescent="0.25">
      <c r="A50" s="21"/>
      <c r="B50" s="21"/>
      <c r="C50" s="83"/>
      <c r="D50" s="63" t="str">
        <f>IFERROR(VLOOKUP(C50,MasterList!$A$2:$E$73,2,0),"")</f>
        <v/>
      </c>
      <c r="E50" s="63" t="str">
        <f>IFERROR(VLOOKUP(C50,MasterList!$A$2:$E$73,3,0),"")</f>
        <v/>
      </c>
      <c r="F50" s="63" t="str">
        <f>IFERROR(VLOOKUP(C50,MasterList!$A$2:$E$73,4,0),"")</f>
        <v/>
      </c>
      <c r="G50" s="63" t="str">
        <f>IFERROR(VLOOKUP(C50,MasterList!$A$2:$E$73,5,0),"")</f>
        <v/>
      </c>
      <c r="H50" s="63"/>
      <c r="I50" s="68"/>
      <c r="J50" s="21"/>
      <c r="K50" s="21"/>
    </row>
    <row r="51" spans="1:11" ht="17.25" customHeight="1" x14ac:dyDescent="0.25">
      <c r="A51" s="21"/>
      <c r="B51" s="21"/>
      <c r="C51" s="83"/>
      <c r="D51" s="63" t="str">
        <f>IFERROR(VLOOKUP(C51,MasterList!$A$2:$E$73,2,0),"")</f>
        <v/>
      </c>
      <c r="E51" s="63" t="str">
        <f>IFERROR(VLOOKUP(C51,MasterList!$A$2:$E$73,3,0),"")</f>
        <v/>
      </c>
      <c r="F51" s="63" t="str">
        <f>IFERROR(VLOOKUP(C51,MasterList!$A$2:$E$73,4,0),"")</f>
        <v/>
      </c>
      <c r="G51" s="63" t="str">
        <f>IFERROR(VLOOKUP(C51,MasterList!$A$2:$E$73,5,0),"")</f>
        <v/>
      </c>
      <c r="H51" s="63"/>
      <c r="I51" s="68"/>
      <c r="J51" s="21"/>
      <c r="K51" s="21"/>
    </row>
    <row r="52" spans="1:11" ht="17.25" customHeight="1" x14ac:dyDescent="0.25">
      <c r="A52" s="21"/>
      <c r="B52" s="21"/>
      <c r="C52" s="83"/>
      <c r="D52" s="63" t="str">
        <f>IFERROR(VLOOKUP(C52,MasterList!$A$2:$E$73,2,0),"")</f>
        <v/>
      </c>
      <c r="E52" s="63" t="str">
        <f>IFERROR(VLOOKUP(C52,MasterList!$A$2:$E$73,3,0),"")</f>
        <v/>
      </c>
      <c r="F52" s="63" t="str">
        <f>IFERROR(VLOOKUP(C52,MasterList!$A$2:$E$73,4,0),"")</f>
        <v/>
      </c>
      <c r="G52" s="63" t="str">
        <f>IFERROR(VLOOKUP(C52,MasterList!$A$2:$E$73,5,0),"")</f>
        <v/>
      </c>
      <c r="H52" s="63"/>
      <c r="I52" s="68"/>
      <c r="J52" s="21"/>
      <c r="K52" s="21"/>
    </row>
    <row r="53" spans="1:11" ht="17.25" customHeight="1" x14ac:dyDescent="0.25">
      <c r="A53" s="21"/>
      <c r="B53" s="21"/>
      <c r="C53" s="83"/>
      <c r="D53" s="63" t="str">
        <f>IFERROR(VLOOKUP(C53,MasterList!$A$2:$E$73,2,0),"")</f>
        <v/>
      </c>
      <c r="E53" s="63" t="str">
        <f>IFERROR(VLOOKUP(C53,MasterList!$A$2:$E$73,3,0),"")</f>
        <v/>
      </c>
      <c r="F53" s="63" t="str">
        <f>IFERROR(VLOOKUP(C53,MasterList!$A$2:$E$73,4,0),"")</f>
        <v/>
      </c>
      <c r="G53" s="63" t="str">
        <f>IFERROR(VLOOKUP(C53,MasterList!$A$2:$E$73,5,0),"")</f>
        <v/>
      </c>
      <c r="H53" s="63"/>
      <c r="I53" s="68"/>
      <c r="J53" s="21"/>
      <c r="K53" s="21"/>
    </row>
    <row r="54" spans="1:11" ht="15.75" x14ac:dyDescent="0.25">
      <c r="A54" s="21"/>
      <c r="B54" s="21"/>
      <c r="C54" s="83"/>
      <c r="D54" s="63" t="str">
        <f>IFERROR(VLOOKUP(C54,MasterList!$A$2:$E$73,2,0),"")</f>
        <v/>
      </c>
      <c r="E54" s="63" t="str">
        <f>IFERROR(VLOOKUP(C54,MasterList!$A$2:$E$73,3,0),"")</f>
        <v/>
      </c>
      <c r="F54" s="63" t="str">
        <f>IFERROR(VLOOKUP(C54,MasterList!$A$2:$E$73,4,0),"")</f>
        <v/>
      </c>
      <c r="G54" s="63" t="str">
        <f>IFERROR(VLOOKUP(C54,MasterList!$A$2:$E$73,5,0),"")</f>
        <v/>
      </c>
      <c r="H54" s="63"/>
      <c r="I54" s="68"/>
      <c r="J54" s="21"/>
      <c r="K54" s="21"/>
    </row>
    <row r="55" spans="1:11" ht="20.25" customHeight="1" x14ac:dyDescent="0.25">
      <c r="A55" s="21"/>
      <c r="B55" s="21"/>
      <c r="C55" s="83"/>
      <c r="D55" s="63" t="str">
        <f>IFERROR(VLOOKUP(C55,MasterList!$A$2:$E$73,2,0),"")</f>
        <v/>
      </c>
      <c r="E55" s="63" t="str">
        <f>IFERROR(VLOOKUP(C55,MasterList!$A$2:$E$73,3,0),"")</f>
        <v/>
      </c>
      <c r="F55" s="63" t="str">
        <f>IFERROR(VLOOKUP(C55,MasterList!$A$2:$E$73,4,0),"")</f>
        <v/>
      </c>
      <c r="G55" s="63" t="str">
        <f>IFERROR(VLOOKUP(C55,MasterList!$A$2:$E$73,5,0),"")</f>
        <v/>
      </c>
      <c r="H55" s="63"/>
      <c r="I55" s="68"/>
      <c r="J55" s="21"/>
      <c r="K55" s="21"/>
    </row>
    <row r="56" spans="1:11" ht="14.25" customHeight="1" x14ac:dyDescent="0.25">
      <c r="A56" s="21"/>
      <c r="B56" s="21"/>
      <c r="C56" s="83"/>
      <c r="D56" s="63" t="str">
        <f>IFERROR(VLOOKUP(C56,MasterList!$A$2:$E$73,2,0),"")</f>
        <v/>
      </c>
      <c r="E56" s="63" t="str">
        <f>IFERROR(VLOOKUP(C56,MasterList!$A$2:$E$73,3,0),"")</f>
        <v/>
      </c>
      <c r="F56" s="63" t="str">
        <f>IFERROR(VLOOKUP(C56,MasterList!$A$2:$E$73,4,0),"")</f>
        <v/>
      </c>
      <c r="G56" s="63" t="str">
        <f>IFERROR(VLOOKUP(C56,MasterList!$A$2:$E$73,5,0),"")</f>
        <v/>
      </c>
      <c r="H56" s="63"/>
      <c r="I56" s="68"/>
      <c r="J56" s="21"/>
      <c r="K56" s="21"/>
    </row>
    <row r="57" spans="1:11" ht="16.5" thickBot="1" x14ac:dyDescent="0.3">
      <c r="A57" s="21"/>
      <c r="B57" s="21"/>
      <c r="C57" s="83"/>
      <c r="D57" s="63" t="str">
        <f>IFERROR(VLOOKUP(C57,MasterList!$A$2:$E$73,2,0),"")</f>
        <v/>
      </c>
      <c r="E57" s="63" t="str">
        <f>IFERROR(VLOOKUP(C57,MasterList!$A$2:$E$73,3,0),"")</f>
        <v/>
      </c>
      <c r="F57" s="63" t="str">
        <f>IFERROR(VLOOKUP(C57,MasterList!$A$2:$E$73,4,0),"")</f>
        <v/>
      </c>
      <c r="G57" s="63" t="str">
        <f>IFERROR(VLOOKUP(C57,MasterList!$A$2:$E$73,5,0),"")</f>
        <v/>
      </c>
      <c r="H57" s="65"/>
      <c r="I57" s="69"/>
      <c r="J57" s="21"/>
      <c r="K57" s="21"/>
    </row>
    <row r="58" spans="1:11" ht="16.5" thickBot="1" x14ac:dyDescent="0.3">
      <c r="A58" s="21"/>
      <c r="B58" s="21"/>
      <c r="C58" s="51"/>
      <c r="D58" s="31"/>
      <c r="E58" s="31"/>
      <c r="F58" s="52"/>
      <c r="G58" s="53" t="s">
        <v>18</v>
      </c>
      <c r="H58" s="48">
        <f>SUM(H12:H57)</f>
        <v>0</v>
      </c>
      <c r="I58" s="66">
        <f>SUM(I12:I57)</f>
        <v>0</v>
      </c>
      <c r="J58" s="21"/>
      <c r="K58" s="21"/>
    </row>
    <row r="59" spans="1:11" ht="16.5" thickBot="1" x14ac:dyDescent="0.3">
      <c r="C59" s="17" t="s">
        <v>6</v>
      </c>
      <c r="D59" s="54"/>
      <c r="E59" s="46"/>
      <c r="F59" s="39"/>
      <c r="G59" s="32"/>
      <c r="H59" s="31"/>
      <c r="I59" s="36"/>
    </row>
    <row r="60" spans="1:11" ht="16.5" thickBot="1" x14ac:dyDescent="0.3">
      <c r="C60" s="18" t="s">
        <v>7</v>
      </c>
      <c r="D60" s="55"/>
      <c r="E60" s="3"/>
      <c r="F60" s="20"/>
      <c r="G60" s="20"/>
      <c r="H60" s="34"/>
      <c r="I60" s="35">
        <f>(I58*2)+(H60*10)</f>
        <v>0</v>
      </c>
    </row>
    <row r="61" spans="1:11" ht="26.25" thickBot="1" x14ac:dyDescent="0.25">
      <c r="C61" s="24" t="s">
        <v>11</v>
      </c>
      <c r="D61" s="56"/>
      <c r="E61" s="3"/>
      <c r="F61" s="12"/>
      <c r="G61" s="12"/>
      <c r="H61" s="29" t="s">
        <v>19</v>
      </c>
      <c r="I61" s="28" t="s">
        <v>20</v>
      </c>
    </row>
    <row r="62" spans="1:11" ht="13.5" thickBot="1" x14ac:dyDescent="0.25">
      <c r="C62" s="18" t="s">
        <v>8</v>
      </c>
      <c r="D62" s="56"/>
      <c r="E62" s="3"/>
      <c r="F62" s="30" t="s">
        <v>10</v>
      </c>
      <c r="G62" s="25"/>
      <c r="H62" s="25"/>
      <c r="I62" s="26"/>
    </row>
    <row r="63" spans="1:11" ht="13.5" thickBot="1" x14ac:dyDescent="0.25">
      <c r="C63" s="24"/>
      <c r="D63" s="45"/>
      <c r="E63" s="3"/>
      <c r="F63" s="30" t="s">
        <v>9</v>
      </c>
      <c r="G63" s="37"/>
      <c r="H63" s="37"/>
      <c r="I63" s="38"/>
    </row>
    <row r="64" spans="1:11" x14ac:dyDescent="0.2">
      <c r="C64" s="87" t="s">
        <v>13</v>
      </c>
      <c r="D64" s="88"/>
      <c r="E64" s="88"/>
      <c r="F64" s="88"/>
      <c r="G64" s="88"/>
      <c r="H64" s="88"/>
      <c r="I64" s="89"/>
    </row>
    <row r="65" spans="3:9" ht="13.5" thickBot="1" x14ac:dyDescent="0.25">
      <c r="C65" s="90"/>
      <c r="D65" s="91"/>
      <c r="E65" s="91"/>
      <c r="F65" s="91"/>
      <c r="G65" s="91"/>
      <c r="H65" s="91"/>
      <c r="I65" s="92"/>
    </row>
    <row r="66" spans="3:9" x14ac:dyDescent="0.2">
      <c r="C66" s="21"/>
      <c r="D66" s="27"/>
      <c r="E66" s="27"/>
      <c r="F66" s="21"/>
      <c r="G66" s="21"/>
      <c r="H66" s="21"/>
      <c r="I66" s="21"/>
    </row>
  </sheetData>
  <mergeCells count="6">
    <mergeCell ref="G1:I1"/>
    <mergeCell ref="C64:I65"/>
    <mergeCell ref="G2:H3"/>
    <mergeCell ref="F10:H10"/>
    <mergeCell ref="F4:H5"/>
    <mergeCell ref="E2:E4"/>
  </mergeCells>
  <phoneticPr fontId="23" type="noConversion"/>
  <printOptions horizontalCentered="1" verticalCentered="1"/>
  <pageMargins left="0" right="0" top="0" bottom="0" header="0" footer="0"/>
  <pageSetup scale="67" orientation="portrait" horizontalDpi="300" verticalDpi="300" r:id="rId1"/>
  <headerFooter alignWithMargins="0">
    <oddFooter>&amp;L8.2.2.4.16 BRP Packing Slip Blank Template&amp;RCreated:09/25/23AS
Revised: 03/06/24AS</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5AB3CF5-77F8-43B5-8689-E182B82E0F22}">
          <x14:formula1>
            <xm:f>MasterList!$A$2:$A$73</xm:f>
          </x14:formula1>
          <xm:sqref>C12:C57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0FB3-BED9-44E8-A77A-4F473D771B9D}">
  <sheetPr>
    <pageSetUpPr fitToPage="1"/>
  </sheetPr>
  <dimension ref="A1:E89"/>
  <sheetViews>
    <sheetView showGridLines="0" zoomScale="115" zoomScaleNormal="115" workbookViewId="0">
      <selection activeCell="E73" sqref="E73"/>
    </sheetView>
  </sheetViews>
  <sheetFormatPr defaultColWidth="11.42578125" defaultRowHeight="12.75" x14ac:dyDescent="0.2"/>
  <cols>
    <col min="1" max="1" width="20.7109375" style="60" customWidth="1"/>
    <col min="2" max="2" width="33.85546875" style="62" customWidth="1"/>
    <col min="3" max="5" width="15.7109375" style="61" customWidth="1"/>
    <col min="6" max="16384" width="11.42578125" style="60"/>
  </cols>
  <sheetData>
    <row r="1" spans="1:5" ht="25.5" customHeight="1" x14ac:dyDescent="0.2">
      <c r="A1" s="70" t="s">
        <v>39</v>
      </c>
      <c r="B1" s="71" t="s">
        <v>31</v>
      </c>
      <c r="C1" s="72" t="s">
        <v>32</v>
      </c>
      <c r="D1" s="72" t="s">
        <v>36</v>
      </c>
      <c r="E1" s="74" t="s">
        <v>30</v>
      </c>
    </row>
    <row r="2" spans="1:5" x14ac:dyDescent="0.2">
      <c r="A2" s="73">
        <v>705013571</v>
      </c>
      <c r="B2" s="73" t="s">
        <v>40</v>
      </c>
      <c r="C2" s="73" t="s">
        <v>35</v>
      </c>
      <c r="D2" s="73">
        <v>5500197886</v>
      </c>
      <c r="E2" s="73">
        <v>70</v>
      </c>
    </row>
    <row r="3" spans="1:5" x14ac:dyDescent="0.2">
      <c r="A3" s="73">
        <v>705019194</v>
      </c>
      <c r="B3" s="76" t="s">
        <v>74</v>
      </c>
      <c r="C3" s="73" t="s">
        <v>35</v>
      </c>
      <c r="D3" s="73">
        <v>5500197886</v>
      </c>
      <c r="E3" s="73">
        <v>310</v>
      </c>
    </row>
    <row r="4" spans="1:5" x14ac:dyDescent="0.2">
      <c r="A4" s="73">
        <v>708302912</v>
      </c>
      <c r="B4" s="73" t="s">
        <v>41</v>
      </c>
      <c r="C4" s="73" t="s">
        <v>35</v>
      </c>
      <c r="D4" s="73">
        <v>5500197886</v>
      </c>
      <c r="E4" s="73">
        <v>220</v>
      </c>
    </row>
    <row r="5" spans="1:5" x14ac:dyDescent="0.2">
      <c r="A5" s="73">
        <v>708400338</v>
      </c>
      <c r="B5" s="73" t="s">
        <v>42</v>
      </c>
      <c r="C5" s="73" t="s">
        <v>35</v>
      </c>
      <c r="D5" s="73">
        <v>5500197886</v>
      </c>
      <c r="E5" s="73">
        <v>270</v>
      </c>
    </row>
    <row r="6" spans="1:5" x14ac:dyDescent="0.2">
      <c r="A6" s="73">
        <v>708400340</v>
      </c>
      <c r="B6" s="73" t="s">
        <v>43</v>
      </c>
      <c r="C6" s="73" t="s">
        <v>35</v>
      </c>
      <c r="D6" s="73">
        <v>5500197886</v>
      </c>
      <c r="E6" s="73">
        <v>280</v>
      </c>
    </row>
    <row r="7" spans="1:5" x14ac:dyDescent="0.2">
      <c r="A7" s="73">
        <v>708400719</v>
      </c>
      <c r="B7" s="73" t="s">
        <v>44</v>
      </c>
      <c r="C7" s="73" t="s">
        <v>35</v>
      </c>
      <c r="D7" s="73">
        <v>5500194952</v>
      </c>
      <c r="E7" s="73">
        <v>140</v>
      </c>
    </row>
    <row r="8" spans="1:5" x14ac:dyDescent="0.2">
      <c r="A8" s="73">
        <v>708400720</v>
      </c>
      <c r="B8" s="73" t="s">
        <v>45</v>
      </c>
      <c r="C8" s="73" t="s">
        <v>35</v>
      </c>
      <c r="D8" s="73">
        <v>5500194952</v>
      </c>
      <c r="E8" s="73">
        <v>150</v>
      </c>
    </row>
    <row r="9" spans="1:5" x14ac:dyDescent="0.2">
      <c r="A9" s="73">
        <v>708400723</v>
      </c>
      <c r="B9" s="73" t="s">
        <v>46</v>
      </c>
      <c r="C9" s="73" t="s">
        <v>35</v>
      </c>
      <c r="D9" s="73">
        <v>5500194952</v>
      </c>
      <c r="E9" s="73">
        <v>160</v>
      </c>
    </row>
    <row r="10" spans="1:5" x14ac:dyDescent="0.2">
      <c r="A10" s="73">
        <v>708400826</v>
      </c>
      <c r="B10" s="73" t="s">
        <v>47</v>
      </c>
      <c r="C10" s="73" t="s">
        <v>35</v>
      </c>
      <c r="D10" s="73">
        <v>5500194952</v>
      </c>
      <c r="E10" s="73">
        <v>170</v>
      </c>
    </row>
    <row r="11" spans="1:5" x14ac:dyDescent="0.2">
      <c r="A11" s="73">
        <v>705016725</v>
      </c>
      <c r="B11" s="73" t="s">
        <v>48</v>
      </c>
      <c r="C11" s="73" t="s">
        <v>34</v>
      </c>
      <c r="D11" s="73">
        <v>5500197886</v>
      </c>
      <c r="E11" s="73">
        <v>80</v>
      </c>
    </row>
    <row r="12" spans="1:5" x14ac:dyDescent="0.2">
      <c r="A12" s="73">
        <v>705016726</v>
      </c>
      <c r="B12" s="73" t="s">
        <v>49</v>
      </c>
      <c r="C12" s="73" t="s">
        <v>34</v>
      </c>
      <c r="D12" s="73">
        <v>5500197886</v>
      </c>
      <c r="E12" s="73">
        <v>90</v>
      </c>
    </row>
    <row r="13" spans="1:5" x14ac:dyDescent="0.2">
      <c r="A13" s="73">
        <v>705016733</v>
      </c>
      <c r="B13" s="73" t="s">
        <v>50</v>
      </c>
      <c r="C13" s="73" t="s">
        <v>34</v>
      </c>
      <c r="D13" s="73">
        <v>5500197886</v>
      </c>
      <c r="E13" s="73">
        <v>100</v>
      </c>
    </row>
    <row r="14" spans="1:5" x14ac:dyDescent="0.2">
      <c r="A14" s="73">
        <v>705016734</v>
      </c>
      <c r="B14" s="73" t="s">
        <v>51</v>
      </c>
      <c r="C14" s="73" t="s">
        <v>34</v>
      </c>
      <c r="D14" s="73">
        <v>5500197886</v>
      </c>
      <c r="E14" s="73">
        <v>110</v>
      </c>
    </row>
    <row r="15" spans="1:5" x14ac:dyDescent="0.2">
      <c r="A15" s="73">
        <v>708003404</v>
      </c>
      <c r="B15" s="73" t="s">
        <v>52</v>
      </c>
      <c r="C15" s="73" t="s">
        <v>34</v>
      </c>
      <c r="D15" s="73">
        <v>5500197886</v>
      </c>
      <c r="E15" s="73">
        <v>120</v>
      </c>
    </row>
    <row r="16" spans="1:5" x14ac:dyDescent="0.2">
      <c r="A16" s="73">
        <v>708201135</v>
      </c>
      <c r="B16" s="73" t="s">
        <v>53</v>
      </c>
      <c r="C16" s="73" t="s">
        <v>34</v>
      </c>
      <c r="D16" s="73">
        <v>5500197886</v>
      </c>
      <c r="E16" s="73">
        <v>170</v>
      </c>
    </row>
    <row r="17" spans="1:5" x14ac:dyDescent="0.2">
      <c r="A17" s="73">
        <v>708201136</v>
      </c>
      <c r="B17" s="73" t="s">
        <v>54</v>
      </c>
      <c r="C17" s="73" t="s">
        <v>34</v>
      </c>
      <c r="D17" s="73">
        <v>5500197886</v>
      </c>
      <c r="E17" s="73">
        <v>180</v>
      </c>
    </row>
    <row r="18" spans="1:5" x14ac:dyDescent="0.2">
      <c r="A18" s="73">
        <v>708201142</v>
      </c>
      <c r="B18" s="73" t="s">
        <v>55</v>
      </c>
      <c r="C18" s="73" t="s">
        <v>34</v>
      </c>
      <c r="D18" s="73">
        <v>5500197886</v>
      </c>
      <c r="E18" s="73">
        <v>190</v>
      </c>
    </row>
    <row r="19" spans="1:5" x14ac:dyDescent="0.2">
      <c r="A19" s="73">
        <v>708304085</v>
      </c>
      <c r="B19" s="73" t="s">
        <v>56</v>
      </c>
      <c r="C19" s="73" t="s">
        <v>34</v>
      </c>
      <c r="D19" s="73">
        <v>5500197886</v>
      </c>
      <c r="E19" s="73">
        <v>230</v>
      </c>
    </row>
    <row r="20" spans="1:5" x14ac:dyDescent="0.2">
      <c r="A20" s="73">
        <v>708304092</v>
      </c>
      <c r="B20" s="73" t="s">
        <v>57</v>
      </c>
      <c r="C20" s="73" t="s">
        <v>34</v>
      </c>
      <c r="D20" s="73">
        <v>5500197886</v>
      </c>
      <c r="E20" s="73">
        <v>240</v>
      </c>
    </row>
    <row r="21" spans="1:5" x14ac:dyDescent="0.2">
      <c r="A21" s="73">
        <v>708304097</v>
      </c>
      <c r="B21" s="73" t="s">
        <v>58</v>
      </c>
      <c r="C21" s="73" t="s">
        <v>34</v>
      </c>
      <c r="D21" s="73">
        <v>5500197886</v>
      </c>
      <c r="E21" s="73">
        <v>250</v>
      </c>
    </row>
    <row r="22" spans="1:5" x14ac:dyDescent="0.2">
      <c r="A22" s="73">
        <v>708304101</v>
      </c>
      <c r="B22" s="73" t="s">
        <v>59</v>
      </c>
      <c r="C22" s="73" t="s">
        <v>34</v>
      </c>
      <c r="D22" s="73">
        <v>5500197886</v>
      </c>
      <c r="E22" s="73">
        <v>260</v>
      </c>
    </row>
    <row r="23" spans="1:5" x14ac:dyDescent="0.2">
      <c r="A23" s="73">
        <v>708400558</v>
      </c>
      <c r="B23" s="73" t="s">
        <v>60</v>
      </c>
      <c r="C23" s="73" t="s">
        <v>34</v>
      </c>
      <c r="D23" s="73">
        <v>5500197886</v>
      </c>
      <c r="E23" s="73">
        <v>290</v>
      </c>
    </row>
    <row r="24" spans="1:5" x14ac:dyDescent="0.2">
      <c r="A24" s="73">
        <v>708400559</v>
      </c>
      <c r="B24" s="73" t="s">
        <v>61</v>
      </c>
      <c r="C24" s="73" t="s">
        <v>34</v>
      </c>
      <c r="D24" s="73">
        <v>5500197886</v>
      </c>
      <c r="E24" s="73">
        <v>300</v>
      </c>
    </row>
    <row r="25" spans="1:5" x14ac:dyDescent="0.2">
      <c r="A25" s="73">
        <v>705009924</v>
      </c>
      <c r="B25" s="73" t="s">
        <v>62</v>
      </c>
      <c r="C25" s="73" t="s">
        <v>33</v>
      </c>
      <c r="D25" s="73">
        <v>5500197886</v>
      </c>
      <c r="E25" s="73">
        <v>10</v>
      </c>
    </row>
    <row r="26" spans="1:5" x14ac:dyDescent="0.2">
      <c r="A26" s="73">
        <v>705009925</v>
      </c>
      <c r="B26" s="73" t="s">
        <v>63</v>
      </c>
      <c r="C26" s="73" t="s">
        <v>33</v>
      </c>
      <c r="D26" s="73">
        <v>5500197886</v>
      </c>
      <c r="E26" s="73">
        <v>20</v>
      </c>
    </row>
    <row r="27" spans="1:5" x14ac:dyDescent="0.2">
      <c r="A27" s="73">
        <v>705010836</v>
      </c>
      <c r="B27" s="73" t="s">
        <v>64</v>
      </c>
      <c r="C27" s="73" t="s">
        <v>33</v>
      </c>
      <c r="D27" s="73">
        <v>5500197886</v>
      </c>
      <c r="E27" s="73">
        <v>30</v>
      </c>
    </row>
    <row r="28" spans="1:5" x14ac:dyDescent="0.2">
      <c r="A28" s="73">
        <v>705010844</v>
      </c>
      <c r="B28" s="73" t="s">
        <v>65</v>
      </c>
      <c r="C28" s="73" t="s">
        <v>33</v>
      </c>
      <c r="D28" s="73">
        <v>5500197886</v>
      </c>
      <c r="E28" s="73">
        <v>40</v>
      </c>
    </row>
    <row r="29" spans="1:5" x14ac:dyDescent="0.2">
      <c r="A29" s="73">
        <v>705013326</v>
      </c>
      <c r="B29" s="73" t="s">
        <v>50</v>
      </c>
      <c r="C29" s="73" t="s">
        <v>33</v>
      </c>
      <c r="D29" s="73">
        <v>5500197886</v>
      </c>
      <c r="E29" s="73">
        <v>50</v>
      </c>
    </row>
    <row r="30" spans="1:5" x14ac:dyDescent="0.2">
      <c r="A30" s="73">
        <v>705013566</v>
      </c>
      <c r="B30" s="73" t="s">
        <v>51</v>
      </c>
      <c r="C30" s="73" t="s">
        <v>33</v>
      </c>
      <c r="D30" s="73">
        <v>5500197886</v>
      </c>
      <c r="E30" s="73">
        <v>60</v>
      </c>
    </row>
    <row r="31" spans="1:5" x14ac:dyDescent="0.2">
      <c r="A31" s="73">
        <v>708200677</v>
      </c>
      <c r="B31" s="73" t="s">
        <v>66</v>
      </c>
      <c r="C31" s="73" t="s">
        <v>33</v>
      </c>
      <c r="D31" s="73">
        <v>5500197886</v>
      </c>
      <c r="E31" s="73">
        <v>130</v>
      </c>
    </row>
    <row r="32" spans="1:5" x14ac:dyDescent="0.2">
      <c r="A32" s="73">
        <v>708200679</v>
      </c>
      <c r="B32" s="73" t="s">
        <v>67</v>
      </c>
      <c r="C32" s="73" t="s">
        <v>33</v>
      </c>
      <c r="D32" s="73">
        <v>5500197886</v>
      </c>
      <c r="E32" s="73">
        <v>140</v>
      </c>
    </row>
    <row r="33" spans="1:5" x14ac:dyDescent="0.2">
      <c r="A33" s="73">
        <v>708200680</v>
      </c>
      <c r="B33" s="73" t="s">
        <v>68</v>
      </c>
      <c r="C33" s="73" t="s">
        <v>33</v>
      </c>
      <c r="D33" s="73">
        <v>5500197886</v>
      </c>
      <c r="E33" s="73">
        <v>150</v>
      </c>
    </row>
    <row r="34" spans="1:5" x14ac:dyDescent="0.2">
      <c r="A34" s="73">
        <v>708200691</v>
      </c>
      <c r="B34" s="73" t="s">
        <v>69</v>
      </c>
      <c r="C34" s="73" t="s">
        <v>33</v>
      </c>
      <c r="D34" s="73">
        <v>5500197886</v>
      </c>
      <c r="E34" s="73">
        <v>160</v>
      </c>
    </row>
    <row r="35" spans="1:5" x14ac:dyDescent="0.2">
      <c r="A35" s="73">
        <v>708301917</v>
      </c>
      <c r="B35" s="73" t="s">
        <v>70</v>
      </c>
      <c r="C35" s="73" t="s">
        <v>33</v>
      </c>
      <c r="D35" s="73">
        <v>5500197886</v>
      </c>
      <c r="E35" s="73">
        <v>200</v>
      </c>
    </row>
    <row r="36" spans="1:5" x14ac:dyDescent="0.2">
      <c r="A36" s="73">
        <v>708301922</v>
      </c>
      <c r="B36" s="73" t="s">
        <v>71</v>
      </c>
      <c r="C36" s="73" t="s">
        <v>33</v>
      </c>
      <c r="D36" s="73">
        <v>5500197886</v>
      </c>
      <c r="E36" s="73">
        <v>210</v>
      </c>
    </row>
    <row r="37" spans="1:5" x14ac:dyDescent="0.2">
      <c r="A37" s="73">
        <v>705018578</v>
      </c>
      <c r="B37" s="73" t="s">
        <v>50</v>
      </c>
      <c r="C37" s="73" t="s">
        <v>72</v>
      </c>
      <c r="D37" s="73">
        <v>5500194952</v>
      </c>
      <c r="E37" s="73">
        <v>10</v>
      </c>
    </row>
    <row r="38" spans="1:5" x14ac:dyDescent="0.2">
      <c r="A38" s="73">
        <v>705018579</v>
      </c>
      <c r="B38" s="73" t="s">
        <v>51</v>
      </c>
      <c r="C38" s="73" t="s">
        <v>72</v>
      </c>
      <c r="D38" s="73">
        <v>5500194952</v>
      </c>
      <c r="E38" s="73">
        <v>20</v>
      </c>
    </row>
    <row r="39" spans="1:5" x14ac:dyDescent="0.2">
      <c r="A39" s="73">
        <v>705018580</v>
      </c>
      <c r="B39" s="73" t="s">
        <v>48</v>
      </c>
      <c r="C39" s="73" t="s">
        <v>72</v>
      </c>
      <c r="D39" s="73">
        <v>5500194952</v>
      </c>
      <c r="E39" s="73">
        <v>30</v>
      </c>
    </row>
    <row r="40" spans="1:5" x14ac:dyDescent="0.2">
      <c r="A40" s="73">
        <v>705018581</v>
      </c>
      <c r="B40" s="73" t="s">
        <v>49</v>
      </c>
      <c r="C40" s="73" t="s">
        <v>72</v>
      </c>
      <c r="D40" s="73">
        <v>5500194952</v>
      </c>
      <c r="E40" s="73">
        <v>40</v>
      </c>
    </row>
    <row r="41" spans="1:5" x14ac:dyDescent="0.2">
      <c r="A41" s="73">
        <v>708003728</v>
      </c>
      <c r="B41" s="73" t="s">
        <v>52</v>
      </c>
      <c r="C41" s="73" t="s">
        <v>72</v>
      </c>
      <c r="D41" s="73">
        <v>5500194952</v>
      </c>
      <c r="E41" s="73">
        <v>50</v>
      </c>
    </row>
    <row r="42" spans="1:5" x14ac:dyDescent="0.2">
      <c r="A42" s="73">
        <v>708201292</v>
      </c>
      <c r="B42" s="73" t="s">
        <v>53</v>
      </c>
      <c r="C42" s="73" t="s">
        <v>72</v>
      </c>
      <c r="D42" s="73">
        <v>5500194952</v>
      </c>
      <c r="E42" s="73">
        <v>60</v>
      </c>
    </row>
    <row r="43" spans="1:5" x14ac:dyDescent="0.2">
      <c r="A43" s="73">
        <v>708201293</v>
      </c>
      <c r="B43" s="73" t="s">
        <v>54</v>
      </c>
      <c r="C43" s="73" t="s">
        <v>72</v>
      </c>
      <c r="D43" s="73">
        <v>5500194952</v>
      </c>
      <c r="E43" s="73">
        <v>70</v>
      </c>
    </row>
    <row r="44" spans="1:5" x14ac:dyDescent="0.2">
      <c r="A44" s="73">
        <v>708201295</v>
      </c>
      <c r="B44" s="73" t="s">
        <v>55</v>
      </c>
      <c r="C44" s="73" t="s">
        <v>72</v>
      </c>
      <c r="D44" s="73">
        <v>5500194952</v>
      </c>
      <c r="E44" s="73">
        <v>80</v>
      </c>
    </row>
    <row r="45" spans="1:5" x14ac:dyDescent="0.2">
      <c r="A45" s="73">
        <v>708304714</v>
      </c>
      <c r="B45" s="73" t="s">
        <v>73</v>
      </c>
      <c r="C45" s="73" t="s">
        <v>72</v>
      </c>
      <c r="D45" s="73">
        <v>5500194952</v>
      </c>
      <c r="E45" s="73">
        <v>90</v>
      </c>
    </row>
    <row r="46" spans="1:5" x14ac:dyDescent="0.2">
      <c r="A46" s="73">
        <v>708304715</v>
      </c>
      <c r="B46" s="73" t="s">
        <v>58</v>
      </c>
      <c r="C46" s="73" t="s">
        <v>72</v>
      </c>
      <c r="D46" s="73">
        <v>5500194952</v>
      </c>
      <c r="E46" s="73">
        <v>100</v>
      </c>
    </row>
    <row r="47" spans="1:5" x14ac:dyDescent="0.2">
      <c r="A47" s="73">
        <v>708304716</v>
      </c>
      <c r="B47" s="73" t="s">
        <v>59</v>
      </c>
      <c r="C47" s="73" t="s">
        <v>72</v>
      </c>
      <c r="D47" s="73">
        <v>5500194952</v>
      </c>
      <c r="E47" s="73">
        <v>110</v>
      </c>
    </row>
    <row r="48" spans="1:5" x14ac:dyDescent="0.2">
      <c r="A48" s="73">
        <v>708304717</v>
      </c>
      <c r="B48" s="73" t="s">
        <v>56</v>
      </c>
      <c r="C48" s="73" t="s">
        <v>72</v>
      </c>
      <c r="D48" s="73">
        <v>5500194952</v>
      </c>
      <c r="E48" s="73">
        <v>120</v>
      </c>
    </row>
    <row r="49" spans="1:5" x14ac:dyDescent="0.2">
      <c r="A49" s="73">
        <v>708304718</v>
      </c>
      <c r="B49" s="73" t="s">
        <v>57</v>
      </c>
      <c r="C49" s="73" t="s">
        <v>72</v>
      </c>
      <c r="D49" s="73">
        <v>5500194952</v>
      </c>
      <c r="E49" s="73">
        <v>130</v>
      </c>
    </row>
    <row r="50" spans="1:5" x14ac:dyDescent="0.2">
      <c r="A50" s="73">
        <v>708400505</v>
      </c>
      <c r="B50" s="73" t="s">
        <v>60</v>
      </c>
      <c r="C50" s="73" t="s">
        <v>75</v>
      </c>
      <c r="D50" s="73">
        <v>5500197886</v>
      </c>
      <c r="E50" s="78">
        <v>590</v>
      </c>
    </row>
    <row r="51" spans="1:5" x14ac:dyDescent="0.2">
      <c r="A51" s="73">
        <v>708400506</v>
      </c>
      <c r="B51" s="73" t="s">
        <v>61</v>
      </c>
      <c r="C51" s="73" t="s">
        <v>35</v>
      </c>
      <c r="D51" s="73">
        <v>5500197886</v>
      </c>
      <c r="E51" s="78">
        <v>600</v>
      </c>
    </row>
    <row r="52" spans="1:5" x14ac:dyDescent="0.2">
      <c r="A52" s="78">
        <v>705019146</v>
      </c>
      <c r="B52" s="79" t="s">
        <v>50</v>
      </c>
      <c r="C52" s="79" t="s">
        <v>76</v>
      </c>
      <c r="D52" s="80">
        <v>4350011639</v>
      </c>
      <c r="E52" s="78">
        <v>10</v>
      </c>
    </row>
    <row r="53" spans="1:5" x14ac:dyDescent="0.2">
      <c r="A53" s="78">
        <v>705019147</v>
      </c>
      <c r="B53" s="79" t="s">
        <v>51</v>
      </c>
      <c r="C53" s="79" t="s">
        <v>76</v>
      </c>
      <c r="D53" s="80">
        <v>4350011639</v>
      </c>
      <c r="E53" s="78">
        <v>20</v>
      </c>
    </row>
    <row r="54" spans="1:5" x14ac:dyDescent="0.2">
      <c r="A54" s="78">
        <v>705019161</v>
      </c>
      <c r="B54" s="79" t="s">
        <v>62</v>
      </c>
      <c r="C54" s="79" t="s">
        <v>76</v>
      </c>
      <c r="D54" s="80">
        <v>4350011639</v>
      </c>
      <c r="E54" s="78">
        <v>30</v>
      </c>
    </row>
    <row r="55" spans="1:5" x14ac:dyDescent="0.2">
      <c r="A55" s="78">
        <v>705019162</v>
      </c>
      <c r="B55" s="79" t="s">
        <v>63</v>
      </c>
      <c r="C55" s="79" t="s">
        <v>76</v>
      </c>
      <c r="D55" s="80">
        <v>4350011639</v>
      </c>
      <c r="E55" s="78">
        <v>40</v>
      </c>
    </row>
    <row r="56" spans="1:5" x14ac:dyDescent="0.2">
      <c r="A56" s="78">
        <v>705019165</v>
      </c>
      <c r="B56" s="79" t="s">
        <v>65</v>
      </c>
      <c r="C56" s="79" t="s">
        <v>76</v>
      </c>
      <c r="D56" s="80">
        <v>4350011639</v>
      </c>
      <c r="E56" s="78">
        <v>50</v>
      </c>
    </row>
    <row r="57" spans="1:5" x14ac:dyDescent="0.2">
      <c r="A57" s="78">
        <v>705019166</v>
      </c>
      <c r="B57" s="79" t="s">
        <v>64</v>
      </c>
      <c r="C57" s="79" t="s">
        <v>76</v>
      </c>
      <c r="D57" s="80">
        <v>4350011639</v>
      </c>
      <c r="E57" s="78">
        <v>60</v>
      </c>
    </row>
    <row r="58" spans="1:5" x14ac:dyDescent="0.2">
      <c r="A58" s="78">
        <v>708201336</v>
      </c>
      <c r="B58" s="79" t="s">
        <v>66</v>
      </c>
      <c r="C58" s="79" t="s">
        <v>76</v>
      </c>
      <c r="D58" s="80">
        <v>4350011639</v>
      </c>
      <c r="E58" s="78">
        <v>110</v>
      </c>
    </row>
    <row r="59" spans="1:5" x14ac:dyDescent="0.2">
      <c r="A59" s="78">
        <v>708201337</v>
      </c>
      <c r="B59" s="79" t="s">
        <v>67</v>
      </c>
      <c r="C59" s="79" t="s">
        <v>76</v>
      </c>
      <c r="D59" s="80">
        <v>4350011639</v>
      </c>
      <c r="E59" s="78">
        <v>120</v>
      </c>
    </row>
    <row r="60" spans="1:5" x14ac:dyDescent="0.2">
      <c r="A60" s="78">
        <v>708201338</v>
      </c>
      <c r="B60" s="79" t="s">
        <v>68</v>
      </c>
      <c r="C60" s="79" t="s">
        <v>76</v>
      </c>
      <c r="D60" s="80">
        <v>4350011639</v>
      </c>
      <c r="E60" s="78">
        <v>130</v>
      </c>
    </row>
    <row r="61" spans="1:5" x14ac:dyDescent="0.2">
      <c r="A61" s="78">
        <v>708201339</v>
      </c>
      <c r="B61" s="79" t="s">
        <v>69</v>
      </c>
      <c r="C61" s="79" t="s">
        <v>76</v>
      </c>
      <c r="D61" s="80">
        <v>4350011639</v>
      </c>
      <c r="E61" s="78">
        <v>140</v>
      </c>
    </row>
    <row r="62" spans="1:5" x14ac:dyDescent="0.2">
      <c r="A62" s="78">
        <v>708304979</v>
      </c>
      <c r="B62" s="79" t="s">
        <v>70</v>
      </c>
      <c r="C62" s="79" t="s">
        <v>76</v>
      </c>
      <c r="D62" s="80">
        <v>4350011639</v>
      </c>
      <c r="E62" s="78">
        <v>150</v>
      </c>
    </row>
    <row r="63" spans="1:5" s="62" customFormat="1" x14ac:dyDescent="0.2">
      <c r="A63" s="78">
        <v>708304980</v>
      </c>
      <c r="B63" s="79" t="s">
        <v>71</v>
      </c>
      <c r="C63" s="79" t="s">
        <v>76</v>
      </c>
      <c r="D63" s="80">
        <v>4350011639</v>
      </c>
      <c r="E63" s="79">
        <v>160</v>
      </c>
    </row>
    <row r="64" spans="1:5" s="62" customFormat="1" x14ac:dyDescent="0.2">
      <c r="A64" s="78">
        <v>708304987</v>
      </c>
      <c r="B64" s="79" t="s">
        <v>58</v>
      </c>
      <c r="C64" s="79" t="s">
        <v>76</v>
      </c>
      <c r="D64" s="80">
        <v>4350011639</v>
      </c>
      <c r="E64" s="79">
        <v>170</v>
      </c>
    </row>
    <row r="65" spans="1:5" s="62" customFormat="1" x14ac:dyDescent="0.2">
      <c r="A65" s="78">
        <v>708304988</v>
      </c>
      <c r="B65" s="79" t="s">
        <v>59</v>
      </c>
      <c r="C65" s="79" t="s">
        <v>76</v>
      </c>
      <c r="D65" s="80">
        <v>4350011639</v>
      </c>
      <c r="E65" s="79">
        <v>180</v>
      </c>
    </row>
    <row r="66" spans="1:5" s="62" customFormat="1" x14ac:dyDescent="0.2">
      <c r="A66" s="73">
        <v>705019325</v>
      </c>
      <c r="B66" s="73" t="s">
        <v>50</v>
      </c>
      <c r="C66" s="73" t="s">
        <v>35</v>
      </c>
      <c r="D66" s="79"/>
      <c r="E66" s="79"/>
    </row>
    <row r="67" spans="1:5" s="62" customFormat="1" x14ac:dyDescent="0.2">
      <c r="A67" s="73">
        <v>705019326</v>
      </c>
      <c r="B67" s="73" t="s">
        <v>51</v>
      </c>
      <c r="C67" s="73" t="s">
        <v>35</v>
      </c>
      <c r="D67" s="79"/>
      <c r="E67" s="79"/>
    </row>
    <row r="68" spans="1:5" s="62" customFormat="1" x14ac:dyDescent="0.2">
      <c r="A68" s="73">
        <v>705019327</v>
      </c>
      <c r="B68" s="73" t="s">
        <v>77</v>
      </c>
      <c r="C68" s="73" t="s">
        <v>35</v>
      </c>
      <c r="D68" s="79"/>
      <c r="E68" s="79"/>
    </row>
    <row r="69" spans="1:5" s="62" customFormat="1" x14ac:dyDescent="0.2">
      <c r="A69" s="73">
        <v>705019328</v>
      </c>
      <c r="B69" s="73" t="s">
        <v>78</v>
      </c>
      <c r="C69" s="73" t="s">
        <v>35</v>
      </c>
      <c r="D69" s="79"/>
      <c r="E69" s="79"/>
    </row>
    <row r="70" spans="1:5" s="62" customFormat="1" x14ac:dyDescent="0.2">
      <c r="A70" s="73">
        <v>708400948</v>
      </c>
      <c r="B70" s="73" t="s">
        <v>79</v>
      </c>
      <c r="C70" s="73" t="s">
        <v>35</v>
      </c>
      <c r="D70" s="79"/>
      <c r="E70" s="79"/>
    </row>
    <row r="71" spans="1:5" x14ac:dyDescent="0.2">
      <c r="A71" s="73">
        <v>708400949</v>
      </c>
      <c r="B71" s="73" t="s">
        <v>80</v>
      </c>
      <c r="C71" s="73" t="s">
        <v>35</v>
      </c>
      <c r="D71" s="79"/>
      <c r="E71" s="79"/>
    </row>
    <row r="72" spans="1:5" x14ac:dyDescent="0.2">
      <c r="A72" s="73">
        <v>708400950</v>
      </c>
      <c r="B72" s="73" t="s">
        <v>81</v>
      </c>
      <c r="C72" s="73" t="s">
        <v>35</v>
      </c>
      <c r="D72" s="79"/>
      <c r="E72" s="79"/>
    </row>
    <row r="73" spans="1:5" x14ac:dyDescent="0.2">
      <c r="A73" s="73">
        <v>708400951</v>
      </c>
      <c r="B73" s="73" t="s">
        <v>82</v>
      </c>
      <c r="C73" s="73" t="s">
        <v>35</v>
      </c>
      <c r="D73" s="79"/>
      <c r="E73" s="79"/>
    </row>
    <row r="74" spans="1:5" x14ac:dyDescent="0.2">
      <c r="A74" s="78"/>
      <c r="B74" s="79"/>
      <c r="C74" s="79"/>
      <c r="D74" s="79"/>
      <c r="E74" s="79"/>
    </row>
    <row r="75" spans="1:5" x14ac:dyDescent="0.2">
      <c r="A75" s="78"/>
      <c r="B75" s="79"/>
      <c r="C75" s="79"/>
      <c r="D75" s="79"/>
      <c r="E75" s="79"/>
    </row>
    <row r="76" spans="1:5" x14ac:dyDescent="0.2">
      <c r="A76" s="78"/>
      <c r="B76" s="79"/>
      <c r="C76" s="79"/>
      <c r="D76" s="79"/>
      <c r="E76" s="79"/>
    </row>
    <row r="77" spans="1:5" x14ac:dyDescent="0.2">
      <c r="A77" s="78"/>
      <c r="B77" s="79"/>
      <c r="C77" s="79"/>
      <c r="D77" s="79"/>
      <c r="E77" s="79"/>
    </row>
    <row r="78" spans="1:5" x14ac:dyDescent="0.2">
      <c r="A78" s="78"/>
      <c r="B78" s="79"/>
      <c r="C78" s="79"/>
      <c r="D78" s="79"/>
      <c r="E78" s="79"/>
    </row>
    <row r="79" spans="1:5" x14ac:dyDescent="0.2">
      <c r="A79" s="78"/>
      <c r="B79" s="79"/>
      <c r="C79" s="79"/>
      <c r="D79" s="79"/>
      <c r="E79" s="79"/>
    </row>
    <row r="80" spans="1:5" x14ac:dyDescent="0.2">
      <c r="A80" s="78"/>
      <c r="B80" s="79"/>
      <c r="C80" s="79"/>
      <c r="D80" s="79"/>
      <c r="E80" s="79"/>
    </row>
    <row r="81" spans="1:5" x14ac:dyDescent="0.2">
      <c r="A81" s="78"/>
      <c r="B81" s="79"/>
      <c r="C81" s="79"/>
      <c r="D81" s="79"/>
      <c r="E81" s="79"/>
    </row>
    <row r="82" spans="1:5" x14ac:dyDescent="0.2">
      <c r="A82" s="78"/>
      <c r="B82" s="79"/>
      <c r="C82" s="79"/>
      <c r="D82" s="79"/>
      <c r="E82" s="79"/>
    </row>
    <row r="83" spans="1:5" x14ac:dyDescent="0.2">
      <c r="A83" s="78"/>
      <c r="B83" s="79"/>
      <c r="C83" s="79"/>
      <c r="D83" s="79"/>
      <c r="E83" s="79"/>
    </row>
    <row r="84" spans="1:5" x14ac:dyDescent="0.2">
      <c r="A84" s="78"/>
      <c r="B84" s="79"/>
      <c r="C84" s="79"/>
      <c r="D84" s="79"/>
      <c r="E84" s="79"/>
    </row>
    <row r="85" spans="1:5" x14ac:dyDescent="0.2">
      <c r="A85" s="78"/>
      <c r="B85" s="79"/>
      <c r="C85" s="79"/>
      <c r="D85" s="79"/>
      <c r="E85" s="79"/>
    </row>
    <row r="86" spans="1:5" x14ac:dyDescent="0.2">
      <c r="A86" s="78"/>
      <c r="B86" s="79"/>
      <c r="C86" s="79"/>
      <c r="D86" s="79"/>
      <c r="E86" s="79"/>
    </row>
    <row r="87" spans="1:5" x14ac:dyDescent="0.2">
      <c r="A87" s="78"/>
      <c r="B87" s="79"/>
      <c r="C87" s="79"/>
      <c r="D87" s="79"/>
      <c r="E87" s="79"/>
    </row>
    <row r="88" spans="1:5" x14ac:dyDescent="0.2">
      <c r="A88" s="78"/>
      <c r="B88" s="79"/>
      <c r="C88" s="79"/>
      <c r="D88" s="79"/>
      <c r="E88" s="79"/>
    </row>
    <row r="89" spans="1:5" x14ac:dyDescent="0.2">
      <c r="A89" s="78"/>
      <c r="B89" s="79"/>
      <c r="C89" s="79"/>
      <c r="D89" s="79"/>
      <c r="E89" s="79"/>
    </row>
  </sheetData>
  <autoFilter ref="A1:E49" xr:uid="{3ED30FB3-BED9-44E8-A77A-4F473D771B9D}"/>
  <pageMargins left="0.50078740157480295" right="0.23622047244094499" top="0.196850393700787" bottom="0.196850393700787" header="0.31496062992126" footer="0.31496062992126"/>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Packing Slip</vt:lpstr>
      <vt:lpstr>MasterList</vt:lpstr>
      <vt:lpstr>MasterList!Print_Area</vt:lpstr>
      <vt:lpstr>'Packing Slip'!Print_Area</vt:lpstr>
      <vt:lpstr>'Packing Slip'!Print_Titles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Amit Shinde</cp:lastModifiedBy>
  <cp:lastPrinted>2024-03-06T18:37:22Z</cp:lastPrinted>
  <dcterms:created xsi:type="dcterms:W3CDTF">2010-05-05T12:28:16Z</dcterms:created>
  <dcterms:modified xsi:type="dcterms:W3CDTF">2024-03-06T18:37:24Z</dcterms:modified>
</cp:coreProperties>
</file>