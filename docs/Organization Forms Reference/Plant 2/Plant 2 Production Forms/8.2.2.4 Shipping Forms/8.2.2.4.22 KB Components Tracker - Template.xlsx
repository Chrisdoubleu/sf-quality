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2 Plant 2\8.2.2.4 Shipping Forms\"/>
    </mc:Choice>
  </mc:AlternateContent>
  <xr:revisionPtr revIDLastSave="0" documentId="13_ncr:1_{47D845AC-0C72-49B2-A55A-AF60FB2DBF97}" xr6:coauthVersionLast="47" xr6:coauthVersionMax="47" xr10:uidLastSave="{00000000-0000-0000-0000-000000000000}"/>
  <bookViews>
    <workbookView xWindow="-120" yWindow="-120" windowWidth="29040" windowHeight="15720" activeTab="1" xr2:uid="{BE5DEC47-2B72-485E-AC28-1DA3600D81A3}"/>
  </bookViews>
  <sheets>
    <sheet name="Receiving" sheetId="1" r:id="rId1"/>
    <sheet name="Shipping" sheetId="2" r:id="rId2"/>
    <sheet name="MRP" sheetId="3" r:id="rId3"/>
    <sheet name="Parts Legend" sheetId="4" r:id="rId4"/>
    <sheet name="Releases" sheetId="7" r:id="rId5"/>
    <sheet name="waterfall" sheetId="8" r:id="rId6"/>
  </sheets>
  <definedNames>
    <definedName name="_xlnm._FilterDatabase" localSheetId="2" hidden="1">MRP!$A$3:$AX$19</definedName>
    <definedName name="_xlnm._FilterDatabase" localSheetId="5" hidden="1">waterfall!$A$11:$BR$11</definedName>
    <definedName name="_xlnm.Print_Area" localSheetId="3">'Parts Legend'!$A$1:$E$6</definedName>
    <definedName name="_xlnm.Print_Titles" localSheetId="3">'Parts Legend'!$2:$2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6" i="3" l="1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F7" i="7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AZ7" i="7" s="1"/>
  <c r="BA7" i="7" s="1"/>
  <c r="BB7" i="7" s="1"/>
  <c r="BC7" i="7" s="1"/>
  <c r="BD7" i="7" s="1"/>
  <c r="BE7" i="7" s="1"/>
  <c r="BF7" i="7" s="1"/>
  <c r="BG7" i="7" s="1"/>
  <c r="BH7" i="7" s="1"/>
  <c r="AK1" i="2"/>
  <c r="AL1" i="2"/>
  <c r="AM1" i="2"/>
  <c r="AN1" i="2"/>
  <c r="AO1" i="2"/>
  <c r="AP1" i="2"/>
  <c r="AQ1" i="2"/>
  <c r="AR1" i="2"/>
  <c r="AS1" i="2"/>
  <c r="AT1" i="2"/>
  <c r="AU1" i="2"/>
  <c r="AV1" i="2"/>
  <c r="AB1" i="2"/>
  <c r="AC1" i="2"/>
  <c r="H13" i="3" s="1"/>
  <c r="AD1" i="2"/>
  <c r="AE1" i="2"/>
  <c r="F13" i="3" s="1"/>
  <c r="AF1" i="2"/>
  <c r="AK13" i="3" s="1"/>
  <c r="AG1" i="2"/>
  <c r="AH1" i="2"/>
  <c r="AI1" i="2"/>
  <c r="I9" i="3" s="1"/>
  <c r="AJ1" i="2"/>
  <c r="H9" i="3" s="1"/>
  <c r="AA1" i="2"/>
  <c r="AG13" i="3" s="1"/>
  <c r="F3" i="3"/>
  <c r="AR9" i="3" l="1"/>
  <c r="AP17" i="3"/>
  <c r="I13" i="3"/>
  <c r="AO9" i="3"/>
  <c r="G17" i="3"/>
  <c r="AF13" i="3"/>
  <c r="AN9" i="3"/>
  <c r="AX17" i="3"/>
  <c r="AK17" i="3"/>
  <c r="AP9" i="3"/>
  <c r="G13" i="3"/>
  <c r="K14" i="3" s="1"/>
  <c r="M14" i="3" s="1"/>
  <c r="P14" i="3" s="1"/>
  <c r="R14" i="3" s="1"/>
  <c r="AW17" i="3"/>
  <c r="G9" i="3"/>
  <c r="AH13" i="3"/>
  <c r="Q17" i="3"/>
  <c r="AJ13" i="3"/>
  <c r="R17" i="3"/>
  <c r="Y17" i="3"/>
  <c r="P9" i="3"/>
  <c r="AA17" i="3"/>
  <c r="Q9" i="3"/>
  <c r="AB17" i="3"/>
  <c r="J13" i="3"/>
  <c r="AC17" i="3"/>
  <c r="L13" i="3"/>
  <c r="M13" i="3"/>
  <c r="AL17" i="3"/>
  <c r="T13" i="3"/>
  <c r="AD9" i="3"/>
  <c r="M17" i="3"/>
  <c r="AO17" i="3"/>
  <c r="R9" i="3"/>
  <c r="AR13" i="3"/>
  <c r="AV17" i="3"/>
  <c r="T9" i="3"/>
  <c r="AT13" i="3"/>
  <c r="F17" i="3"/>
  <c r="AA9" i="3"/>
  <c r="AU13" i="3"/>
  <c r="AB9" i="3"/>
  <c r="AV13" i="3"/>
  <c r="I17" i="3"/>
  <c r="AM17" i="3"/>
  <c r="V13" i="3"/>
  <c r="F5" i="3"/>
  <c r="AE9" i="3"/>
  <c r="W13" i="3"/>
  <c r="N17" i="3"/>
  <c r="F9" i="3"/>
  <c r="AF9" i="3"/>
  <c r="X13" i="3"/>
  <c r="O17" i="3"/>
  <c r="O9" i="3"/>
  <c r="S9" i="3"/>
  <c r="AC9" i="3"/>
  <c r="AM9" i="3"/>
  <c r="AQ9" i="3"/>
  <c r="K13" i="3"/>
  <c r="U13" i="3"/>
  <c r="Y13" i="3"/>
  <c r="AI13" i="3"/>
  <c r="AS13" i="3"/>
  <c r="AW13" i="3"/>
  <c r="P17" i="3"/>
  <c r="Z17" i="3"/>
  <c r="AD17" i="3"/>
  <c r="AN17" i="3"/>
  <c r="J9" i="3"/>
  <c r="V9" i="3"/>
  <c r="AH9" i="3"/>
  <c r="AT9" i="3"/>
  <c r="O13" i="3"/>
  <c r="AA13" i="3"/>
  <c r="AM13" i="3"/>
  <c r="H17" i="3"/>
  <c r="T17" i="3"/>
  <c r="AR17" i="3"/>
  <c r="W9" i="3"/>
  <c r="AI9" i="3"/>
  <c r="P13" i="3"/>
  <c r="AN13" i="3"/>
  <c r="U17" i="3"/>
  <c r="AS17" i="3"/>
  <c r="X9" i="3"/>
  <c r="AJ9" i="3"/>
  <c r="Q13" i="3"/>
  <c r="AO13" i="3"/>
  <c r="J17" i="3"/>
  <c r="AH17" i="3"/>
  <c r="Y9" i="3"/>
  <c r="AK9" i="3"/>
  <c r="AW9" i="3"/>
  <c r="R13" i="3"/>
  <c r="AD13" i="3"/>
  <c r="AP13" i="3"/>
  <c r="K17" i="3"/>
  <c r="W17" i="3"/>
  <c r="AI17" i="3"/>
  <c r="AU17" i="3"/>
  <c r="U9" i="3"/>
  <c r="AG9" i="3"/>
  <c r="AS9" i="3"/>
  <c r="N13" i="3"/>
  <c r="Z13" i="3"/>
  <c r="AL13" i="3"/>
  <c r="AX13" i="3"/>
  <c r="S17" i="3"/>
  <c r="AE17" i="3"/>
  <c r="AQ17" i="3"/>
  <c r="AF17" i="3"/>
  <c r="K9" i="3"/>
  <c r="AU9" i="3"/>
  <c r="AB13" i="3"/>
  <c r="AG17" i="3"/>
  <c r="L9" i="3"/>
  <c r="AV9" i="3"/>
  <c r="AC13" i="3"/>
  <c r="V17" i="3"/>
  <c r="AT17" i="3"/>
  <c r="M9" i="3"/>
  <c r="K10" i="3"/>
  <c r="M10" i="3" s="1"/>
  <c r="P10" i="3" s="1"/>
  <c r="R10" i="3" s="1"/>
  <c r="N9" i="3"/>
  <c r="Z9" i="3"/>
  <c r="AL9" i="3"/>
  <c r="AX9" i="3"/>
  <c r="S13" i="3"/>
  <c r="AE13" i="3"/>
  <c r="AQ13" i="3"/>
  <c r="L17" i="3"/>
  <c r="X17" i="3"/>
  <c r="AJ17" i="3"/>
  <c r="F4" i="3"/>
  <c r="K18" i="3" l="1"/>
  <c r="M18" i="3" s="1"/>
  <c r="P18" i="3" s="1"/>
  <c r="R18" i="3" s="1"/>
  <c r="E6" i="1"/>
  <c r="E5" i="1"/>
  <c r="E7" i="1"/>
  <c r="E4" i="1"/>
  <c r="D6" i="2"/>
  <c r="E11" i="3" s="1"/>
  <c r="I11" i="3" s="1"/>
  <c r="J11" i="3" s="1"/>
  <c r="N11" i="3" s="1"/>
  <c r="D7" i="2"/>
  <c r="E15" i="3" s="1"/>
  <c r="I15" i="3" s="1"/>
  <c r="J15" i="3" s="1"/>
  <c r="N15" i="3" s="1"/>
  <c r="D8" i="2"/>
  <c r="E19" i="3" s="1"/>
  <c r="D5" i="2"/>
  <c r="E27" i="7"/>
  <c r="F27" i="7" s="1"/>
  <c r="G27" i="7" s="1"/>
  <c r="H27" i="7" s="1"/>
  <c r="I27" i="7" s="1"/>
  <c r="J27" i="7" s="1"/>
  <c r="K27" i="7" s="1"/>
  <c r="L27" i="7" s="1"/>
  <c r="M27" i="7" s="1"/>
  <c r="N27" i="7" s="1"/>
  <c r="O27" i="7" s="1"/>
  <c r="P27" i="7" s="1"/>
  <c r="Q27" i="7" s="1"/>
  <c r="R27" i="7" s="1"/>
  <c r="S27" i="7" s="1"/>
  <c r="T27" i="7" s="1"/>
  <c r="U27" i="7" s="1"/>
  <c r="V27" i="7" s="1"/>
  <c r="W27" i="7" s="1"/>
  <c r="X27" i="7" s="1"/>
  <c r="Y27" i="7" s="1"/>
  <c r="Z27" i="7" s="1"/>
  <c r="AA27" i="7" s="1"/>
  <c r="AB27" i="7" s="1"/>
  <c r="AC27" i="7" s="1"/>
  <c r="AD27" i="7" s="1"/>
  <c r="AE27" i="7" s="1"/>
  <c r="AF27" i="7" s="1"/>
  <c r="AG27" i="7" s="1"/>
  <c r="AH27" i="7" s="1"/>
  <c r="AI27" i="7" s="1"/>
  <c r="AJ27" i="7" s="1"/>
  <c r="AK27" i="7" s="1"/>
  <c r="AL27" i="7" s="1"/>
  <c r="AM27" i="7" s="1"/>
  <c r="AN27" i="7" s="1"/>
  <c r="AO27" i="7" s="1"/>
  <c r="AP27" i="7" s="1"/>
  <c r="AQ27" i="7" s="1"/>
  <c r="AR27" i="7" s="1"/>
  <c r="AS27" i="7" s="1"/>
  <c r="AT27" i="7" s="1"/>
  <c r="AU27" i="7" s="1"/>
  <c r="AV27" i="7" s="1"/>
  <c r="AW27" i="7" s="1"/>
  <c r="AX27" i="7" s="1"/>
  <c r="AY27" i="7" s="1"/>
  <c r="AZ27" i="7" s="1"/>
  <c r="BA27" i="7" s="1"/>
  <c r="BB27" i="7" s="1"/>
  <c r="BC27" i="7" s="1"/>
  <c r="BD27" i="7" s="1"/>
  <c r="BE27" i="7" s="1"/>
  <c r="BF27" i="7" s="1"/>
  <c r="BG27" i="7" s="1"/>
  <c r="BH27" i="7" s="1"/>
  <c r="E17" i="7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I19" i="3" l="1"/>
  <c r="J19" i="3" s="1"/>
  <c r="N19" i="3" s="1"/>
  <c r="E7" i="3"/>
  <c r="D4" i="1"/>
  <c r="Y12" i="7"/>
  <c r="Z12" i="7"/>
  <c r="AC12" i="7"/>
  <c r="H12" i="7"/>
  <c r="I12" i="7"/>
  <c r="J12" i="7"/>
  <c r="T12" i="7"/>
  <c r="AD12" i="7"/>
  <c r="AP12" i="7"/>
  <c r="AQ12" i="7"/>
  <c r="AR12" i="7"/>
  <c r="AS12" i="7"/>
  <c r="AT12" i="7"/>
  <c r="BB12" i="7"/>
  <c r="BC12" i="7"/>
  <c r="BD12" i="7"/>
  <c r="BE12" i="7"/>
  <c r="E8" i="7"/>
  <c r="E9" i="7" s="1"/>
  <c r="E10" i="7"/>
  <c r="E11" i="7" s="1"/>
  <c r="E6" i="7"/>
  <c r="G3" i="7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F3" i="7"/>
  <c r="E11" i="8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AK11" i="8" s="1"/>
  <c r="AL11" i="8" s="1"/>
  <c r="AM11" i="8" s="1"/>
  <c r="AN11" i="8" s="1"/>
  <c r="AO11" i="8" s="1"/>
  <c r="AP11" i="8" s="1"/>
  <c r="AQ11" i="8" s="1"/>
  <c r="AR11" i="8" s="1"/>
  <c r="AS11" i="8" s="1"/>
  <c r="AT11" i="8" s="1"/>
  <c r="AU11" i="8" s="1"/>
  <c r="AV11" i="8" s="1"/>
  <c r="AW11" i="8" s="1"/>
  <c r="AX11" i="8" s="1"/>
  <c r="AY11" i="8" s="1"/>
  <c r="AZ11" i="8" s="1"/>
  <c r="BA11" i="8" s="1"/>
  <c r="BB11" i="8" s="1"/>
  <c r="BC11" i="8" s="1"/>
  <c r="BD11" i="8" s="1"/>
  <c r="BE11" i="8" s="1"/>
  <c r="BF11" i="8" s="1"/>
  <c r="BG11" i="8" s="1"/>
  <c r="BH11" i="8" s="1"/>
  <c r="BI11" i="8" s="1"/>
  <c r="BJ11" i="8" s="1"/>
  <c r="BK11" i="8" s="1"/>
  <c r="BL11" i="8" s="1"/>
  <c r="BM11" i="8" s="1"/>
  <c r="BN11" i="8" s="1"/>
  <c r="BO11" i="8" s="1"/>
  <c r="BP11" i="8" s="1"/>
  <c r="BQ11" i="8" s="1"/>
  <c r="BR11" i="8" s="1"/>
  <c r="E1" i="8"/>
  <c r="A3" i="8"/>
  <c r="A4" i="8"/>
  <c r="A5" i="8"/>
  <c r="A6" i="8"/>
  <c r="A7" i="8"/>
  <c r="A8" i="8"/>
  <c r="A9" i="8"/>
  <c r="A2" i="8"/>
  <c r="A5" i="7"/>
  <c r="A6" i="7"/>
  <c r="A7" i="7"/>
  <c r="A8" i="7"/>
  <c r="A9" i="7"/>
  <c r="A10" i="7"/>
  <c r="A11" i="7"/>
  <c r="A4" i="7"/>
  <c r="BF12" i="7" l="1"/>
  <c r="AA12" i="7"/>
  <c r="X12" i="7"/>
  <c r="W12" i="7"/>
  <c r="V12" i="7"/>
  <c r="U12" i="7"/>
  <c r="L12" i="7"/>
  <c r="K12" i="7"/>
  <c r="F1" i="8"/>
  <c r="BH12" i="7"/>
  <c r="BG12" i="7"/>
  <c r="AY12" i="7"/>
  <c r="O12" i="7"/>
  <c r="BA12" i="7"/>
  <c r="AN12" i="7"/>
  <c r="AL12" i="7"/>
  <c r="N12" i="7"/>
  <c r="AG12" i="7"/>
  <c r="AV12" i="7"/>
  <c r="AE12" i="7"/>
  <c r="AM12" i="7"/>
  <c r="AO12" i="7"/>
  <c r="AZ12" i="7"/>
  <c r="AH12" i="7"/>
  <c r="AX12" i="7"/>
  <c r="AW12" i="7"/>
  <c r="AK12" i="7"/>
  <c r="M12" i="7"/>
  <c r="AF12" i="7"/>
  <c r="AJ12" i="7"/>
  <c r="AU12" i="7"/>
  <c r="AI12" i="7"/>
  <c r="F9" i="7"/>
  <c r="G9" i="7" s="1"/>
  <c r="H9" i="7" s="1"/>
  <c r="I9" i="7" s="1"/>
  <c r="J9" i="7" s="1"/>
  <c r="K9" i="7" s="1"/>
  <c r="L9" i="7" s="1"/>
  <c r="M9" i="7" s="1"/>
  <c r="N9" i="7" s="1"/>
  <c r="O9" i="7" s="1"/>
  <c r="P9" i="7" s="1"/>
  <c r="Q9" i="7" s="1"/>
  <c r="R9" i="7" s="1"/>
  <c r="S9" i="7" s="1"/>
  <c r="T9" i="7" s="1"/>
  <c r="U9" i="7" s="1"/>
  <c r="V9" i="7" s="1"/>
  <c r="W9" i="7" s="1"/>
  <c r="X9" i="7" s="1"/>
  <c r="Y9" i="7" s="1"/>
  <c r="Z9" i="7" s="1"/>
  <c r="AA9" i="7" s="1"/>
  <c r="AB9" i="7" s="1"/>
  <c r="AC9" i="7" s="1"/>
  <c r="AD9" i="7" s="1"/>
  <c r="AE9" i="7" s="1"/>
  <c r="AF9" i="7" s="1"/>
  <c r="AG9" i="7" s="1"/>
  <c r="AH9" i="7" s="1"/>
  <c r="AI9" i="7" s="1"/>
  <c r="AJ9" i="7" s="1"/>
  <c r="AK9" i="7" s="1"/>
  <c r="AL9" i="7" s="1"/>
  <c r="AM9" i="7" s="1"/>
  <c r="AN9" i="7" s="1"/>
  <c r="AO9" i="7" s="1"/>
  <c r="AP9" i="7" s="1"/>
  <c r="AQ9" i="7" s="1"/>
  <c r="AR9" i="7" s="1"/>
  <c r="AS9" i="7" s="1"/>
  <c r="AT9" i="7" s="1"/>
  <c r="AU9" i="7" s="1"/>
  <c r="AV9" i="7" s="1"/>
  <c r="AW9" i="7" s="1"/>
  <c r="AX9" i="7" s="1"/>
  <c r="AY9" i="7" s="1"/>
  <c r="AZ9" i="7" s="1"/>
  <c r="BA9" i="7" s="1"/>
  <c r="BB9" i="7" s="1"/>
  <c r="BC9" i="7" s="1"/>
  <c r="BD9" i="7" s="1"/>
  <c r="BE9" i="7" s="1"/>
  <c r="BF9" i="7" s="1"/>
  <c r="BG9" i="7" s="1"/>
  <c r="BH9" i="7" s="1"/>
  <c r="F11" i="7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Q11" i="7" s="1"/>
  <c r="R11" i="7" s="1"/>
  <c r="S11" i="7" s="1"/>
  <c r="T11" i="7" s="1"/>
  <c r="U11" i="7" s="1"/>
  <c r="V11" i="7" s="1"/>
  <c r="W11" i="7" s="1"/>
  <c r="X11" i="7" s="1"/>
  <c r="Y11" i="7" s="1"/>
  <c r="Z11" i="7" s="1"/>
  <c r="AA11" i="7" s="1"/>
  <c r="AB11" i="7" s="1"/>
  <c r="AC11" i="7" s="1"/>
  <c r="AD11" i="7" s="1"/>
  <c r="AE11" i="7" s="1"/>
  <c r="AF11" i="7" s="1"/>
  <c r="AG11" i="7" s="1"/>
  <c r="AH11" i="7" s="1"/>
  <c r="AI11" i="7" s="1"/>
  <c r="AJ11" i="7" s="1"/>
  <c r="AK11" i="7" s="1"/>
  <c r="AL11" i="7" s="1"/>
  <c r="AM11" i="7" s="1"/>
  <c r="AN11" i="7" s="1"/>
  <c r="AO11" i="7" s="1"/>
  <c r="AP11" i="7" s="1"/>
  <c r="AQ11" i="7" s="1"/>
  <c r="AR11" i="7" s="1"/>
  <c r="AS11" i="7" s="1"/>
  <c r="AT11" i="7" s="1"/>
  <c r="AU11" i="7" s="1"/>
  <c r="AV11" i="7" s="1"/>
  <c r="AW11" i="7" s="1"/>
  <c r="AX11" i="7" s="1"/>
  <c r="AY11" i="7" s="1"/>
  <c r="AZ11" i="7" s="1"/>
  <c r="BA11" i="7" s="1"/>
  <c r="BB11" i="7" s="1"/>
  <c r="BC11" i="7" s="1"/>
  <c r="BD11" i="7" s="1"/>
  <c r="BE11" i="7" s="1"/>
  <c r="BF11" i="7" s="1"/>
  <c r="BG11" i="7" s="1"/>
  <c r="BH11" i="7" s="1"/>
  <c r="S12" i="7"/>
  <c r="G12" i="7"/>
  <c r="R12" i="7"/>
  <c r="F12" i="7"/>
  <c r="Q12" i="7"/>
  <c r="AB12" i="7"/>
  <c r="P12" i="7"/>
  <c r="E12" i="7"/>
  <c r="E7" i="7"/>
  <c r="E5" i="7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BD5" i="7" s="1"/>
  <c r="BE5" i="7" s="1"/>
  <c r="BF5" i="7" s="1"/>
  <c r="BG5" i="7" s="1"/>
  <c r="BH5" i="7" s="1"/>
  <c r="G1" i="8" l="1"/>
  <c r="H1" i="8" l="1"/>
  <c r="I1" i="8" l="1"/>
  <c r="J1" i="8" l="1"/>
  <c r="H5" i="8"/>
  <c r="E6" i="8"/>
  <c r="E3" i="8"/>
  <c r="E8" i="8"/>
  <c r="D3" i="8"/>
  <c r="F6" i="8"/>
  <c r="J4" i="8"/>
  <c r="G9" i="8"/>
  <c r="E5" i="8"/>
  <c r="F9" i="8"/>
  <c r="I7" i="8"/>
  <c r="D5" i="8"/>
  <c r="D2" i="8"/>
  <c r="D7" i="8"/>
  <c r="G8" i="8"/>
  <c r="D6" i="8"/>
  <c r="E4" i="8"/>
  <c r="D9" i="8"/>
  <c r="H3" i="8"/>
  <c r="E2" i="8"/>
  <c r="D4" i="8"/>
  <c r="I4" i="8"/>
  <c r="E7" i="8"/>
  <c r="F2" i="8"/>
  <c r="D8" i="8"/>
  <c r="K1" i="8" l="1"/>
  <c r="I9" i="8"/>
  <c r="J6" i="8"/>
  <c r="J9" i="8"/>
  <c r="K4" i="8"/>
  <c r="K6" i="8"/>
  <c r="J7" i="8"/>
  <c r="I5" i="8"/>
  <c r="K9" i="8"/>
  <c r="K8" i="8"/>
  <c r="J5" i="8"/>
  <c r="G4" i="8"/>
  <c r="G3" i="8"/>
  <c r="G5" i="8"/>
  <c r="K2" i="8"/>
  <c r="J8" i="8"/>
  <c r="H7" i="8"/>
  <c r="G2" i="8"/>
  <c r="K3" i="8"/>
  <c r="H4" i="8"/>
  <c r="F7" i="8"/>
  <c r="I2" i="8"/>
  <c r="F4" i="8"/>
  <c r="H2" i="8"/>
  <c r="G7" i="8"/>
  <c r="I3" i="8"/>
  <c r="J2" i="8"/>
  <c r="H9" i="8"/>
  <c r="F5" i="8"/>
  <c r="G6" i="8"/>
  <c r="H8" i="8"/>
  <c r="F8" i="8"/>
  <c r="I8" i="8"/>
  <c r="E9" i="8"/>
  <c r="F3" i="8"/>
  <c r="I6" i="8"/>
  <c r="H6" i="8"/>
  <c r="J3" i="8"/>
  <c r="H1" i="1"/>
  <c r="I1" i="1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7" i="1"/>
  <c r="D6" i="1"/>
  <c r="D5" i="1"/>
  <c r="F1" i="1"/>
  <c r="G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L1" i="8" l="1"/>
  <c r="K5" i="8"/>
  <c r="K7" i="8"/>
  <c r="E1" i="1"/>
  <c r="D2" i="2"/>
  <c r="M1" i="8" l="1"/>
  <c r="L3" i="8"/>
  <c r="L7" i="8"/>
  <c r="L5" i="8"/>
  <c r="L9" i="8"/>
  <c r="L6" i="8"/>
  <c r="L2" i="8"/>
  <c r="L8" i="8"/>
  <c r="L4" i="8"/>
  <c r="G3" i="3"/>
  <c r="F2" i="3"/>
  <c r="G5" i="3" l="1"/>
  <c r="G4" i="3"/>
  <c r="G2" i="3"/>
  <c r="H3" i="3"/>
  <c r="N1" i="8"/>
  <c r="M8" i="8"/>
  <c r="M9" i="8"/>
  <c r="M3" i="8"/>
  <c r="M2" i="8"/>
  <c r="M6" i="8"/>
  <c r="M4" i="8"/>
  <c r="M7" i="8"/>
  <c r="M5" i="8"/>
  <c r="H5" i="3" l="1"/>
  <c r="H4" i="3"/>
  <c r="I3" i="3"/>
  <c r="H2" i="3"/>
  <c r="O1" i="8"/>
  <c r="N6" i="8"/>
  <c r="N2" i="8"/>
  <c r="N9" i="8"/>
  <c r="N7" i="8"/>
  <c r="N3" i="8"/>
  <c r="N4" i="8"/>
  <c r="N8" i="8"/>
  <c r="N5" i="8"/>
  <c r="I5" i="3" l="1"/>
  <c r="I4" i="3"/>
  <c r="I2" i="3"/>
  <c r="J3" i="3"/>
  <c r="P1" i="8"/>
  <c r="O9" i="8"/>
  <c r="O6" i="8"/>
  <c r="O7" i="8"/>
  <c r="O8" i="8"/>
  <c r="O5" i="8"/>
  <c r="O4" i="8"/>
  <c r="O2" i="8"/>
  <c r="O3" i="8"/>
  <c r="J5" i="3" l="1"/>
  <c r="J4" i="3"/>
  <c r="J2" i="3"/>
  <c r="K3" i="3"/>
  <c r="Q1" i="8"/>
  <c r="P2" i="8"/>
  <c r="P4" i="8"/>
  <c r="P6" i="8"/>
  <c r="P3" i="8"/>
  <c r="P8" i="8"/>
  <c r="P9" i="8"/>
  <c r="P7" i="8"/>
  <c r="P5" i="8"/>
  <c r="K5" i="3" l="1"/>
  <c r="K4" i="3"/>
  <c r="K6" i="3" s="1"/>
  <c r="K2" i="3"/>
  <c r="L3" i="3"/>
  <c r="R1" i="8"/>
  <c r="Q7" i="8"/>
  <c r="Q9" i="8"/>
  <c r="Q6" i="8"/>
  <c r="Q8" i="8"/>
  <c r="Q3" i="8"/>
  <c r="Q2" i="8"/>
  <c r="Q4" i="8"/>
  <c r="Q5" i="8"/>
  <c r="I7" i="3" l="1"/>
  <c r="L5" i="3"/>
  <c r="L4" i="3"/>
  <c r="L2" i="3"/>
  <c r="M3" i="3"/>
  <c r="S1" i="8"/>
  <c r="R3" i="8"/>
  <c r="R2" i="8"/>
  <c r="R6" i="8"/>
  <c r="R9" i="8"/>
  <c r="R8" i="8"/>
  <c r="R4" i="8"/>
  <c r="R7" i="8"/>
  <c r="R5" i="8"/>
  <c r="M5" i="3" l="1"/>
  <c r="M4" i="3"/>
  <c r="M6" i="3" s="1"/>
  <c r="N3" i="3"/>
  <c r="M2" i="3"/>
  <c r="T1" i="8"/>
  <c r="S9" i="8"/>
  <c r="S4" i="8"/>
  <c r="S2" i="8"/>
  <c r="S7" i="8"/>
  <c r="S6" i="8"/>
  <c r="S8" i="8"/>
  <c r="S3" i="8"/>
  <c r="S5" i="8"/>
  <c r="N5" i="3" l="1"/>
  <c r="J7" i="3"/>
  <c r="N4" i="3"/>
  <c r="O3" i="3"/>
  <c r="N2" i="3"/>
  <c r="U1" i="8"/>
  <c r="T6" i="8"/>
  <c r="T3" i="8"/>
  <c r="T8" i="8"/>
  <c r="T9" i="8"/>
  <c r="T2" i="8"/>
  <c r="T7" i="8"/>
  <c r="T4" i="8"/>
  <c r="T5" i="8"/>
  <c r="O5" i="3" l="1"/>
  <c r="O4" i="3"/>
  <c r="P3" i="3"/>
  <c r="O2" i="3"/>
  <c r="V1" i="8"/>
  <c r="U2" i="8"/>
  <c r="U3" i="8"/>
  <c r="U9" i="8"/>
  <c r="U7" i="8"/>
  <c r="U8" i="8"/>
  <c r="U4" i="8"/>
  <c r="U6" i="8"/>
  <c r="U5" i="8"/>
  <c r="P5" i="3" l="1"/>
  <c r="P4" i="3"/>
  <c r="P6" i="3" s="1"/>
  <c r="P2" i="3"/>
  <c r="Q3" i="3"/>
  <c r="W1" i="8"/>
  <c r="V6" i="8"/>
  <c r="V3" i="8"/>
  <c r="V8" i="8"/>
  <c r="V2" i="8"/>
  <c r="V4" i="8"/>
  <c r="V9" i="8"/>
  <c r="V7" i="8"/>
  <c r="V5" i="8"/>
  <c r="N7" i="3" l="1"/>
  <c r="Q5" i="3"/>
  <c r="Q4" i="3"/>
  <c r="Q2" i="3"/>
  <c r="R3" i="3"/>
  <c r="X1" i="8"/>
  <c r="W4" i="8"/>
  <c r="W8" i="8"/>
  <c r="W7" i="8"/>
  <c r="W3" i="8"/>
  <c r="W6" i="8"/>
  <c r="W9" i="8"/>
  <c r="W2" i="8"/>
  <c r="W5" i="8"/>
  <c r="R5" i="3" l="1"/>
  <c r="R4" i="3"/>
  <c r="R6" i="3" s="1"/>
  <c r="R2" i="3"/>
  <c r="S3" i="3"/>
  <c r="Y1" i="8"/>
  <c r="X7" i="8"/>
  <c r="X3" i="8"/>
  <c r="X2" i="8"/>
  <c r="X9" i="8"/>
  <c r="X8" i="8"/>
  <c r="X6" i="8"/>
  <c r="X4" i="8"/>
  <c r="X5" i="8"/>
  <c r="S5" i="3" l="1"/>
  <c r="S4" i="3"/>
  <c r="T3" i="3"/>
  <c r="S2" i="3"/>
  <c r="Z1" i="8"/>
  <c r="Y4" i="8"/>
  <c r="Y2" i="8"/>
  <c r="Y7" i="8"/>
  <c r="Y3" i="8"/>
  <c r="Y6" i="8"/>
  <c r="Y8" i="8"/>
  <c r="Y9" i="8"/>
  <c r="Y5" i="8"/>
  <c r="T5" i="3" l="1"/>
  <c r="T4" i="3"/>
  <c r="U3" i="3"/>
  <c r="T2" i="3"/>
  <c r="AA1" i="8"/>
  <c r="Z4" i="8"/>
  <c r="Z9" i="8"/>
  <c r="Z8" i="8"/>
  <c r="Z7" i="8"/>
  <c r="Z3" i="8"/>
  <c r="Z2" i="8"/>
  <c r="Z6" i="8"/>
  <c r="Z5" i="8"/>
  <c r="U5" i="3" l="1"/>
  <c r="U4" i="3"/>
  <c r="U2" i="3"/>
  <c r="V3" i="3"/>
  <c r="AB1" i="8"/>
  <c r="AA7" i="8"/>
  <c r="AA6" i="8"/>
  <c r="AA3" i="8"/>
  <c r="AA9" i="8"/>
  <c r="AA2" i="8"/>
  <c r="AA8" i="8"/>
  <c r="AA4" i="8"/>
  <c r="AA5" i="8"/>
  <c r="V5" i="3" l="1"/>
  <c r="V4" i="3"/>
  <c r="W3" i="3"/>
  <c r="V2" i="3"/>
  <c r="AC1" i="8"/>
  <c r="AB6" i="8"/>
  <c r="AB9" i="8"/>
  <c r="AB2" i="8"/>
  <c r="AB4" i="8"/>
  <c r="AB3" i="8"/>
  <c r="AB7" i="8"/>
  <c r="AB8" i="8"/>
  <c r="AB5" i="8"/>
  <c r="W5" i="3" l="1"/>
  <c r="W4" i="3"/>
  <c r="W2" i="3"/>
  <c r="X3" i="3"/>
  <c r="AD1" i="8"/>
  <c r="AC7" i="8"/>
  <c r="AC6" i="8"/>
  <c r="AC8" i="8"/>
  <c r="AC4" i="8"/>
  <c r="AC3" i="8"/>
  <c r="AC2" i="8"/>
  <c r="AC9" i="8"/>
  <c r="AC5" i="8"/>
  <c r="X5" i="3" l="1"/>
  <c r="X4" i="3"/>
  <c r="X2" i="3"/>
  <c r="Y3" i="3"/>
  <c r="AE1" i="8"/>
  <c r="AD4" i="8"/>
  <c r="AD7" i="8"/>
  <c r="AD6" i="8"/>
  <c r="AD3" i="8"/>
  <c r="AD9" i="8"/>
  <c r="AD8" i="8"/>
  <c r="AD2" i="8"/>
  <c r="AD5" i="8"/>
  <c r="Y5" i="3" l="1"/>
  <c r="Y4" i="3"/>
  <c r="Y2" i="3"/>
  <c r="Z3" i="3"/>
  <c r="AF1" i="8"/>
  <c r="AE8" i="8"/>
  <c r="AE3" i="8"/>
  <c r="AE2" i="8"/>
  <c r="AE7" i="8"/>
  <c r="AE6" i="8"/>
  <c r="AE9" i="8"/>
  <c r="AE4" i="8"/>
  <c r="AE5" i="8"/>
  <c r="Z5" i="3" l="1"/>
  <c r="Z4" i="3"/>
  <c r="AA3" i="3"/>
  <c r="Z2" i="3"/>
  <c r="AG1" i="8"/>
  <c r="AF6" i="8"/>
  <c r="AF7" i="8"/>
  <c r="AF8" i="8"/>
  <c r="AF4" i="8"/>
  <c r="AF3" i="8"/>
  <c r="AF2" i="8"/>
  <c r="AF9" i="8"/>
  <c r="AF5" i="8"/>
  <c r="AA5" i="3" l="1"/>
  <c r="AA4" i="3"/>
  <c r="AB3" i="3"/>
  <c r="AA2" i="3"/>
  <c r="AH1" i="8"/>
  <c r="AG2" i="8"/>
  <c r="AG9" i="8"/>
  <c r="AG6" i="8"/>
  <c r="AG8" i="8"/>
  <c r="AG7" i="8"/>
  <c r="AG4" i="8"/>
  <c r="AG3" i="8"/>
  <c r="AG5" i="8"/>
  <c r="AB5" i="3" l="1"/>
  <c r="AB4" i="3"/>
  <c r="AB2" i="3"/>
  <c r="AC3" i="3"/>
  <c r="AI1" i="8"/>
  <c r="AH2" i="8"/>
  <c r="AH4" i="8"/>
  <c r="AH8" i="8"/>
  <c r="AH7" i="8"/>
  <c r="AH6" i="8"/>
  <c r="AH9" i="8"/>
  <c r="AH3" i="8"/>
  <c r="AH5" i="8"/>
  <c r="AC5" i="3" l="1"/>
  <c r="AC4" i="3"/>
  <c r="AC2" i="3"/>
  <c r="AD3" i="3"/>
  <c r="AJ1" i="8"/>
  <c r="AI8" i="8"/>
  <c r="AI9" i="8"/>
  <c r="AI2" i="8"/>
  <c r="AI3" i="8"/>
  <c r="AI6" i="8"/>
  <c r="AI7" i="8"/>
  <c r="AI4" i="8"/>
  <c r="AI5" i="8"/>
  <c r="AD5" i="3" l="1"/>
  <c r="AD4" i="3"/>
  <c r="AD2" i="3"/>
  <c r="AE3" i="3"/>
  <c r="AK1" i="8"/>
  <c r="AJ9" i="8"/>
  <c r="AJ7" i="8"/>
  <c r="AJ3" i="8"/>
  <c r="AJ2" i="8"/>
  <c r="AJ6" i="8"/>
  <c r="AJ4" i="8"/>
  <c r="AJ8" i="8"/>
  <c r="AJ5" i="8"/>
  <c r="AE5" i="3" l="1"/>
  <c r="AE4" i="3"/>
  <c r="AE2" i="3"/>
  <c r="AF3" i="3"/>
  <c r="AL1" i="8"/>
  <c r="AK6" i="8"/>
  <c r="AK9" i="8"/>
  <c r="AK3" i="8"/>
  <c r="AK8" i="8"/>
  <c r="AK2" i="8"/>
  <c r="AK7" i="8"/>
  <c r="AK4" i="8"/>
  <c r="AK5" i="8"/>
  <c r="AF5" i="3" l="1"/>
  <c r="AF4" i="3"/>
  <c r="AG3" i="3"/>
  <c r="AF2" i="3"/>
  <c r="AM1" i="8"/>
  <c r="AL9" i="8"/>
  <c r="AL6" i="8"/>
  <c r="AL7" i="8"/>
  <c r="AL4" i="8"/>
  <c r="AL2" i="8"/>
  <c r="AL8" i="8"/>
  <c r="AL3" i="8"/>
  <c r="AL5" i="8"/>
  <c r="AG5" i="3" l="1"/>
  <c r="AG4" i="3"/>
  <c r="AG2" i="3"/>
  <c r="AH3" i="3"/>
  <c r="AN1" i="8"/>
  <c r="AM6" i="8"/>
  <c r="AM2" i="8"/>
  <c r="AM4" i="8"/>
  <c r="AM8" i="8"/>
  <c r="AM7" i="8"/>
  <c r="AM3" i="8"/>
  <c r="AM9" i="8"/>
  <c r="AM5" i="8"/>
  <c r="AH5" i="3" l="1"/>
  <c r="AH4" i="3"/>
  <c r="AI3" i="3"/>
  <c r="AH2" i="3"/>
  <c r="AO1" i="8"/>
  <c r="AN7" i="8"/>
  <c r="AN2" i="8"/>
  <c r="AN4" i="8"/>
  <c r="AN3" i="8"/>
  <c r="AN9" i="8"/>
  <c r="AN8" i="8"/>
  <c r="AN6" i="8"/>
  <c r="AN5" i="8"/>
  <c r="AI5" i="3" l="1"/>
  <c r="AI4" i="3"/>
  <c r="AI2" i="3"/>
  <c r="AJ3" i="3"/>
  <c r="AP1" i="8"/>
  <c r="AO6" i="8"/>
  <c r="AO3" i="8"/>
  <c r="AO4" i="8"/>
  <c r="AO2" i="8"/>
  <c r="AO7" i="8"/>
  <c r="AO9" i="8"/>
  <c r="AO8" i="8"/>
  <c r="AO5" i="8"/>
  <c r="AJ5" i="3" l="1"/>
  <c r="AJ4" i="3"/>
  <c r="AJ2" i="3"/>
  <c r="AK3" i="3"/>
  <c r="AQ1" i="8"/>
  <c r="AP3" i="8"/>
  <c r="AP9" i="8"/>
  <c r="AP7" i="8"/>
  <c r="AP4" i="8"/>
  <c r="AP2" i="8"/>
  <c r="AP8" i="8"/>
  <c r="AP6" i="8"/>
  <c r="AP5" i="8"/>
  <c r="AK5" i="3" l="1"/>
  <c r="AK4" i="3"/>
  <c r="AK2" i="3"/>
  <c r="AL3" i="3"/>
  <c r="AR1" i="8"/>
  <c r="AQ7" i="8"/>
  <c r="AQ2" i="8"/>
  <c r="AQ3" i="8"/>
  <c r="AQ6" i="8"/>
  <c r="AQ9" i="8"/>
  <c r="AQ4" i="8"/>
  <c r="AQ8" i="8"/>
  <c r="AQ5" i="8"/>
  <c r="AL5" i="3" l="1"/>
  <c r="AL4" i="3"/>
  <c r="AM3" i="3"/>
  <c r="AL2" i="3"/>
  <c r="AS1" i="8"/>
  <c r="AR4" i="8"/>
  <c r="AR3" i="8"/>
  <c r="AR2" i="8"/>
  <c r="AR8" i="8"/>
  <c r="AR9" i="8"/>
  <c r="AR7" i="8"/>
  <c r="AR6" i="8"/>
  <c r="AR5" i="8"/>
  <c r="AM5" i="3" l="1"/>
  <c r="AM4" i="3"/>
  <c r="AN3" i="3"/>
  <c r="AM2" i="3"/>
  <c r="AT1" i="8"/>
  <c r="AS9" i="8"/>
  <c r="AS2" i="8"/>
  <c r="AS3" i="8"/>
  <c r="AS6" i="8"/>
  <c r="AS7" i="8"/>
  <c r="AS4" i="8"/>
  <c r="AS8" i="8"/>
  <c r="AS5" i="8"/>
  <c r="AN5" i="3" l="1"/>
  <c r="AN4" i="3"/>
  <c r="AO3" i="3"/>
  <c r="AN2" i="3"/>
  <c r="AU1" i="8"/>
  <c r="AT7" i="8"/>
  <c r="AT9" i="8"/>
  <c r="AT3" i="8"/>
  <c r="AT2" i="8"/>
  <c r="AT8" i="8"/>
  <c r="AT4" i="8"/>
  <c r="AT6" i="8"/>
  <c r="AT5" i="8"/>
  <c r="AO5" i="3" l="1"/>
  <c r="AO4" i="3"/>
  <c r="AP3" i="3"/>
  <c r="AO2" i="3"/>
  <c r="AV1" i="8"/>
  <c r="AU7" i="8"/>
  <c r="AU8" i="8"/>
  <c r="AU3" i="8"/>
  <c r="AU4" i="8"/>
  <c r="AU6" i="8"/>
  <c r="AU2" i="8"/>
  <c r="AU9" i="8"/>
  <c r="AU5" i="8"/>
  <c r="AP5" i="3" l="1"/>
  <c r="AP4" i="3"/>
  <c r="AQ3" i="3"/>
  <c r="AP2" i="3"/>
  <c r="AW1" i="8"/>
  <c r="AV7" i="8"/>
  <c r="AV8" i="8"/>
  <c r="AV9" i="8"/>
  <c r="AV2" i="8"/>
  <c r="AV4" i="8"/>
  <c r="AV3" i="8"/>
  <c r="AV6" i="8"/>
  <c r="AV5" i="8"/>
  <c r="AQ5" i="3" l="1"/>
  <c r="AQ4" i="3"/>
  <c r="AQ2" i="3"/>
  <c r="AR3" i="3"/>
  <c r="AX1" i="8"/>
  <c r="AW6" i="8"/>
  <c r="AW4" i="8"/>
  <c r="AW3" i="8"/>
  <c r="AW8" i="8"/>
  <c r="AW2" i="8"/>
  <c r="AW9" i="8"/>
  <c r="AW7" i="8"/>
  <c r="AW5" i="8"/>
  <c r="AR5" i="3" l="1"/>
  <c r="AR4" i="3"/>
  <c r="AS3" i="3"/>
  <c r="AR2" i="3"/>
  <c r="AY1" i="8"/>
  <c r="AX8" i="8"/>
  <c r="AX4" i="8"/>
  <c r="AX6" i="8"/>
  <c r="AX7" i="8"/>
  <c r="AX2" i="8"/>
  <c r="AX3" i="8"/>
  <c r="AX9" i="8"/>
  <c r="AX5" i="8"/>
  <c r="AS5" i="3" l="1"/>
  <c r="AS4" i="3"/>
  <c r="AS2" i="3"/>
  <c r="AT3" i="3"/>
  <c r="AZ1" i="8"/>
  <c r="AY8" i="8"/>
  <c r="AY3" i="8"/>
  <c r="AY4" i="8"/>
  <c r="AY2" i="8"/>
  <c r="AY6" i="8"/>
  <c r="AY7" i="8"/>
  <c r="AY9" i="8"/>
  <c r="AY5" i="8"/>
  <c r="AT5" i="3" l="1"/>
  <c r="AT4" i="3"/>
  <c r="AT2" i="3"/>
  <c r="AU3" i="3"/>
  <c r="BA1" i="8"/>
  <c r="AZ9" i="8"/>
  <c r="AZ6" i="8"/>
  <c r="AZ7" i="8"/>
  <c r="AZ3" i="8"/>
  <c r="AZ2" i="8"/>
  <c r="AZ8" i="8"/>
  <c r="AZ4" i="8"/>
  <c r="AZ5" i="8"/>
  <c r="AU5" i="3" l="1"/>
  <c r="AU4" i="3"/>
  <c r="AU2" i="3"/>
  <c r="AV3" i="3"/>
  <c r="BB1" i="8"/>
  <c r="BA6" i="8"/>
  <c r="BA8" i="8"/>
  <c r="BA9" i="8"/>
  <c r="BA2" i="8"/>
  <c r="BA3" i="8"/>
  <c r="BA4" i="8"/>
  <c r="BA7" i="8"/>
  <c r="BA5" i="8"/>
  <c r="AV5" i="3" l="1"/>
  <c r="AV4" i="3"/>
  <c r="AW3" i="3"/>
  <c r="AV2" i="3"/>
  <c r="BC1" i="8"/>
  <c r="BB6" i="8"/>
  <c r="BB7" i="8"/>
  <c r="BB3" i="8"/>
  <c r="BB2" i="8"/>
  <c r="BB4" i="8"/>
  <c r="BB9" i="8"/>
  <c r="BB8" i="8"/>
  <c r="BB5" i="8"/>
  <c r="AW5" i="3" l="1"/>
  <c r="AW4" i="3"/>
  <c r="AX3" i="3"/>
  <c r="AW2" i="3"/>
  <c r="BD1" i="8"/>
  <c r="BC8" i="8"/>
  <c r="BC3" i="8"/>
  <c r="BC6" i="8"/>
  <c r="BC4" i="8"/>
  <c r="BC9" i="8"/>
  <c r="BC2" i="8"/>
  <c r="BC7" i="8"/>
  <c r="BC5" i="8"/>
  <c r="AX5" i="3" l="1"/>
  <c r="AX4" i="3"/>
  <c r="AX2" i="3"/>
  <c r="BE1" i="8"/>
  <c r="BD2" i="8"/>
  <c r="BD6" i="8"/>
  <c r="BD4" i="8"/>
  <c r="BD7" i="8"/>
  <c r="BD3" i="8"/>
  <c r="BD9" i="8"/>
  <c r="BD8" i="8"/>
  <c r="BD5" i="8"/>
  <c r="BF1" i="8" l="1"/>
  <c r="BE2" i="8"/>
  <c r="BE8" i="8"/>
  <c r="BE9" i="8"/>
  <c r="BE6" i="8"/>
  <c r="BE4" i="8"/>
  <c r="BE7" i="8"/>
  <c r="BE3" i="8"/>
  <c r="BE5" i="8"/>
  <c r="BG1" i="8" l="1"/>
  <c r="BF4" i="8"/>
  <c r="BF7" i="8"/>
  <c r="BF3" i="8"/>
  <c r="BF9" i="8"/>
  <c r="BF2" i="8"/>
  <c r="BF8" i="8"/>
  <c r="BF6" i="8"/>
  <c r="BF5" i="8"/>
  <c r="BH1" i="8" l="1"/>
  <c r="BG3" i="8"/>
  <c r="BG4" i="8"/>
  <c r="BG2" i="8"/>
  <c r="BG6" i="8"/>
  <c r="BG9" i="8"/>
  <c r="BG7" i="8"/>
  <c r="BG8" i="8"/>
  <c r="BG5" i="8"/>
  <c r="BI1" i="8" l="1"/>
  <c r="BH5" i="8"/>
  <c r="BH9" i="8"/>
  <c r="BH2" i="8"/>
  <c r="BH4" i="8"/>
  <c r="BH8" i="8"/>
  <c r="BH6" i="8"/>
  <c r="BH7" i="8"/>
  <c r="BH3" i="8"/>
  <c r="BJ1" i="8" l="1"/>
  <c r="BI2" i="8"/>
  <c r="BI5" i="8"/>
  <c r="BI8" i="8"/>
  <c r="BI3" i="8"/>
  <c r="BI6" i="8"/>
  <c r="BI9" i="8"/>
  <c r="BI7" i="8"/>
  <c r="BI4" i="8"/>
  <c r="BK1" i="8" l="1"/>
  <c r="BJ9" i="8"/>
  <c r="BJ6" i="8"/>
  <c r="BJ2" i="8"/>
  <c r="BJ8" i="8"/>
  <c r="BJ4" i="8"/>
  <c r="BJ7" i="8"/>
  <c r="BJ3" i="8"/>
  <c r="BJ5" i="8"/>
  <c r="BL1" i="8" l="1"/>
  <c r="BK5" i="8"/>
  <c r="BK2" i="8"/>
  <c r="BK7" i="8"/>
  <c r="BK9" i="8"/>
  <c r="BK6" i="8"/>
  <c r="BK3" i="8"/>
  <c r="BK4" i="8"/>
  <c r="BK8" i="8"/>
  <c r="BM1" i="8" l="1"/>
  <c r="BL3" i="8"/>
  <c r="BL9" i="8"/>
  <c r="BL2" i="8"/>
  <c r="BL5" i="8"/>
  <c r="BL8" i="8"/>
  <c r="BL6" i="8"/>
  <c r="BL7" i="8"/>
  <c r="BL4" i="8"/>
  <c r="BN1" i="8" l="1"/>
  <c r="BM9" i="8"/>
  <c r="BM2" i="8"/>
  <c r="BM6" i="8"/>
  <c r="BM4" i="8"/>
  <c r="BM7" i="8"/>
  <c r="BM3" i="8"/>
  <c r="BM5" i="8"/>
  <c r="BM8" i="8"/>
  <c r="BO1" i="8" l="1"/>
  <c r="BN9" i="8"/>
  <c r="BN6" i="8"/>
  <c r="BN5" i="8"/>
  <c r="BN2" i="8"/>
  <c r="BN8" i="8"/>
  <c r="BN7" i="8"/>
  <c r="BN3" i="8"/>
  <c r="BN4" i="8"/>
  <c r="BP1" i="8" l="1"/>
  <c r="BO8" i="8"/>
  <c r="BO2" i="8"/>
  <c r="BO6" i="8"/>
  <c r="BO5" i="8"/>
  <c r="BO4" i="8"/>
  <c r="BO7" i="8"/>
  <c r="BO9" i="8"/>
  <c r="BO3" i="8"/>
  <c r="BQ1" i="8" l="1"/>
  <c r="BP7" i="8"/>
  <c r="BP5" i="8"/>
  <c r="BP3" i="8"/>
  <c r="BP4" i="8"/>
  <c r="BP6" i="8"/>
  <c r="BP9" i="8"/>
  <c r="BP8" i="8"/>
  <c r="BP2" i="8"/>
  <c r="BR1" i="8" l="1"/>
  <c r="BQ3" i="8"/>
  <c r="BQ5" i="8"/>
  <c r="BQ2" i="8"/>
  <c r="BQ9" i="8"/>
  <c r="BQ7" i="8"/>
  <c r="BQ8" i="8"/>
  <c r="BQ4" i="8"/>
  <c r="BQ6" i="8"/>
  <c r="BR4" i="8" l="1"/>
  <c r="BR2" i="8"/>
  <c r="BR5" i="8"/>
  <c r="BR8" i="8"/>
  <c r="BR6" i="8"/>
  <c r="BR3" i="8"/>
  <c r="BR7" i="8"/>
  <c r="BR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tc={608E1358-5562-4665-B58B-0A0E9941D7D5}</author>
    <author>selec</author>
  </authors>
  <commentList>
    <comment ref="R2" authorId="0" shapeId="0" xr:uid="{608E1358-5562-4665-B58B-0A0E9941D7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Paint sample plaques. No FG sent
</t>
      </text>
    </comment>
    <comment ref="N4" authorId="1" shapeId="0" xr:uid="{1780FAE3-A756-4E23-BED7-C5A408BE7F71}">
      <text>
        <r>
          <rPr>
            <b/>
            <sz val="9"/>
            <color indexed="81"/>
            <rFont val="Tahoma"/>
            <family val="2"/>
          </rPr>
          <t>selec:</t>
        </r>
        <r>
          <rPr>
            <sz val="9"/>
            <color indexed="81"/>
            <rFont val="Tahoma"/>
            <family val="2"/>
          </rPr>
          <t xml:space="preserve">
Raw Top Covers sent back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Franche</author>
    <author>selec</author>
  </authors>
  <commentList>
    <comment ref="T4" authorId="0" shapeId="0" xr:uid="{0F5B39D1-F70B-42F2-8346-A60C5386882A}">
      <text>
        <r>
          <rPr>
            <b/>
            <sz val="9"/>
            <color indexed="81"/>
            <rFont val="Tahoma"/>
            <family val="2"/>
          </rPr>
          <t>Nicholas Franche:</t>
        </r>
        <r>
          <rPr>
            <sz val="9"/>
            <color indexed="81"/>
            <rFont val="Tahoma"/>
            <family val="2"/>
          </rPr>
          <t xml:space="preserve">
only sent test plaques, no FG
</t>
        </r>
      </text>
    </comment>
    <comment ref="X5" authorId="1" shapeId="0" xr:uid="{D32B2F2A-C76E-49F6-80C7-513AC6BC5DB4}">
      <text>
        <r>
          <rPr>
            <b/>
            <sz val="9"/>
            <color indexed="81"/>
            <rFont val="Tahoma"/>
            <family val="2"/>
          </rPr>
          <t>selec:</t>
        </r>
        <r>
          <rPr>
            <sz val="9"/>
            <color indexed="81"/>
            <rFont val="Tahoma"/>
            <family val="2"/>
          </rPr>
          <t xml:space="preserve">
32 PCS of this is painted rework parts sent for gauge R&amp;R Testing.
</t>
        </r>
      </text>
    </comment>
    <comment ref="Y7" authorId="1" shapeId="0" xr:uid="{F3F35B4F-5A55-490E-8DF9-6949E9F4060B}">
      <text>
        <r>
          <rPr>
            <b/>
            <sz val="9"/>
            <color indexed="81"/>
            <rFont val="Tahoma"/>
            <family val="2"/>
          </rPr>
          <t>selec:</t>
        </r>
        <r>
          <rPr>
            <sz val="9"/>
            <color indexed="81"/>
            <rFont val="Tahoma"/>
            <family val="2"/>
          </rPr>
          <t xml:space="preserve">
SAMPLE R&amp;R GAUGE PARTS
</t>
        </r>
      </text>
    </comment>
    <comment ref="Y8" authorId="1" shapeId="0" xr:uid="{226ED222-7D21-4CAC-9E40-340C75CEC4F2}">
      <text>
        <r>
          <rPr>
            <b/>
            <sz val="9"/>
            <color indexed="81"/>
            <rFont val="Tahoma"/>
            <family val="2"/>
          </rPr>
          <t>selec:</t>
        </r>
        <r>
          <rPr>
            <sz val="9"/>
            <color indexed="81"/>
            <rFont val="Tahoma"/>
            <family val="2"/>
          </rPr>
          <t xml:space="preserve">
SAMPLE R&amp;R GAUGE SAMPLE PARTS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Teodora Suciu</author>
  </authors>
  <commentList>
    <comment ref="A1" authorId="0" shapeId="0" xr:uid="{8EC55DC5-C87B-4803-9893-A1429E4EE072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copy rows 2 and 3 and insert under the black line. Then copy and paste as value</t>
        </r>
      </text>
    </comment>
  </commentList>
</comments>
</file>

<file path=xl/sharedStrings.xml><?xml version="1.0" encoding="utf-8"?>
<sst xmlns="http://schemas.openxmlformats.org/spreadsheetml/2006/main" count="263" uniqueCount="64">
  <si>
    <t>Description</t>
  </si>
  <si>
    <t>SF Description</t>
  </si>
  <si>
    <t>demand</t>
  </si>
  <si>
    <t>shipped</t>
  </si>
  <si>
    <t>FG Part#</t>
  </si>
  <si>
    <t>RAW Part#</t>
  </si>
  <si>
    <t>Line Type</t>
  </si>
  <si>
    <t>inv (rec-ship)</t>
  </si>
  <si>
    <t>Part Pictures</t>
  </si>
  <si>
    <t>KB2352</t>
  </si>
  <si>
    <t>KB2369</t>
  </si>
  <si>
    <t>KB2370L</t>
  </si>
  <si>
    <t>KB2370R</t>
  </si>
  <si>
    <t>W12 Roof Top Cover</t>
  </si>
  <si>
    <t>W12 Mech Bezel Pod 1</t>
  </si>
  <si>
    <t>W12 LH Cover Body Closeout Pod 5</t>
  </si>
  <si>
    <t>W12 RH Cover Body Closeout Pod 6</t>
  </si>
  <si>
    <t>RECEIVING</t>
  </si>
  <si>
    <t>Insert columns before the black line</t>
  </si>
  <si>
    <t>SHIPPING</t>
  </si>
  <si>
    <r>
      <t xml:space="preserve">W12 </t>
    </r>
    <r>
      <rPr>
        <b/>
        <sz val="11"/>
        <color theme="1"/>
        <rFont val="Aptos Narrow"/>
        <family val="2"/>
        <scheme val="minor"/>
      </rPr>
      <t>Roof</t>
    </r>
    <r>
      <rPr>
        <sz val="11"/>
        <color theme="1"/>
        <rFont val="Aptos Narrow"/>
        <family val="2"/>
        <scheme val="minor"/>
      </rPr>
      <t xml:space="preserve"> Top Cover</t>
    </r>
  </si>
  <si>
    <r>
      <t xml:space="preserve">W12 Mech </t>
    </r>
    <r>
      <rPr>
        <b/>
        <sz val="11"/>
        <color theme="1"/>
        <rFont val="Aptos Narrow"/>
        <family val="2"/>
        <scheme val="minor"/>
      </rPr>
      <t>Bezel</t>
    </r>
    <r>
      <rPr>
        <sz val="11"/>
        <color theme="1"/>
        <rFont val="Aptos Narrow"/>
        <family val="2"/>
        <scheme val="minor"/>
      </rPr>
      <t xml:space="preserve"> Pod 1</t>
    </r>
  </si>
  <si>
    <r>
      <t xml:space="preserve">W12 </t>
    </r>
    <r>
      <rPr>
        <b/>
        <sz val="11"/>
        <color theme="1"/>
        <rFont val="Aptos Narrow"/>
        <family val="2"/>
        <scheme val="minor"/>
      </rPr>
      <t>LH</t>
    </r>
    <r>
      <rPr>
        <sz val="11"/>
        <color theme="1"/>
        <rFont val="Aptos Narrow"/>
        <family val="2"/>
        <scheme val="minor"/>
      </rPr>
      <t xml:space="preserve"> Cover Body Closeout Pod 5</t>
    </r>
  </si>
  <si>
    <r>
      <t xml:space="preserve">W12 </t>
    </r>
    <r>
      <rPr>
        <b/>
        <sz val="11"/>
        <color theme="1"/>
        <rFont val="Aptos Narrow"/>
        <family val="2"/>
        <scheme val="minor"/>
      </rPr>
      <t>RH</t>
    </r>
    <r>
      <rPr>
        <sz val="11"/>
        <color theme="1"/>
        <rFont val="Aptos Narrow"/>
        <family val="2"/>
        <scheme val="minor"/>
      </rPr>
      <t xml:space="preserve"> Cover Body Closeout Pod 6</t>
    </r>
  </si>
  <si>
    <t>P2352</t>
  </si>
  <si>
    <t>P2369</t>
  </si>
  <si>
    <t>P2370L</t>
  </si>
  <si>
    <t>P2370R</t>
  </si>
  <si>
    <t>On Hand</t>
  </si>
  <si>
    <t xml:space="preserve">KB2004784 </t>
  </si>
  <si>
    <t>Week of Monday</t>
  </si>
  <si>
    <t>cum shipped</t>
  </si>
  <si>
    <t>Mon</t>
  </si>
  <si>
    <t>Weekly Totals</t>
  </si>
  <si>
    <t>P2352 CUM</t>
  </si>
  <si>
    <t>P2369 CUM</t>
  </si>
  <si>
    <t>instructions</t>
  </si>
  <si>
    <t>P2370L CUM</t>
  </si>
  <si>
    <t>P2370R CUM</t>
  </si>
  <si>
    <t>Part Number</t>
  </si>
  <si>
    <t>Release date</t>
  </si>
  <si>
    <t>Paint</t>
  </si>
  <si>
    <t>ON HAND</t>
  </si>
  <si>
    <t>min</t>
  </si>
  <si>
    <t>Stoney Blue</t>
  </si>
  <si>
    <t>Per 10 sets</t>
  </si>
  <si>
    <t>replenish</t>
  </si>
  <si>
    <t>P2-836</t>
  </si>
  <si>
    <t>100 sets at Select at all times</t>
  </si>
  <si>
    <t>As early as first week in November</t>
  </si>
  <si>
    <t>Tape</t>
  </si>
  <si>
    <t>The KB covers will use 10pcs./cover.</t>
  </si>
  <si>
    <t>300'/roll,  8"/perforation.</t>
  </si>
  <si>
    <t>= 450pcs./roll</t>
  </si>
  <si>
    <t>1 roll = 45 covers</t>
  </si>
  <si>
    <t>per 45 covers</t>
  </si>
  <si>
    <t>Roll</t>
  </si>
  <si>
    <t>GLT International</t>
  </si>
  <si>
    <t>Nippon Paint</t>
  </si>
  <si>
    <t>SHIPPED 
prod parts 
(Nov 18 and on)</t>
  </si>
  <si>
    <t>RECEIVED
prod parts
Nov 18 and on</t>
  </si>
  <si>
    <t>week starting</t>
  </si>
  <si>
    <t>total due</t>
  </si>
  <si>
    <t>We don't need it anymore (as of 12/16)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</si>
</sst>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/mmm/yy;@"/>
    <numFmt numFmtId="165" formatCode="m/d;@"/>
    <numFmt numFmtId="166" formatCode="0.000"/>
    <numFmt numFmtId="167" formatCode="0_);[Red]\(0\)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8"/>
      <name val="Arial Black"/>
      <family val="2"/>
    </font>
    <font>
      <b/>
      <sz val="26"/>
      <name val="Arial Black"/>
      <family val="2"/>
    </font>
    <font>
      <sz val="14"/>
      <color theme="1"/>
      <name val="Aptos Display"/>
      <family val="2"/>
      <scheme val="major"/>
    </font>
    <font>
      <sz val="12"/>
      <name val="Arial"/>
      <family val="2"/>
    </font>
    <font>
      <sz val="10"/>
      <name val="Aptos Display"/>
      <family val="2"/>
      <scheme val="major"/>
    </font>
    <font>
      <sz val="26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4"/>
      <name val="宋体"/>
      <family val="3"/>
      <charset val="134"/>
    </font>
    <font>
      <sz val="14"/>
      <name val="Arial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"/>
      <family val="2"/>
    </font>
    <font>
      <b/>
      <sz val="9"/>
      <color theme="0" tint="-0.34998626667073579"/>
      <name val="Aptos Narrow"/>
      <family val="2"/>
      <scheme val="minor"/>
    </font>
    <font>
      <sz val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26437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164" fontId="1" fillId="0" borderId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 indent="1"/>
    </xf>
    <xf numFmtId="0" fontId="3" fillId="0" borderId="0" xfId="0" applyFont="1"/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16" fontId="5" fillId="3" borderId="0" xfId="0" applyNumberFormat="1" applyFont="1" applyFill="1" applyAlignment="1">
      <alignment horizontal="center" vertical="top"/>
    </xf>
    <xf numFmtId="164" fontId="6" fillId="0" borderId="1" xfId="1" applyFont="1" applyBorder="1" applyAlignment="1">
      <alignment vertical="center"/>
    </xf>
    <xf numFmtId="164" fontId="7" fillId="0" borderId="1" xfId="1" applyFont="1" applyBorder="1" applyAlignment="1">
      <alignment vertical="center" wrapText="1"/>
    </xf>
    <xf numFmtId="164" fontId="1" fillId="0" borderId="0" xfId="1" applyAlignment="1">
      <alignment vertical="center"/>
    </xf>
    <xf numFmtId="164" fontId="8" fillId="0" borderId="4" xfId="1" applyFont="1" applyBorder="1" applyAlignment="1">
      <alignment horizontal="center" vertical="center"/>
    </xf>
    <xf numFmtId="164" fontId="8" fillId="0" borderId="5" xfId="1" applyFont="1" applyBorder="1" applyAlignment="1">
      <alignment horizontal="center" vertical="center"/>
    </xf>
    <xf numFmtId="164" fontId="9" fillId="0" borderId="0" xfId="1" applyFont="1" applyAlignment="1">
      <alignment vertical="center"/>
    </xf>
    <xf numFmtId="164" fontId="10" fillId="0" borderId="0" xfId="1" applyFont="1" applyAlignment="1">
      <alignment horizontal="center" vertical="center"/>
    </xf>
    <xf numFmtId="164" fontId="11" fillId="0" borderId="0" xfId="1" applyFont="1" applyAlignment="1">
      <alignment horizontal="center" vertical="center" wrapText="1"/>
    </xf>
    <xf numFmtId="164" fontId="12" fillId="0" borderId="2" xfId="1" applyFont="1" applyBorder="1" applyAlignment="1">
      <alignment horizontal="center" vertical="center" wrapText="1"/>
    </xf>
    <xf numFmtId="164" fontId="12" fillId="0" borderId="3" xfId="1" applyFont="1" applyBorder="1" applyAlignment="1">
      <alignment horizontal="center" vertical="center" wrapText="1"/>
    </xf>
    <xf numFmtId="164" fontId="13" fillId="0" borderId="0" xfId="1" applyFont="1" applyAlignment="1">
      <alignment vertical="center"/>
    </xf>
    <xf numFmtId="164" fontId="8" fillId="0" borderId="4" xfId="1" applyFont="1" applyBorder="1" applyAlignment="1">
      <alignment horizontal="center" vertical="center" wrapText="1"/>
    </xf>
    <xf numFmtId="164" fontId="14" fillId="0" borderId="4" xfId="1" applyFont="1" applyBorder="1" applyAlignment="1">
      <alignment horizontal="center" vertical="center" wrapText="1"/>
    </xf>
    <xf numFmtId="164" fontId="15" fillId="0" borderId="0" xfId="1" applyFont="1" applyAlignment="1">
      <alignment vertical="center"/>
    </xf>
    <xf numFmtId="164" fontId="8" fillId="0" borderId="5" xfId="1" applyFont="1" applyBorder="1" applyAlignment="1">
      <alignment horizontal="center" vertical="center" wrapText="1"/>
    </xf>
    <xf numFmtId="164" fontId="14" fillId="0" borderId="5" xfId="1" applyFont="1" applyBorder="1" applyAlignment="1">
      <alignment horizontal="center" vertical="center" wrapText="1"/>
    </xf>
    <xf numFmtId="164" fontId="14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19" fillId="0" borderId="0" xfId="0" applyFont="1" applyAlignment="1">
      <alignment vertical="center"/>
    </xf>
    <xf numFmtId="16" fontId="0" fillId="0" borderId="2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17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4" borderId="0" xfId="0" applyFill="1"/>
    <xf numFmtId="0" fontId="22" fillId="0" borderId="0" xfId="0" applyFont="1" applyAlignment="1">
      <alignment vertical="center"/>
    </xf>
    <xf numFmtId="0" fontId="23" fillId="0" borderId="10" xfId="0" applyFont="1" applyBorder="1"/>
    <xf numFmtId="14" fontId="15" fillId="0" borderId="1" xfId="0" applyNumberFormat="1" applyFont="1" applyBorder="1" applyAlignment="1">
      <alignment horizontal="right" vertical="center"/>
    </xf>
    <xf numFmtId="16" fontId="22" fillId="0" borderId="1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/>
    <xf numFmtId="0" fontId="1" fillId="0" borderId="4" xfId="0" applyFont="1" applyBorder="1"/>
    <xf numFmtId="0" fontId="24" fillId="0" borderId="0" xfId="0" applyFont="1" applyAlignment="1">
      <alignment horizontal="center"/>
    </xf>
    <xf numFmtId="0" fontId="25" fillId="0" borderId="13" xfId="0" applyFont="1" applyBorder="1" applyAlignment="1">
      <alignment horizontal="center"/>
    </xf>
    <xf numFmtId="16" fontId="17" fillId="0" borderId="0" xfId="0" applyNumberFormat="1" applyFont="1"/>
    <xf numFmtId="0" fontId="17" fillId="0" borderId="14" xfId="0" applyFont="1" applyBorder="1"/>
    <xf numFmtId="0" fontId="17" fillId="0" borderId="5" xfId="0" applyFont="1" applyBorder="1"/>
    <xf numFmtId="0" fontId="0" fillId="0" borderId="15" xfId="0" applyBorder="1" applyAlignment="1">
      <alignment horizontal="center"/>
    </xf>
    <xf numFmtId="0" fontId="24" fillId="0" borderId="14" xfId="0" applyFont="1" applyBorder="1"/>
    <xf numFmtId="0" fontId="24" fillId="0" borderId="16" xfId="0" applyFont="1" applyBorder="1"/>
    <xf numFmtId="0" fontId="3" fillId="0" borderId="1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/>
    <xf numFmtId="0" fontId="26" fillId="0" borderId="5" xfId="0" applyFont="1" applyBorder="1" applyAlignment="1">
      <alignment horizontal="right"/>
    </xf>
    <xf numFmtId="0" fontId="26" fillId="0" borderId="15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16" fontId="0" fillId="0" borderId="0" xfId="0" applyNumberFormat="1"/>
    <xf numFmtId="165" fontId="17" fillId="0" borderId="0" xfId="0" applyNumberFormat="1" applyFont="1" applyAlignment="1">
      <alignment horizontal="center" vertical="top" wrapText="1"/>
    </xf>
    <xf numFmtId="165" fontId="17" fillId="0" borderId="0" xfId="0" applyNumberFormat="1" applyFont="1" applyAlignment="1">
      <alignment horizontal="center" vertical="center"/>
    </xf>
    <xf numFmtId="0" fontId="17" fillId="0" borderId="14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165" fontId="27" fillId="5" borderId="0" xfId="0" applyNumberFormat="1" applyFont="1" applyFill="1" applyAlignment="1">
      <alignment horizontal="center" vertical="top" wrapText="1"/>
    </xf>
    <xf numFmtId="165" fontId="28" fillId="0" borderId="0" xfId="0" applyNumberFormat="1" applyFont="1" applyAlignment="1">
      <alignment horizontal="left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5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" fontId="27" fillId="6" borderId="0" xfId="0" applyNumberFormat="1" applyFont="1" applyFill="1"/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166" fontId="2" fillId="7" borderId="0" xfId="0" applyNumberFormat="1" applyFont="1" applyFill="1" applyAlignment="1">
      <alignment horizontal="left" vertical="center" indent="1"/>
    </xf>
    <xf numFmtId="2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14" xfId="0" applyFont="1" applyBorder="1"/>
    <xf numFmtId="0" fontId="2" fillId="0" borderId="5" xfId="0" applyFont="1" applyBorder="1"/>
    <xf numFmtId="16" fontId="2" fillId="0" borderId="4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 indent="1"/>
    </xf>
    <xf numFmtId="0" fontId="24" fillId="0" borderId="0" xfId="0" applyFont="1" applyAlignment="1">
      <alignment horizontal="left" inden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indent="1"/>
    </xf>
    <xf numFmtId="0" fontId="25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16" fontId="0" fillId="0" borderId="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" fillId="8" borderId="0" xfId="0" applyFont="1" applyFill="1" applyAlignment="1">
      <alignment horizontal="right" vertical="center"/>
    </xf>
    <xf numFmtId="16" fontId="31" fillId="8" borderId="21" xfId="0" applyNumberFormat="1" applyFon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/>
    </xf>
    <xf numFmtId="0" fontId="3" fillId="4" borderId="22" xfId="0" applyFont="1" applyFill="1" applyBorder="1"/>
    <xf numFmtId="0" fontId="0" fillId="4" borderId="22" xfId="0" applyFill="1" applyBorder="1"/>
    <xf numFmtId="167" fontId="0" fillId="4" borderId="22" xfId="0" applyNumberFormat="1" applyFill="1" applyBorder="1" applyAlignment="1">
      <alignment horizontal="center"/>
    </xf>
    <xf numFmtId="0" fontId="3" fillId="0" borderId="22" xfId="0" applyFont="1" applyBorder="1"/>
    <xf numFmtId="0" fontId="0" fillId="0" borderId="22" xfId="0" applyBorder="1"/>
    <xf numFmtId="167" fontId="0" fillId="0" borderId="22" xfId="0" applyNumberFormat="1" applyBorder="1" applyAlignment="1">
      <alignment horizontal="center"/>
    </xf>
    <xf numFmtId="0" fontId="3" fillId="4" borderId="23" xfId="0" applyFont="1" applyFill="1" applyBorder="1"/>
    <xf numFmtId="167" fontId="0" fillId="4" borderId="24" xfId="0" applyNumberFormat="1" applyFill="1" applyBorder="1" applyAlignment="1">
      <alignment horizontal="center"/>
    </xf>
    <xf numFmtId="0" fontId="0" fillId="4" borderId="24" xfId="0" applyFill="1" applyBorder="1"/>
    <xf numFmtId="167" fontId="0" fillId="4" borderId="22" xfId="0" applyNumberFormat="1" applyFill="1" applyBorder="1"/>
    <xf numFmtId="167" fontId="0" fillId="0" borderId="22" xfId="0" applyNumberFormat="1" applyBorder="1"/>
  </cellXfs>
  <cellStyles count="2">
    <cellStyle name="Normal" xfId="0" builtinId="0"/>
    <cellStyle name="Normal 4" xfId="1" xr:uid="{9D0C1654-C278-4DB3-9B42-6E9FBA79E32C}"/>
  </cellStyles>
  <dxfs count="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DAEE68.A45DA16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291352</xdr:colOff>
      <xdr:row>0</xdr:row>
      <xdr:rowOff>32253</xdr:rowOff>
    </xdr:from>
    <xdr:to>
      <xdr:col>1</xdr:col>
      <xdr:colOff>299720</xdr:colOff>
      <xdr:row>0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8A27F44-C454-4CCB-A0D5-F1C4F483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" y="32253"/>
          <a:ext cx="1579993" cy="443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cholas Franche" id="{974AC9F0-9D64-4758-BD59-48DCED908DE9}" userId="S::nicholas.franche@selectfinishing.ca::8b1cd86a-c188-47a4-aa16-3e3195430e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dT="2025-08-27T11:48:31.84" personId="{974AC9F0-9D64-4758-BD59-48DCED908DE9}" id="{608E1358-5562-4665-B58B-0A0E9941D7D5}">
    <text xml:space="preserve">Paint sample plaques. No FG sent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EC1A-5EBD-4EEE-95F2-8C6E600F7C85}">
  <dimension ref="A1:BB202"/>
  <sheetViews>
    <sheetView zoomScaleNormal="100" workbookViewId="0">
      <pane xSplit="5" topLeftCell="F1" activePane="topRight" state="frozen"/>
      <selection pane="topRight" activeCell="C18" sqref="C18"/>
    </sheetView>
  </sheetViews>
  <sheetFormatPr defaultRowHeight="13.5"/>
  <cols>
    <col min="1" max="2" width="9.140625" style="1"/>
    <col min="3" max="3" width="31.7109375" style="1" bestFit="1" customWidth="1"/>
    <col min="4" max="4" width="10.28515625" style="1" customWidth="1"/>
    <col min="5" max="5" width="11.5703125" style="1" customWidth="1"/>
    <col min="6" max="6" width="6.7109375" style="1" bestFit="1" customWidth="1"/>
    <col min="7" max="9" width="7.140625" style="1" bestFit="1" customWidth="1"/>
    <col min="10" max="11" width="5.7109375" style="1" bestFit="1" customWidth="1"/>
    <col min="12" max="12" width="6.7109375" style="1" bestFit="1" customWidth="1"/>
    <col min="13" max="13" width="7.28515625" style="1" bestFit="1" customWidth="1"/>
    <col min="14" max="15" width="6.7109375" style="1" bestFit="1" customWidth="1"/>
    <col min="16" max="16" width="6.85546875" style="1" customWidth="1"/>
    <col min="17" max="18" width="7" style="1" bestFit="1" customWidth="1"/>
    <col min="19" max="19" width="7.28515625" style="1" customWidth="1"/>
    <col min="20" max="20" width="7.140625" style="1" bestFit="1" customWidth="1"/>
    <col min="21" max="21" width="7" style="1" customWidth="1"/>
    <col min="22" max="16384" width="9.140625" style="1"/>
  </cols>
  <sheetData>
    <row r="1" spans="1:54" ht="46.5">
      <c r="A1" s="25" t="s">
        <v>17</v>
      </c>
      <c r="B1" s="26"/>
      <c r="C1" s="26"/>
      <c r="D1" s="27"/>
      <c r="E1" s="27">
        <f>SUM(F1:BA1)</f>
        <v>0</v>
      </c>
      <c r="F1" s="28">
        <f>SUM(F4:F7)</f>
        <v>0</v>
      </c>
      <c r="G1" s="27">
        <f>SUM(G4:G7)</f>
        <v>0</v>
      </c>
      <c r="H1" s="27">
        <f t="shared" ref="H1:I1" si="0">SUM(H4:H7)</f>
        <v>0</v>
      </c>
      <c r="I1" s="27">
        <f t="shared" si="0"/>
        <v>0</v>
      </c>
      <c r="J1" s="27">
        <f t="shared" ref="J1:AZ1" si="1">SUM(J4:J7)</f>
        <v>0</v>
      </c>
      <c r="K1" s="27">
        <f t="shared" si="1"/>
        <v>0</v>
      </c>
      <c r="L1" s="27">
        <f t="shared" si="1"/>
        <v>0</v>
      </c>
      <c r="M1" s="27">
        <f t="shared" si="1"/>
        <v>0</v>
      </c>
      <c r="N1" s="27">
        <f t="shared" si="1"/>
        <v>0</v>
      </c>
      <c r="O1" s="27">
        <f t="shared" si="1"/>
        <v>0</v>
      </c>
      <c r="P1" s="27">
        <f t="shared" si="1"/>
        <v>0</v>
      </c>
      <c r="Q1" s="27">
        <f t="shared" si="1"/>
        <v>0</v>
      </c>
      <c r="R1" s="27">
        <f t="shared" si="1"/>
        <v>0</v>
      </c>
      <c r="S1" s="27">
        <f t="shared" si="1"/>
        <v>0</v>
      </c>
      <c r="T1" s="27">
        <f t="shared" si="1"/>
        <v>0</v>
      </c>
      <c r="U1" s="27">
        <f t="shared" si="1"/>
        <v>0</v>
      </c>
      <c r="V1" s="27">
        <f t="shared" si="1"/>
        <v>0</v>
      </c>
      <c r="W1" s="27">
        <f t="shared" si="1"/>
        <v>0</v>
      </c>
      <c r="X1" s="27">
        <f t="shared" si="1"/>
        <v>0</v>
      </c>
      <c r="Y1" s="27">
        <f t="shared" si="1"/>
        <v>0</v>
      </c>
      <c r="Z1" s="27">
        <f t="shared" si="1"/>
        <v>0</v>
      </c>
      <c r="AA1" s="27">
        <f t="shared" si="1"/>
        <v>0</v>
      </c>
      <c r="AB1" s="27">
        <f t="shared" si="1"/>
        <v>0</v>
      </c>
      <c r="AC1" s="27">
        <f t="shared" si="1"/>
        <v>0</v>
      </c>
      <c r="AD1" s="27">
        <f t="shared" si="1"/>
        <v>0</v>
      </c>
      <c r="AE1" s="27">
        <f t="shared" si="1"/>
        <v>0</v>
      </c>
      <c r="AF1" s="27">
        <f t="shared" si="1"/>
        <v>0</v>
      </c>
      <c r="AG1" s="27">
        <f t="shared" si="1"/>
        <v>0</v>
      </c>
      <c r="AH1" s="27">
        <f t="shared" si="1"/>
        <v>0</v>
      </c>
      <c r="AI1" s="27">
        <f t="shared" si="1"/>
        <v>0</v>
      </c>
      <c r="AJ1" s="27">
        <f t="shared" si="1"/>
        <v>0</v>
      </c>
      <c r="AK1" s="27">
        <f t="shared" si="1"/>
        <v>0</v>
      </c>
      <c r="AL1" s="27">
        <f t="shared" si="1"/>
        <v>0</v>
      </c>
      <c r="AM1" s="27">
        <f t="shared" si="1"/>
        <v>0</v>
      </c>
      <c r="AN1" s="27">
        <f t="shared" si="1"/>
        <v>0</v>
      </c>
      <c r="AO1" s="27">
        <f t="shared" si="1"/>
        <v>0</v>
      </c>
      <c r="AP1" s="27">
        <f t="shared" si="1"/>
        <v>0</v>
      </c>
      <c r="AQ1" s="27">
        <f t="shared" si="1"/>
        <v>0</v>
      </c>
      <c r="AR1" s="27">
        <f t="shared" si="1"/>
        <v>0</v>
      </c>
      <c r="AS1" s="27">
        <f t="shared" si="1"/>
        <v>0</v>
      </c>
      <c r="AT1" s="27">
        <f t="shared" si="1"/>
        <v>0</v>
      </c>
      <c r="AU1" s="27">
        <f t="shared" si="1"/>
        <v>0</v>
      </c>
      <c r="AV1" s="27">
        <f t="shared" si="1"/>
        <v>0</v>
      </c>
      <c r="AW1" s="27">
        <f t="shared" si="1"/>
        <v>0</v>
      </c>
      <c r="AX1" s="27">
        <f t="shared" si="1"/>
        <v>0</v>
      </c>
      <c r="AY1" s="27">
        <f t="shared" si="1"/>
        <v>0</v>
      </c>
      <c r="AZ1" s="27">
        <f t="shared" si="1"/>
        <v>0</v>
      </c>
      <c r="BA1" s="29"/>
      <c r="BB1" s="26"/>
    </row>
    <row r="2" spans="1:54" ht="58.5" customHeight="1" thickBot="1">
      <c r="A2" s="30"/>
      <c r="B2" s="30"/>
      <c r="C2" s="30"/>
      <c r="D2" s="26" t="s">
        <v>28</v>
      </c>
      <c r="E2" s="100" t="s">
        <v>60</v>
      </c>
      <c r="F2" s="101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33"/>
      <c r="BB2" s="34" t="s">
        <v>18</v>
      </c>
    </row>
    <row r="3" spans="1:54" ht="24.75" customHeight="1" thickBot="1">
      <c r="A3" s="30" t="s">
        <v>4</v>
      </c>
      <c r="B3" s="30" t="s">
        <v>5</v>
      </c>
      <c r="C3" s="30" t="s">
        <v>1</v>
      </c>
      <c r="D3" s="26"/>
      <c r="E3" s="26"/>
      <c r="F3" s="35"/>
      <c r="G3" s="36"/>
      <c r="H3" s="36"/>
      <c r="I3" s="36"/>
      <c r="J3" s="36"/>
      <c r="K3" s="36"/>
      <c r="L3" s="36"/>
      <c r="M3" s="36"/>
      <c r="N3" s="36"/>
      <c r="O3" s="37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3"/>
      <c r="BB3" s="30"/>
    </row>
    <row r="4" spans="1:54" ht="24.75" customHeight="1">
      <c r="A4" s="38" t="s">
        <v>24</v>
      </c>
      <c r="B4" s="39" t="s">
        <v>9</v>
      </c>
      <c r="C4" s="38" t="s">
        <v>20</v>
      </c>
      <c r="D4" s="40">
        <f>E4-INDEX(Shipping!$A$4:$D$8,MATCH(A4,Shipping!$A$4:$A$8,0),MATCH("SHIPPED 
prod parts 
(Nov 18 and on)",Shipping!$A$4:$D$4,0))</f>
        <v>0</v>
      </c>
      <c r="E4" s="40">
        <f>SUM(T4:BB4)</f>
        <v>0</v>
      </c>
      <c r="F4" s="41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33"/>
      <c r="BB4" s="30"/>
    </row>
    <row r="5" spans="1:54" ht="24.75" customHeight="1">
      <c r="A5" s="38" t="s">
        <v>25</v>
      </c>
      <c r="B5" s="39" t="s">
        <v>10</v>
      </c>
      <c r="C5" s="38" t="s">
        <v>21</v>
      </c>
      <c r="D5" s="40">
        <f>E5-INDEX(Shipping!$A$4:$D$8,MATCH(A5,Shipping!$A$4:$A$8,0),MATCH("SHIPPED 
prod parts 
(Nov 18 and on)",Shipping!$A$4:$D$4,0))</f>
        <v>0</v>
      </c>
      <c r="E5" s="40">
        <f t="shared" ref="E5:E7" si="2">SUM(T5:BB5)</f>
        <v>0</v>
      </c>
      <c r="F5" s="43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33"/>
      <c r="BB5" s="30"/>
    </row>
    <row r="6" spans="1:54" ht="24.75" customHeight="1">
      <c r="A6" s="38" t="s">
        <v>26</v>
      </c>
      <c r="B6" s="39" t="s">
        <v>11</v>
      </c>
      <c r="C6" s="38" t="s">
        <v>22</v>
      </c>
      <c r="D6" s="40">
        <f>E6-INDEX(Shipping!$A$4:$D$8,MATCH(A6,Shipping!$A$4:$A$8,0),MATCH("SHIPPED 
prod parts 
(Nov 18 and on)",Shipping!$A$4:$D$4,0))</f>
        <v>0</v>
      </c>
      <c r="E6" s="40">
        <f t="shared" si="2"/>
        <v>0</v>
      </c>
      <c r="F6" s="43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33"/>
      <c r="BB6" s="30"/>
    </row>
    <row r="7" spans="1:54" ht="24.75" customHeight="1">
      <c r="A7" s="38" t="s">
        <v>27</v>
      </c>
      <c r="B7" s="39" t="s">
        <v>12</v>
      </c>
      <c r="C7" s="38" t="s">
        <v>23</v>
      </c>
      <c r="D7" s="40">
        <f>E7-INDEX(Shipping!$A$4:$D$8,MATCH(A7,Shipping!$A$4:$A$8,0),MATCH("SHIPPED 
prod parts 
(Nov 18 and on)",Shipping!$A$4:$D$4,0))</f>
        <v>0</v>
      </c>
      <c r="E7" s="40">
        <f t="shared" si="2"/>
        <v>0</v>
      </c>
      <c r="F7" s="43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33"/>
      <c r="BB7" s="30"/>
    </row>
    <row r="202" ht="6" customHeight="1"/>
  </sheetData>
  <pageMargins left="0.7" right="0.7" top="0.75" bottom="0.75" header="0.3" footer="0.3"/>
  <pageSetup orientation="portrait" verticalDpi="0" r:id="rId1"/>
  <headerFooter>
    <oddFooter>&amp;L8.2.2.4.22 KB Components Tracker - Template&amp;RCreated: 01/16/26TS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BD4C-EAA1-4F0F-926D-1815C4ECF6D6}">
  <dimension ref="A1:AX8"/>
  <sheetViews>
    <sheetView tabSelected="1" zoomScaleNormal="100" workbookViewId="0">
      <pane xSplit="4" topLeftCell="E1" activePane="topRight" state="frozen"/>
      <selection activeCell="A2" sqref="A2"/>
      <selection pane="topRight" activeCell="C21" sqref="C21"/>
    </sheetView>
  </sheetViews>
  <sheetFormatPr defaultRowHeight="13.5"/>
  <cols>
    <col min="1" max="1" width="13.42578125" style="1" bestFit="1" customWidth="1"/>
    <col min="2" max="2" width="16.85546875" style="1" bestFit="1" customWidth="1"/>
    <col min="3" max="3" width="32.140625" style="1" bestFit="1" customWidth="1"/>
    <col min="4" max="4" width="14" style="1" customWidth="1"/>
    <col min="5" max="5" width="8.5703125" style="1" bestFit="1" customWidth="1"/>
    <col min="6" max="11" width="8.140625" style="1" bestFit="1" customWidth="1"/>
    <col min="12" max="12" width="11.28515625" style="1" bestFit="1" customWidth="1"/>
    <col min="13" max="16384" width="9.140625" style="1"/>
  </cols>
  <sheetData>
    <row r="1" spans="1:50" ht="28.5" customHeight="1" thickBot="1">
      <c r="D1" s="108" t="s">
        <v>61</v>
      </c>
      <c r="AA1" s="109" t="str">
        <f>IF(AA4="","",(AA4-WEEKDAY(AA4,3)))</f>
        <v/>
      </c>
      <c r="AB1" s="109" t="str">
        <f t="shared" ref="AB1:AV1" si="0">IF(AB4="","",(AB4-WEEKDAY(AB4,3)))</f>
        <v/>
      </c>
      <c r="AC1" s="109" t="str">
        <f t="shared" si="0"/>
        <v/>
      </c>
      <c r="AD1" s="109" t="str">
        <f t="shared" si="0"/>
        <v/>
      </c>
      <c r="AE1" s="109" t="str">
        <f t="shared" si="0"/>
        <v/>
      </c>
      <c r="AF1" s="109" t="str">
        <f t="shared" si="0"/>
        <v/>
      </c>
      <c r="AG1" s="109" t="str">
        <f t="shared" si="0"/>
        <v/>
      </c>
      <c r="AH1" s="109" t="str">
        <f t="shared" si="0"/>
        <v/>
      </c>
      <c r="AI1" s="109" t="str">
        <f t="shared" si="0"/>
        <v/>
      </c>
      <c r="AJ1" s="109" t="str">
        <f t="shared" si="0"/>
        <v/>
      </c>
      <c r="AK1" s="109" t="str">
        <f t="shared" si="0"/>
        <v/>
      </c>
      <c r="AL1" s="109" t="str">
        <f t="shared" si="0"/>
        <v/>
      </c>
      <c r="AM1" s="109" t="str">
        <f t="shared" si="0"/>
        <v/>
      </c>
      <c r="AN1" s="109" t="str">
        <f t="shared" si="0"/>
        <v/>
      </c>
      <c r="AO1" s="109" t="str">
        <f t="shared" si="0"/>
        <v/>
      </c>
      <c r="AP1" s="109" t="str">
        <f t="shared" si="0"/>
        <v/>
      </c>
      <c r="AQ1" s="109" t="str">
        <f t="shared" si="0"/>
        <v/>
      </c>
      <c r="AR1" s="109" t="str">
        <f t="shared" si="0"/>
        <v/>
      </c>
      <c r="AS1" s="109" t="str">
        <f t="shared" si="0"/>
        <v/>
      </c>
      <c r="AT1" s="109" t="str">
        <f t="shared" si="0"/>
        <v/>
      </c>
      <c r="AU1" s="109" t="str">
        <f t="shared" si="0"/>
        <v/>
      </c>
      <c r="AV1" s="109" t="str">
        <f t="shared" si="0"/>
        <v/>
      </c>
    </row>
    <row r="2" spans="1:50" ht="47.25" thickTop="1">
      <c r="A2" s="25" t="s">
        <v>19</v>
      </c>
      <c r="B2" s="26"/>
      <c r="C2" s="26"/>
      <c r="D2" s="1">
        <f>SUM(E2:AW2)</f>
        <v>0</v>
      </c>
      <c r="E2" s="28">
        <f t="shared" ref="E2:AV2" si="1">SUM(E5:E8)</f>
        <v>0</v>
      </c>
      <c r="F2" s="27">
        <f t="shared" si="1"/>
        <v>0</v>
      </c>
      <c r="G2" s="27">
        <f t="shared" si="1"/>
        <v>0</v>
      </c>
      <c r="H2" s="27">
        <f t="shared" si="1"/>
        <v>0</v>
      </c>
      <c r="I2" s="27">
        <f t="shared" si="1"/>
        <v>0</v>
      </c>
      <c r="J2" s="27">
        <f t="shared" si="1"/>
        <v>0</v>
      </c>
      <c r="K2" s="27">
        <f t="shared" si="1"/>
        <v>0</v>
      </c>
      <c r="L2" s="27">
        <f t="shared" si="1"/>
        <v>0</v>
      </c>
      <c r="M2" s="27">
        <f t="shared" si="1"/>
        <v>0</v>
      </c>
      <c r="N2" s="27">
        <f t="shared" si="1"/>
        <v>0</v>
      </c>
      <c r="O2" s="27">
        <f t="shared" si="1"/>
        <v>0</v>
      </c>
      <c r="P2" s="27">
        <f t="shared" si="1"/>
        <v>0</v>
      </c>
      <c r="Q2" s="27">
        <f t="shared" si="1"/>
        <v>0</v>
      </c>
      <c r="R2" s="27">
        <f t="shared" si="1"/>
        <v>0</v>
      </c>
      <c r="S2" s="27">
        <f t="shared" si="1"/>
        <v>0</v>
      </c>
      <c r="T2" s="27">
        <f t="shared" si="1"/>
        <v>0</v>
      </c>
      <c r="U2" s="27">
        <f t="shared" si="1"/>
        <v>0</v>
      </c>
      <c r="V2" s="27">
        <f t="shared" si="1"/>
        <v>0</v>
      </c>
      <c r="W2" s="27">
        <f t="shared" si="1"/>
        <v>0</v>
      </c>
      <c r="X2" s="27">
        <f t="shared" si="1"/>
        <v>0</v>
      </c>
      <c r="Y2" s="27">
        <f t="shared" si="1"/>
        <v>0</v>
      </c>
      <c r="Z2" s="27">
        <f t="shared" si="1"/>
        <v>0</v>
      </c>
      <c r="AA2" s="28">
        <f t="shared" si="1"/>
        <v>0</v>
      </c>
      <c r="AB2" s="27">
        <f t="shared" si="1"/>
        <v>0</v>
      </c>
      <c r="AC2" s="27">
        <f t="shared" si="1"/>
        <v>0</v>
      </c>
      <c r="AD2" s="27">
        <f t="shared" si="1"/>
        <v>0</v>
      </c>
      <c r="AE2" s="27">
        <f t="shared" si="1"/>
        <v>0</v>
      </c>
      <c r="AF2" s="27">
        <f t="shared" si="1"/>
        <v>0</v>
      </c>
      <c r="AG2" s="27">
        <f t="shared" si="1"/>
        <v>0</v>
      </c>
      <c r="AH2" s="27">
        <f t="shared" si="1"/>
        <v>0</v>
      </c>
      <c r="AI2" s="27">
        <f t="shared" si="1"/>
        <v>0</v>
      </c>
      <c r="AJ2" s="27">
        <f t="shared" si="1"/>
        <v>0</v>
      </c>
      <c r="AK2" s="27">
        <f t="shared" si="1"/>
        <v>0</v>
      </c>
      <c r="AL2" s="27">
        <f t="shared" si="1"/>
        <v>0</v>
      </c>
      <c r="AM2" s="27">
        <f t="shared" si="1"/>
        <v>0</v>
      </c>
      <c r="AN2" s="27">
        <f t="shared" si="1"/>
        <v>0</v>
      </c>
      <c r="AO2" s="27">
        <f t="shared" si="1"/>
        <v>0</v>
      </c>
      <c r="AP2" s="27">
        <f t="shared" si="1"/>
        <v>0</v>
      </c>
      <c r="AQ2" s="27">
        <f t="shared" si="1"/>
        <v>0</v>
      </c>
      <c r="AR2" s="27">
        <f t="shared" si="1"/>
        <v>0</v>
      </c>
      <c r="AS2" s="27">
        <f t="shared" si="1"/>
        <v>0</v>
      </c>
      <c r="AT2" s="27">
        <f t="shared" si="1"/>
        <v>0</v>
      </c>
      <c r="AU2" s="27">
        <f t="shared" si="1"/>
        <v>0</v>
      </c>
      <c r="AV2" s="27">
        <f t="shared" si="1"/>
        <v>0</v>
      </c>
      <c r="AW2" s="29"/>
      <c r="AX2" s="26"/>
    </row>
    <row r="3" spans="1:50" ht="33.75" customHeight="1" thickBot="1">
      <c r="A3" s="47" t="s">
        <v>29</v>
      </c>
      <c r="B3" s="30"/>
      <c r="D3" s="27"/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1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3"/>
      <c r="AX3" s="34" t="s">
        <v>18</v>
      </c>
    </row>
    <row r="4" spans="1:50" ht="46.5" customHeight="1" thickBot="1">
      <c r="A4" s="30" t="s">
        <v>4</v>
      </c>
      <c r="B4" s="30" t="s">
        <v>5</v>
      </c>
      <c r="C4" s="30" t="s">
        <v>1</v>
      </c>
      <c r="D4" s="100" t="s">
        <v>59</v>
      </c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103"/>
      <c r="AA4" s="10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3"/>
      <c r="AX4" s="30"/>
    </row>
    <row r="5" spans="1:50" ht="24.75" customHeight="1">
      <c r="A5" s="38" t="s">
        <v>24</v>
      </c>
      <c r="B5" s="39" t="s">
        <v>9</v>
      </c>
      <c r="C5" s="38" t="s">
        <v>20</v>
      </c>
      <c r="D5" s="40">
        <f>SUM(AA5:AX5)</f>
        <v>0</v>
      </c>
      <c r="E5" s="4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104"/>
      <c r="AA5" s="41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33"/>
      <c r="AX5" s="30"/>
    </row>
    <row r="6" spans="1:50" ht="24.75" customHeight="1">
      <c r="A6" s="38" t="s">
        <v>25</v>
      </c>
      <c r="B6" s="39" t="s">
        <v>10</v>
      </c>
      <c r="C6" s="38" t="s">
        <v>21</v>
      </c>
      <c r="D6" s="40">
        <f t="shared" ref="D6:D8" si="2">SUM(AA6:AX6)</f>
        <v>0</v>
      </c>
      <c r="E6" s="43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105"/>
      <c r="AA6" s="43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33"/>
      <c r="AX6" s="30"/>
    </row>
    <row r="7" spans="1:50" ht="24.75" customHeight="1">
      <c r="A7" s="38" t="s">
        <v>26</v>
      </c>
      <c r="B7" s="39" t="s">
        <v>11</v>
      </c>
      <c r="C7" s="38" t="s">
        <v>22</v>
      </c>
      <c r="D7" s="40">
        <f t="shared" si="2"/>
        <v>0</v>
      </c>
      <c r="E7" s="43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105"/>
      <c r="AA7" s="43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33"/>
      <c r="AX7" s="30"/>
    </row>
    <row r="8" spans="1:50" ht="24.75" customHeight="1">
      <c r="A8" s="38" t="s">
        <v>27</v>
      </c>
      <c r="B8" s="39" t="s">
        <v>12</v>
      </c>
      <c r="C8" s="38" t="s">
        <v>23</v>
      </c>
      <c r="D8" s="40">
        <f t="shared" si="2"/>
        <v>0</v>
      </c>
      <c r="E8" s="43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105"/>
      <c r="AA8" s="43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33"/>
      <c r="AX8" s="30"/>
    </row>
  </sheetData>
  <phoneticPr fontId="16" type="noConversion"/>
  <pageMargins left="0.7" right="0.7" top="0.75" bottom="0.75" header="0.3" footer="0.3"/>
  <pageSetup orientation="portrait" r:id="rId1"/>
  <headerFooter>
    <oddFooter>&amp;L8.2.2.4.22 KB Components Tracker - Template&amp;RCreated:01/16/26TS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C235-5A5F-4899-90EE-BE9624899767}">
  <dimension ref="A1:AX19"/>
  <sheetViews>
    <sheetView zoomScale="110" zoomScaleNormal="110" workbookViewId="0">
      <pane ySplit="3" topLeftCell="A4" activePane="bottomLeft" state="frozen"/>
      <selection activeCell="F12" sqref="F12"/>
      <selection pane="bottomLeft" activeCell="K4" sqref="K4"/>
    </sheetView>
  </sheetViews>
  <sheetFormatPr defaultRowHeight="15"/>
  <cols>
    <col min="1" max="1" width="13.140625" style="4" customWidth="1"/>
    <col min="2" max="2" width="14" style="4" bestFit="1" customWidth="1"/>
    <col min="3" max="3" width="32.85546875" style="4" customWidth="1"/>
    <col min="4" max="4" width="11.5703125" style="4" customWidth="1"/>
    <col min="6" max="22" width="9.140625" customWidth="1"/>
    <col min="23" max="23" width="10.5703125" bestFit="1" customWidth="1"/>
    <col min="24" max="27" width="9.140625" customWidth="1"/>
    <col min="28" max="28" width="9.5703125" customWidth="1"/>
    <col min="29" max="30" width="9.28515625" customWidth="1"/>
    <col min="31" max="50" width="9.140625" customWidth="1"/>
  </cols>
  <sheetData>
    <row r="1" spans="1:50">
      <c r="A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50">
      <c r="E2" s="2"/>
      <c r="F2" s="2" t="str">
        <f>CHOOSE(WEEKDAY(F3),"Sun","Mon","Tue","Wed","Thu","Fri","Sat")</f>
        <v>Mon</v>
      </c>
      <c r="G2" s="2" t="str">
        <f t="shared" ref="G2:AX2" si="0">CHOOSE(WEEKDAY(G3),"Sun","Mon","Tue","Wed","Thu","Fri","Sat")</f>
        <v>Mon</v>
      </c>
      <c r="H2" s="2" t="str">
        <f t="shared" si="0"/>
        <v>Mon</v>
      </c>
      <c r="I2" s="2" t="str">
        <f t="shared" si="0"/>
        <v>Mon</v>
      </c>
      <c r="J2" s="2" t="str">
        <f t="shared" si="0"/>
        <v>Mon</v>
      </c>
      <c r="K2" s="2" t="str">
        <f t="shared" si="0"/>
        <v>Mon</v>
      </c>
      <c r="L2" s="2" t="str">
        <f t="shared" si="0"/>
        <v>Mon</v>
      </c>
      <c r="M2" s="2" t="str">
        <f t="shared" si="0"/>
        <v>Mon</v>
      </c>
      <c r="N2" s="2" t="str">
        <f t="shared" si="0"/>
        <v>Mon</v>
      </c>
      <c r="O2" s="2" t="str">
        <f t="shared" si="0"/>
        <v>Mon</v>
      </c>
      <c r="P2" s="2" t="str">
        <f t="shared" si="0"/>
        <v>Mon</v>
      </c>
      <c r="Q2" s="2" t="str">
        <f t="shared" si="0"/>
        <v>Mon</v>
      </c>
      <c r="R2" s="2" t="str">
        <f t="shared" si="0"/>
        <v>Mon</v>
      </c>
      <c r="S2" s="2" t="str">
        <f t="shared" si="0"/>
        <v>Mon</v>
      </c>
      <c r="T2" s="2" t="str">
        <f t="shared" si="0"/>
        <v>Mon</v>
      </c>
      <c r="U2" s="2" t="str">
        <f t="shared" si="0"/>
        <v>Mon</v>
      </c>
      <c r="V2" s="2" t="str">
        <f t="shared" si="0"/>
        <v>Mon</v>
      </c>
      <c r="W2" s="2" t="str">
        <f t="shared" si="0"/>
        <v>Mon</v>
      </c>
      <c r="X2" s="2" t="str">
        <f t="shared" si="0"/>
        <v>Mon</v>
      </c>
      <c r="Y2" s="2" t="str">
        <f t="shared" si="0"/>
        <v>Mon</v>
      </c>
      <c r="Z2" s="2" t="str">
        <f t="shared" si="0"/>
        <v>Mon</v>
      </c>
      <c r="AA2" s="2" t="str">
        <f t="shared" si="0"/>
        <v>Mon</v>
      </c>
      <c r="AB2" s="2" t="str">
        <f t="shared" si="0"/>
        <v>Mon</v>
      </c>
      <c r="AC2" s="2" t="str">
        <f t="shared" si="0"/>
        <v>Mon</v>
      </c>
      <c r="AD2" s="2" t="str">
        <f t="shared" si="0"/>
        <v>Mon</v>
      </c>
      <c r="AE2" s="2" t="str">
        <f t="shared" si="0"/>
        <v>Mon</v>
      </c>
      <c r="AF2" s="2" t="str">
        <f t="shared" si="0"/>
        <v>Mon</v>
      </c>
      <c r="AG2" s="2" t="str">
        <f t="shared" si="0"/>
        <v>Mon</v>
      </c>
      <c r="AH2" s="2" t="str">
        <f t="shared" si="0"/>
        <v>Mon</v>
      </c>
      <c r="AI2" s="2" t="str">
        <f t="shared" si="0"/>
        <v>Mon</v>
      </c>
      <c r="AJ2" s="2" t="str">
        <f t="shared" si="0"/>
        <v>Mon</v>
      </c>
      <c r="AK2" s="2" t="str">
        <f t="shared" si="0"/>
        <v>Mon</v>
      </c>
      <c r="AL2" s="2" t="str">
        <f t="shared" si="0"/>
        <v>Mon</v>
      </c>
      <c r="AM2" s="2" t="str">
        <f t="shared" si="0"/>
        <v>Mon</v>
      </c>
      <c r="AN2" s="2" t="str">
        <f t="shared" si="0"/>
        <v>Mon</v>
      </c>
      <c r="AO2" s="2" t="str">
        <f t="shared" si="0"/>
        <v>Mon</v>
      </c>
      <c r="AP2" s="2" t="str">
        <f t="shared" si="0"/>
        <v>Mon</v>
      </c>
      <c r="AQ2" s="2" t="str">
        <f t="shared" si="0"/>
        <v>Mon</v>
      </c>
      <c r="AR2" s="2" t="str">
        <f t="shared" si="0"/>
        <v>Mon</v>
      </c>
      <c r="AS2" s="2" t="str">
        <f t="shared" si="0"/>
        <v>Mon</v>
      </c>
      <c r="AT2" s="2" t="str">
        <f t="shared" si="0"/>
        <v>Mon</v>
      </c>
      <c r="AU2" s="2" t="str">
        <f t="shared" si="0"/>
        <v>Mon</v>
      </c>
      <c r="AV2" s="2" t="str">
        <f t="shared" si="0"/>
        <v>Mon</v>
      </c>
      <c r="AW2" s="2" t="str">
        <f t="shared" si="0"/>
        <v>Mon</v>
      </c>
      <c r="AX2" s="2" t="str">
        <f t="shared" si="0"/>
        <v>Mon</v>
      </c>
    </row>
    <row r="3" spans="1:50" ht="34.5" customHeight="1">
      <c r="A3" s="5" t="s">
        <v>4</v>
      </c>
      <c r="B3" s="5" t="s">
        <v>5</v>
      </c>
      <c r="C3" s="5" t="s">
        <v>0</v>
      </c>
      <c r="D3" s="5" t="s">
        <v>6</v>
      </c>
      <c r="E3" s="6"/>
      <c r="F3" s="7">
        <f>Releases!D1</f>
        <v>45978</v>
      </c>
      <c r="G3" s="7">
        <f>F3+7</f>
        <v>45985</v>
      </c>
      <c r="H3" s="7">
        <f t="shared" ref="H3:AX3" si="1">G3+7</f>
        <v>45992</v>
      </c>
      <c r="I3" s="7">
        <f t="shared" si="1"/>
        <v>45999</v>
      </c>
      <c r="J3" s="7">
        <f t="shared" si="1"/>
        <v>46006</v>
      </c>
      <c r="K3" s="7">
        <f t="shared" si="1"/>
        <v>46013</v>
      </c>
      <c r="L3" s="7">
        <f t="shared" si="1"/>
        <v>46020</v>
      </c>
      <c r="M3" s="7">
        <f t="shared" si="1"/>
        <v>46027</v>
      </c>
      <c r="N3" s="7">
        <f t="shared" si="1"/>
        <v>46034</v>
      </c>
      <c r="O3" s="7">
        <f t="shared" si="1"/>
        <v>46041</v>
      </c>
      <c r="P3" s="7">
        <f t="shared" si="1"/>
        <v>46048</v>
      </c>
      <c r="Q3" s="7">
        <f t="shared" si="1"/>
        <v>46055</v>
      </c>
      <c r="R3" s="7">
        <f t="shared" si="1"/>
        <v>46062</v>
      </c>
      <c r="S3" s="7">
        <f t="shared" si="1"/>
        <v>46069</v>
      </c>
      <c r="T3" s="7">
        <f t="shared" si="1"/>
        <v>46076</v>
      </c>
      <c r="U3" s="7">
        <f t="shared" si="1"/>
        <v>46083</v>
      </c>
      <c r="V3" s="7">
        <f t="shared" si="1"/>
        <v>46090</v>
      </c>
      <c r="W3" s="7">
        <f t="shared" si="1"/>
        <v>46097</v>
      </c>
      <c r="X3" s="7">
        <f t="shared" si="1"/>
        <v>46104</v>
      </c>
      <c r="Y3" s="7">
        <f t="shared" si="1"/>
        <v>46111</v>
      </c>
      <c r="Z3" s="7">
        <f t="shared" si="1"/>
        <v>46118</v>
      </c>
      <c r="AA3" s="7">
        <f t="shared" si="1"/>
        <v>46125</v>
      </c>
      <c r="AB3" s="7">
        <f t="shared" si="1"/>
        <v>46132</v>
      </c>
      <c r="AC3" s="7">
        <f t="shared" si="1"/>
        <v>46139</v>
      </c>
      <c r="AD3" s="7">
        <f t="shared" si="1"/>
        <v>46146</v>
      </c>
      <c r="AE3" s="7">
        <f t="shared" si="1"/>
        <v>46153</v>
      </c>
      <c r="AF3" s="7">
        <f t="shared" si="1"/>
        <v>46160</v>
      </c>
      <c r="AG3" s="7">
        <f t="shared" si="1"/>
        <v>46167</v>
      </c>
      <c r="AH3" s="7">
        <f t="shared" si="1"/>
        <v>46174</v>
      </c>
      <c r="AI3" s="7">
        <f t="shared" si="1"/>
        <v>46181</v>
      </c>
      <c r="AJ3" s="7">
        <f t="shared" si="1"/>
        <v>46188</v>
      </c>
      <c r="AK3" s="7">
        <f t="shared" si="1"/>
        <v>46195</v>
      </c>
      <c r="AL3" s="7">
        <f t="shared" si="1"/>
        <v>46202</v>
      </c>
      <c r="AM3" s="7">
        <f t="shared" si="1"/>
        <v>46209</v>
      </c>
      <c r="AN3" s="7">
        <f t="shared" si="1"/>
        <v>46216</v>
      </c>
      <c r="AO3" s="7">
        <f t="shared" si="1"/>
        <v>46223</v>
      </c>
      <c r="AP3" s="7">
        <f t="shared" si="1"/>
        <v>46230</v>
      </c>
      <c r="AQ3" s="7">
        <f t="shared" si="1"/>
        <v>46237</v>
      </c>
      <c r="AR3" s="7">
        <f t="shared" si="1"/>
        <v>46244</v>
      </c>
      <c r="AS3" s="7">
        <f t="shared" si="1"/>
        <v>46251</v>
      </c>
      <c r="AT3" s="7">
        <f t="shared" si="1"/>
        <v>46258</v>
      </c>
      <c r="AU3" s="7">
        <f t="shared" si="1"/>
        <v>46265</v>
      </c>
      <c r="AV3" s="7">
        <f t="shared" si="1"/>
        <v>46272</v>
      </c>
      <c r="AW3" s="7">
        <f t="shared" si="1"/>
        <v>46279</v>
      </c>
      <c r="AX3" s="7">
        <f t="shared" si="1"/>
        <v>46286</v>
      </c>
    </row>
    <row r="4" spans="1:50">
      <c r="A4" s="111" t="s">
        <v>24</v>
      </c>
      <c r="B4" s="111" t="s">
        <v>9</v>
      </c>
      <c r="C4" s="111" t="s">
        <v>13</v>
      </c>
      <c r="D4" s="111" t="s">
        <v>2</v>
      </c>
      <c r="E4" s="112"/>
      <c r="F4" s="112">
        <f>IFERROR(INDEX(Releases!$C$3:$BH$12,MATCH($A4,Releases!$C$3:$C$11,0),MATCH(F$3,Releases!$C$3:$BH$3,0)),0)</f>
        <v>0</v>
      </c>
      <c r="G4" s="112">
        <f>IFERROR(INDEX(Releases!$C$3:$BH$12,MATCH($A4,Releases!$C$3:$C$11,0),MATCH(G$3,Releases!$C$3:$BH$3,0)),0)</f>
        <v>0</v>
      </c>
      <c r="H4" s="112">
        <f>IFERROR(INDEX(Releases!$C$3:$BH$12,MATCH($A4,Releases!$C$3:$C$11,0),MATCH(H$3,Releases!$C$3:$BH$3,0)),0)</f>
        <v>0</v>
      </c>
      <c r="I4" s="112">
        <f>IFERROR(INDEX(Releases!$C$3:$BH$12,MATCH($A4,Releases!$C$3:$C$11,0),MATCH(I$3,Releases!$C$3:$BH$3,0)),0)</f>
        <v>0</v>
      </c>
      <c r="J4" s="112">
        <f>IFERROR(INDEX(Releases!$C$3:$BH$12,MATCH($A4,Releases!$C$3:$C$11,0),MATCH(J$3,Releases!$C$3:$BH$3,0)),0)</f>
        <v>0</v>
      </c>
      <c r="K4" s="112">
        <f>IFERROR(INDEX(Releases!$C$3:$BH$12,MATCH($A4,Releases!$C$3:$C$11,0),MATCH(K$3,Releases!$C$3:$BH$3,0)),0)</f>
        <v>0</v>
      </c>
      <c r="L4" s="112">
        <f>IFERROR(INDEX(Releases!$C$3:$BH$12,MATCH($A4,Releases!$C$3:$C$11,0),MATCH(L$3,Releases!$C$3:$BH$3,0)),0)</f>
        <v>0</v>
      </c>
      <c r="M4" s="112">
        <f>IFERROR(INDEX(Releases!$C$3:$BH$12,MATCH($A4,Releases!$C$3:$C$11,0),MATCH(M$3,Releases!$C$3:$BH$3,0)),0)</f>
        <v>0</v>
      </c>
      <c r="N4" s="112">
        <f>IFERROR(INDEX(Releases!$C$3:$BH$12,MATCH($A4,Releases!$C$3:$C$11,0),MATCH(N$3,Releases!$C$3:$BH$3,0)),0)</f>
        <v>0</v>
      </c>
      <c r="O4" s="112">
        <f>IFERROR(INDEX(Releases!$C$3:$BH$12,MATCH($A4,Releases!$C$3:$C$11,0),MATCH(O$3,Releases!$C$3:$BH$3,0)),0)</f>
        <v>0</v>
      </c>
      <c r="P4" s="112">
        <f>IFERROR(INDEX(Releases!$C$3:$BH$12,MATCH($A4,Releases!$C$3:$C$11,0),MATCH(P$3,Releases!$C$3:$BH$3,0)),0)</f>
        <v>0</v>
      </c>
      <c r="Q4" s="112">
        <f>IFERROR(INDEX(Releases!$C$3:$BH$12,MATCH($A4,Releases!$C$3:$C$11,0),MATCH(Q$3,Releases!$C$3:$BH$3,0)),0)</f>
        <v>0</v>
      </c>
      <c r="R4" s="112">
        <f>IFERROR(INDEX(Releases!$C$3:$BH$12,MATCH($A4,Releases!$C$3:$C$11,0),MATCH(R$3,Releases!$C$3:$BH$3,0)),0)</f>
        <v>0</v>
      </c>
      <c r="S4" s="112">
        <f>IFERROR(INDEX(Releases!$C$3:$BH$12,MATCH($A4,Releases!$C$3:$C$11,0),MATCH(S$3,Releases!$C$3:$BH$3,0)),0)</f>
        <v>0</v>
      </c>
      <c r="T4" s="112">
        <f>IFERROR(INDEX(Releases!$C$3:$BH$12,MATCH($A4,Releases!$C$3:$C$11,0),MATCH(T$3,Releases!$C$3:$BH$3,0)),0)</f>
        <v>0</v>
      </c>
      <c r="U4" s="112">
        <f>IFERROR(INDEX(Releases!$C$3:$BH$12,MATCH($A4,Releases!$C$3:$C$11,0),MATCH(U$3,Releases!$C$3:$BH$3,0)),0)</f>
        <v>0</v>
      </c>
      <c r="V4" s="112">
        <f>IFERROR(INDEX(Releases!$C$3:$BH$12,MATCH($A4,Releases!$C$3:$C$11,0),MATCH(V$3,Releases!$C$3:$BH$3,0)),0)</f>
        <v>0</v>
      </c>
      <c r="W4" s="112">
        <f>IFERROR(INDEX(Releases!$C$3:$BH$12,MATCH($A4,Releases!$C$3:$C$11,0),MATCH(W$3,Releases!$C$3:$BH$3,0)),0)</f>
        <v>0</v>
      </c>
      <c r="X4" s="112">
        <f>IFERROR(INDEX(Releases!$C$3:$BH$12,MATCH($A4,Releases!$C$3:$C$11,0),MATCH(X$3,Releases!$C$3:$BH$3,0)),0)</f>
        <v>0</v>
      </c>
      <c r="Y4" s="112">
        <f>IFERROR(INDEX(Releases!$C$3:$BH$12,MATCH($A4,Releases!$C$3:$C$11,0),MATCH(Y$3,Releases!$C$3:$BH$3,0)),0)</f>
        <v>0</v>
      </c>
      <c r="Z4" s="112">
        <f>IFERROR(INDEX(Releases!$C$3:$BH$12,MATCH($A4,Releases!$C$3:$C$11,0),MATCH(Z$3,Releases!$C$3:$BH$3,0)),0)</f>
        <v>0</v>
      </c>
      <c r="AA4" s="112">
        <f>IFERROR(INDEX(Releases!$C$3:$BH$12,MATCH($A4,Releases!$C$3:$C$11,0),MATCH(AA$3,Releases!$C$3:$BH$3,0)),0)</f>
        <v>0</v>
      </c>
      <c r="AB4" s="112">
        <f>IFERROR(INDEX(Releases!$C$3:$BH$12,MATCH($A4,Releases!$C$3:$C$11,0),MATCH(AB$3,Releases!$C$3:$BH$3,0)),0)</f>
        <v>0</v>
      </c>
      <c r="AC4" s="112">
        <f>IFERROR(INDEX(Releases!$C$3:$BH$12,MATCH($A4,Releases!$C$3:$C$11,0),MATCH(AC$3,Releases!$C$3:$BH$3,0)),0)</f>
        <v>0</v>
      </c>
      <c r="AD4" s="112">
        <f>IFERROR(INDEX(Releases!$C$3:$BH$12,MATCH($A4,Releases!$C$3:$C$11,0),MATCH(AD$3,Releases!$C$3:$BH$3,0)),0)</f>
        <v>0</v>
      </c>
      <c r="AE4" s="112">
        <f>IFERROR(INDEX(Releases!$C$3:$BH$12,MATCH($A4,Releases!$C$3:$C$11,0),MATCH(AE$3,Releases!$C$3:$BH$3,0)),0)</f>
        <v>0</v>
      </c>
      <c r="AF4" s="112">
        <f>IFERROR(INDEX(Releases!$C$3:$BH$12,MATCH($A4,Releases!$C$3:$C$11,0),MATCH(AF$3,Releases!$C$3:$BH$3,0)),0)</f>
        <v>0</v>
      </c>
      <c r="AG4" s="112">
        <f>IFERROR(INDEX(Releases!$C$3:$BH$12,MATCH($A4,Releases!$C$3:$C$11,0),MATCH(AG$3,Releases!$C$3:$BH$3,0)),0)</f>
        <v>0</v>
      </c>
      <c r="AH4" s="112">
        <f>IFERROR(INDEX(Releases!$C$3:$BH$12,MATCH($A4,Releases!$C$3:$C$11,0),MATCH(AH$3,Releases!$C$3:$BH$3,0)),0)</f>
        <v>0</v>
      </c>
      <c r="AI4" s="112">
        <f>IFERROR(INDEX(Releases!$C$3:$BH$12,MATCH($A4,Releases!$C$3:$C$11,0),MATCH(AI$3,Releases!$C$3:$BH$3,0)),0)</f>
        <v>0</v>
      </c>
      <c r="AJ4" s="112">
        <f>IFERROR(INDEX(Releases!$C$3:$BH$12,MATCH($A4,Releases!$C$3:$C$11,0),MATCH(AJ$3,Releases!$C$3:$BH$3,0)),0)</f>
        <v>0</v>
      </c>
      <c r="AK4" s="112">
        <f>IFERROR(INDEX(Releases!$C$3:$BH$12,MATCH($A4,Releases!$C$3:$C$11,0),MATCH(AK$3,Releases!$C$3:$BH$3,0)),0)</f>
        <v>0</v>
      </c>
      <c r="AL4" s="112">
        <f>IFERROR(INDEX(Releases!$C$3:$BH$12,MATCH($A4,Releases!$C$3:$C$11,0),MATCH(AL$3,Releases!$C$3:$BH$3,0)),0)</f>
        <v>0</v>
      </c>
      <c r="AM4" s="112">
        <f>IFERROR(INDEX(Releases!$C$3:$BH$12,MATCH($A4,Releases!$C$3:$C$11,0),MATCH(AM$3,Releases!$C$3:$BH$3,0)),0)</f>
        <v>0</v>
      </c>
      <c r="AN4" s="112">
        <f>IFERROR(INDEX(Releases!$C$3:$BH$12,MATCH($A4,Releases!$C$3:$C$11,0),MATCH(AN$3,Releases!$C$3:$BH$3,0)),0)</f>
        <v>0</v>
      </c>
      <c r="AO4" s="112">
        <f>IFERROR(INDEX(Releases!$C$3:$BH$12,MATCH($A4,Releases!$C$3:$C$11,0),MATCH(AO$3,Releases!$C$3:$BH$3,0)),0)</f>
        <v>0</v>
      </c>
      <c r="AP4" s="112">
        <f>IFERROR(INDEX(Releases!$C$3:$BH$12,MATCH($A4,Releases!$C$3:$C$11,0),MATCH(AP$3,Releases!$C$3:$BH$3,0)),0)</f>
        <v>0</v>
      </c>
      <c r="AQ4" s="112">
        <f>IFERROR(INDEX(Releases!$C$3:$BH$12,MATCH($A4,Releases!$C$3:$C$11,0),MATCH(AQ$3,Releases!$C$3:$BH$3,0)),0)</f>
        <v>0</v>
      </c>
      <c r="AR4" s="112">
        <f>IFERROR(INDEX(Releases!$C$3:$BH$12,MATCH($A4,Releases!$C$3:$C$11,0),MATCH(AR$3,Releases!$C$3:$BH$3,0)),0)</f>
        <v>0</v>
      </c>
      <c r="AS4" s="112">
        <f>IFERROR(INDEX(Releases!$C$3:$BH$12,MATCH($A4,Releases!$C$3:$C$11,0),MATCH(AS$3,Releases!$C$3:$BH$3,0)),0)</f>
        <v>0</v>
      </c>
      <c r="AT4" s="112">
        <f>IFERROR(INDEX(Releases!$C$3:$BH$12,MATCH($A4,Releases!$C$3:$C$11,0),MATCH(AT$3,Releases!$C$3:$BH$3,0)),0)</f>
        <v>0</v>
      </c>
      <c r="AU4" s="112">
        <f>IFERROR(INDEX(Releases!$C$3:$BH$12,MATCH($A4,Releases!$C$3:$C$11,0),MATCH(AU$3,Releases!$C$3:$BH$3,0)),0)</f>
        <v>0</v>
      </c>
      <c r="AV4" s="46">
        <f>IFERROR(INDEX(Releases!$C$3:$BH$12,MATCH($A4,Releases!$C$3:$C$11,0),MATCH(AV$3,Releases!$C$3:$BH$3,0)),0)</f>
        <v>0</v>
      </c>
      <c r="AW4" s="46">
        <f>IFERROR(INDEX(Releases!$C$3:$BH$12,MATCH($A4,Releases!$C$3:$C$11,0),MATCH(AW$3,Releases!$C$3:$BH$3,0)),0)</f>
        <v>0</v>
      </c>
      <c r="AX4" s="46">
        <f>IFERROR(INDEX(Releases!$C$3:$BH$12,MATCH($A4,Releases!$C$3:$C$11,0),MATCH(AX$3,Releases!$C$3:$BH$3,0)),0)</f>
        <v>0</v>
      </c>
    </row>
    <row r="5" spans="1:50">
      <c r="A5" s="111" t="s">
        <v>24</v>
      </c>
      <c r="B5" s="111" t="s">
        <v>9</v>
      </c>
      <c r="C5" s="111" t="s">
        <v>13</v>
      </c>
      <c r="D5" s="111" t="s">
        <v>3</v>
      </c>
      <c r="E5" s="112"/>
      <c r="F5" s="112">
        <f>IFERROR(INDEX(Shipping!$A$1:$AO$8,MATCH($A5,Shipping!$A$1:$A$8,0),MATCH(F$3,Shipping!$A$1:$AU$1,0)),0)</f>
        <v>0</v>
      </c>
      <c r="G5" s="112">
        <f>IFERROR(INDEX(Shipping!$A$1:$AO$8,MATCH($A5,Shipping!$A$1:$A$8,0),MATCH(G$3,Shipping!$A$1:$AU$1,0)),0)</f>
        <v>0</v>
      </c>
      <c r="H5" s="112">
        <f>IFERROR(INDEX(Shipping!$A$1:$AO$8,MATCH($A5,Shipping!$A$1:$A$8,0),MATCH(H$3,Shipping!$A$1:$AU$1,0)),0)</f>
        <v>0</v>
      </c>
      <c r="I5" s="112">
        <f>IFERROR(INDEX(Shipping!$A$1:$AO$8,MATCH($A5,Shipping!$A$1:$A$8,0),MATCH(I$3,Shipping!$A$1:$AU$1,0)),0)</f>
        <v>0</v>
      </c>
      <c r="J5" s="112">
        <f>IFERROR(INDEX(Shipping!$A$1:$AO$8,MATCH($A5,Shipping!$A$1:$A$8,0),MATCH(J$3,Shipping!$A$1:$AU$1,0)),0)</f>
        <v>0</v>
      </c>
      <c r="K5" s="112">
        <f>IFERROR(INDEX(Shipping!$A$1:$AO$8,MATCH($A5,Shipping!$A$1:$A$8,0),MATCH(K$3,Shipping!$A$1:$AU$1,0)),0)</f>
        <v>0</v>
      </c>
      <c r="L5" s="112">
        <f>IFERROR(INDEX(Shipping!$A$1:$AO$8,MATCH($A5,Shipping!$A$1:$A$8,0),MATCH(L$3,Shipping!$A$1:$AU$1,0)),0)</f>
        <v>0</v>
      </c>
      <c r="M5" s="112">
        <f>IFERROR(INDEX(Shipping!$A$1:$AO$8,MATCH($A5,Shipping!$A$1:$A$8,0),MATCH(M$3,Shipping!$A$1:$AU$1,0)),0)</f>
        <v>0</v>
      </c>
      <c r="N5" s="112">
        <f>IFERROR(INDEX(Shipping!$A$1:$AO$8,MATCH($A5,Shipping!$A$1:$A$8,0),MATCH(N$3,Shipping!$A$1:$AU$1,0)),0)</f>
        <v>0</v>
      </c>
      <c r="O5" s="112">
        <f>IFERROR(INDEX(Shipping!$A$1:$AO$8,MATCH($A5,Shipping!$A$1:$A$8,0),MATCH(O$3,Shipping!$A$1:$AU$1,0)),0)</f>
        <v>0</v>
      </c>
      <c r="P5" s="112">
        <f>IFERROR(INDEX(Shipping!$A$1:$AO$8,MATCH($A5,Shipping!$A$1:$A$8,0),MATCH(P$3,Shipping!$A$1:$AU$1,0)),0)</f>
        <v>0</v>
      </c>
      <c r="Q5" s="112">
        <f>IFERROR(INDEX(Shipping!$A$1:$AO$8,MATCH($A5,Shipping!$A$1:$A$8,0),MATCH(Q$3,Shipping!$A$1:$AU$1,0)),0)</f>
        <v>0</v>
      </c>
      <c r="R5" s="112">
        <f>IFERROR(INDEX(Shipping!$A$1:$AO$8,MATCH($A5,Shipping!$A$1:$A$8,0),MATCH(R$3,Shipping!$A$1:$AU$1,0)),0)</f>
        <v>0</v>
      </c>
      <c r="S5" s="112">
        <f>IFERROR(INDEX(Shipping!$A$1:$AO$8,MATCH($A5,Shipping!$A$1:$A$8,0),MATCH(S$3,Shipping!$A$1:$AU$1,0)),0)</f>
        <v>0</v>
      </c>
      <c r="T5" s="112">
        <f>IFERROR(INDEX(Shipping!$A$1:$AO$8,MATCH($A5,Shipping!$A$1:$A$8,0),MATCH(T$3,Shipping!$A$1:$AU$1,0)),0)</f>
        <v>0</v>
      </c>
      <c r="U5" s="112">
        <f>IFERROR(INDEX(Shipping!$A$1:$AO$8,MATCH($A5,Shipping!$A$1:$A$8,0),MATCH(U$3,Shipping!$A$1:$AU$1,0)),0)</f>
        <v>0</v>
      </c>
      <c r="V5" s="112">
        <f>IFERROR(INDEX(Shipping!$A$1:$AO$8,MATCH($A5,Shipping!$A$1:$A$8,0),MATCH(V$3,Shipping!$A$1:$AU$1,0)),0)</f>
        <v>0</v>
      </c>
      <c r="W5" s="112">
        <f>IFERROR(INDEX(Shipping!$A$1:$AO$8,MATCH($A5,Shipping!$A$1:$A$8,0),MATCH(W$3,Shipping!$A$1:$AU$1,0)),0)</f>
        <v>0</v>
      </c>
      <c r="X5" s="112">
        <f>IFERROR(INDEX(Shipping!$A$1:$AO$8,MATCH($A5,Shipping!$A$1:$A$8,0),MATCH(X$3,Shipping!$A$1:$AU$1,0)),0)</f>
        <v>0</v>
      </c>
      <c r="Y5" s="112">
        <f>IFERROR(INDEX(Shipping!$A$1:$AO$8,MATCH($A5,Shipping!$A$1:$A$8,0),MATCH(Y$3,Shipping!$A$1:$AU$1,0)),0)</f>
        <v>0</v>
      </c>
      <c r="Z5" s="112">
        <f>IFERROR(INDEX(Shipping!$A$1:$AO$8,MATCH($A5,Shipping!$A$1:$A$8,0),MATCH(Z$3,Shipping!$A$1:$AU$1,0)),0)</f>
        <v>0</v>
      </c>
      <c r="AA5" s="112">
        <f>IFERROR(INDEX(Shipping!$A$1:$AO$8,MATCH($A5,Shipping!$A$1:$A$8,0),MATCH(AA$3,Shipping!$A$1:$AU$1,0)),0)</f>
        <v>0</v>
      </c>
      <c r="AB5" s="112">
        <f>IFERROR(INDEX(Shipping!$A$1:$AO$8,MATCH($A5,Shipping!$A$1:$A$8,0),MATCH(AB$3,Shipping!$A$1:$AU$1,0)),0)</f>
        <v>0</v>
      </c>
      <c r="AC5" s="112">
        <f>IFERROR(INDEX(Shipping!$A$1:$AO$8,MATCH($A5,Shipping!$A$1:$A$8,0),MATCH(AC$3,Shipping!$A$1:$AU$1,0)),0)</f>
        <v>0</v>
      </c>
      <c r="AD5" s="112">
        <f>IFERROR(INDEX(Shipping!$A$1:$AO$8,MATCH($A5,Shipping!$A$1:$A$8,0),MATCH(AD$3,Shipping!$A$1:$AU$1,0)),0)</f>
        <v>0</v>
      </c>
      <c r="AE5" s="112">
        <f>IFERROR(INDEX(Shipping!$A$1:$AO$8,MATCH($A5,Shipping!$A$1:$A$8,0),MATCH(AE$3,Shipping!$A$1:$AU$1,0)),0)</f>
        <v>0</v>
      </c>
      <c r="AF5" s="112">
        <f>IFERROR(INDEX(Shipping!$A$1:$AO$8,MATCH($A5,Shipping!$A$1:$A$8,0),MATCH(AF$3,Shipping!$A$1:$AU$1,0)),0)</f>
        <v>0</v>
      </c>
      <c r="AG5" s="112">
        <f>IFERROR(INDEX(Shipping!$A$1:$AO$8,MATCH($A5,Shipping!$A$1:$A$8,0),MATCH(AG$3,Shipping!$A$1:$AU$1,0)),0)</f>
        <v>0</v>
      </c>
      <c r="AH5" s="112">
        <f>IFERROR(INDEX(Shipping!$A$1:$AO$8,MATCH($A5,Shipping!$A$1:$A$8,0),MATCH(AH$3,Shipping!$A$1:$AU$1,0)),0)</f>
        <v>0</v>
      </c>
      <c r="AI5" s="112">
        <f>IFERROR(INDEX(Shipping!$A$1:$AO$8,MATCH($A5,Shipping!$A$1:$A$8,0),MATCH(AI$3,Shipping!$A$1:$AU$1,0)),0)</f>
        <v>0</v>
      </c>
      <c r="AJ5" s="112">
        <f>IFERROR(INDEX(Shipping!$A$1:$AO$8,MATCH($A5,Shipping!$A$1:$A$8,0),MATCH(AJ$3,Shipping!$A$1:$AU$1,0)),0)</f>
        <v>0</v>
      </c>
      <c r="AK5" s="112">
        <f>IFERROR(INDEX(Shipping!$A$1:$AO$8,MATCH($A5,Shipping!$A$1:$A$8,0),MATCH(AK$3,Shipping!$A$1:$AU$1,0)),0)</f>
        <v>0</v>
      </c>
      <c r="AL5" s="112">
        <f>IFERROR(INDEX(Shipping!$A$1:$AO$8,MATCH($A5,Shipping!$A$1:$A$8,0),MATCH(AL$3,Shipping!$A$1:$AU$1,0)),0)</f>
        <v>0</v>
      </c>
      <c r="AM5" s="112">
        <f>IFERROR(INDEX(Shipping!$A$1:$AO$8,MATCH($A5,Shipping!$A$1:$A$8,0),MATCH(AM$3,Shipping!$A$1:$AU$1,0)),0)</f>
        <v>0</v>
      </c>
      <c r="AN5" s="112">
        <f>IFERROR(INDEX(Shipping!$A$1:$AO$8,MATCH($A5,Shipping!$A$1:$A$8,0),MATCH(AN$3,Shipping!$A$1:$AU$1,0)),0)</f>
        <v>0</v>
      </c>
      <c r="AO5" s="112">
        <f>IFERROR(INDEX(Shipping!$A$1:$AO$8,MATCH($A5,Shipping!$A$1:$A$8,0),MATCH(AO$3,Shipping!$A$1:$AU$1,0)),0)</f>
        <v>0</v>
      </c>
      <c r="AP5" s="112">
        <f>IFERROR(INDEX(Shipping!$A$1:$AO$8,MATCH($A5,Shipping!$A$1:$A$8,0),MATCH(AP$3,Shipping!$A$1:$AU$1,0)),0)</f>
        <v>0</v>
      </c>
      <c r="AQ5" s="112">
        <f>IFERROR(INDEX(Shipping!$A$1:$AO$8,MATCH($A5,Shipping!$A$1:$A$8,0),MATCH(AQ$3,Shipping!$A$1:$AU$1,0)),0)</f>
        <v>0</v>
      </c>
      <c r="AR5" s="112">
        <f>IFERROR(INDEX(Shipping!$A$1:$AO$8,MATCH($A5,Shipping!$A$1:$A$8,0),MATCH(AR$3,Shipping!$A$1:$AU$1,0)),0)</f>
        <v>0</v>
      </c>
      <c r="AS5" s="112">
        <f>IFERROR(INDEX(Shipping!$A$1:$AO$8,MATCH($A5,Shipping!$A$1:$A$8,0),MATCH(AS$3,Shipping!$A$1:$AU$1,0)),0)</f>
        <v>0</v>
      </c>
      <c r="AT5" s="112">
        <f>IFERROR(INDEX(Shipping!$A$1:$AO$8,MATCH($A5,Shipping!$A$1:$A$8,0),MATCH(AT$3,Shipping!$A$1:$AU$1,0)),0)</f>
        <v>0</v>
      </c>
      <c r="AU5" s="112">
        <f>IFERROR(INDEX(Shipping!$A$1:$AO$8,MATCH($A5,Shipping!$A$1:$A$8,0),MATCH(AU$3,Shipping!$A$1:$AU$1,0)),0)</f>
        <v>0</v>
      </c>
      <c r="AV5" s="46">
        <f>IFERROR(INDEX(Shipping!$A$1:$AO$8,MATCH($A5,Shipping!$A$1:$A$8,0),MATCH(AV$3,Shipping!$A$1:$AU$1,0)),0)</f>
        <v>0</v>
      </c>
      <c r="AW5" s="46">
        <f>IFERROR(INDEX(Shipping!$A$1:$AO$8,MATCH($A5,Shipping!$A$1:$A$8,0),MATCH(AW$3,Shipping!$A$1:$AU$1,0)),0)</f>
        <v>0</v>
      </c>
      <c r="AX5" s="46">
        <f>IFERROR(INDEX(Shipping!$A$1:$AO$8,MATCH($A5,Shipping!$A$1:$A$8,0),MATCH(AX$3,Shipping!$A$1:$AU$1,0)),0)</f>
        <v>0</v>
      </c>
    </row>
    <row r="6" spans="1:50">
      <c r="A6" s="111" t="s">
        <v>24</v>
      </c>
      <c r="B6" s="111" t="s">
        <v>9</v>
      </c>
      <c r="C6" s="111" t="s">
        <v>13</v>
      </c>
      <c r="D6" s="117" t="s">
        <v>62</v>
      </c>
      <c r="E6" s="112"/>
      <c r="F6" s="112"/>
      <c r="G6" s="112"/>
      <c r="H6" s="112"/>
      <c r="I6" s="112"/>
      <c r="J6" s="112"/>
      <c r="K6" s="112">
        <f>K4-SUM(F5:I5)</f>
        <v>0</v>
      </c>
      <c r="L6" s="119"/>
      <c r="M6" s="112">
        <f>K6+M4</f>
        <v>0</v>
      </c>
      <c r="N6" s="112"/>
      <c r="O6" s="112"/>
      <c r="P6" s="112">
        <f>M6+P4</f>
        <v>0</v>
      </c>
      <c r="Q6" s="112"/>
      <c r="R6" s="112">
        <f>P6+R4</f>
        <v>0</v>
      </c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46"/>
      <c r="AW6" s="46"/>
      <c r="AX6" s="46"/>
    </row>
    <row r="7" spans="1:50">
      <c r="A7" s="111" t="s">
        <v>24</v>
      </c>
      <c r="B7" s="111" t="s">
        <v>9</v>
      </c>
      <c r="C7" s="111" t="s">
        <v>13</v>
      </c>
      <c r="D7" s="117" t="s">
        <v>7</v>
      </c>
      <c r="E7" s="112">
        <f>VLOOKUP(B7,Receiving!$B$3:$E$7,4,FALSE)-VLOOKUP(A7,Shipping!$A$4:$D$8,4,FALSE)</f>
        <v>0</v>
      </c>
      <c r="F7" s="112"/>
      <c r="G7" s="112"/>
      <c r="H7" s="112"/>
      <c r="I7" s="120">
        <f>E7-K6</f>
        <v>0</v>
      </c>
      <c r="J7" s="120">
        <f>I7-M6</f>
        <v>0</v>
      </c>
      <c r="K7" s="118"/>
      <c r="L7" s="118"/>
      <c r="M7" s="113"/>
      <c r="N7" s="120">
        <f>J7-P6</f>
        <v>0</v>
      </c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0"/>
      <c r="AW7" s="110"/>
      <c r="AX7" s="110"/>
    </row>
    <row r="8" spans="1:50">
      <c r="A8" s="114" t="s">
        <v>25</v>
      </c>
      <c r="B8" s="114" t="s">
        <v>10</v>
      </c>
      <c r="C8" s="114" t="s">
        <v>14</v>
      </c>
      <c r="D8" s="114" t="s">
        <v>2</v>
      </c>
      <c r="E8" s="115"/>
      <c r="F8" s="115">
        <f>IFERROR(INDEX(Releases!$C$3:$BH$12,MATCH($A8,Releases!$C$3:$C$11,0),MATCH(F$3,Releases!$C$3:$BH$3,0)),0)</f>
        <v>0</v>
      </c>
      <c r="G8" s="115">
        <f>IFERROR(INDEX(Releases!$C$3:$BH$12,MATCH($A8,Releases!$C$3:$C$11,0),MATCH(G$3,Releases!$C$3:$BH$3,0)),0)</f>
        <v>0</v>
      </c>
      <c r="H8" s="115">
        <f>IFERROR(INDEX(Releases!$C$3:$BH$12,MATCH($A8,Releases!$C$3:$C$11,0),MATCH(H$3,Releases!$C$3:$BH$3,0)),0)</f>
        <v>0</v>
      </c>
      <c r="I8" s="115">
        <f>IFERROR(INDEX(Releases!$C$3:$BH$12,MATCH($A8,Releases!$C$3:$C$11,0),MATCH(I$3,Releases!$C$3:$BH$3,0)),0)</f>
        <v>0</v>
      </c>
      <c r="J8" s="115">
        <f>IFERROR(INDEX(Releases!$C$3:$BH$12,MATCH($A8,Releases!$C$3:$C$11,0),MATCH(J$3,Releases!$C$3:$BH$3,0)),0)</f>
        <v>0</v>
      </c>
      <c r="K8" s="115">
        <f>IFERROR(INDEX(Releases!$C$3:$BH$12,MATCH($A8,Releases!$C$3:$C$11,0),MATCH(K$3,Releases!$C$3:$BH$3,0)),0)</f>
        <v>0</v>
      </c>
      <c r="L8" s="115">
        <f>IFERROR(INDEX(Releases!$C$3:$BH$12,MATCH($A8,Releases!$C$3:$C$11,0),MATCH(L$3,Releases!$C$3:$BH$3,0)),0)</f>
        <v>0</v>
      </c>
      <c r="M8" s="115">
        <f>IFERROR(INDEX(Releases!$C$3:$BH$12,MATCH($A8,Releases!$C$3:$C$11,0),MATCH(M$3,Releases!$C$3:$BH$3,0)),0)</f>
        <v>0</v>
      </c>
      <c r="N8" s="115">
        <f>IFERROR(INDEX(Releases!$C$3:$BH$12,MATCH($A8,Releases!$C$3:$C$11,0),MATCH(N$3,Releases!$C$3:$BH$3,0)),0)</f>
        <v>0</v>
      </c>
      <c r="O8" s="115">
        <f>IFERROR(INDEX(Releases!$C$3:$BH$12,MATCH($A8,Releases!$C$3:$C$11,0),MATCH(O$3,Releases!$C$3:$BH$3,0)),0)</f>
        <v>0</v>
      </c>
      <c r="P8" s="115">
        <f>IFERROR(INDEX(Releases!$C$3:$BH$12,MATCH($A8,Releases!$C$3:$C$11,0),MATCH(P$3,Releases!$C$3:$BH$3,0)),0)</f>
        <v>0</v>
      </c>
      <c r="Q8" s="115">
        <f>IFERROR(INDEX(Releases!$C$3:$BH$12,MATCH($A8,Releases!$C$3:$C$11,0),MATCH(Q$3,Releases!$C$3:$BH$3,0)),0)</f>
        <v>0</v>
      </c>
      <c r="R8" s="115">
        <f>IFERROR(INDEX(Releases!$C$3:$BH$12,MATCH($A8,Releases!$C$3:$C$11,0),MATCH(R$3,Releases!$C$3:$BH$3,0)),0)</f>
        <v>0</v>
      </c>
      <c r="S8" s="115">
        <f>IFERROR(INDEX(Releases!$C$3:$BH$12,MATCH($A8,Releases!$C$3:$C$11,0),MATCH(S$3,Releases!$C$3:$BH$3,0)),0)</f>
        <v>0</v>
      </c>
      <c r="T8" s="115">
        <f>IFERROR(INDEX(Releases!$C$3:$BH$12,MATCH($A8,Releases!$C$3:$C$11,0),MATCH(T$3,Releases!$C$3:$BH$3,0)),0)</f>
        <v>0</v>
      </c>
      <c r="U8" s="115">
        <f>IFERROR(INDEX(Releases!$C$3:$BH$12,MATCH($A8,Releases!$C$3:$C$11,0),MATCH(U$3,Releases!$C$3:$BH$3,0)),0)</f>
        <v>0</v>
      </c>
      <c r="V8" s="115">
        <f>IFERROR(INDEX(Releases!$C$3:$BH$12,MATCH($A8,Releases!$C$3:$C$11,0),MATCH(V$3,Releases!$C$3:$BH$3,0)),0)</f>
        <v>0</v>
      </c>
      <c r="W8" s="115">
        <f>IFERROR(INDEX(Releases!$C$3:$BH$12,MATCH($A8,Releases!$C$3:$C$11,0),MATCH(W$3,Releases!$C$3:$BH$3,0)),0)</f>
        <v>0</v>
      </c>
      <c r="X8" s="115">
        <f>IFERROR(INDEX(Releases!$C$3:$BH$12,MATCH($A8,Releases!$C$3:$C$11,0),MATCH(X$3,Releases!$C$3:$BH$3,0)),0)</f>
        <v>0</v>
      </c>
      <c r="Y8" s="115">
        <f>IFERROR(INDEX(Releases!$C$3:$BH$12,MATCH($A8,Releases!$C$3:$C$11,0),MATCH(Y$3,Releases!$C$3:$BH$3,0)),0)</f>
        <v>0</v>
      </c>
      <c r="Z8" s="115">
        <f>IFERROR(INDEX(Releases!$C$3:$BH$12,MATCH($A8,Releases!$C$3:$C$11,0),MATCH(Z$3,Releases!$C$3:$BH$3,0)),0)</f>
        <v>0</v>
      </c>
      <c r="AA8" s="115">
        <f>IFERROR(INDEX(Releases!$C$3:$BH$12,MATCH($A8,Releases!$C$3:$C$11,0),MATCH(AA$3,Releases!$C$3:$BH$3,0)),0)</f>
        <v>0</v>
      </c>
      <c r="AB8" s="115">
        <f>IFERROR(INDEX(Releases!$C$3:$BH$12,MATCH($A8,Releases!$C$3:$C$11,0),MATCH(AB$3,Releases!$C$3:$BH$3,0)),0)</f>
        <v>0</v>
      </c>
      <c r="AC8" s="115">
        <f>IFERROR(INDEX(Releases!$C$3:$BH$12,MATCH($A8,Releases!$C$3:$C$11,0),MATCH(AC$3,Releases!$C$3:$BH$3,0)),0)</f>
        <v>0</v>
      </c>
      <c r="AD8" s="115">
        <f>IFERROR(INDEX(Releases!$C$3:$BH$12,MATCH($A8,Releases!$C$3:$C$11,0),MATCH(AD$3,Releases!$C$3:$BH$3,0)),0)</f>
        <v>0</v>
      </c>
      <c r="AE8" s="115">
        <f>IFERROR(INDEX(Releases!$C$3:$BH$12,MATCH($A8,Releases!$C$3:$C$11,0),MATCH(AE$3,Releases!$C$3:$BH$3,0)),0)</f>
        <v>0</v>
      </c>
      <c r="AF8" s="115">
        <f>IFERROR(INDEX(Releases!$C$3:$BH$12,MATCH($A8,Releases!$C$3:$C$11,0),MATCH(AF$3,Releases!$C$3:$BH$3,0)),0)</f>
        <v>0</v>
      </c>
      <c r="AG8" s="115">
        <f>IFERROR(INDEX(Releases!$C$3:$BH$12,MATCH($A8,Releases!$C$3:$C$11,0),MATCH(AG$3,Releases!$C$3:$BH$3,0)),0)</f>
        <v>0</v>
      </c>
      <c r="AH8" s="115">
        <f>IFERROR(INDEX(Releases!$C$3:$BH$12,MATCH($A8,Releases!$C$3:$C$11,0),MATCH(AH$3,Releases!$C$3:$BH$3,0)),0)</f>
        <v>0</v>
      </c>
      <c r="AI8" s="115">
        <f>IFERROR(INDEX(Releases!$C$3:$BH$12,MATCH($A8,Releases!$C$3:$C$11,0),MATCH(AI$3,Releases!$C$3:$BH$3,0)),0)</f>
        <v>0</v>
      </c>
      <c r="AJ8" s="115">
        <f>IFERROR(INDEX(Releases!$C$3:$BH$12,MATCH($A8,Releases!$C$3:$C$11,0),MATCH(AJ$3,Releases!$C$3:$BH$3,0)),0)</f>
        <v>0</v>
      </c>
      <c r="AK8" s="115">
        <f>IFERROR(INDEX(Releases!$C$3:$BH$12,MATCH($A8,Releases!$C$3:$C$11,0),MATCH(AK$3,Releases!$C$3:$BH$3,0)),0)</f>
        <v>0</v>
      </c>
      <c r="AL8" s="115">
        <f>IFERROR(INDEX(Releases!$C$3:$BH$12,MATCH($A8,Releases!$C$3:$C$11,0),MATCH(AL$3,Releases!$C$3:$BH$3,0)),0)</f>
        <v>0</v>
      </c>
      <c r="AM8" s="115">
        <f>IFERROR(INDEX(Releases!$C$3:$BH$12,MATCH($A8,Releases!$C$3:$C$11,0),MATCH(AM$3,Releases!$C$3:$BH$3,0)),0)</f>
        <v>0</v>
      </c>
      <c r="AN8" s="115">
        <f>IFERROR(INDEX(Releases!$C$3:$BH$12,MATCH($A8,Releases!$C$3:$C$11,0),MATCH(AN$3,Releases!$C$3:$BH$3,0)),0)</f>
        <v>0</v>
      </c>
      <c r="AO8" s="115">
        <f>IFERROR(INDEX(Releases!$C$3:$BH$12,MATCH($A8,Releases!$C$3:$C$11,0),MATCH(AO$3,Releases!$C$3:$BH$3,0)),0)</f>
        <v>0</v>
      </c>
      <c r="AP8" s="115">
        <f>IFERROR(INDEX(Releases!$C$3:$BH$12,MATCH($A8,Releases!$C$3:$C$11,0),MATCH(AP$3,Releases!$C$3:$BH$3,0)),0)</f>
        <v>0</v>
      </c>
      <c r="AQ8" s="115">
        <f>IFERROR(INDEX(Releases!$C$3:$BH$12,MATCH($A8,Releases!$C$3:$C$11,0),MATCH(AQ$3,Releases!$C$3:$BH$3,0)),0)</f>
        <v>0</v>
      </c>
      <c r="AR8" s="115">
        <f>IFERROR(INDEX(Releases!$C$3:$BH$12,MATCH($A8,Releases!$C$3:$C$11,0),MATCH(AR$3,Releases!$C$3:$BH$3,0)),0)</f>
        <v>0</v>
      </c>
      <c r="AS8" s="115">
        <f>IFERROR(INDEX(Releases!$C$3:$BH$12,MATCH($A8,Releases!$C$3:$C$11,0),MATCH(AS$3,Releases!$C$3:$BH$3,0)),0)</f>
        <v>0</v>
      </c>
      <c r="AT8" s="115">
        <f>IFERROR(INDEX(Releases!$C$3:$BH$12,MATCH($A8,Releases!$C$3:$C$11,0),MATCH(AT$3,Releases!$C$3:$BH$3,0)),0)</f>
        <v>0</v>
      </c>
      <c r="AU8" s="115">
        <f>IFERROR(INDEX(Releases!$C$3:$BH$12,MATCH($A8,Releases!$C$3:$C$11,0),MATCH(AU$3,Releases!$C$3:$BH$3,0)),0)</f>
        <v>0</v>
      </c>
      <c r="AV8">
        <f>IFERROR(INDEX(Releases!$C$3:$BH$12,MATCH($A8,Releases!$C$3:$C$11,0),MATCH(AV$3,Releases!$C$3:$BH$3,0)),0)</f>
        <v>0</v>
      </c>
      <c r="AW8">
        <f>IFERROR(INDEX(Releases!$C$3:$BH$12,MATCH($A8,Releases!$C$3:$C$11,0),MATCH(AW$3,Releases!$C$3:$BH$3,0)),0)</f>
        <v>0</v>
      </c>
      <c r="AX8">
        <f>IFERROR(INDEX(Releases!$C$3:$BH$12,MATCH($A8,Releases!$C$3:$C$11,0),MATCH(AX$3,Releases!$C$3:$BH$3,0)),0)</f>
        <v>0</v>
      </c>
    </row>
    <row r="9" spans="1:50">
      <c r="A9" s="114" t="s">
        <v>25</v>
      </c>
      <c r="B9" s="114" t="s">
        <v>10</v>
      </c>
      <c r="C9" s="114" t="s">
        <v>14</v>
      </c>
      <c r="D9" s="114" t="s">
        <v>3</v>
      </c>
      <c r="E9" s="115"/>
      <c r="F9" s="115">
        <f>IFERROR(INDEX(Shipping!$A$1:$AO$8,MATCH($A9,Shipping!$A$1:$A$8,0),MATCH(F$3,Shipping!$A$1:$AU$1,0)),0)</f>
        <v>0</v>
      </c>
      <c r="G9" s="115">
        <f>IFERROR(INDEX(Shipping!$A$1:$AO$8,MATCH($A9,Shipping!$A$1:$A$8,0),MATCH(G$3,Shipping!$A$1:$AU$1,0)),0)</f>
        <v>0</v>
      </c>
      <c r="H9" s="115">
        <f>IFERROR(INDEX(Shipping!$A$1:$AO$8,MATCH($A9,Shipping!$A$1:$A$8,0),MATCH(H$3,Shipping!$A$1:$AU$1,0)),0)</f>
        <v>0</v>
      </c>
      <c r="I9" s="115">
        <f>IFERROR(INDEX(Shipping!$A$1:$AO$8,MATCH($A9,Shipping!$A$1:$A$8,0),MATCH(I$3,Shipping!$A$1:$AU$1,0)),0)</f>
        <v>0</v>
      </c>
      <c r="J9" s="115">
        <f>IFERROR(INDEX(Shipping!$A$1:$AO$8,MATCH($A9,Shipping!$A$1:$A$8,0),MATCH(J$3,Shipping!$A$1:$AU$1,0)),0)</f>
        <v>0</v>
      </c>
      <c r="K9" s="115">
        <f>IFERROR(INDEX(Shipping!$A$1:$AO$8,MATCH($A9,Shipping!$A$1:$A$8,0),MATCH(K$3,Shipping!$A$1:$AU$1,0)),0)</f>
        <v>0</v>
      </c>
      <c r="L9" s="115">
        <f>IFERROR(INDEX(Shipping!$A$1:$AO$8,MATCH($A9,Shipping!$A$1:$A$8,0),MATCH(L$3,Shipping!$A$1:$AU$1,0)),0)</f>
        <v>0</v>
      </c>
      <c r="M9" s="115">
        <f>IFERROR(INDEX(Shipping!$A$1:$AO$8,MATCH($A9,Shipping!$A$1:$A$8,0),MATCH(M$3,Shipping!$A$1:$AU$1,0)),0)</f>
        <v>0</v>
      </c>
      <c r="N9" s="115">
        <f>IFERROR(INDEX(Shipping!$A$1:$AO$8,MATCH($A9,Shipping!$A$1:$A$8,0),MATCH(N$3,Shipping!$A$1:$AU$1,0)),0)</f>
        <v>0</v>
      </c>
      <c r="O9" s="115">
        <f>IFERROR(INDEX(Shipping!$A$1:$AO$8,MATCH($A9,Shipping!$A$1:$A$8,0),MATCH(O$3,Shipping!$A$1:$AU$1,0)),0)</f>
        <v>0</v>
      </c>
      <c r="P9" s="115">
        <f>IFERROR(INDEX(Shipping!$A$1:$AO$8,MATCH($A9,Shipping!$A$1:$A$8,0),MATCH(P$3,Shipping!$A$1:$AU$1,0)),0)</f>
        <v>0</v>
      </c>
      <c r="Q9" s="115">
        <f>IFERROR(INDEX(Shipping!$A$1:$AO$8,MATCH($A9,Shipping!$A$1:$A$8,0),MATCH(Q$3,Shipping!$A$1:$AU$1,0)),0)</f>
        <v>0</v>
      </c>
      <c r="R9" s="115">
        <f>IFERROR(INDEX(Shipping!$A$1:$AO$8,MATCH($A9,Shipping!$A$1:$A$8,0),MATCH(R$3,Shipping!$A$1:$AU$1,0)),0)</f>
        <v>0</v>
      </c>
      <c r="S9" s="115">
        <f>IFERROR(INDEX(Shipping!$A$1:$AO$8,MATCH($A9,Shipping!$A$1:$A$8,0),MATCH(S$3,Shipping!$A$1:$AU$1,0)),0)</f>
        <v>0</v>
      </c>
      <c r="T9" s="115">
        <f>IFERROR(INDEX(Shipping!$A$1:$AO$8,MATCH($A9,Shipping!$A$1:$A$8,0),MATCH(T$3,Shipping!$A$1:$AU$1,0)),0)</f>
        <v>0</v>
      </c>
      <c r="U9" s="115">
        <f>IFERROR(INDEX(Shipping!$A$1:$AO$8,MATCH($A9,Shipping!$A$1:$A$8,0),MATCH(U$3,Shipping!$A$1:$AU$1,0)),0)</f>
        <v>0</v>
      </c>
      <c r="V9" s="115">
        <f>IFERROR(INDEX(Shipping!$A$1:$AO$8,MATCH($A9,Shipping!$A$1:$A$8,0),MATCH(V$3,Shipping!$A$1:$AU$1,0)),0)</f>
        <v>0</v>
      </c>
      <c r="W9" s="115">
        <f>IFERROR(INDEX(Shipping!$A$1:$AO$8,MATCH($A9,Shipping!$A$1:$A$8,0),MATCH(W$3,Shipping!$A$1:$AU$1,0)),0)</f>
        <v>0</v>
      </c>
      <c r="X9" s="115">
        <f>IFERROR(INDEX(Shipping!$A$1:$AO$8,MATCH($A9,Shipping!$A$1:$A$8,0),MATCH(X$3,Shipping!$A$1:$AU$1,0)),0)</f>
        <v>0</v>
      </c>
      <c r="Y9" s="115">
        <f>IFERROR(INDEX(Shipping!$A$1:$AO$8,MATCH($A9,Shipping!$A$1:$A$8,0),MATCH(Y$3,Shipping!$A$1:$AU$1,0)),0)</f>
        <v>0</v>
      </c>
      <c r="Z9" s="115">
        <f>IFERROR(INDEX(Shipping!$A$1:$AO$8,MATCH($A9,Shipping!$A$1:$A$8,0),MATCH(Z$3,Shipping!$A$1:$AU$1,0)),0)</f>
        <v>0</v>
      </c>
      <c r="AA9" s="115">
        <f>IFERROR(INDEX(Shipping!$A$1:$AO$8,MATCH($A9,Shipping!$A$1:$A$8,0),MATCH(AA$3,Shipping!$A$1:$AU$1,0)),0)</f>
        <v>0</v>
      </c>
      <c r="AB9" s="115">
        <f>IFERROR(INDEX(Shipping!$A$1:$AO$8,MATCH($A9,Shipping!$A$1:$A$8,0),MATCH(AB$3,Shipping!$A$1:$AU$1,0)),0)</f>
        <v>0</v>
      </c>
      <c r="AC9" s="115">
        <f>IFERROR(INDEX(Shipping!$A$1:$AO$8,MATCH($A9,Shipping!$A$1:$A$8,0),MATCH(AC$3,Shipping!$A$1:$AU$1,0)),0)</f>
        <v>0</v>
      </c>
      <c r="AD9" s="115">
        <f>IFERROR(INDEX(Shipping!$A$1:$AO$8,MATCH($A9,Shipping!$A$1:$A$8,0),MATCH(AD$3,Shipping!$A$1:$AU$1,0)),0)</f>
        <v>0</v>
      </c>
      <c r="AE9" s="115">
        <f>IFERROR(INDEX(Shipping!$A$1:$AO$8,MATCH($A9,Shipping!$A$1:$A$8,0),MATCH(AE$3,Shipping!$A$1:$AU$1,0)),0)</f>
        <v>0</v>
      </c>
      <c r="AF9" s="115">
        <f>IFERROR(INDEX(Shipping!$A$1:$AO$8,MATCH($A9,Shipping!$A$1:$A$8,0),MATCH(AF$3,Shipping!$A$1:$AU$1,0)),0)</f>
        <v>0</v>
      </c>
      <c r="AG9" s="115">
        <f>IFERROR(INDEX(Shipping!$A$1:$AO$8,MATCH($A9,Shipping!$A$1:$A$8,0),MATCH(AG$3,Shipping!$A$1:$AU$1,0)),0)</f>
        <v>0</v>
      </c>
      <c r="AH9" s="115">
        <f>IFERROR(INDEX(Shipping!$A$1:$AO$8,MATCH($A9,Shipping!$A$1:$A$8,0),MATCH(AH$3,Shipping!$A$1:$AU$1,0)),0)</f>
        <v>0</v>
      </c>
      <c r="AI9" s="115">
        <f>IFERROR(INDEX(Shipping!$A$1:$AO$8,MATCH($A9,Shipping!$A$1:$A$8,0),MATCH(AI$3,Shipping!$A$1:$AU$1,0)),0)</f>
        <v>0</v>
      </c>
      <c r="AJ9" s="115">
        <f>IFERROR(INDEX(Shipping!$A$1:$AO$8,MATCH($A9,Shipping!$A$1:$A$8,0),MATCH(AJ$3,Shipping!$A$1:$AU$1,0)),0)</f>
        <v>0</v>
      </c>
      <c r="AK9" s="115">
        <f>IFERROR(INDEX(Shipping!$A$1:$AO$8,MATCH($A9,Shipping!$A$1:$A$8,0),MATCH(AK$3,Shipping!$A$1:$AU$1,0)),0)</f>
        <v>0</v>
      </c>
      <c r="AL9" s="115">
        <f>IFERROR(INDEX(Shipping!$A$1:$AO$8,MATCH($A9,Shipping!$A$1:$A$8,0),MATCH(AL$3,Shipping!$A$1:$AU$1,0)),0)</f>
        <v>0</v>
      </c>
      <c r="AM9" s="115">
        <f>IFERROR(INDEX(Shipping!$A$1:$AO$8,MATCH($A9,Shipping!$A$1:$A$8,0),MATCH(AM$3,Shipping!$A$1:$AU$1,0)),0)</f>
        <v>0</v>
      </c>
      <c r="AN9" s="115">
        <f>IFERROR(INDEX(Shipping!$A$1:$AO$8,MATCH($A9,Shipping!$A$1:$A$8,0),MATCH(AN$3,Shipping!$A$1:$AU$1,0)),0)</f>
        <v>0</v>
      </c>
      <c r="AO9" s="115">
        <f>IFERROR(INDEX(Shipping!$A$1:$AO$8,MATCH($A9,Shipping!$A$1:$A$8,0),MATCH(AO$3,Shipping!$A$1:$AU$1,0)),0)</f>
        <v>0</v>
      </c>
      <c r="AP9" s="115">
        <f>IFERROR(INDEX(Shipping!$A$1:$AO$8,MATCH($A9,Shipping!$A$1:$A$8,0),MATCH(AP$3,Shipping!$A$1:$AU$1,0)),0)</f>
        <v>0</v>
      </c>
      <c r="AQ9" s="115">
        <f>IFERROR(INDEX(Shipping!$A$1:$AO$8,MATCH($A9,Shipping!$A$1:$A$8,0),MATCH(AQ$3,Shipping!$A$1:$AU$1,0)),0)</f>
        <v>0</v>
      </c>
      <c r="AR9" s="115">
        <f>IFERROR(INDEX(Shipping!$A$1:$AO$8,MATCH($A9,Shipping!$A$1:$A$8,0),MATCH(AR$3,Shipping!$A$1:$AU$1,0)),0)</f>
        <v>0</v>
      </c>
      <c r="AS9" s="115">
        <f>IFERROR(INDEX(Shipping!$A$1:$AO$8,MATCH($A9,Shipping!$A$1:$A$8,0),MATCH(AS$3,Shipping!$A$1:$AU$1,0)),0)</f>
        <v>0</v>
      </c>
      <c r="AT9" s="115">
        <f>IFERROR(INDEX(Shipping!$A$1:$AO$8,MATCH($A9,Shipping!$A$1:$A$8,0),MATCH(AT$3,Shipping!$A$1:$AU$1,0)),0)</f>
        <v>0</v>
      </c>
      <c r="AU9" s="115">
        <f>IFERROR(INDEX(Shipping!$A$1:$AO$8,MATCH($A9,Shipping!$A$1:$A$8,0),MATCH(AU$3,Shipping!$A$1:$AU$1,0)),0)</f>
        <v>0</v>
      </c>
      <c r="AV9">
        <f>IFERROR(INDEX(Shipping!$A$1:$AO$8,MATCH($A9,Shipping!$A$1:$A$8,0),MATCH(AV$3,Shipping!$A$1:$AU$1,0)),0)</f>
        <v>0</v>
      </c>
      <c r="AW9">
        <f>IFERROR(INDEX(Shipping!$A$1:$AO$8,MATCH($A9,Shipping!$A$1:$A$8,0),MATCH(AW$3,Shipping!$A$1:$AU$1,0)),0)</f>
        <v>0</v>
      </c>
      <c r="AX9">
        <f>IFERROR(INDEX(Shipping!$A$1:$AO$8,MATCH($A9,Shipping!$A$1:$A$8,0),MATCH(AX$3,Shipping!$A$1:$AU$1,0)),0)</f>
        <v>0</v>
      </c>
    </row>
    <row r="10" spans="1:50">
      <c r="A10" s="114" t="s">
        <v>25</v>
      </c>
      <c r="B10" s="114" t="s">
        <v>10</v>
      </c>
      <c r="C10" s="114" t="s">
        <v>14</v>
      </c>
      <c r="D10" s="114" t="s">
        <v>62</v>
      </c>
      <c r="E10" s="115"/>
      <c r="F10" s="116"/>
      <c r="G10" s="116"/>
      <c r="H10" s="116"/>
      <c r="I10" s="116"/>
      <c r="J10" s="116"/>
      <c r="K10" s="116">
        <f>K8-SUM(F9:I9)</f>
        <v>0</v>
      </c>
      <c r="L10" s="116"/>
      <c r="M10" s="116">
        <f>K10+M8</f>
        <v>0</v>
      </c>
      <c r="N10" s="116"/>
      <c r="O10" s="116"/>
      <c r="P10" s="116">
        <f>M10+P8</f>
        <v>0</v>
      </c>
      <c r="Q10" s="116"/>
      <c r="R10" s="116">
        <f>P10+R8</f>
        <v>0</v>
      </c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07"/>
      <c r="AW10" s="107"/>
      <c r="AX10" s="107"/>
    </row>
    <row r="11" spans="1:50">
      <c r="A11" s="114" t="s">
        <v>25</v>
      </c>
      <c r="B11" s="114" t="s">
        <v>10</v>
      </c>
      <c r="C11" s="114" t="s">
        <v>14</v>
      </c>
      <c r="D11" s="114" t="s">
        <v>7</v>
      </c>
      <c r="E11" s="115">
        <f>VLOOKUP(B11,Receiving!$B$3:$E$7,4,FALSE)-VLOOKUP(A11,Shipping!$A$4:$D$8,4,FALSE)</f>
        <v>0</v>
      </c>
      <c r="F11" s="115"/>
      <c r="G11" s="115"/>
      <c r="H11" s="115"/>
      <c r="I11" s="115">
        <f>E11-K10</f>
        <v>0</v>
      </c>
      <c r="J11" s="121">
        <f>I11-M10</f>
        <v>0</v>
      </c>
      <c r="K11" s="121"/>
      <c r="L11" s="121"/>
      <c r="M11" s="121"/>
      <c r="N11" s="121">
        <f>J11-P10</f>
        <v>0</v>
      </c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</row>
    <row r="12" spans="1:50">
      <c r="A12" s="111" t="s">
        <v>26</v>
      </c>
      <c r="B12" s="111" t="s">
        <v>11</v>
      </c>
      <c r="C12" s="111" t="s">
        <v>15</v>
      </c>
      <c r="D12" s="111" t="s">
        <v>2</v>
      </c>
      <c r="E12" s="112"/>
      <c r="F12" s="112">
        <f>IFERROR(INDEX(Releases!$C$3:$BH$12,MATCH($A12,Releases!$C$3:$C$11,0),MATCH(F$3,Releases!$C$3:$BH$3,0)),0)</f>
        <v>0</v>
      </c>
      <c r="G12" s="112">
        <f>IFERROR(INDEX(Releases!$C$3:$BH$12,MATCH($A12,Releases!$C$3:$C$11,0),MATCH(G$3,Releases!$C$3:$BH$3,0)),0)</f>
        <v>0</v>
      </c>
      <c r="H12" s="112">
        <f>IFERROR(INDEX(Releases!$C$3:$BH$12,MATCH($A12,Releases!$C$3:$C$11,0),MATCH(H$3,Releases!$C$3:$BH$3,0)),0)</f>
        <v>0</v>
      </c>
      <c r="I12" s="112">
        <f>IFERROR(INDEX(Releases!$C$3:$BH$12,MATCH($A12,Releases!$C$3:$C$11,0),MATCH(I$3,Releases!$C$3:$BH$3,0)),0)</f>
        <v>0</v>
      </c>
      <c r="J12" s="112">
        <f>IFERROR(INDEX(Releases!$C$3:$BH$12,MATCH($A12,Releases!$C$3:$C$11,0),MATCH(J$3,Releases!$C$3:$BH$3,0)),0)</f>
        <v>0</v>
      </c>
      <c r="K12" s="112">
        <f>IFERROR(INDEX(Releases!$C$3:$BH$12,MATCH($A12,Releases!$C$3:$C$11,0),MATCH(K$3,Releases!$C$3:$BH$3,0)),0)</f>
        <v>0</v>
      </c>
      <c r="L12" s="112">
        <f>IFERROR(INDEX(Releases!$C$3:$BH$12,MATCH($A12,Releases!$C$3:$C$11,0),MATCH(L$3,Releases!$C$3:$BH$3,0)),0)</f>
        <v>0</v>
      </c>
      <c r="M12" s="112">
        <f>IFERROR(INDEX(Releases!$C$3:$BH$12,MATCH($A12,Releases!$C$3:$C$11,0),MATCH(M$3,Releases!$C$3:$BH$3,0)),0)</f>
        <v>0</v>
      </c>
      <c r="N12" s="112">
        <f>IFERROR(INDEX(Releases!$C$3:$BH$12,MATCH($A12,Releases!$C$3:$C$11,0),MATCH(N$3,Releases!$C$3:$BH$3,0)),0)</f>
        <v>0</v>
      </c>
      <c r="O12" s="112">
        <f>IFERROR(INDEX(Releases!$C$3:$BH$12,MATCH($A12,Releases!$C$3:$C$11,0),MATCH(O$3,Releases!$C$3:$BH$3,0)),0)</f>
        <v>0</v>
      </c>
      <c r="P12" s="112">
        <f>IFERROR(INDEX(Releases!$C$3:$BH$12,MATCH($A12,Releases!$C$3:$C$11,0),MATCH(P$3,Releases!$C$3:$BH$3,0)),0)</f>
        <v>0</v>
      </c>
      <c r="Q12" s="112">
        <f>IFERROR(INDEX(Releases!$C$3:$BH$12,MATCH($A12,Releases!$C$3:$C$11,0),MATCH(Q$3,Releases!$C$3:$BH$3,0)),0)</f>
        <v>0</v>
      </c>
      <c r="R12" s="112">
        <f>IFERROR(INDEX(Releases!$C$3:$BH$12,MATCH($A12,Releases!$C$3:$C$11,0),MATCH(R$3,Releases!$C$3:$BH$3,0)),0)</f>
        <v>0</v>
      </c>
      <c r="S12" s="112">
        <f>IFERROR(INDEX(Releases!$C$3:$BH$12,MATCH($A12,Releases!$C$3:$C$11,0),MATCH(S$3,Releases!$C$3:$BH$3,0)),0)</f>
        <v>0</v>
      </c>
      <c r="T12" s="112">
        <f>IFERROR(INDEX(Releases!$C$3:$BH$12,MATCH($A12,Releases!$C$3:$C$11,0),MATCH(T$3,Releases!$C$3:$BH$3,0)),0)</f>
        <v>0</v>
      </c>
      <c r="U12" s="112">
        <f>IFERROR(INDEX(Releases!$C$3:$BH$12,MATCH($A12,Releases!$C$3:$C$11,0),MATCH(U$3,Releases!$C$3:$BH$3,0)),0)</f>
        <v>0</v>
      </c>
      <c r="V12" s="112">
        <f>IFERROR(INDEX(Releases!$C$3:$BH$12,MATCH($A12,Releases!$C$3:$C$11,0),MATCH(V$3,Releases!$C$3:$BH$3,0)),0)</f>
        <v>0</v>
      </c>
      <c r="W12" s="112">
        <f>IFERROR(INDEX(Releases!$C$3:$BH$12,MATCH($A12,Releases!$C$3:$C$11,0),MATCH(W$3,Releases!$C$3:$BH$3,0)),0)</f>
        <v>0</v>
      </c>
      <c r="X12" s="112">
        <f>IFERROR(INDEX(Releases!$C$3:$BH$12,MATCH($A12,Releases!$C$3:$C$11,0),MATCH(X$3,Releases!$C$3:$BH$3,0)),0)</f>
        <v>0</v>
      </c>
      <c r="Y12" s="112">
        <f>IFERROR(INDEX(Releases!$C$3:$BH$12,MATCH($A12,Releases!$C$3:$C$11,0),MATCH(Y$3,Releases!$C$3:$BH$3,0)),0)</f>
        <v>0</v>
      </c>
      <c r="Z12" s="112">
        <f>IFERROR(INDEX(Releases!$C$3:$BH$12,MATCH($A12,Releases!$C$3:$C$11,0),MATCH(Z$3,Releases!$C$3:$BH$3,0)),0)</f>
        <v>0</v>
      </c>
      <c r="AA12" s="112">
        <f>IFERROR(INDEX(Releases!$C$3:$BH$12,MATCH($A12,Releases!$C$3:$C$11,0),MATCH(AA$3,Releases!$C$3:$BH$3,0)),0)</f>
        <v>0</v>
      </c>
      <c r="AB12" s="112">
        <f>IFERROR(INDEX(Releases!$C$3:$BH$12,MATCH($A12,Releases!$C$3:$C$11,0),MATCH(AB$3,Releases!$C$3:$BH$3,0)),0)</f>
        <v>0</v>
      </c>
      <c r="AC12" s="112">
        <f>IFERROR(INDEX(Releases!$C$3:$BH$12,MATCH($A12,Releases!$C$3:$C$11,0),MATCH(AC$3,Releases!$C$3:$BH$3,0)),0)</f>
        <v>0</v>
      </c>
      <c r="AD12" s="112">
        <f>IFERROR(INDEX(Releases!$C$3:$BH$12,MATCH($A12,Releases!$C$3:$C$11,0),MATCH(AD$3,Releases!$C$3:$BH$3,0)),0)</f>
        <v>0</v>
      </c>
      <c r="AE12" s="112">
        <f>IFERROR(INDEX(Releases!$C$3:$BH$12,MATCH($A12,Releases!$C$3:$C$11,0),MATCH(AE$3,Releases!$C$3:$BH$3,0)),0)</f>
        <v>0</v>
      </c>
      <c r="AF12" s="112">
        <f>IFERROR(INDEX(Releases!$C$3:$BH$12,MATCH($A12,Releases!$C$3:$C$11,0),MATCH(AF$3,Releases!$C$3:$BH$3,0)),0)</f>
        <v>0</v>
      </c>
      <c r="AG12" s="112">
        <f>IFERROR(INDEX(Releases!$C$3:$BH$12,MATCH($A12,Releases!$C$3:$C$11,0),MATCH(AG$3,Releases!$C$3:$BH$3,0)),0)</f>
        <v>0</v>
      </c>
      <c r="AH12" s="112">
        <f>IFERROR(INDEX(Releases!$C$3:$BH$12,MATCH($A12,Releases!$C$3:$C$11,0),MATCH(AH$3,Releases!$C$3:$BH$3,0)),0)</f>
        <v>0</v>
      </c>
      <c r="AI12" s="112">
        <f>IFERROR(INDEX(Releases!$C$3:$BH$12,MATCH($A12,Releases!$C$3:$C$11,0),MATCH(AI$3,Releases!$C$3:$BH$3,0)),0)</f>
        <v>0</v>
      </c>
      <c r="AJ12" s="112">
        <f>IFERROR(INDEX(Releases!$C$3:$BH$12,MATCH($A12,Releases!$C$3:$C$11,0),MATCH(AJ$3,Releases!$C$3:$BH$3,0)),0)</f>
        <v>0</v>
      </c>
      <c r="AK12" s="112">
        <f>IFERROR(INDEX(Releases!$C$3:$BH$12,MATCH($A12,Releases!$C$3:$C$11,0),MATCH(AK$3,Releases!$C$3:$BH$3,0)),0)</f>
        <v>0</v>
      </c>
      <c r="AL12" s="112">
        <f>IFERROR(INDEX(Releases!$C$3:$BH$12,MATCH($A12,Releases!$C$3:$C$11,0),MATCH(AL$3,Releases!$C$3:$BH$3,0)),0)</f>
        <v>0</v>
      </c>
      <c r="AM12" s="112">
        <f>IFERROR(INDEX(Releases!$C$3:$BH$12,MATCH($A12,Releases!$C$3:$C$11,0),MATCH(AM$3,Releases!$C$3:$BH$3,0)),0)</f>
        <v>0</v>
      </c>
      <c r="AN12" s="112">
        <f>IFERROR(INDEX(Releases!$C$3:$BH$12,MATCH($A12,Releases!$C$3:$C$11,0),MATCH(AN$3,Releases!$C$3:$BH$3,0)),0)</f>
        <v>0</v>
      </c>
      <c r="AO12" s="112">
        <f>IFERROR(INDEX(Releases!$C$3:$BH$12,MATCH($A12,Releases!$C$3:$C$11,0),MATCH(AO$3,Releases!$C$3:$BH$3,0)),0)</f>
        <v>0</v>
      </c>
      <c r="AP12" s="112">
        <f>IFERROR(INDEX(Releases!$C$3:$BH$12,MATCH($A12,Releases!$C$3:$C$11,0),MATCH(AP$3,Releases!$C$3:$BH$3,0)),0)</f>
        <v>0</v>
      </c>
      <c r="AQ12" s="112">
        <f>IFERROR(INDEX(Releases!$C$3:$BH$12,MATCH($A12,Releases!$C$3:$C$11,0),MATCH(AQ$3,Releases!$C$3:$BH$3,0)),0)</f>
        <v>0</v>
      </c>
      <c r="AR12" s="112">
        <f>IFERROR(INDEX(Releases!$C$3:$BH$12,MATCH($A12,Releases!$C$3:$C$11,0),MATCH(AR$3,Releases!$C$3:$BH$3,0)),0)</f>
        <v>0</v>
      </c>
      <c r="AS12" s="112">
        <f>IFERROR(INDEX(Releases!$C$3:$BH$12,MATCH($A12,Releases!$C$3:$C$11,0),MATCH(AS$3,Releases!$C$3:$BH$3,0)),0)</f>
        <v>0</v>
      </c>
      <c r="AT12" s="112">
        <f>IFERROR(INDEX(Releases!$C$3:$BH$12,MATCH($A12,Releases!$C$3:$C$11,0),MATCH(AT$3,Releases!$C$3:$BH$3,0)),0)</f>
        <v>0</v>
      </c>
      <c r="AU12" s="112">
        <f>IFERROR(INDEX(Releases!$C$3:$BH$12,MATCH($A12,Releases!$C$3:$C$11,0),MATCH(AU$3,Releases!$C$3:$BH$3,0)),0)</f>
        <v>0</v>
      </c>
      <c r="AV12" s="46">
        <f>IFERROR(INDEX(Releases!$C$3:$BH$12,MATCH($A12,Releases!$C$3:$C$11,0),MATCH(AV$3,Releases!$C$3:$BH$3,0)),0)</f>
        <v>0</v>
      </c>
      <c r="AW12" s="46">
        <f>IFERROR(INDEX(Releases!$C$3:$BH$12,MATCH($A12,Releases!$C$3:$C$11,0),MATCH(AW$3,Releases!$C$3:$BH$3,0)),0)</f>
        <v>0</v>
      </c>
      <c r="AX12" s="46">
        <f>IFERROR(INDEX(Releases!$C$3:$BH$12,MATCH($A12,Releases!$C$3:$C$11,0),MATCH(AX$3,Releases!$C$3:$BH$3,0)),0)</f>
        <v>0</v>
      </c>
    </row>
    <row r="13" spans="1:50">
      <c r="A13" s="111" t="s">
        <v>26</v>
      </c>
      <c r="B13" s="111" t="s">
        <v>11</v>
      </c>
      <c r="C13" s="111" t="s">
        <v>15</v>
      </c>
      <c r="D13" s="111" t="s">
        <v>3</v>
      </c>
      <c r="E13" s="112"/>
      <c r="F13" s="112">
        <f>IFERROR(INDEX(Shipping!$A$1:$AO$8,MATCH($A13,Shipping!$A$1:$A$8,0),MATCH(F$3,Shipping!$A$1:$AU$1,0)),0)</f>
        <v>0</v>
      </c>
      <c r="G13" s="112">
        <f>IFERROR(INDEX(Shipping!$A$1:$AO$8,MATCH($A13,Shipping!$A$1:$A$8,0),MATCH(G$3,Shipping!$A$1:$AU$1,0)),0)</f>
        <v>0</v>
      </c>
      <c r="H13" s="112">
        <f>IFERROR(INDEX(Shipping!$A$1:$AO$8,MATCH($A13,Shipping!$A$1:$A$8,0),MATCH(H$3,Shipping!$A$1:$AU$1,0)),0)</f>
        <v>0</v>
      </c>
      <c r="I13" s="112">
        <f>IFERROR(INDEX(Shipping!$A$1:$AO$8,MATCH($A13,Shipping!$A$1:$A$8,0),MATCH(I$3,Shipping!$A$1:$AU$1,0)),0)</f>
        <v>0</v>
      </c>
      <c r="J13" s="112">
        <f>IFERROR(INDEX(Shipping!$A$1:$AO$8,MATCH($A13,Shipping!$A$1:$A$8,0),MATCH(J$3,Shipping!$A$1:$AU$1,0)),0)</f>
        <v>0</v>
      </c>
      <c r="K13" s="112">
        <f>IFERROR(INDEX(Shipping!$A$1:$AO$8,MATCH($A13,Shipping!$A$1:$A$8,0),MATCH(K$3,Shipping!$A$1:$AU$1,0)),0)</f>
        <v>0</v>
      </c>
      <c r="L13" s="112">
        <f>IFERROR(INDEX(Shipping!$A$1:$AO$8,MATCH($A13,Shipping!$A$1:$A$8,0),MATCH(L$3,Shipping!$A$1:$AU$1,0)),0)</f>
        <v>0</v>
      </c>
      <c r="M13" s="112">
        <f>IFERROR(INDEX(Shipping!$A$1:$AO$8,MATCH($A13,Shipping!$A$1:$A$8,0),MATCH(M$3,Shipping!$A$1:$AU$1,0)),0)</f>
        <v>0</v>
      </c>
      <c r="N13" s="112">
        <f>IFERROR(INDEX(Shipping!$A$1:$AO$8,MATCH($A13,Shipping!$A$1:$A$8,0),MATCH(N$3,Shipping!$A$1:$AU$1,0)),0)</f>
        <v>0</v>
      </c>
      <c r="O13" s="112">
        <f>IFERROR(INDEX(Shipping!$A$1:$AO$8,MATCH($A13,Shipping!$A$1:$A$8,0),MATCH(O$3,Shipping!$A$1:$AU$1,0)),0)</f>
        <v>0</v>
      </c>
      <c r="P13" s="112">
        <f>IFERROR(INDEX(Shipping!$A$1:$AO$8,MATCH($A13,Shipping!$A$1:$A$8,0),MATCH(P$3,Shipping!$A$1:$AU$1,0)),0)</f>
        <v>0</v>
      </c>
      <c r="Q13" s="112">
        <f>IFERROR(INDEX(Shipping!$A$1:$AO$8,MATCH($A13,Shipping!$A$1:$A$8,0),MATCH(Q$3,Shipping!$A$1:$AU$1,0)),0)</f>
        <v>0</v>
      </c>
      <c r="R13" s="112">
        <f>IFERROR(INDEX(Shipping!$A$1:$AO$8,MATCH($A13,Shipping!$A$1:$A$8,0),MATCH(R$3,Shipping!$A$1:$AU$1,0)),0)</f>
        <v>0</v>
      </c>
      <c r="S13" s="112">
        <f>IFERROR(INDEX(Shipping!$A$1:$AO$8,MATCH($A13,Shipping!$A$1:$A$8,0),MATCH(S$3,Shipping!$A$1:$AU$1,0)),0)</f>
        <v>0</v>
      </c>
      <c r="T13" s="112">
        <f>IFERROR(INDEX(Shipping!$A$1:$AO$8,MATCH($A13,Shipping!$A$1:$A$8,0),MATCH(T$3,Shipping!$A$1:$AU$1,0)),0)</f>
        <v>0</v>
      </c>
      <c r="U13" s="112">
        <f>IFERROR(INDEX(Shipping!$A$1:$AO$8,MATCH($A13,Shipping!$A$1:$A$8,0),MATCH(U$3,Shipping!$A$1:$AU$1,0)),0)</f>
        <v>0</v>
      </c>
      <c r="V13" s="112">
        <f>IFERROR(INDEX(Shipping!$A$1:$AO$8,MATCH($A13,Shipping!$A$1:$A$8,0),MATCH(V$3,Shipping!$A$1:$AU$1,0)),0)</f>
        <v>0</v>
      </c>
      <c r="W13" s="112">
        <f>IFERROR(INDEX(Shipping!$A$1:$AO$8,MATCH($A13,Shipping!$A$1:$A$8,0),MATCH(W$3,Shipping!$A$1:$AU$1,0)),0)</f>
        <v>0</v>
      </c>
      <c r="X13" s="112">
        <f>IFERROR(INDEX(Shipping!$A$1:$AO$8,MATCH($A13,Shipping!$A$1:$A$8,0),MATCH(X$3,Shipping!$A$1:$AU$1,0)),0)</f>
        <v>0</v>
      </c>
      <c r="Y13" s="112">
        <f>IFERROR(INDEX(Shipping!$A$1:$AO$8,MATCH($A13,Shipping!$A$1:$A$8,0),MATCH(Y$3,Shipping!$A$1:$AU$1,0)),0)</f>
        <v>0</v>
      </c>
      <c r="Z13" s="112">
        <f>IFERROR(INDEX(Shipping!$A$1:$AO$8,MATCH($A13,Shipping!$A$1:$A$8,0),MATCH(Z$3,Shipping!$A$1:$AU$1,0)),0)</f>
        <v>0</v>
      </c>
      <c r="AA13" s="112">
        <f>IFERROR(INDEX(Shipping!$A$1:$AO$8,MATCH($A13,Shipping!$A$1:$A$8,0),MATCH(AA$3,Shipping!$A$1:$AU$1,0)),0)</f>
        <v>0</v>
      </c>
      <c r="AB13" s="112">
        <f>IFERROR(INDEX(Shipping!$A$1:$AO$8,MATCH($A13,Shipping!$A$1:$A$8,0),MATCH(AB$3,Shipping!$A$1:$AU$1,0)),0)</f>
        <v>0</v>
      </c>
      <c r="AC13" s="112">
        <f>IFERROR(INDEX(Shipping!$A$1:$AO$8,MATCH($A13,Shipping!$A$1:$A$8,0),MATCH(AC$3,Shipping!$A$1:$AU$1,0)),0)</f>
        <v>0</v>
      </c>
      <c r="AD13" s="112">
        <f>IFERROR(INDEX(Shipping!$A$1:$AO$8,MATCH($A13,Shipping!$A$1:$A$8,0),MATCH(AD$3,Shipping!$A$1:$AU$1,0)),0)</f>
        <v>0</v>
      </c>
      <c r="AE13" s="112">
        <f>IFERROR(INDEX(Shipping!$A$1:$AO$8,MATCH($A13,Shipping!$A$1:$A$8,0),MATCH(AE$3,Shipping!$A$1:$AU$1,0)),0)</f>
        <v>0</v>
      </c>
      <c r="AF13" s="112">
        <f>IFERROR(INDEX(Shipping!$A$1:$AO$8,MATCH($A13,Shipping!$A$1:$A$8,0),MATCH(AF$3,Shipping!$A$1:$AU$1,0)),0)</f>
        <v>0</v>
      </c>
      <c r="AG13" s="112">
        <f>IFERROR(INDEX(Shipping!$A$1:$AO$8,MATCH($A13,Shipping!$A$1:$A$8,0),MATCH(AG$3,Shipping!$A$1:$AU$1,0)),0)</f>
        <v>0</v>
      </c>
      <c r="AH13" s="112">
        <f>IFERROR(INDEX(Shipping!$A$1:$AO$8,MATCH($A13,Shipping!$A$1:$A$8,0),MATCH(AH$3,Shipping!$A$1:$AU$1,0)),0)</f>
        <v>0</v>
      </c>
      <c r="AI13" s="112">
        <f>IFERROR(INDEX(Shipping!$A$1:$AO$8,MATCH($A13,Shipping!$A$1:$A$8,0),MATCH(AI$3,Shipping!$A$1:$AU$1,0)),0)</f>
        <v>0</v>
      </c>
      <c r="AJ13" s="112">
        <f>IFERROR(INDEX(Shipping!$A$1:$AO$8,MATCH($A13,Shipping!$A$1:$A$8,0),MATCH(AJ$3,Shipping!$A$1:$AU$1,0)),0)</f>
        <v>0</v>
      </c>
      <c r="AK13" s="112">
        <f>IFERROR(INDEX(Shipping!$A$1:$AO$8,MATCH($A13,Shipping!$A$1:$A$8,0),MATCH(AK$3,Shipping!$A$1:$AU$1,0)),0)</f>
        <v>0</v>
      </c>
      <c r="AL13" s="112">
        <f>IFERROR(INDEX(Shipping!$A$1:$AO$8,MATCH($A13,Shipping!$A$1:$A$8,0),MATCH(AL$3,Shipping!$A$1:$AU$1,0)),0)</f>
        <v>0</v>
      </c>
      <c r="AM13" s="112">
        <f>IFERROR(INDEX(Shipping!$A$1:$AO$8,MATCH($A13,Shipping!$A$1:$A$8,0),MATCH(AM$3,Shipping!$A$1:$AU$1,0)),0)</f>
        <v>0</v>
      </c>
      <c r="AN13" s="112">
        <f>IFERROR(INDEX(Shipping!$A$1:$AO$8,MATCH($A13,Shipping!$A$1:$A$8,0),MATCH(AN$3,Shipping!$A$1:$AU$1,0)),0)</f>
        <v>0</v>
      </c>
      <c r="AO13" s="112">
        <f>IFERROR(INDEX(Shipping!$A$1:$AO$8,MATCH($A13,Shipping!$A$1:$A$8,0),MATCH(AO$3,Shipping!$A$1:$AU$1,0)),0)</f>
        <v>0</v>
      </c>
      <c r="AP13" s="112">
        <f>IFERROR(INDEX(Shipping!$A$1:$AO$8,MATCH($A13,Shipping!$A$1:$A$8,0),MATCH(AP$3,Shipping!$A$1:$AU$1,0)),0)</f>
        <v>0</v>
      </c>
      <c r="AQ13" s="112">
        <f>IFERROR(INDEX(Shipping!$A$1:$AO$8,MATCH($A13,Shipping!$A$1:$A$8,0),MATCH(AQ$3,Shipping!$A$1:$AU$1,0)),0)</f>
        <v>0</v>
      </c>
      <c r="AR13" s="112">
        <f>IFERROR(INDEX(Shipping!$A$1:$AO$8,MATCH($A13,Shipping!$A$1:$A$8,0),MATCH(AR$3,Shipping!$A$1:$AU$1,0)),0)</f>
        <v>0</v>
      </c>
      <c r="AS13" s="112">
        <f>IFERROR(INDEX(Shipping!$A$1:$AO$8,MATCH($A13,Shipping!$A$1:$A$8,0),MATCH(AS$3,Shipping!$A$1:$AU$1,0)),0)</f>
        <v>0</v>
      </c>
      <c r="AT13" s="112">
        <f>IFERROR(INDEX(Shipping!$A$1:$AO$8,MATCH($A13,Shipping!$A$1:$A$8,0),MATCH(AT$3,Shipping!$A$1:$AU$1,0)),0)</f>
        <v>0</v>
      </c>
      <c r="AU13" s="112">
        <f>IFERROR(INDEX(Shipping!$A$1:$AO$8,MATCH($A13,Shipping!$A$1:$A$8,0),MATCH(AU$3,Shipping!$A$1:$AU$1,0)),0)</f>
        <v>0</v>
      </c>
      <c r="AV13" s="46">
        <f>IFERROR(INDEX(Shipping!$A$1:$AO$8,MATCH($A13,Shipping!$A$1:$A$8,0),MATCH(AV$3,Shipping!$A$1:$AU$1,0)),0)</f>
        <v>0</v>
      </c>
      <c r="AW13" s="46">
        <f>IFERROR(INDEX(Shipping!$A$1:$AO$8,MATCH($A13,Shipping!$A$1:$A$8,0),MATCH(AW$3,Shipping!$A$1:$AU$1,0)),0)</f>
        <v>0</v>
      </c>
      <c r="AX13" s="46">
        <f>IFERROR(INDEX(Shipping!$A$1:$AO$8,MATCH($A13,Shipping!$A$1:$A$8,0),MATCH(AX$3,Shipping!$A$1:$AU$1,0)),0)</f>
        <v>0</v>
      </c>
    </row>
    <row r="14" spans="1:50">
      <c r="A14" s="111" t="s">
        <v>26</v>
      </c>
      <c r="B14" s="111" t="s">
        <v>11</v>
      </c>
      <c r="C14" s="111" t="s">
        <v>15</v>
      </c>
      <c r="D14" s="117" t="s">
        <v>62</v>
      </c>
      <c r="E14" s="112"/>
      <c r="F14" s="112"/>
      <c r="G14" s="112"/>
      <c r="H14" s="112"/>
      <c r="I14" s="112"/>
      <c r="J14" s="112"/>
      <c r="K14" s="112">
        <f>K12-SUM(F13:I13)</f>
        <v>0</v>
      </c>
      <c r="L14" s="119"/>
      <c r="M14" s="112">
        <f>K14+M12</f>
        <v>0</v>
      </c>
      <c r="N14" s="112"/>
      <c r="O14" s="112"/>
      <c r="P14" s="112">
        <f>M14+P12</f>
        <v>0</v>
      </c>
      <c r="Q14" s="112"/>
      <c r="R14" s="112">
        <f>P14+R12</f>
        <v>0</v>
      </c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46"/>
      <c r="AW14" s="46"/>
      <c r="AX14" s="46"/>
    </row>
    <row r="15" spans="1:50">
      <c r="A15" s="111" t="s">
        <v>26</v>
      </c>
      <c r="B15" s="111" t="s">
        <v>11</v>
      </c>
      <c r="C15" s="111" t="s">
        <v>15</v>
      </c>
      <c r="D15" s="117" t="s">
        <v>7</v>
      </c>
      <c r="E15" s="112">
        <f>VLOOKUP(B15,Receiving!$B$3:$E$7,4,FALSE)-VLOOKUP(A15,Shipping!$A$4:$D$8,4,FALSE)</f>
        <v>0</v>
      </c>
      <c r="F15" s="112"/>
      <c r="G15" s="112"/>
      <c r="H15" s="112"/>
      <c r="I15" s="120">
        <f>E15-K14</f>
        <v>0</v>
      </c>
      <c r="J15" s="120">
        <f>I15-M14</f>
        <v>0</v>
      </c>
      <c r="K15" s="118"/>
      <c r="L15" s="118"/>
      <c r="M15" s="113"/>
      <c r="N15" s="120">
        <f>J15-P14</f>
        <v>0</v>
      </c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0"/>
      <c r="AW15" s="110"/>
      <c r="AX15" s="110"/>
    </row>
    <row r="16" spans="1:50">
      <c r="A16" s="114" t="s">
        <v>27</v>
      </c>
      <c r="B16" s="114" t="s">
        <v>12</v>
      </c>
      <c r="C16" s="114" t="s">
        <v>16</v>
      </c>
      <c r="D16" s="114" t="s">
        <v>2</v>
      </c>
      <c r="E16" s="115"/>
      <c r="F16" s="115">
        <f>IFERROR(INDEX(Releases!$C$3:$BH$12,MATCH($A16,Releases!$C$3:$C$11,0),MATCH(F$3,Releases!$C$3:$BH$3,0)),0)</f>
        <v>0</v>
      </c>
      <c r="G16" s="115">
        <f>IFERROR(INDEX(Releases!$C$3:$BH$12,MATCH($A16,Releases!$C$3:$C$11,0),MATCH(G$3,Releases!$C$3:$BH$3,0)),0)</f>
        <v>0</v>
      </c>
      <c r="H16" s="115">
        <f>IFERROR(INDEX(Releases!$C$3:$BH$12,MATCH($A16,Releases!$C$3:$C$11,0),MATCH(H$3,Releases!$C$3:$BH$3,0)),0)</f>
        <v>0</v>
      </c>
      <c r="I16" s="115">
        <f>IFERROR(INDEX(Releases!$C$3:$BH$12,MATCH($A16,Releases!$C$3:$C$11,0),MATCH(I$3,Releases!$C$3:$BH$3,0)),0)</f>
        <v>0</v>
      </c>
      <c r="J16" s="115">
        <f>IFERROR(INDEX(Releases!$C$3:$BH$12,MATCH($A16,Releases!$C$3:$C$11,0),MATCH(J$3,Releases!$C$3:$BH$3,0)),0)</f>
        <v>0</v>
      </c>
      <c r="K16" s="115">
        <f>IFERROR(INDEX(Releases!$C$3:$BH$12,MATCH($A16,Releases!$C$3:$C$11,0),MATCH(K$3,Releases!$C$3:$BH$3,0)),0)</f>
        <v>0</v>
      </c>
      <c r="L16" s="115">
        <f>IFERROR(INDEX(Releases!$C$3:$BH$12,MATCH($A16,Releases!$C$3:$C$11,0),MATCH(L$3,Releases!$C$3:$BH$3,0)),0)</f>
        <v>0</v>
      </c>
      <c r="M16" s="115">
        <f>IFERROR(INDEX(Releases!$C$3:$BH$12,MATCH($A16,Releases!$C$3:$C$11,0),MATCH(M$3,Releases!$C$3:$BH$3,0)),0)</f>
        <v>0</v>
      </c>
      <c r="N16" s="115">
        <f>IFERROR(INDEX(Releases!$C$3:$BH$12,MATCH($A16,Releases!$C$3:$C$11,0),MATCH(N$3,Releases!$C$3:$BH$3,0)),0)</f>
        <v>0</v>
      </c>
      <c r="O16" s="115">
        <f>IFERROR(INDEX(Releases!$C$3:$BH$12,MATCH($A16,Releases!$C$3:$C$11,0),MATCH(O$3,Releases!$C$3:$BH$3,0)),0)</f>
        <v>0</v>
      </c>
      <c r="P16" s="115">
        <f>IFERROR(INDEX(Releases!$C$3:$BH$12,MATCH($A16,Releases!$C$3:$C$11,0),MATCH(P$3,Releases!$C$3:$BH$3,0)),0)</f>
        <v>0</v>
      </c>
      <c r="Q16" s="115">
        <f>IFERROR(INDEX(Releases!$C$3:$BH$12,MATCH($A16,Releases!$C$3:$C$11,0),MATCH(Q$3,Releases!$C$3:$BH$3,0)),0)</f>
        <v>0</v>
      </c>
      <c r="R16" s="115">
        <f>IFERROR(INDEX(Releases!$C$3:$BH$12,MATCH($A16,Releases!$C$3:$C$11,0),MATCH(R$3,Releases!$C$3:$BH$3,0)),0)</f>
        <v>0</v>
      </c>
      <c r="S16" s="115">
        <f>IFERROR(INDEX(Releases!$C$3:$BH$12,MATCH($A16,Releases!$C$3:$C$11,0),MATCH(S$3,Releases!$C$3:$BH$3,0)),0)</f>
        <v>0</v>
      </c>
      <c r="T16" s="115">
        <f>IFERROR(INDEX(Releases!$C$3:$BH$12,MATCH($A16,Releases!$C$3:$C$11,0),MATCH(T$3,Releases!$C$3:$BH$3,0)),0)</f>
        <v>0</v>
      </c>
      <c r="U16" s="115">
        <f>IFERROR(INDEX(Releases!$C$3:$BH$12,MATCH($A16,Releases!$C$3:$C$11,0),MATCH(U$3,Releases!$C$3:$BH$3,0)),0)</f>
        <v>0</v>
      </c>
      <c r="V16" s="115">
        <f>IFERROR(INDEX(Releases!$C$3:$BH$12,MATCH($A16,Releases!$C$3:$C$11,0),MATCH(V$3,Releases!$C$3:$BH$3,0)),0)</f>
        <v>0</v>
      </c>
      <c r="W16" s="115">
        <f>IFERROR(INDEX(Releases!$C$3:$BH$12,MATCH($A16,Releases!$C$3:$C$11,0),MATCH(W$3,Releases!$C$3:$BH$3,0)),0)</f>
        <v>0</v>
      </c>
      <c r="X16" s="115">
        <f>IFERROR(INDEX(Releases!$C$3:$BH$12,MATCH($A16,Releases!$C$3:$C$11,0),MATCH(X$3,Releases!$C$3:$BH$3,0)),0)</f>
        <v>0</v>
      </c>
      <c r="Y16" s="115">
        <f>IFERROR(INDEX(Releases!$C$3:$BH$12,MATCH($A16,Releases!$C$3:$C$11,0),MATCH(Y$3,Releases!$C$3:$BH$3,0)),0)</f>
        <v>0</v>
      </c>
      <c r="Z16" s="115">
        <f>IFERROR(INDEX(Releases!$C$3:$BH$12,MATCH($A16,Releases!$C$3:$C$11,0),MATCH(Z$3,Releases!$C$3:$BH$3,0)),0)</f>
        <v>0</v>
      </c>
      <c r="AA16" s="115">
        <f>IFERROR(INDEX(Releases!$C$3:$BH$12,MATCH($A16,Releases!$C$3:$C$11,0),MATCH(AA$3,Releases!$C$3:$BH$3,0)),0)</f>
        <v>0</v>
      </c>
      <c r="AB16" s="115">
        <f>IFERROR(INDEX(Releases!$C$3:$BH$12,MATCH($A16,Releases!$C$3:$C$11,0),MATCH(AB$3,Releases!$C$3:$BH$3,0)),0)</f>
        <v>0</v>
      </c>
      <c r="AC16" s="115">
        <f>IFERROR(INDEX(Releases!$C$3:$BH$12,MATCH($A16,Releases!$C$3:$C$11,0),MATCH(AC$3,Releases!$C$3:$BH$3,0)),0)</f>
        <v>0</v>
      </c>
      <c r="AD16" s="115">
        <f>IFERROR(INDEX(Releases!$C$3:$BH$12,MATCH($A16,Releases!$C$3:$C$11,0),MATCH(AD$3,Releases!$C$3:$BH$3,0)),0)</f>
        <v>0</v>
      </c>
      <c r="AE16" s="115">
        <f>IFERROR(INDEX(Releases!$C$3:$BH$12,MATCH($A16,Releases!$C$3:$C$11,0),MATCH(AE$3,Releases!$C$3:$BH$3,0)),0)</f>
        <v>0</v>
      </c>
      <c r="AF16" s="115">
        <f>IFERROR(INDEX(Releases!$C$3:$BH$12,MATCH($A16,Releases!$C$3:$C$11,0),MATCH(AF$3,Releases!$C$3:$BH$3,0)),0)</f>
        <v>0</v>
      </c>
      <c r="AG16" s="115">
        <f>IFERROR(INDEX(Releases!$C$3:$BH$12,MATCH($A16,Releases!$C$3:$C$11,0),MATCH(AG$3,Releases!$C$3:$BH$3,0)),0)</f>
        <v>0</v>
      </c>
      <c r="AH16" s="115">
        <f>IFERROR(INDEX(Releases!$C$3:$BH$12,MATCH($A16,Releases!$C$3:$C$11,0),MATCH(AH$3,Releases!$C$3:$BH$3,0)),0)</f>
        <v>0</v>
      </c>
      <c r="AI16" s="115">
        <f>IFERROR(INDEX(Releases!$C$3:$BH$12,MATCH($A16,Releases!$C$3:$C$11,0),MATCH(AI$3,Releases!$C$3:$BH$3,0)),0)</f>
        <v>0</v>
      </c>
      <c r="AJ16" s="115">
        <f>IFERROR(INDEX(Releases!$C$3:$BH$12,MATCH($A16,Releases!$C$3:$C$11,0),MATCH(AJ$3,Releases!$C$3:$BH$3,0)),0)</f>
        <v>0</v>
      </c>
      <c r="AK16" s="115">
        <f>IFERROR(INDEX(Releases!$C$3:$BH$12,MATCH($A16,Releases!$C$3:$C$11,0),MATCH(AK$3,Releases!$C$3:$BH$3,0)),0)</f>
        <v>0</v>
      </c>
      <c r="AL16" s="115">
        <f>IFERROR(INDEX(Releases!$C$3:$BH$12,MATCH($A16,Releases!$C$3:$C$11,0),MATCH(AL$3,Releases!$C$3:$BH$3,0)),0)</f>
        <v>0</v>
      </c>
      <c r="AM16" s="115">
        <f>IFERROR(INDEX(Releases!$C$3:$BH$12,MATCH($A16,Releases!$C$3:$C$11,0),MATCH(AM$3,Releases!$C$3:$BH$3,0)),0)</f>
        <v>0</v>
      </c>
      <c r="AN16" s="115">
        <f>IFERROR(INDEX(Releases!$C$3:$BH$12,MATCH($A16,Releases!$C$3:$C$11,0),MATCH(AN$3,Releases!$C$3:$BH$3,0)),0)</f>
        <v>0</v>
      </c>
      <c r="AO16" s="115">
        <f>IFERROR(INDEX(Releases!$C$3:$BH$12,MATCH($A16,Releases!$C$3:$C$11,0),MATCH(AO$3,Releases!$C$3:$BH$3,0)),0)</f>
        <v>0</v>
      </c>
      <c r="AP16" s="115">
        <f>IFERROR(INDEX(Releases!$C$3:$BH$12,MATCH($A16,Releases!$C$3:$C$11,0),MATCH(AP$3,Releases!$C$3:$BH$3,0)),0)</f>
        <v>0</v>
      </c>
      <c r="AQ16" s="115">
        <f>IFERROR(INDEX(Releases!$C$3:$BH$12,MATCH($A16,Releases!$C$3:$C$11,0),MATCH(AQ$3,Releases!$C$3:$BH$3,0)),0)</f>
        <v>0</v>
      </c>
      <c r="AR16" s="115">
        <f>IFERROR(INDEX(Releases!$C$3:$BH$12,MATCH($A16,Releases!$C$3:$C$11,0),MATCH(AR$3,Releases!$C$3:$BH$3,0)),0)</f>
        <v>0</v>
      </c>
      <c r="AS16" s="115">
        <f>IFERROR(INDEX(Releases!$C$3:$BH$12,MATCH($A16,Releases!$C$3:$C$11,0),MATCH(AS$3,Releases!$C$3:$BH$3,0)),0)</f>
        <v>0</v>
      </c>
      <c r="AT16" s="115">
        <f>IFERROR(INDEX(Releases!$C$3:$BH$12,MATCH($A16,Releases!$C$3:$C$11,0),MATCH(AT$3,Releases!$C$3:$BH$3,0)),0)</f>
        <v>0</v>
      </c>
      <c r="AU16" s="115">
        <f>IFERROR(INDEX(Releases!$C$3:$BH$12,MATCH($A16,Releases!$C$3:$C$11,0),MATCH(AU$3,Releases!$C$3:$BH$3,0)),0)</f>
        <v>0</v>
      </c>
      <c r="AV16">
        <f>IFERROR(INDEX(Releases!$C$3:$BH$12,MATCH($A16,Releases!$C$3:$C$11,0),MATCH(AV$3,Releases!$C$3:$BH$3,0)),0)</f>
        <v>0</v>
      </c>
      <c r="AW16">
        <f>IFERROR(INDEX(Releases!$C$3:$BH$12,MATCH($A16,Releases!$C$3:$C$11,0),MATCH(AW$3,Releases!$C$3:$BH$3,0)),0)</f>
        <v>0</v>
      </c>
      <c r="AX16">
        <f>IFERROR(INDEX(Releases!$C$3:$BH$12,MATCH($A16,Releases!$C$3:$C$11,0),MATCH(AX$3,Releases!$C$3:$BH$3,0)),0)</f>
        <v>0</v>
      </c>
    </row>
    <row r="17" spans="1:50">
      <c r="A17" s="114" t="s">
        <v>27</v>
      </c>
      <c r="B17" s="114" t="s">
        <v>12</v>
      </c>
      <c r="C17" s="114" t="s">
        <v>16</v>
      </c>
      <c r="D17" s="114" t="s">
        <v>3</v>
      </c>
      <c r="E17" s="115"/>
      <c r="F17" s="115">
        <f>IFERROR(INDEX(Shipping!$A$1:$AO$8,MATCH($A17,Shipping!$A$1:$A$8,0),MATCH(F$3,Shipping!$A$1:$AU$1,0)),0)</f>
        <v>0</v>
      </c>
      <c r="G17" s="115">
        <f>IFERROR(INDEX(Shipping!$A$1:$AO$8,MATCH($A17,Shipping!$A$1:$A$8,0),MATCH(G$3,Shipping!$A$1:$AU$1,0)),0)</f>
        <v>0</v>
      </c>
      <c r="H17" s="115">
        <f>IFERROR(INDEX(Shipping!$A$1:$AO$8,MATCH($A17,Shipping!$A$1:$A$8,0),MATCH(H$3,Shipping!$A$1:$AU$1,0)),0)</f>
        <v>0</v>
      </c>
      <c r="I17" s="115">
        <f>IFERROR(INDEX(Shipping!$A$1:$AO$8,MATCH($A17,Shipping!$A$1:$A$8,0),MATCH(I$3,Shipping!$A$1:$AU$1,0)),0)</f>
        <v>0</v>
      </c>
      <c r="J17" s="115">
        <f>IFERROR(INDEX(Shipping!$A$1:$AO$8,MATCH($A17,Shipping!$A$1:$A$8,0),MATCH(J$3,Shipping!$A$1:$AU$1,0)),0)</f>
        <v>0</v>
      </c>
      <c r="K17" s="115">
        <f>IFERROR(INDEX(Shipping!$A$1:$AO$8,MATCH($A17,Shipping!$A$1:$A$8,0),MATCH(K$3,Shipping!$A$1:$AU$1,0)),0)</f>
        <v>0</v>
      </c>
      <c r="L17" s="115">
        <f>IFERROR(INDEX(Shipping!$A$1:$AO$8,MATCH($A17,Shipping!$A$1:$A$8,0),MATCH(L$3,Shipping!$A$1:$AU$1,0)),0)</f>
        <v>0</v>
      </c>
      <c r="M17" s="115">
        <f>IFERROR(INDEX(Shipping!$A$1:$AO$8,MATCH($A17,Shipping!$A$1:$A$8,0),MATCH(M$3,Shipping!$A$1:$AU$1,0)),0)</f>
        <v>0</v>
      </c>
      <c r="N17" s="115">
        <f>IFERROR(INDEX(Shipping!$A$1:$AO$8,MATCH($A17,Shipping!$A$1:$A$8,0),MATCH(N$3,Shipping!$A$1:$AU$1,0)),0)</f>
        <v>0</v>
      </c>
      <c r="O17" s="115">
        <f>IFERROR(INDEX(Shipping!$A$1:$AO$8,MATCH($A17,Shipping!$A$1:$A$8,0),MATCH(O$3,Shipping!$A$1:$AU$1,0)),0)</f>
        <v>0</v>
      </c>
      <c r="P17" s="115">
        <f>IFERROR(INDEX(Shipping!$A$1:$AO$8,MATCH($A17,Shipping!$A$1:$A$8,0),MATCH(P$3,Shipping!$A$1:$AU$1,0)),0)</f>
        <v>0</v>
      </c>
      <c r="Q17" s="115">
        <f>IFERROR(INDEX(Shipping!$A$1:$AO$8,MATCH($A17,Shipping!$A$1:$A$8,0),MATCH(Q$3,Shipping!$A$1:$AU$1,0)),0)</f>
        <v>0</v>
      </c>
      <c r="R17" s="115">
        <f>IFERROR(INDEX(Shipping!$A$1:$AO$8,MATCH($A17,Shipping!$A$1:$A$8,0),MATCH(R$3,Shipping!$A$1:$AU$1,0)),0)</f>
        <v>0</v>
      </c>
      <c r="S17" s="115">
        <f>IFERROR(INDEX(Shipping!$A$1:$AO$8,MATCH($A17,Shipping!$A$1:$A$8,0),MATCH(S$3,Shipping!$A$1:$AU$1,0)),0)</f>
        <v>0</v>
      </c>
      <c r="T17" s="115">
        <f>IFERROR(INDEX(Shipping!$A$1:$AO$8,MATCH($A17,Shipping!$A$1:$A$8,0),MATCH(T$3,Shipping!$A$1:$AU$1,0)),0)</f>
        <v>0</v>
      </c>
      <c r="U17" s="115">
        <f>IFERROR(INDEX(Shipping!$A$1:$AO$8,MATCH($A17,Shipping!$A$1:$A$8,0),MATCH(U$3,Shipping!$A$1:$AU$1,0)),0)</f>
        <v>0</v>
      </c>
      <c r="V17" s="115">
        <f>IFERROR(INDEX(Shipping!$A$1:$AO$8,MATCH($A17,Shipping!$A$1:$A$8,0),MATCH(V$3,Shipping!$A$1:$AU$1,0)),0)</f>
        <v>0</v>
      </c>
      <c r="W17" s="115">
        <f>IFERROR(INDEX(Shipping!$A$1:$AO$8,MATCH($A17,Shipping!$A$1:$A$8,0),MATCH(W$3,Shipping!$A$1:$AU$1,0)),0)</f>
        <v>0</v>
      </c>
      <c r="X17" s="115">
        <f>IFERROR(INDEX(Shipping!$A$1:$AO$8,MATCH($A17,Shipping!$A$1:$A$8,0),MATCH(X$3,Shipping!$A$1:$AU$1,0)),0)</f>
        <v>0</v>
      </c>
      <c r="Y17" s="115">
        <f>IFERROR(INDEX(Shipping!$A$1:$AO$8,MATCH($A17,Shipping!$A$1:$A$8,0),MATCH(Y$3,Shipping!$A$1:$AU$1,0)),0)</f>
        <v>0</v>
      </c>
      <c r="Z17" s="115">
        <f>IFERROR(INDEX(Shipping!$A$1:$AO$8,MATCH($A17,Shipping!$A$1:$A$8,0),MATCH(Z$3,Shipping!$A$1:$AU$1,0)),0)</f>
        <v>0</v>
      </c>
      <c r="AA17" s="115">
        <f>IFERROR(INDEX(Shipping!$A$1:$AO$8,MATCH($A17,Shipping!$A$1:$A$8,0),MATCH(AA$3,Shipping!$A$1:$AU$1,0)),0)</f>
        <v>0</v>
      </c>
      <c r="AB17" s="115">
        <f>IFERROR(INDEX(Shipping!$A$1:$AO$8,MATCH($A17,Shipping!$A$1:$A$8,0),MATCH(AB$3,Shipping!$A$1:$AU$1,0)),0)</f>
        <v>0</v>
      </c>
      <c r="AC17" s="115">
        <f>IFERROR(INDEX(Shipping!$A$1:$AO$8,MATCH($A17,Shipping!$A$1:$A$8,0),MATCH(AC$3,Shipping!$A$1:$AU$1,0)),0)</f>
        <v>0</v>
      </c>
      <c r="AD17" s="115">
        <f>IFERROR(INDEX(Shipping!$A$1:$AO$8,MATCH($A17,Shipping!$A$1:$A$8,0),MATCH(AD$3,Shipping!$A$1:$AU$1,0)),0)</f>
        <v>0</v>
      </c>
      <c r="AE17" s="115">
        <f>IFERROR(INDEX(Shipping!$A$1:$AO$8,MATCH($A17,Shipping!$A$1:$A$8,0),MATCH(AE$3,Shipping!$A$1:$AU$1,0)),0)</f>
        <v>0</v>
      </c>
      <c r="AF17" s="115">
        <f>IFERROR(INDEX(Shipping!$A$1:$AO$8,MATCH($A17,Shipping!$A$1:$A$8,0),MATCH(AF$3,Shipping!$A$1:$AU$1,0)),0)</f>
        <v>0</v>
      </c>
      <c r="AG17" s="115">
        <f>IFERROR(INDEX(Shipping!$A$1:$AO$8,MATCH($A17,Shipping!$A$1:$A$8,0),MATCH(AG$3,Shipping!$A$1:$AU$1,0)),0)</f>
        <v>0</v>
      </c>
      <c r="AH17" s="115">
        <f>IFERROR(INDEX(Shipping!$A$1:$AO$8,MATCH($A17,Shipping!$A$1:$A$8,0),MATCH(AH$3,Shipping!$A$1:$AU$1,0)),0)</f>
        <v>0</v>
      </c>
      <c r="AI17" s="115">
        <f>IFERROR(INDEX(Shipping!$A$1:$AO$8,MATCH($A17,Shipping!$A$1:$A$8,0),MATCH(AI$3,Shipping!$A$1:$AU$1,0)),0)</f>
        <v>0</v>
      </c>
      <c r="AJ17" s="115">
        <f>IFERROR(INDEX(Shipping!$A$1:$AO$8,MATCH($A17,Shipping!$A$1:$A$8,0),MATCH(AJ$3,Shipping!$A$1:$AU$1,0)),0)</f>
        <v>0</v>
      </c>
      <c r="AK17" s="115">
        <f>IFERROR(INDEX(Shipping!$A$1:$AO$8,MATCH($A17,Shipping!$A$1:$A$8,0),MATCH(AK$3,Shipping!$A$1:$AU$1,0)),0)</f>
        <v>0</v>
      </c>
      <c r="AL17" s="115">
        <f>IFERROR(INDEX(Shipping!$A$1:$AO$8,MATCH($A17,Shipping!$A$1:$A$8,0),MATCH(AL$3,Shipping!$A$1:$AU$1,0)),0)</f>
        <v>0</v>
      </c>
      <c r="AM17" s="115">
        <f>IFERROR(INDEX(Shipping!$A$1:$AO$8,MATCH($A17,Shipping!$A$1:$A$8,0),MATCH(AM$3,Shipping!$A$1:$AU$1,0)),0)</f>
        <v>0</v>
      </c>
      <c r="AN17" s="115">
        <f>IFERROR(INDEX(Shipping!$A$1:$AO$8,MATCH($A17,Shipping!$A$1:$A$8,0),MATCH(AN$3,Shipping!$A$1:$AU$1,0)),0)</f>
        <v>0</v>
      </c>
      <c r="AO17" s="115">
        <f>IFERROR(INDEX(Shipping!$A$1:$AO$8,MATCH($A17,Shipping!$A$1:$A$8,0),MATCH(AO$3,Shipping!$A$1:$AU$1,0)),0)</f>
        <v>0</v>
      </c>
      <c r="AP17" s="115">
        <f>IFERROR(INDEX(Shipping!$A$1:$AO$8,MATCH($A17,Shipping!$A$1:$A$8,0),MATCH(AP$3,Shipping!$A$1:$AU$1,0)),0)</f>
        <v>0</v>
      </c>
      <c r="AQ17" s="115">
        <f>IFERROR(INDEX(Shipping!$A$1:$AO$8,MATCH($A17,Shipping!$A$1:$A$8,0),MATCH(AQ$3,Shipping!$A$1:$AU$1,0)),0)</f>
        <v>0</v>
      </c>
      <c r="AR17" s="115">
        <f>IFERROR(INDEX(Shipping!$A$1:$AO$8,MATCH($A17,Shipping!$A$1:$A$8,0),MATCH(AR$3,Shipping!$A$1:$AU$1,0)),0)</f>
        <v>0</v>
      </c>
      <c r="AS17" s="115">
        <f>IFERROR(INDEX(Shipping!$A$1:$AO$8,MATCH($A17,Shipping!$A$1:$A$8,0),MATCH(AS$3,Shipping!$A$1:$AU$1,0)),0)</f>
        <v>0</v>
      </c>
      <c r="AT17" s="115">
        <f>IFERROR(INDEX(Shipping!$A$1:$AO$8,MATCH($A17,Shipping!$A$1:$A$8,0),MATCH(AT$3,Shipping!$A$1:$AU$1,0)),0)</f>
        <v>0</v>
      </c>
      <c r="AU17" s="115">
        <f>IFERROR(INDEX(Shipping!$A$1:$AO$8,MATCH($A17,Shipping!$A$1:$A$8,0),MATCH(AU$3,Shipping!$A$1:$AU$1,0)),0)</f>
        <v>0</v>
      </c>
      <c r="AV17">
        <f>IFERROR(INDEX(Shipping!$A$1:$AO$8,MATCH($A17,Shipping!$A$1:$A$8,0),MATCH(AV$3,Shipping!$A$1:$AU$1,0)),0)</f>
        <v>0</v>
      </c>
      <c r="AW17">
        <f>IFERROR(INDEX(Shipping!$A$1:$AO$8,MATCH($A17,Shipping!$A$1:$A$8,0),MATCH(AW$3,Shipping!$A$1:$AU$1,0)),0)</f>
        <v>0</v>
      </c>
      <c r="AX17">
        <f>IFERROR(INDEX(Shipping!$A$1:$AO$8,MATCH($A17,Shipping!$A$1:$A$8,0),MATCH(AX$3,Shipping!$A$1:$AU$1,0)),0)</f>
        <v>0</v>
      </c>
    </row>
    <row r="18" spans="1:50">
      <c r="A18" s="114" t="s">
        <v>27</v>
      </c>
      <c r="B18" s="114" t="s">
        <v>12</v>
      </c>
      <c r="C18" s="114" t="s">
        <v>16</v>
      </c>
      <c r="D18" s="114" t="s">
        <v>62</v>
      </c>
      <c r="E18" s="115"/>
      <c r="F18" s="116"/>
      <c r="G18" s="116"/>
      <c r="H18" s="116"/>
      <c r="I18" s="116"/>
      <c r="J18" s="116"/>
      <c r="K18" s="116">
        <f>K16-SUM(F17:I17)</f>
        <v>0</v>
      </c>
      <c r="L18" s="116"/>
      <c r="M18" s="116">
        <f>K18+M16</f>
        <v>0</v>
      </c>
      <c r="N18" s="116"/>
      <c r="O18" s="116"/>
      <c r="P18" s="116">
        <f>M18+P16</f>
        <v>0</v>
      </c>
      <c r="Q18" s="116"/>
      <c r="R18" s="116">
        <f>P18+R16</f>
        <v>0</v>
      </c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07"/>
      <c r="AW18" s="107"/>
      <c r="AX18" s="107"/>
    </row>
    <row r="19" spans="1:50">
      <c r="A19" s="114" t="s">
        <v>27</v>
      </c>
      <c r="B19" s="114" t="s">
        <v>12</v>
      </c>
      <c r="C19" s="114" t="s">
        <v>16</v>
      </c>
      <c r="D19" s="114" t="s">
        <v>7</v>
      </c>
      <c r="E19" s="115">
        <f>VLOOKUP(B19,Receiving!$B$3:$E$7,4,FALSE)-VLOOKUP(A19,Shipping!$A$4:$D$8,4,FALSE)</f>
        <v>0</v>
      </c>
      <c r="F19" s="115"/>
      <c r="G19" s="115"/>
      <c r="H19" s="115"/>
      <c r="I19" s="115">
        <f>E19-K18</f>
        <v>0</v>
      </c>
      <c r="J19" s="121">
        <f>I19-M18</f>
        <v>0</v>
      </c>
      <c r="K19" s="121"/>
      <c r="L19" s="121"/>
      <c r="M19" s="121"/>
      <c r="N19" s="121">
        <f>J19-P18</f>
        <v>0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</row>
  </sheetData>
  <autoFilter ref="A3:AX19" xr:uid="{CEDC70C6-DA89-44EE-AD24-66B2E9519CB8}"/>
  <conditionalFormatting sqref="E4:AX4">
    <cfRule type="cellIs" dxfId="13" priority="42" operator="equal">
      <formula>0</formula>
    </cfRule>
  </conditionalFormatting>
  <conditionalFormatting sqref="E8:AX8">
    <cfRule type="cellIs" dxfId="12" priority="7" operator="equal">
      <formula>0</formula>
    </cfRule>
  </conditionalFormatting>
  <conditionalFormatting sqref="E12:AX12">
    <cfRule type="cellIs" dxfId="11" priority="10" operator="equal">
      <formula>0</formula>
    </cfRule>
  </conditionalFormatting>
  <conditionalFormatting sqref="E16:AX16">
    <cfRule type="cellIs" dxfId="10" priority="4" operator="equal">
      <formula>0</formula>
    </cfRule>
  </conditionalFormatting>
  <conditionalFormatting sqref="F9:AX9">
    <cfRule type="cellIs" dxfId="9" priority="5" operator="equal">
      <formula>0</formula>
    </cfRule>
  </conditionalFormatting>
  <conditionalFormatting sqref="F11:AX11">
    <cfRule type="cellIs" dxfId="8" priority="6" operator="equal">
      <formula>0</formula>
    </cfRule>
  </conditionalFormatting>
  <conditionalFormatting sqref="F17:AX17">
    <cfRule type="cellIs" dxfId="7" priority="2" operator="equal">
      <formula>0</formula>
    </cfRule>
  </conditionalFormatting>
  <conditionalFormatting sqref="F19:AX19">
    <cfRule type="cellIs" dxfId="6" priority="1" operator="equal">
      <formula>0</formula>
    </cfRule>
  </conditionalFormatting>
  <conditionalFormatting sqref="L7:M7 O7:AX7">
    <cfRule type="cellIs" dxfId="5" priority="40" operator="equal">
      <formula>0</formula>
    </cfRule>
  </conditionalFormatting>
  <conditionalFormatting sqref="L15:M15 O15:AX15">
    <cfRule type="cellIs" dxfId="4" priority="9" operator="equal">
      <formula>0</formula>
    </cfRule>
  </conditionalFormatting>
  <conditionalFormatting sqref="L5:AX6">
    <cfRule type="cellIs" dxfId="3" priority="39" operator="equal">
      <formula>0</formula>
    </cfRule>
  </conditionalFormatting>
  <conditionalFormatting sqref="L13:AX14">
    <cfRule type="cellIs" dxfId="2" priority="8" operator="equal">
      <formula>0</formula>
    </cfRule>
  </conditionalFormatting>
  <pageMargins left="0.7" right="0.7" top="0.75" bottom="0.75" header="0.3" footer="0.3"/>
  <pageSetup orientation="portrait" r:id="rId1"/>
  <headerFooter>
    <oddFooter>&amp;L8.2.2.4.22 KB Components Tracker - Template&amp;RCreated:01/16/26TS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D5C3-9825-4EBB-839E-147C31A1AF03}">
  <sheetPr>
    <pageSetUpPr fitToPage="1"/>
  </sheetPr>
  <dimension ref="A1:P6"/>
  <sheetViews>
    <sheetView zoomScale="80" zoomScaleNormal="80" zoomScaleSheetLayoutView="55" workbookViewId="0">
      <pane xSplit="1" topLeftCell="B1" activePane="topRight" state="frozen"/>
      <selection activeCell="F12" sqref="F12"/>
      <selection pane="topRight" activeCell="C13" sqref="C13"/>
    </sheetView>
  </sheetViews>
  <sheetFormatPr defaultColWidth="9.140625" defaultRowHeight="34.5"/>
  <cols>
    <col min="1" max="1" width="23.5703125" style="14" customWidth="1"/>
    <col min="2" max="2" width="23.140625" style="14" customWidth="1"/>
    <col min="3" max="3" width="47.140625" style="15" customWidth="1"/>
    <col min="4" max="4" width="36.42578125" style="14" bestFit="1" customWidth="1"/>
    <col min="5" max="5" width="69.7109375" style="13" customWidth="1"/>
    <col min="6" max="16384" width="9.140625" style="10"/>
  </cols>
  <sheetData>
    <row r="1" spans="1:16" ht="42" thickBot="1">
      <c r="A1" s="8"/>
      <c r="B1" s="8"/>
      <c r="C1" s="9"/>
      <c r="D1" s="8"/>
      <c r="E1" s="8"/>
    </row>
    <row r="2" spans="1:16" s="18" customFormat="1" ht="19.5" thickBot="1">
      <c r="A2" s="16" t="s">
        <v>4</v>
      </c>
      <c r="B2" s="17" t="s">
        <v>5</v>
      </c>
      <c r="C2" s="17" t="s">
        <v>1</v>
      </c>
      <c r="D2" s="17" t="s">
        <v>0</v>
      </c>
      <c r="E2" s="17" t="s">
        <v>8</v>
      </c>
    </row>
    <row r="3" spans="1:16" s="21" customFormat="1" ht="59.25" customHeight="1">
      <c r="A3" s="11" t="s">
        <v>9</v>
      </c>
      <c r="B3" s="11" t="s">
        <v>9</v>
      </c>
      <c r="C3" s="19" t="s">
        <v>13</v>
      </c>
      <c r="D3" s="19" t="s">
        <v>13</v>
      </c>
      <c r="E3" s="20"/>
    </row>
    <row r="4" spans="1:16" s="21" customFormat="1" ht="59.25" customHeight="1">
      <c r="A4" s="12" t="s">
        <v>10</v>
      </c>
      <c r="B4" s="12" t="s">
        <v>10</v>
      </c>
      <c r="C4" s="22" t="s">
        <v>14</v>
      </c>
      <c r="D4" s="22" t="s">
        <v>14</v>
      </c>
      <c r="E4" s="23"/>
    </row>
    <row r="5" spans="1:16" s="24" customFormat="1" ht="59.25" customHeight="1">
      <c r="A5" s="12" t="s">
        <v>11</v>
      </c>
      <c r="B5" s="12" t="s">
        <v>11</v>
      </c>
      <c r="C5" s="22" t="s">
        <v>15</v>
      </c>
      <c r="D5" s="22" t="s">
        <v>15</v>
      </c>
      <c r="E5" s="23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s="24" customFormat="1" ht="59.25" customHeight="1">
      <c r="A6" s="12" t="s">
        <v>12</v>
      </c>
      <c r="B6" s="12" t="s">
        <v>12</v>
      </c>
      <c r="C6" s="22" t="s">
        <v>16</v>
      </c>
      <c r="D6" s="22" t="s">
        <v>16</v>
      </c>
      <c r="E6" s="23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</sheetData>
  <pageMargins left="0" right="0" top="0" bottom="0" header="0" footer="0"/>
  <pageSetup paperSize="3" fitToHeight="0" orientation="landscape" blackAndWhite="1" r:id="rId1"/>
  <headerFooter>
    <oddFooter>&amp;L8.2.2.4.22 KB Components Tracker - Template&amp;RCreated:01/16/26TS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650E-1F1C-4C54-BC04-BB304636457A}">
  <dimension ref="A1:BH34"/>
  <sheetViews>
    <sheetView zoomScaleNormal="100" workbookViewId="0">
      <selection activeCell="C32" sqref="C32"/>
    </sheetView>
  </sheetViews>
  <sheetFormatPr defaultRowHeight="15"/>
  <cols>
    <col min="2" max="2" width="34" customWidth="1"/>
    <col min="4" max="4" width="10" bestFit="1" customWidth="1"/>
    <col min="5" max="7" width="7.7109375" bestFit="1" customWidth="1"/>
    <col min="8" max="8" width="6" bestFit="1" customWidth="1"/>
    <col min="9" max="11" width="7.140625" bestFit="1" customWidth="1"/>
    <col min="12" max="14" width="7.42578125" bestFit="1" customWidth="1"/>
    <col min="15" max="15" width="7.140625" bestFit="1" customWidth="1"/>
    <col min="16" max="16" width="7.42578125" bestFit="1" customWidth="1"/>
    <col min="17" max="18" width="6.5703125" bestFit="1" customWidth="1"/>
    <col min="19" max="21" width="7.5703125" bestFit="1" customWidth="1"/>
    <col min="22" max="22" width="6.42578125" bestFit="1" customWidth="1"/>
    <col min="23" max="25" width="7.28515625" bestFit="1" customWidth="1"/>
    <col min="26" max="26" width="6.5703125" bestFit="1" customWidth="1"/>
    <col min="27" max="29" width="7.7109375" bestFit="1" customWidth="1"/>
    <col min="30" max="31" width="6.42578125" bestFit="1" customWidth="1"/>
    <col min="32" max="34" width="7.140625" bestFit="1" customWidth="1"/>
    <col min="35" max="35" width="5.5703125" bestFit="1" customWidth="1"/>
    <col min="36" max="39" width="6.42578125" bestFit="1" customWidth="1"/>
    <col min="40" max="43" width="7.28515625" bestFit="1" customWidth="1"/>
    <col min="44" max="44" width="6.42578125" bestFit="1" customWidth="1"/>
    <col min="45" max="47" width="7.28515625" bestFit="1" customWidth="1"/>
    <col min="48" max="48" width="6.28515625" bestFit="1" customWidth="1"/>
    <col min="49" max="51" width="7.140625" bestFit="1" customWidth="1"/>
    <col min="52" max="53" width="6.42578125" bestFit="1" customWidth="1"/>
    <col min="54" max="56" width="7.42578125" bestFit="1" customWidth="1"/>
    <col min="57" max="57" width="6.42578125" bestFit="1" customWidth="1"/>
    <col min="58" max="60" width="7.5703125" bestFit="1" customWidth="1"/>
  </cols>
  <sheetData>
    <row r="1" spans="1:60" ht="21.75" thickBot="1">
      <c r="B1" s="48"/>
      <c r="C1" s="49" t="s">
        <v>30</v>
      </c>
      <c r="D1" s="50">
        <v>45978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60" ht="15.75" thickBot="1">
      <c r="B2" s="52"/>
      <c r="C2" s="53"/>
      <c r="D2" s="54" t="s">
        <v>31</v>
      </c>
      <c r="E2" s="55" t="s">
        <v>32</v>
      </c>
      <c r="F2" s="55" t="s">
        <v>32</v>
      </c>
      <c r="G2" s="55" t="s">
        <v>32</v>
      </c>
      <c r="H2" s="55" t="s">
        <v>32</v>
      </c>
      <c r="I2" s="55" t="s">
        <v>32</v>
      </c>
      <c r="J2" s="55" t="s">
        <v>32</v>
      </c>
      <c r="K2" s="55" t="s">
        <v>32</v>
      </c>
      <c r="L2" s="55" t="s">
        <v>32</v>
      </c>
      <c r="M2" s="55" t="s">
        <v>32</v>
      </c>
      <c r="N2" s="55" t="s">
        <v>32</v>
      </c>
      <c r="O2" s="55" t="s">
        <v>32</v>
      </c>
      <c r="P2" s="55" t="s">
        <v>32</v>
      </c>
      <c r="Q2" s="55" t="s">
        <v>32</v>
      </c>
      <c r="R2" s="55" t="s">
        <v>32</v>
      </c>
      <c r="S2" s="55" t="s">
        <v>32</v>
      </c>
      <c r="T2" s="55" t="s">
        <v>32</v>
      </c>
      <c r="U2" s="55" t="s">
        <v>32</v>
      </c>
      <c r="V2" s="55" t="s">
        <v>32</v>
      </c>
      <c r="W2" s="55" t="s">
        <v>32</v>
      </c>
      <c r="X2" s="55" t="s">
        <v>32</v>
      </c>
      <c r="Y2" s="55" t="s">
        <v>32</v>
      </c>
      <c r="Z2" s="55" t="s">
        <v>32</v>
      </c>
      <c r="AA2" s="55" t="s">
        <v>32</v>
      </c>
      <c r="AB2" s="55" t="s">
        <v>32</v>
      </c>
      <c r="AC2" s="55" t="s">
        <v>32</v>
      </c>
      <c r="AD2" s="55" t="s">
        <v>32</v>
      </c>
      <c r="AE2" s="55" t="s">
        <v>32</v>
      </c>
      <c r="AF2" s="55" t="s">
        <v>32</v>
      </c>
      <c r="AG2" s="55" t="s">
        <v>32</v>
      </c>
      <c r="AH2" s="55" t="s">
        <v>32</v>
      </c>
      <c r="AI2" s="55" t="s">
        <v>32</v>
      </c>
      <c r="AJ2" s="55" t="s">
        <v>32</v>
      </c>
      <c r="AK2" s="55" t="s">
        <v>32</v>
      </c>
      <c r="AL2" s="55" t="s">
        <v>32</v>
      </c>
      <c r="AM2" s="55" t="s">
        <v>32</v>
      </c>
      <c r="AN2" s="55" t="s">
        <v>32</v>
      </c>
      <c r="AO2" s="55" t="s">
        <v>32</v>
      </c>
      <c r="AP2" s="55" t="s">
        <v>32</v>
      </c>
      <c r="AQ2" s="55" t="s">
        <v>32</v>
      </c>
      <c r="AR2" s="55" t="s">
        <v>32</v>
      </c>
      <c r="AS2" s="55" t="s">
        <v>32</v>
      </c>
      <c r="AT2" s="55" t="s">
        <v>32</v>
      </c>
      <c r="AU2" s="55" t="s">
        <v>32</v>
      </c>
      <c r="AV2" s="55" t="s">
        <v>32</v>
      </c>
      <c r="AW2" s="55" t="s">
        <v>32</v>
      </c>
      <c r="AX2" s="55" t="s">
        <v>32</v>
      </c>
      <c r="AY2" s="55" t="s">
        <v>32</v>
      </c>
      <c r="AZ2" s="55" t="s">
        <v>32</v>
      </c>
      <c r="BA2" s="55" t="s">
        <v>32</v>
      </c>
      <c r="BB2" s="55" t="s">
        <v>32</v>
      </c>
      <c r="BC2" s="55" t="s">
        <v>32</v>
      </c>
      <c r="BD2" s="55" t="s">
        <v>32</v>
      </c>
      <c r="BE2" s="55" t="s">
        <v>32</v>
      </c>
      <c r="BF2" s="55" t="s">
        <v>32</v>
      </c>
      <c r="BG2" s="55" t="s">
        <v>32</v>
      </c>
      <c r="BH2" s="55" t="s">
        <v>32</v>
      </c>
    </row>
    <row r="3" spans="1:60" s="2" customFormat="1" ht="13.5">
      <c r="B3" s="93"/>
      <c r="C3" s="94"/>
      <c r="D3" s="95"/>
      <c r="E3" s="95">
        <v>46006</v>
      </c>
      <c r="F3" s="95">
        <f>E3+7</f>
        <v>46013</v>
      </c>
      <c r="G3" s="95">
        <f t="shared" ref="G3:BH3" si="0">F3+7</f>
        <v>46020</v>
      </c>
      <c r="H3" s="95">
        <f t="shared" si="0"/>
        <v>46027</v>
      </c>
      <c r="I3" s="95">
        <f t="shared" si="0"/>
        <v>46034</v>
      </c>
      <c r="J3" s="95">
        <f t="shared" si="0"/>
        <v>46041</v>
      </c>
      <c r="K3" s="95">
        <f t="shared" si="0"/>
        <v>46048</v>
      </c>
      <c r="L3" s="95">
        <f t="shared" si="0"/>
        <v>46055</v>
      </c>
      <c r="M3" s="95">
        <f t="shared" si="0"/>
        <v>46062</v>
      </c>
      <c r="N3" s="95">
        <f t="shared" si="0"/>
        <v>46069</v>
      </c>
      <c r="O3" s="95">
        <f t="shared" si="0"/>
        <v>46076</v>
      </c>
      <c r="P3" s="95">
        <f t="shared" si="0"/>
        <v>46083</v>
      </c>
      <c r="Q3" s="95">
        <f t="shared" si="0"/>
        <v>46090</v>
      </c>
      <c r="R3" s="95">
        <f t="shared" si="0"/>
        <v>46097</v>
      </c>
      <c r="S3" s="95">
        <f t="shared" si="0"/>
        <v>46104</v>
      </c>
      <c r="T3" s="95">
        <f t="shared" si="0"/>
        <v>46111</v>
      </c>
      <c r="U3" s="95">
        <f t="shared" si="0"/>
        <v>46118</v>
      </c>
      <c r="V3" s="95">
        <f t="shared" si="0"/>
        <v>46125</v>
      </c>
      <c r="W3" s="95">
        <f t="shared" si="0"/>
        <v>46132</v>
      </c>
      <c r="X3" s="95">
        <f t="shared" si="0"/>
        <v>46139</v>
      </c>
      <c r="Y3" s="95">
        <f t="shared" si="0"/>
        <v>46146</v>
      </c>
      <c r="Z3" s="95">
        <f t="shared" si="0"/>
        <v>46153</v>
      </c>
      <c r="AA3" s="95">
        <f t="shared" si="0"/>
        <v>46160</v>
      </c>
      <c r="AB3" s="95">
        <f t="shared" si="0"/>
        <v>46167</v>
      </c>
      <c r="AC3" s="95">
        <f t="shared" si="0"/>
        <v>46174</v>
      </c>
      <c r="AD3" s="95">
        <f t="shared" si="0"/>
        <v>46181</v>
      </c>
      <c r="AE3" s="95">
        <f t="shared" si="0"/>
        <v>46188</v>
      </c>
      <c r="AF3" s="95">
        <f t="shared" si="0"/>
        <v>46195</v>
      </c>
      <c r="AG3" s="95">
        <f t="shared" si="0"/>
        <v>46202</v>
      </c>
      <c r="AH3" s="95">
        <f t="shared" si="0"/>
        <v>46209</v>
      </c>
      <c r="AI3" s="95">
        <f t="shared" si="0"/>
        <v>46216</v>
      </c>
      <c r="AJ3" s="95">
        <f t="shared" si="0"/>
        <v>46223</v>
      </c>
      <c r="AK3" s="95">
        <f t="shared" si="0"/>
        <v>46230</v>
      </c>
      <c r="AL3" s="95">
        <f t="shared" si="0"/>
        <v>46237</v>
      </c>
      <c r="AM3" s="95">
        <f t="shared" si="0"/>
        <v>46244</v>
      </c>
      <c r="AN3" s="95">
        <f t="shared" si="0"/>
        <v>46251</v>
      </c>
      <c r="AO3" s="95">
        <f t="shared" si="0"/>
        <v>46258</v>
      </c>
      <c r="AP3" s="95">
        <f t="shared" si="0"/>
        <v>46265</v>
      </c>
      <c r="AQ3" s="95">
        <f t="shared" si="0"/>
        <v>46272</v>
      </c>
      <c r="AR3" s="95">
        <f t="shared" si="0"/>
        <v>46279</v>
      </c>
      <c r="AS3" s="95">
        <f t="shared" si="0"/>
        <v>46286</v>
      </c>
      <c r="AT3" s="95">
        <f t="shared" si="0"/>
        <v>46293</v>
      </c>
      <c r="AU3" s="95">
        <f t="shared" si="0"/>
        <v>46300</v>
      </c>
      <c r="AV3" s="95">
        <f t="shared" si="0"/>
        <v>46307</v>
      </c>
      <c r="AW3" s="95">
        <f t="shared" si="0"/>
        <v>46314</v>
      </c>
      <c r="AX3" s="95">
        <f t="shared" si="0"/>
        <v>46321</v>
      </c>
      <c r="AY3" s="95">
        <f t="shared" si="0"/>
        <v>46328</v>
      </c>
      <c r="AZ3" s="95">
        <f t="shared" si="0"/>
        <v>46335</v>
      </c>
      <c r="BA3" s="95">
        <f t="shared" si="0"/>
        <v>46342</v>
      </c>
      <c r="BB3" s="95">
        <f t="shared" si="0"/>
        <v>46349</v>
      </c>
      <c r="BC3" s="95">
        <f t="shared" si="0"/>
        <v>46356</v>
      </c>
      <c r="BD3" s="95">
        <f t="shared" si="0"/>
        <v>46363</v>
      </c>
      <c r="BE3" s="95">
        <f t="shared" si="0"/>
        <v>46370</v>
      </c>
      <c r="BF3" s="95">
        <f t="shared" si="0"/>
        <v>46377</v>
      </c>
      <c r="BG3" s="95">
        <f t="shared" si="0"/>
        <v>46384</v>
      </c>
      <c r="BH3" s="95">
        <f t="shared" si="0"/>
        <v>46391</v>
      </c>
    </row>
    <row r="4" spans="1:60" ht="15.75" thickBot="1">
      <c r="A4" s="56">
        <f t="shared" ref="A4:A11" si="1">$D$1</f>
        <v>45978</v>
      </c>
      <c r="B4" s="57" t="s">
        <v>13</v>
      </c>
      <c r="C4" s="58" t="s">
        <v>24</v>
      </c>
      <c r="D4" s="5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</row>
    <row r="5" spans="1:60" s="4" customFormat="1" ht="15.75" thickBot="1">
      <c r="A5" s="56">
        <f t="shared" si="1"/>
        <v>45978</v>
      </c>
      <c r="B5" s="60"/>
      <c r="C5" s="61" t="s">
        <v>34</v>
      </c>
      <c r="D5" s="62">
        <v>0</v>
      </c>
      <c r="E5" s="80">
        <f>D5+E4</f>
        <v>0</v>
      </c>
      <c r="F5" s="80">
        <f t="shared" ref="F5:BH5" si="2">E5+F4</f>
        <v>0</v>
      </c>
      <c r="G5" s="80">
        <f t="shared" si="2"/>
        <v>0</v>
      </c>
      <c r="H5" s="80">
        <f t="shared" si="2"/>
        <v>0</v>
      </c>
      <c r="I5" s="80">
        <f t="shared" si="2"/>
        <v>0</v>
      </c>
      <c r="J5" s="80">
        <f t="shared" si="2"/>
        <v>0</v>
      </c>
      <c r="K5" s="80">
        <f t="shared" si="2"/>
        <v>0</v>
      </c>
      <c r="L5" s="80">
        <f t="shared" si="2"/>
        <v>0</v>
      </c>
      <c r="M5" s="80">
        <f t="shared" si="2"/>
        <v>0</v>
      </c>
      <c r="N5" s="80">
        <f t="shared" si="2"/>
        <v>0</v>
      </c>
      <c r="O5" s="80">
        <f t="shared" si="2"/>
        <v>0</v>
      </c>
      <c r="P5" s="80">
        <f t="shared" si="2"/>
        <v>0</v>
      </c>
      <c r="Q5" s="80">
        <f t="shared" si="2"/>
        <v>0</v>
      </c>
      <c r="R5" s="80">
        <f t="shared" si="2"/>
        <v>0</v>
      </c>
      <c r="S5" s="80">
        <f t="shared" si="2"/>
        <v>0</v>
      </c>
      <c r="T5" s="80">
        <f t="shared" si="2"/>
        <v>0</v>
      </c>
      <c r="U5" s="80">
        <f t="shared" si="2"/>
        <v>0</v>
      </c>
      <c r="V5" s="80">
        <f t="shared" si="2"/>
        <v>0</v>
      </c>
      <c r="W5" s="80">
        <f t="shared" si="2"/>
        <v>0</v>
      </c>
      <c r="X5" s="80">
        <f t="shared" si="2"/>
        <v>0</v>
      </c>
      <c r="Y5" s="80">
        <f t="shared" si="2"/>
        <v>0</v>
      </c>
      <c r="Z5" s="80">
        <f t="shared" si="2"/>
        <v>0</v>
      </c>
      <c r="AA5" s="80">
        <f t="shared" si="2"/>
        <v>0</v>
      </c>
      <c r="AB5" s="80">
        <f t="shared" si="2"/>
        <v>0</v>
      </c>
      <c r="AC5" s="80">
        <f t="shared" si="2"/>
        <v>0</v>
      </c>
      <c r="AD5" s="80">
        <f t="shared" si="2"/>
        <v>0</v>
      </c>
      <c r="AE5" s="80">
        <f t="shared" si="2"/>
        <v>0</v>
      </c>
      <c r="AF5" s="80">
        <f t="shared" si="2"/>
        <v>0</v>
      </c>
      <c r="AG5" s="80">
        <f t="shared" si="2"/>
        <v>0</v>
      </c>
      <c r="AH5" s="80">
        <f t="shared" si="2"/>
        <v>0</v>
      </c>
      <c r="AI5" s="80">
        <f t="shared" si="2"/>
        <v>0</v>
      </c>
      <c r="AJ5" s="80">
        <f t="shared" si="2"/>
        <v>0</v>
      </c>
      <c r="AK5" s="80">
        <f t="shared" si="2"/>
        <v>0</v>
      </c>
      <c r="AL5" s="80">
        <f t="shared" si="2"/>
        <v>0</v>
      </c>
      <c r="AM5" s="80">
        <f t="shared" si="2"/>
        <v>0</v>
      </c>
      <c r="AN5" s="80">
        <f t="shared" si="2"/>
        <v>0</v>
      </c>
      <c r="AO5" s="80">
        <f t="shared" si="2"/>
        <v>0</v>
      </c>
      <c r="AP5" s="80">
        <f t="shared" si="2"/>
        <v>0</v>
      </c>
      <c r="AQ5" s="80">
        <f t="shared" si="2"/>
        <v>0</v>
      </c>
      <c r="AR5" s="80">
        <f t="shared" si="2"/>
        <v>0</v>
      </c>
      <c r="AS5" s="80">
        <f t="shared" si="2"/>
        <v>0</v>
      </c>
      <c r="AT5" s="80">
        <f t="shared" si="2"/>
        <v>0</v>
      </c>
      <c r="AU5" s="80">
        <f t="shared" si="2"/>
        <v>0</v>
      </c>
      <c r="AV5" s="80">
        <f t="shared" si="2"/>
        <v>0</v>
      </c>
      <c r="AW5" s="80">
        <f t="shared" si="2"/>
        <v>0</v>
      </c>
      <c r="AX5" s="80">
        <f t="shared" si="2"/>
        <v>0</v>
      </c>
      <c r="AY5" s="80">
        <f t="shared" si="2"/>
        <v>0</v>
      </c>
      <c r="AZ5" s="80">
        <f t="shared" si="2"/>
        <v>0</v>
      </c>
      <c r="BA5" s="80">
        <f t="shared" si="2"/>
        <v>0</v>
      </c>
      <c r="BB5" s="80">
        <f t="shared" si="2"/>
        <v>0</v>
      </c>
      <c r="BC5" s="80">
        <f t="shared" si="2"/>
        <v>0</v>
      </c>
      <c r="BD5" s="80">
        <f t="shared" si="2"/>
        <v>0</v>
      </c>
      <c r="BE5" s="80">
        <f t="shared" si="2"/>
        <v>0</v>
      </c>
      <c r="BF5" s="80">
        <f t="shared" si="2"/>
        <v>0</v>
      </c>
      <c r="BG5" s="80">
        <f t="shared" si="2"/>
        <v>0</v>
      </c>
      <c r="BH5" s="80">
        <f t="shared" si="2"/>
        <v>0</v>
      </c>
    </row>
    <row r="6" spans="1:60" ht="15.75" thickBot="1">
      <c r="A6" s="56">
        <f t="shared" si="1"/>
        <v>45978</v>
      </c>
      <c r="B6" s="57" t="s">
        <v>14</v>
      </c>
      <c r="C6" s="58" t="s">
        <v>25</v>
      </c>
      <c r="D6" s="63"/>
      <c r="E6" s="79">
        <f>E4</f>
        <v>0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</row>
    <row r="7" spans="1:60" s="4" customFormat="1" ht="15.75" thickBot="1">
      <c r="A7" s="56">
        <f t="shared" si="1"/>
        <v>45978</v>
      </c>
      <c r="B7" s="60"/>
      <c r="C7" s="61" t="s">
        <v>35</v>
      </c>
      <c r="D7" s="62">
        <v>0</v>
      </c>
      <c r="E7" s="80">
        <f>D7+E6</f>
        <v>0</v>
      </c>
      <c r="F7" s="80">
        <f t="shared" ref="F7" si="3">E7+F6</f>
        <v>0</v>
      </c>
      <c r="G7" s="80">
        <f t="shared" ref="G7" si="4">F7+G6</f>
        <v>0</v>
      </c>
      <c r="H7" s="80">
        <f t="shared" ref="H7" si="5">G7+H6</f>
        <v>0</v>
      </c>
      <c r="I7" s="80">
        <f t="shared" ref="I7" si="6">H7+I6</f>
        <v>0</v>
      </c>
      <c r="J7" s="80">
        <f t="shared" ref="J7" si="7">I7+J6</f>
        <v>0</v>
      </c>
      <c r="K7" s="80">
        <f t="shared" ref="K7" si="8">J7+K6</f>
        <v>0</v>
      </c>
      <c r="L7" s="80">
        <f t="shared" ref="L7" si="9">K7+L6</f>
        <v>0</v>
      </c>
      <c r="M7" s="80">
        <f t="shared" ref="M7" si="10">L7+M6</f>
        <v>0</v>
      </c>
      <c r="N7" s="80">
        <f t="shared" ref="N7" si="11">M7+N6</f>
        <v>0</v>
      </c>
      <c r="O7" s="80">
        <f t="shared" ref="O7" si="12">N7+O6</f>
        <v>0</v>
      </c>
      <c r="P7" s="80">
        <f t="shared" ref="P7" si="13">O7+P6</f>
        <v>0</v>
      </c>
      <c r="Q7" s="80">
        <f t="shared" ref="Q7" si="14">P7+Q6</f>
        <v>0</v>
      </c>
      <c r="R7" s="80">
        <f t="shared" ref="R7" si="15">Q7+R6</f>
        <v>0</v>
      </c>
      <c r="S7" s="80">
        <f t="shared" ref="S7" si="16">R7+S6</f>
        <v>0</v>
      </c>
      <c r="T7" s="80">
        <f t="shared" ref="T7" si="17">S7+T6</f>
        <v>0</v>
      </c>
      <c r="U7" s="80">
        <f t="shared" ref="U7" si="18">T7+U6</f>
        <v>0</v>
      </c>
      <c r="V7" s="80">
        <f t="shared" ref="V7" si="19">U7+V6</f>
        <v>0</v>
      </c>
      <c r="W7" s="80">
        <f t="shared" ref="W7" si="20">V7+W6</f>
        <v>0</v>
      </c>
      <c r="X7" s="80">
        <f t="shared" ref="X7" si="21">W7+X6</f>
        <v>0</v>
      </c>
      <c r="Y7" s="80">
        <f t="shared" ref="Y7" si="22">X7+Y6</f>
        <v>0</v>
      </c>
      <c r="Z7" s="80">
        <f t="shared" ref="Z7" si="23">Y7+Z6</f>
        <v>0</v>
      </c>
      <c r="AA7" s="80">
        <f t="shared" ref="AA7" si="24">Z7+AA6</f>
        <v>0</v>
      </c>
      <c r="AB7" s="80">
        <f t="shared" ref="AB7" si="25">AA7+AB6</f>
        <v>0</v>
      </c>
      <c r="AC7" s="80">
        <f t="shared" ref="AC7" si="26">AB7+AC6</f>
        <v>0</v>
      </c>
      <c r="AD7" s="80">
        <f t="shared" ref="AD7" si="27">AC7+AD6</f>
        <v>0</v>
      </c>
      <c r="AE7" s="80">
        <f t="shared" ref="AE7" si="28">AD7+AE6</f>
        <v>0</v>
      </c>
      <c r="AF7" s="80">
        <f t="shared" ref="AF7" si="29">AE7+AF6</f>
        <v>0</v>
      </c>
      <c r="AG7" s="80">
        <f t="shared" ref="AG7" si="30">AF7+AG6</f>
        <v>0</v>
      </c>
      <c r="AH7" s="80">
        <f t="shared" ref="AH7" si="31">AG7+AH6</f>
        <v>0</v>
      </c>
      <c r="AI7" s="80">
        <f t="shared" ref="AI7" si="32">AH7+AI6</f>
        <v>0</v>
      </c>
      <c r="AJ7" s="80">
        <f t="shared" ref="AJ7" si="33">AI7+AJ6</f>
        <v>0</v>
      </c>
      <c r="AK7" s="80">
        <f t="shared" ref="AK7" si="34">AJ7+AK6</f>
        <v>0</v>
      </c>
      <c r="AL7" s="80">
        <f t="shared" ref="AL7" si="35">AK7+AL6</f>
        <v>0</v>
      </c>
      <c r="AM7" s="80">
        <f t="shared" ref="AM7" si="36">AL7+AM6</f>
        <v>0</v>
      </c>
      <c r="AN7" s="80">
        <f t="shared" ref="AN7" si="37">AM7+AN6</f>
        <v>0</v>
      </c>
      <c r="AO7" s="80">
        <f t="shared" ref="AO7" si="38">AN7+AO6</f>
        <v>0</v>
      </c>
      <c r="AP7" s="80">
        <f t="shared" ref="AP7" si="39">AO7+AP6</f>
        <v>0</v>
      </c>
      <c r="AQ7" s="80">
        <f t="shared" ref="AQ7" si="40">AP7+AQ6</f>
        <v>0</v>
      </c>
      <c r="AR7" s="80">
        <f t="shared" ref="AR7" si="41">AQ7+AR6</f>
        <v>0</v>
      </c>
      <c r="AS7" s="80">
        <f t="shared" ref="AS7" si="42">AR7+AS6</f>
        <v>0</v>
      </c>
      <c r="AT7" s="80">
        <f t="shared" ref="AT7" si="43">AS7+AT6</f>
        <v>0</v>
      </c>
      <c r="AU7" s="80">
        <f t="shared" ref="AU7" si="44">AT7+AU6</f>
        <v>0</v>
      </c>
      <c r="AV7" s="80">
        <f t="shared" ref="AV7" si="45">AU7+AV6</f>
        <v>0</v>
      </c>
      <c r="AW7" s="80">
        <f t="shared" ref="AW7" si="46">AV7+AW6</f>
        <v>0</v>
      </c>
      <c r="AX7" s="80">
        <f t="shared" ref="AX7" si="47">AW7+AX6</f>
        <v>0</v>
      </c>
      <c r="AY7" s="80">
        <f t="shared" ref="AY7" si="48">AX7+AY6</f>
        <v>0</v>
      </c>
      <c r="AZ7" s="80">
        <f t="shared" ref="AZ7" si="49">AY7+AZ6</f>
        <v>0</v>
      </c>
      <c r="BA7" s="80">
        <f t="shared" ref="BA7" si="50">AZ7+BA6</f>
        <v>0</v>
      </c>
      <c r="BB7" s="80">
        <f t="shared" ref="BB7" si="51">BA7+BB6</f>
        <v>0</v>
      </c>
      <c r="BC7" s="80">
        <f t="shared" ref="BC7" si="52">BB7+BC6</f>
        <v>0</v>
      </c>
      <c r="BD7" s="80">
        <f t="shared" ref="BD7" si="53">BC7+BD6</f>
        <v>0</v>
      </c>
      <c r="BE7" s="80">
        <f t="shared" ref="BE7" si="54">BD7+BE6</f>
        <v>0</v>
      </c>
      <c r="BF7" s="80">
        <f t="shared" ref="BF7" si="55">BE7+BF6</f>
        <v>0</v>
      </c>
      <c r="BG7" s="80">
        <f t="shared" ref="BG7" si="56">BF7+BG6</f>
        <v>0</v>
      </c>
      <c r="BH7" s="80">
        <f t="shared" ref="BH7" si="57">BG7+BH6</f>
        <v>0</v>
      </c>
    </row>
    <row r="8" spans="1:60" ht="15.75" thickBot="1">
      <c r="A8" s="56">
        <f t="shared" si="1"/>
        <v>45978</v>
      </c>
      <c r="B8" s="57" t="s">
        <v>15</v>
      </c>
      <c r="C8" s="58" t="s">
        <v>26</v>
      </c>
      <c r="D8" s="63"/>
      <c r="E8" s="79">
        <f>E4</f>
        <v>0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</row>
    <row r="9" spans="1:60" s="4" customFormat="1" ht="15.75" thickBot="1">
      <c r="A9" s="56">
        <f t="shared" si="1"/>
        <v>45978</v>
      </c>
      <c r="B9" s="60"/>
      <c r="C9" s="61" t="s">
        <v>37</v>
      </c>
      <c r="D9" s="62">
        <v>0</v>
      </c>
      <c r="E9" s="80">
        <f>D9+E8</f>
        <v>0</v>
      </c>
      <c r="F9" s="80">
        <f t="shared" ref="F9:BH9" si="58">E9+F8</f>
        <v>0</v>
      </c>
      <c r="G9" s="80">
        <f t="shared" si="58"/>
        <v>0</v>
      </c>
      <c r="H9" s="80">
        <f t="shared" si="58"/>
        <v>0</v>
      </c>
      <c r="I9" s="80">
        <f t="shared" si="58"/>
        <v>0</v>
      </c>
      <c r="J9" s="80">
        <f t="shared" si="58"/>
        <v>0</v>
      </c>
      <c r="K9" s="80">
        <f t="shared" si="58"/>
        <v>0</v>
      </c>
      <c r="L9" s="80">
        <f t="shared" si="58"/>
        <v>0</v>
      </c>
      <c r="M9" s="80">
        <f t="shared" si="58"/>
        <v>0</v>
      </c>
      <c r="N9" s="80">
        <f t="shared" si="58"/>
        <v>0</v>
      </c>
      <c r="O9" s="80">
        <f t="shared" si="58"/>
        <v>0</v>
      </c>
      <c r="P9" s="80">
        <f t="shared" si="58"/>
        <v>0</v>
      </c>
      <c r="Q9" s="80">
        <f t="shared" si="58"/>
        <v>0</v>
      </c>
      <c r="R9" s="80">
        <f t="shared" si="58"/>
        <v>0</v>
      </c>
      <c r="S9" s="80">
        <f t="shared" si="58"/>
        <v>0</v>
      </c>
      <c r="T9" s="80">
        <f t="shared" si="58"/>
        <v>0</v>
      </c>
      <c r="U9" s="80">
        <f t="shared" si="58"/>
        <v>0</v>
      </c>
      <c r="V9" s="80">
        <f t="shared" si="58"/>
        <v>0</v>
      </c>
      <c r="W9" s="80">
        <f t="shared" si="58"/>
        <v>0</v>
      </c>
      <c r="X9" s="80">
        <f t="shared" si="58"/>
        <v>0</v>
      </c>
      <c r="Y9" s="80">
        <f t="shared" si="58"/>
        <v>0</v>
      </c>
      <c r="Z9" s="80">
        <f t="shared" si="58"/>
        <v>0</v>
      </c>
      <c r="AA9" s="80">
        <f t="shared" si="58"/>
        <v>0</v>
      </c>
      <c r="AB9" s="80">
        <f t="shared" si="58"/>
        <v>0</v>
      </c>
      <c r="AC9" s="80">
        <f t="shared" si="58"/>
        <v>0</v>
      </c>
      <c r="AD9" s="80">
        <f t="shared" si="58"/>
        <v>0</v>
      </c>
      <c r="AE9" s="80">
        <f t="shared" si="58"/>
        <v>0</v>
      </c>
      <c r="AF9" s="80">
        <f t="shared" si="58"/>
        <v>0</v>
      </c>
      <c r="AG9" s="80">
        <f t="shared" si="58"/>
        <v>0</v>
      </c>
      <c r="AH9" s="80">
        <f t="shared" si="58"/>
        <v>0</v>
      </c>
      <c r="AI9" s="80">
        <f t="shared" si="58"/>
        <v>0</v>
      </c>
      <c r="AJ9" s="80">
        <f t="shared" si="58"/>
        <v>0</v>
      </c>
      <c r="AK9" s="80">
        <f t="shared" si="58"/>
        <v>0</v>
      </c>
      <c r="AL9" s="80">
        <f t="shared" si="58"/>
        <v>0</v>
      </c>
      <c r="AM9" s="80">
        <f t="shared" si="58"/>
        <v>0</v>
      </c>
      <c r="AN9" s="80">
        <f t="shared" si="58"/>
        <v>0</v>
      </c>
      <c r="AO9" s="80">
        <f t="shared" si="58"/>
        <v>0</v>
      </c>
      <c r="AP9" s="80">
        <f t="shared" si="58"/>
        <v>0</v>
      </c>
      <c r="AQ9" s="80">
        <f t="shared" si="58"/>
        <v>0</v>
      </c>
      <c r="AR9" s="80">
        <f t="shared" si="58"/>
        <v>0</v>
      </c>
      <c r="AS9" s="80">
        <f t="shared" si="58"/>
        <v>0</v>
      </c>
      <c r="AT9" s="80">
        <f t="shared" si="58"/>
        <v>0</v>
      </c>
      <c r="AU9" s="80">
        <f t="shared" si="58"/>
        <v>0</v>
      </c>
      <c r="AV9" s="80">
        <f t="shared" si="58"/>
        <v>0</v>
      </c>
      <c r="AW9" s="80">
        <f t="shared" si="58"/>
        <v>0</v>
      </c>
      <c r="AX9" s="80">
        <f t="shared" si="58"/>
        <v>0</v>
      </c>
      <c r="AY9" s="80">
        <f t="shared" si="58"/>
        <v>0</v>
      </c>
      <c r="AZ9" s="80">
        <f t="shared" si="58"/>
        <v>0</v>
      </c>
      <c r="BA9" s="80">
        <f t="shared" si="58"/>
        <v>0</v>
      </c>
      <c r="BB9" s="80">
        <f t="shared" si="58"/>
        <v>0</v>
      </c>
      <c r="BC9" s="80">
        <f t="shared" si="58"/>
        <v>0</v>
      </c>
      <c r="BD9" s="80">
        <f t="shared" si="58"/>
        <v>0</v>
      </c>
      <c r="BE9" s="80">
        <f t="shared" si="58"/>
        <v>0</v>
      </c>
      <c r="BF9" s="80">
        <f t="shared" si="58"/>
        <v>0</v>
      </c>
      <c r="BG9" s="80">
        <f t="shared" si="58"/>
        <v>0</v>
      </c>
      <c r="BH9" s="80">
        <f t="shared" si="58"/>
        <v>0</v>
      </c>
    </row>
    <row r="10" spans="1:60" ht="15.75" thickBot="1">
      <c r="A10" s="56">
        <f t="shared" si="1"/>
        <v>45978</v>
      </c>
      <c r="B10" s="57" t="s">
        <v>16</v>
      </c>
      <c r="C10" s="58" t="s">
        <v>27</v>
      </c>
      <c r="D10" s="63"/>
      <c r="E10" s="79">
        <f>E4</f>
        <v>0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</row>
    <row r="11" spans="1:60" s="4" customFormat="1" ht="15.75" thickBot="1">
      <c r="A11" s="56">
        <f t="shared" si="1"/>
        <v>45978</v>
      </c>
      <c r="B11" s="60"/>
      <c r="C11" s="61" t="s">
        <v>38</v>
      </c>
      <c r="D11" s="62">
        <v>0</v>
      </c>
      <c r="E11" s="80">
        <f>D11+E10</f>
        <v>0</v>
      </c>
      <c r="F11" s="80">
        <f t="shared" ref="F11:BH11" si="59">E11+F10</f>
        <v>0</v>
      </c>
      <c r="G11" s="80">
        <f t="shared" si="59"/>
        <v>0</v>
      </c>
      <c r="H11" s="80">
        <f t="shared" si="59"/>
        <v>0</v>
      </c>
      <c r="I11" s="80">
        <f t="shared" si="59"/>
        <v>0</v>
      </c>
      <c r="J11" s="80">
        <f t="shared" si="59"/>
        <v>0</v>
      </c>
      <c r="K11" s="80">
        <f t="shared" si="59"/>
        <v>0</v>
      </c>
      <c r="L11" s="80">
        <f t="shared" si="59"/>
        <v>0</v>
      </c>
      <c r="M11" s="80">
        <f t="shared" si="59"/>
        <v>0</v>
      </c>
      <c r="N11" s="80">
        <f t="shared" si="59"/>
        <v>0</v>
      </c>
      <c r="O11" s="80">
        <f t="shared" si="59"/>
        <v>0</v>
      </c>
      <c r="P11" s="80">
        <f t="shared" si="59"/>
        <v>0</v>
      </c>
      <c r="Q11" s="80">
        <f t="shared" si="59"/>
        <v>0</v>
      </c>
      <c r="R11" s="80">
        <f t="shared" si="59"/>
        <v>0</v>
      </c>
      <c r="S11" s="80">
        <f t="shared" si="59"/>
        <v>0</v>
      </c>
      <c r="T11" s="80">
        <f t="shared" si="59"/>
        <v>0</v>
      </c>
      <c r="U11" s="80">
        <f t="shared" si="59"/>
        <v>0</v>
      </c>
      <c r="V11" s="80">
        <f t="shared" si="59"/>
        <v>0</v>
      </c>
      <c r="W11" s="80">
        <f t="shared" si="59"/>
        <v>0</v>
      </c>
      <c r="X11" s="80">
        <f t="shared" si="59"/>
        <v>0</v>
      </c>
      <c r="Y11" s="80">
        <f t="shared" si="59"/>
        <v>0</v>
      </c>
      <c r="Z11" s="80">
        <f t="shared" si="59"/>
        <v>0</v>
      </c>
      <c r="AA11" s="80">
        <f t="shared" si="59"/>
        <v>0</v>
      </c>
      <c r="AB11" s="80">
        <f t="shared" si="59"/>
        <v>0</v>
      </c>
      <c r="AC11" s="80">
        <f t="shared" si="59"/>
        <v>0</v>
      </c>
      <c r="AD11" s="80">
        <f t="shared" si="59"/>
        <v>0</v>
      </c>
      <c r="AE11" s="80">
        <f t="shared" si="59"/>
        <v>0</v>
      </c>
      <c r="AF11" s="80">
        <f t="shared" si="59"/>
        <v>0</v>
      </c>
      <c r="AG11" s="80">
        <f t="shared" si="59"/>
        <v>0</v>
      </c>
      <c r="AH11" s="80">
        <f t="shared" si="59"/>
        <v>0</v>
      </c>
      <c r="AI11" s="80">
        <f t="shared" si="59"/>
        <v>0</v>
      </c>
      <c r="AJ11" s="80">
        <f t="shared" si="59"/>
        <v>0</v>
      </c>
      <c r="AK11" s="80">
        <f t="shared" si="59"/>
        <v>0</v>
      </c>
      <c r="AL11" s="80">
        <f t="shared" si="59"/>
        <v>0</v>
      </c>
      <c r="AM11" s="80">
        <f t="shared" si="59"/>
        <v>0</v>
      </c>
      <c r="AN11" s="80">
        <f t="shared" si="59"/>
        <v>0</v>
      </c>
      <c r="AO11" s="80">
        <f t="shared" si="59"/>
        <v>0</v>
      </c>
      <c r="AP11" s="80">
        <f t="shared" si="59"/>
        <v>0</v>
      </c>
      <c r="AQ11" s="80">
        <f t="shared" si="59"/>
        <v>0</v>
      </c>
      <c r="AR11" s="80">
        <f t="shared" si="59"/>
        <v>0</v>
      </c>
      <c r="AS11" s="80">
        <f t="shared" si="59"/>
        <v>0</v>
      </c>
      <c r="AT11" s="80">
        <f t="shared" si="59"/>
        <v>0</v>
      </c>
      <c r="AU11" s="80">
        <f t="shared" si="59"/>
        <v>0</v>
      </c>
      <c r="AV11" s="80">
        <f t="shared" si="59"/>
        <v>0</v>
      </c>
      <c r="AW11" s="80">
        <f t="shared" si="59"/>
        <v>0</v>
      </c>
      <c r="AX11" s="80">
        <f t="shared" si="59"/>
        <v>0</v>
      </c>
      <c r="AY11" s="80">
        <f t="shared" si="59"/>
        <v>0</v>
      </c>
      <c r="AZ11" s="80">
        <f t="shared" si="59"/>
        <v>0</v>
      </c>
      <c r="BA11" s="80">
        <f t="shared" si="59"/>
        <v>0</v>
      </c>
      <c r="BB11" s="80">
        <f t="shared" si="59"/>
        <v>0</v>
      </c>
      <c r="BC11" s="80">
        <f t="shared" si="59"/>
        <v>0</v>
      </c>
      <c r="BD11" s="80">
        <f t="shared" si="59"/>
        <v>0</v>
      </c>
      <c r="BE11" s="80">
        <f t="shared" si="59"/>
        <v>0</v>
      </c>
      <c r="BF11" s="80">
        <f t="shared" si="59"/>
        <v>0</v>
      </c>
      <c r="BG11" s="80">
        <f t="shared" si="59"/>
        <v>0</v>
      </c>
      <c r="BH11" s="80">
        <f t="shared" si="59"/>
        <v>0</v>
      </c>
    </row>
    <row r="12" spans="1:60" ht="16.5" thickBot="1">
      <c r="B12" s="64"/>
      <c r="C12" s="65" t="s">
        <v>33</v>
      </c>
      <c r="D12" s="66"/>
      <c r="E12" s="67">
        <f>E4+E6+E8+E10</f>
        <v>0</v>
      </c>
      <c r="F12" s="67">
        <f t="shared" ref="F12:AB12" si="60">F4+F6+F8+F10</f>
        <v>0</v>
      </c>
      <c r="G12" s="67">
        <f t="shared" si="60"/>
        <v>0</v>
      </c>
      <c r="H12" s="67">
        <f t="shared" si="60"/>
        <v>0</v>
      </c>
      <c r="I12" s="67">
        <f t="shared" si="60"/>
        <v>0</v>
      </c>
      <c r="J12" s="67">
        <f t="shared" si="60"/>
        <v>0</v>
      </c>
      <c r="K12" s="67">
        <f t="shared" si="60"/>
        <v>0</v>
      </c>
      <c r="L12" s="67">
        <f t="shared" si="60"/>
        <v>0</v>
      </c>
      <c r="M12" s="67">
        <f t="shared" si="60"/>
        <v>0</v>
      </c>
      <c r="N12" s="67">
        <f t="shared" si="60"/>
        <v>0</v>
      </c>
      <c r="O12" s="67">
        <f t="shared" si="60"/>
        <v>0</v>
      </c>
      <c r="P12" s="67">
        <f t="shared" si="60"/>
        <v>0</v>
      </c>
      <c r="Q12" s="67">
        <f t="shared" si="60"/>
        <v>0</v>
      </c>
      <c r="R12" s="67">
        <f t="shared" si="60"/>
        <v>0</v>
      </c>
      <c r="S12" s="67">
        <f t="shared" si="60"/>
        <v>0</v>
      </c>
      <c r="T12" s="67">
        <f t="shared" si="60"/>
        <v>0</v>
      </c>
      <c r="U12" s="67">
        <f t="shared" si="60"/>
        <v>0</v>
      </c>
      <c r="V12" s="67">
        <f t="shared" si="60"/>
        <v>0</v>
      </c>
      <c r="W12" s="67">
        <f t="shared" si="60"/>
        <v>0</v>
      </c>
      <c r="X12" s="67">
        <f t="shared" si="60"/>
        <v>0</v>
      </c>
      <c r="Y12" s="67">
        <f t="shared" si="60"/>
        <v>0</v>
      </c>
      <c r="Z12" s="67">
        <f t="shared" si="60"/>
        <v>0</v>
      </c>
      <c r="AA12" s="67">
        <f t="shared" si="60"/>
        <v>0</v>
      </c>
      <c r="AB12" s="67">
        <f t="shared" si="60"/>
        <v>0</v>
      </c>
      <c r="AC12" s="67">
        <f t="shared" ref="AC12:BH12" si="61">AC4+AC6+AC8+AC10</f>
        <v>0</v>
      </c>
      <c r="AD12" s="67">
        <f t="shared" si="61"/>
        <v>0</v>
      </c>
      <c r="AE12" s="67">
        <f t="shared" si="61"/>
        <v>0</v>
      </c>
      <c r="AF12" s="67">
        <f t="shared" si="61"/>
        <v>0</v>
      </c>
      <c r="AG12" s="67">
        <f t="shared" si="61"/>
        <v>0</v>
      </c>
      <c r="AH12" s="67">
        <f t="shared" si="61"/>
        <v>0</v>
      </c>
      <c r="AI12" s="67">
        <f t="shared" si="61"/>
        <v>0</v>
      </c>
      <c r="AJ12" s="67">
        <f t="shared" si="61"/>
        <v>0</v>
      </c>
      <c r="AK12" s="67">
        <f t="shared" si="61"/>
        <v>0</v>
      </c>
      <c r="AL12" s="67">
        <f t="shared" si="61"/>
        <v>0</v>
      </c>
      <c r="AM12" s="67">
        <f t="shared" si="61"/>
        <v>0</v>
      </c>
      <c r="AN12" s="67">
        <f t="shared" si="61"/>
        <v>0</v>
      </c>
      <c r="AO12" s="67">
        <f t="shared" si="61"/>
        <v>0</v>
      </c>
      <c r="AP12" s="67">
        <f t="shared" si="61"/>
        <v>0</v>
      </c>
      <c r="AQ12" s="67">
        <f t="shared" si="61"/>
        <v>0</v>
      </c>
      <c r="AR12" s="67">
        <f t="shared" si="61"/>
        <v>0</v>
      </c>
      <c r="AS12" s="67">
        <f t="shared" si="61"/>
        <v>0</v>
      </c>
      <c r="AT12" s="67">
        <f t="shared" si="61"/>
        <v>0</v>
      </c>
      <c r="AU12" s="67">
        <f t="shared" si="61"/>
        <v>0</v>
      </c>
      <c r="AV12" s="67">
        <f t="shared" si="61"/>
        <v>0</v>
      </c>
      <c r="AW12" s="67">
        <f t="shared" si="61"/>
        <v>0</v>
      </c>
      <c r="AX12" s="67">
        <f t="shared" si="61"/>
        <v>0</v>
      </c>
      <c r="AY12" s="67">
        <f t="shared" si="61"/>
        <v>0</v>
      </c>
      <c r="AZ12" s="67">
        <f t="shared" si="61"/>
        <v>0</v>
      </c>
      <c r="BA12" s="67">
        <f t="shared" si="61"/>
        <v>0</v>
      </c>
      <c r="BB12" s="67">
        <f t="shared" si="61"/>
        <v>0</v>
      </c>
      <c r="BC12" s="67">
        <f t="shared" si="61"/>
        <v>0</v>
      </c>
      <c r="BD12" s="67">
        <f t="shared" si="61"/>
        <v>0</v>
      </c>
      <c r="BE12" s="67">
        <f t="shared" si="61"/>
        <v>0</v>
      </c>
      <c r="BF12" s="67">
        <f t="shared" si="61"/>
        <v>0</v>
      </c>
      <c r="BG12" s="67">
        <f t="shared" si="61"/>
        <v>0</v>
      </c>
      <c r="BH12" s="67">
        <f t="shared" si="61"/>
        <v>0</v>
      </c>
    </row>
    <row r="15" spans="1:60">
      <c r="B15" s="27" t="s">
        <v>58</v>
      </c>
      <c r="D15" s="83">
        <v>45975</v>
      </c>
    </row>
    <row r="16" spans="1:60">
      <c r="A16" s="84" t="s">
        <v>41</v>
      </c>
      <c r="B16" s="85" t="s">
        <v>45</v>
      </c>
      <c r="C16" s="86" t="s">
        <v>43</v>
      </c>
      <c r="D16" s="86" t="s">
        <v>42</v>
      </c>
      <c r="F16" s="32"/>
      <c r="G16" s="32"/>
      <c r="I16" s="32"/>
      <c r="J16" s="32"/>
    </row>
    <row r="17" spans="1:60" s="90" customFormat="1">
      <c r="A17" s="87" t="s">
        <v>44</v>
      </c>
      <c r="B17" s="88">
        <v>1.8</v>
      </c>
      <c r="C17" s="89">
        <v>30</v>
      </c>
      <c r="D17" s="90">
        <v>30</v>
      </c>
      <c r="E17" s="91">
        <f>D17-E4/10*$B17+E18</f>
        <v>30</v>
      </c>
      <c r="F17" s="91">
        <f t="shared" ref="F17:M17" si="62">E17-F4/10*$B17+F18</f>
        <v>60</v>
      </c>
      <c r="G17" s="91">
        <f t="shared" si="62"/>
        <v>60</v>
      </c>
      <c r="H17" s="91">
        <f t="shared" si="62"/>
        <v>60</v>
      </c>
      <c r="I17" s="91">
        <f t="shared" si="62"/>
        <v>60</v>
      </c>
      <c r="J17" s="91">
        <f t="shared" si="62"/>
        <v>60</v>
      </c>
      <c r="K17" s="91">
        <f t="shared" si="62"/>
        <v>100</v>
      </c>
      <c r="L17" s="91">
        <f t="shared" si="62"/>
        <v>100</v>
      </c>
      <c r="M17" s="91">
        <f t="shared" si="62"/>
        <v>100</v>
      </c>
      <c r="N17" s="91">
        <f t="shared" ref="N17" si="63">M17-N4/10*$B17+N18</f>
        <v>100</v>
      </c>
      <c r="O17" s="91">
        <f t="shared" ref="O17" si="64">N17-O4/10*$B17+O18</f>
        <v>150</v>
      </c>
      <c r="P17" s="91">
        <f t="shared" ref="P17" si="65">O17-P4/10*$B17+P18</f>
        <v>150</v>
      </c>
      <c r="Q17" s="91">
        <f t="shared" ref="Q17" si="66">P17-Q4/10*$B17+Q18</f>
        <v>150</v>
      </c>
      <c r="R17" s="91">
        <f t="shared" ref="R17" si="67">Q17-R4/10*$B17+R18</f>
        <v>150</v>
      </c>
      <c r="S17" s="91">
        <f t="shared" ref="S17" si="68">R17-S4/10*$B17+S18</f>
        <v>150</v>
      </c>
      <c r="T17" s="91">
        <f t="shared" ref="T17:U17" si="69">S17-T4/10*$B17+T18</f>
        <v>150</v>
      </c>
      <c r="U17" s="91">
        <f t="shared" si="69"/>
        <v>150</v>
      </c>
      <c r="V17" s="91">
        <f t="shared" ref="V17" si="70">U17-V4/10*$B17+V18</f>
        <v>150</v>
      </c>
      <c r="W17" s="91">
        <f t="shared" ref="W17" si="71">V17-W4/10*$B17+W18</f>
        <v>150</v>
      </c>
      <c r="X17" s="91">
        <f t="shared" ref="X17" si="72">W17-X4/10*$B17+X18</f>
        <v>150</v>
      </c>
      <c r="Y17" s="91">
        <f t="shared" ref="Y17" si="73">X17-Y4/10*$B17+Y18</f>
        <v>150</v>
      </c>
      <c r="Z17" s="91">
        <f t="shared" ref="Z17" si="74">Y17-Z4/10*$B17+Z18</f>
        <v>150</v>
      </c>
      <c r="AA17" s="91">
        <f t="shared" ref="AA17" si="75">Z17-AA4/10*$B17+AA18</f>
        <v>150</v>
      </c>
      <c r="AB17" s="91">
        <f t="shared" ref="AB17:AC17" si="76">AA17-AB4/10*$B17+AB18</f>
        <v>150</v>
      </c>
      <c r="AC17" s="91">
        <f t="shared" si="76"/>
        <v>150</v>
      </c>
      <c r="AD17" s="91">
        <f t="shared" ref="AD17" si="77">AC17-AD4/10*$B17+AD18</f>
        <v>150</v>
      </c>
      <c r="AE17" s="91">
        <f t="shared" ref="AE17" si="78">AD17-AE4/10*$B17+AE18</f>
        <v>150</v>
      </c>
      <c r="AF17" s="91">
        <f t="shared" ref="AF17" si="79">AE17-AF4/10*$B17+AF18</f>
        <v>150</v>
      </c>
      <c r="AG17" s="91">
        <f t="shared" ref="AG17" si="80">AF17-AG4/10*$B17+AG18</f>
        <v>150</v>
      </c>
      <c r="AH17" s="91">
        <f t="shared" ref="AH17" si="81">AG17-AH4/10*$B17+AH18</f>
        <v>150</v>
      </c>
    </row>
    <row r="18" spans="1:60" s="92" customFormat="1" ht="12">
      <c r="D18" s="92" t="s">
        <v>46</v>
      </c>
      <c r="E18" s="97"/>
      <c r="F18" s="92">
        <v>30</v>
      </c>
      <c r="K18" s="92">
        <v>40</v>
      </c>
      <c r="O18" s="92">
        <v>50</v>
      </c>
    </row>
    <row r="19" spans="1:60" s="92" customFormat="1" ht="12">
      <c r="F19" s="92" t="s">
        <v>47</v>
      </c>
      <c r="K19" s="92" t="s">
        <v>47</v>
      </c>
      <c r="O19" s="92" t="s">
        <v>47</v>
      </c>
      <c r="Q19" s="99"/>
      <c r="R19" s="99">
        <v>50</v>
      </c>
      <c r="S19" s="99"/>
      <c r="T19" s="99"/>
      <c r="U19" s="99">
        <v>60</v>
      </c>
      <c r="V19" s="99"/>
      <c r="W19" s="99"/>
      <c r="X19" s="99">
        <v>60</v>
      </c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</row>
    <row r="20" spans="1:60" s="92" customFormat="1" ht="12">
      <c r="E20" s="96"/>
      <c r="F20" s="96">
        <v>46013</v>
      </c>
      <c r="G20" s="96"/>
      <c r="H20" s="96"/>
      <c r="I20" s="96"/>
      <c r="J20" s="96"/>
      <c r="K20" s="96">
        <v>46048</v>
      </c>
      <c r="L20" s="96"/>
      <c r="M20" s="96"/>
      <c r="N20" s="96"/>
      <c r="O20" s="96">
        <v>46076</v>
      </c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</row>
    <row r="23" spans="1:60">
      <c r="E23" t="s">
        <v>48</v>
      </c>
    </row>
    <row r="24" spans="1:60">
      <c r="E24" t="s">
        <v>49</v>
      </c>
    </row>
    <row r="25" spans="1:60">
      <c r="B25" s="27" t="s">
        <v>57</v>
      </c>
      <c r="D25" s="83">
        <v>45936</v>
      </c>
    </row>
    <row r="26" spans="1:60">
      <c r="A26" s="84" t="s">
        <v>50</v>
      </c>
      <c r="B26" s="85" t="s">
        <v>55</v>
      </c>
      <c r="C26" s="86" t="s">
        <v>43</v>
      </c>
      <c r="D26" s="86" t="s">
        <v>42</v>
      </c>
    </row>
    <row r="27" spans="1:60">
      <c r="A27" s="87" t="s">
        <v>56</v>
      </c>
      <c r="B27" s="88">
        <v>1</v>
      </c>
      <c r="C27" s="89">
        <v>8</v>
      </c>
      <c r="D27">
        <v>8</v>
      </c>
      <c r="E27" s="91">
        <f>D27-E4/45*$B27+E28</f>
        <v>24</v>
      </c>
      <c r="F27" s="91">
        <f t="shared" ref="F27:T27" si="82">E27-F4/45*$B27+F28</f>
        <v>24</v>
      </c>
      <c r="G27" s="91">
        <f t="shared" si="82"/>
        <v>24</v>
      </c>
      <c r="H27" s="91">
        <f t="shared" si="82"/>
        <v>24</v>
      </c>
      <c r="I27" s="91">
        <f t="shared" si="82"/>
        <v>24</v>
      </c>
      <c r="J27" s="91">
        <f t="shared" si="82"/>
        <v>24</v>
      </c>
      <c r="K27" s="91">
        <f t="shared" si="82"/>
        <v>24</v>
      </c>
      <c r="L27" s="91">
        <f t="shared" si="82"/>
        <v>24</v>
      </c>
      <c r="M27" s="91">
        <f t="shared" si="82"/>
        <v>24</v>
      </c>
      <c r="N27" s="91">
        <f t="shared" si="82"/>
        <v>24</v>
      </c>
      <c r="O27" s="91">
        <f t="shared" si="82"/>
        <v>24</v>
      </c>
      <c r="P27" s="91">
        <f t="shared" si="82"/>
        <v>24</v>
      </c>
      <c r="Q27" s="91">
        <f t="shared" si="82"/>
        <v>24</v>
      </c>
      <c r="R27" s="91">
        <f t="shared" si="82"/>
        <v>24</v>
      </c>
      <c r="S27" s="91">
        <f t="shared" si="82"/>
        <v>24</v>
      </c>
      <c r="T27" s="91">
        <f t="shared" si="82"/>
        <v>24</v>
      </c>
      <c r="U27" s="91">
        <f t="shared" ref="U27" si="83">T27-U4/45*$B27+U28</f>
        <v>24</v>
      </c>
      <c r="V27" s="91">
        <f t="shared" ref="V27" si="84">U27-V4/45*$B27+V28</f>
        <v>24</v>
      </c>
      <c r="W27" s="91">
        <f t="shared" ref="W27" si="85">V27-W4/45*$B27+W28</f>
        <v>24</v>
      </c>
      <c r="X27" s="91">
        <f t="shared" ref="X27" si="86">W27-X4/45*$B27+X28</f>
        <v>24</v>
      </c>
      <c r="Y27" s="91">
        <f t="shared" ref="Y27" si="87">X27-Y4/45*$B27+Y28</f>
        <v>24</v>
      </c>
      <c r="Z27" s="91">
        <f t="shared" ref="Z27" si="88">Y27-Z4/45*$B27+Z28</f>
        <v>24</v>
      </c>
      <c r="AA27" s="91">
        <f t="shared" ref="AA27" si="89">Z27-AA4/45*$B27+AA28</f>
        <v>24</v>
      </c>
      <c r="AB27" s="91">
        <f t="shared" ref="AB27" si="90">AA27-AB4/45*$B27+AB28</f>
        <v>24</v>
      </c>
      <c r="AC27" s="91">
        <f t="shared" ref="AC27" si="91">AB27-AC4/45*$B27+AC28</f>
        <v>24</v>
      </c>
      <c r="AD27" s="91">
        <f t="shared" ref="AD27" si="92">AC27-AD4/45*$B27+AD28</f>
        <v>24</v>
      </c>
      <c r="AE27" s="91">
        <f t="shared" ref="AE27" si="93">AD27-AE4/45*$B27+AE28</f>
        <v>24</v>
      </c>
      <c r="AF27" s="91">
        <f t="shared" ref="AF27" si="94">AE27-AF4/45*$B27+AF28</f>
        <v>24</v>
      </c>
      <c r="AG27" s="91">
        <f t="shared" ref="AG27" si="95">AF27-AG4/45*$B27+AG28</f>
        <v>24</v>
      </c>
      <c r="AH27" s="91">
        <f t="shared" ref="AH27" si="96">AG27-AH4/45*$B27+AH28</f>
        <v>24</v>
      </c>
      <c r="AI27" s="91">
        <f t="shared" ref="AI27" si="97">AH27-AI4/45*$B27+AI28</f>
        <v>24</v>
      </c>
      <c r="AJ27" s="91">
        <f t="shared" ref="AJ27" si="98">AI27-AJ4/45*$B27+AJ28</f>
        <v>24</v>
      </c>
      <c r="AK27" s="91">
        <f t="shared" ref="AK27" si="99">AJ27-AK4/45*$B27+AK28</f>
        <v>24</v>
      </c>
      <c r="AL27" s="91">
        <f t="shared" ref="AL27" si="100">AK27-AL4/45*$B27+AL28</f>
        <v>24</v>
      </c>
      <c r="AM27" s="91">
        <f t="shared" ref="AM27" si="101">AL27-AM4/45*$B27+AM28</f>
        <v>24</v>
      </c>
      <c r="AN27" s="91">
        <f t="shared" ref="AN27" si="102">AM27-AN4/45*$B27+AN28</f>
        <v>24</v>
      </c>
      <c r="AO27" s="91">
        <f t="shared" ref="AO27" si="103">AN27-AO4/45*$B27+AO28</f>
        <v>24</v>
      </c>
      <c r="AP27" s="91">
        <f t="shared" ref="AP27" si="104">AO27-AP4/45*$B27+AP28</f>
        <v>24</v>
      </c>
      <c r="AQ27" s="91">
        <f t="shared" ref="AQ27" si="105">AP27-AQ4/45*$B27+AQ28</f>
        <v>24</v>
      </c>
      <c r="AR27" s="91">
        <f t="shared" ref="AR27" si="106">AQ27-AR4/45*$B27+AR28</f>
        <v>24</v>
      </c>
      <c r="AS27" s="91">
        <f t="shared" ref="AS27" si="107">AR27-AS4/45*$B27+AS28</f>
        <v>24</v>
      </c>
      <c r="AT27" s="91">
        <f t="shared" ref="AT27" si="108">AS27-AT4/45*$B27+AT28</f>
        <v>24</v>
      </c>
      <c r="AU27" s="91">
        <f t="shared" ref="AU27" si="109">AT27-AU4/45*$B27+AU28</f>
        <v>24</v>
      </c>
      <c r="AV27" s="91">
        <f t="shared" ref="AV27" si="110">AU27-AV4/45*$B27+AV28</f>
        <v>24</v>
      </c>
      <c r="AW27" s="91">
        <f t="shared" ref="AW27" si="111">AV27-AW4/45*$B27+AW28</f>
        <v>24</v>
      </c>
      <c r="AX27" s="91">
        <f t="shared" ref="AX27" si="112">AW27-AX4/45*$B27+AX28</f>
        <v>24</v>
      </c>
      <c r="AY27" s="91">
        <f t="shared" ref="AY27" si="113">AX27-AY4/45*$B27+AY28</f>
        <v>24</v>
      </c>
      <c r="AZ27" s="91">
        <f t="shared" ref="AZ27" si="114">AY27-AZ4/45*$B27+AZ28</f>
        <v>24</v>
      </c>
      <c r="BA27" s="91">
        <f t="shared" ref="BA27" si="115">AZ27-BA4/45*$B27+BA28</f>
        <v>24</v>
      </c>
      <c r="BB27" s="91">
        <f t="shared" ref="BB27" si="116">BA27-BB4/45*$B27+BB28</f>
        <v>24</v>
      </c>
      <c r="BC27" s="91">
        <f t="shared" ref="BC27" si="117">BB27-BC4/45*$B27+BC28</f>
        <v>24</v>
      </c>
      <c r="BD27" s="91">
        <f t="shared" ref="BD27" si="118">BC27-BD4/45*$B27+BD28</f>
        <v>24</v>
      </c>
      <c r="BE27" s="91">
        <f t="shared" ref="BE27" si="119">BD27-BE4/45*$B27+BE28</f>
        <v>24</v>
      </c>
      <c r="BF27" s="91">
        <f t="shared" ref="BF27" si="120">BE27-BF4/45*$B27+BF28</f>
        <v>24</v>
      </c>
      <c r="BG27" s="91">
        <f t="shared" ref="BG27" si="121">BF27-BG4/45*$B27+BG28</f>
        <v>24</v>
      </c>
      <c r="BH27" s="91">
        <f t="shared" ref="BH27" si="122">BG27-BH4/45*$B27+BH28</f>
        <v>24</v>
      </c>
    </row>
    <row r="28" spans="1:60">
      <c r="D28" s="92" t="s">
        <v>46</v>
      </c>
      <c r="E28" s="97">
        <v>16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</row>
    <row r="29" spans="1:60">
      <c r="B29" s="98" t="s">
        <v>51</v>
      </c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9">
        <v>16</v>
      </c>
      <c r="R29" s="99"/>
      <c r="S29" s="99"/>
      <c r="T29" s="99"/>
      <c r="U29" s="99"/>
      <c r="V29" s="99"/>
      <c r="W29" s="99"/>
      <c r="X29" s="99"/>
      <c r="Y29" s="99">
        <v>16</v>
      </c>
      <c r="Z29" s="99"/>
      <c r="AA29" s="99"/>
      <c r="AB29" s="99"/>
      <c r="AC29" s="99"/>
      <c r="AD29" s="99">
        <v>24</v>
      </c>
      <c r="AE29" s="99"/>
      <c r="AF29" s="99"/>
      <c r="AG29" s="99"/>
      <c r="AH29" s="99"/>
      <c r="AI29" s="99">
        <v>24</v>
      </c>
      <c r="AJ29" s="99"/>
      <c r="AK29" s="99"/>
      <c r="AL29" s="99"/>
      <c r="AM29" s="99"/>
      <c r="AN29" s="99">
        <v>24</v>
      </c>
      <c r="AO29" s="99"/>
      <c r="AP29" s="99"/>
      <c r="AQ29" s="99"/>
      <c r="AR29" s="99"/>
      <c r="AS29" s="99">
        <v>32</v>
      </c>
      <c r="AT29" s="99"/>
      <c r="AU29" s="99"/>
      <c r="AV29" s="99"/>
      <c r="AW29" s="99"/>
      <c r="AX29" s="99">
        <v>32</v>
      </c>
      <c r="AY29" s="92"/>
      <c r="AZ29" s="92"/>
      <c r="BA29" s="92"/>
      <c r="BB29" s="92"/>
      <c r="BC29" s="92"/>
      <c r="BD29" s="92"/>
      <c r="BE29" s="92"/>
      <c r="BF29" s="92"/>
      <c r="BG29" s="92"/>
      <c r="BH29" s="92"/>
    </row>
    <row r="30" spans="1:60">
      <c r="B30" s="98" t="s">
        <v>52</v>
      </c>
      <c r="E30" s="96">
        <v>45981</v>
      </c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</row>
    <row r="31" spans="1:60">
      <c r="B31" s="98" t="s">
        <v>53</v>
      </c>
    </row>
    <row r="32" spans="1:60">
      <c r="B32" s="98" t="s">
        <v>54</v>
      </c>
    </row>
    <row r="34" spans="2:2">
      <c r="B34" s="98" t="s">
        <v>63</v>
      </c>
    </row>
  </sheetData>
  <phoneticPr fontId="16" type="noConversion"/>
  <conditionalFormatting sqref="E17:AH17">
    <cfRule type="cellIs" dxfId="1" priority="37" operator="lessThan">
      <formula>$C17</formula>
    </cfRule>
  </conditionalFormatting>
  <conditionalFormatting sqref="E27:BH27">
    <cfRule type="cellIs" dxfId="0" priority="1" operator="lessThan">
      <formula>$C27</formula>
    </cfRule>
  </conditionalFormatting>
  <pageMargins left="0.7" right="0.7" top="0.75" bottom="0.75" header="0.3" footer="0.3"/>
  <pageSetup orientation="portrait" verticalDpi="0" r:id="rId1"/>
  <headerFooter>
    <oddFooter>&amp;L8.2.2.4.22 KB Components Tracker - Template&amp;RCreated:01/16/26TS</oddFooter>
  </headerFooter>
  <ignoredErrors>
    <ignoredError sqref="E7 E6 E9:BH9 E8 E1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D715-BB92-442F-9847-1B8742531A14}">
  <dimension ref="A1:BR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2" sqref="H2"/>
    </sheetView>
  </sheetViews>
  <sheetFormatPr defaultRowHeight="15"/>
  <cols>
    <col min="2" max="2" width="33.42578125" bestFit="1" customWidth="1"/>
    <col min="3" max="3" width="10.42578125" customWidth="1"/>
  </cols>
  <sheetData>
    <row r="1" spans="1:70" s="70" customFormat="1">
      <c r="A1" s="76" t="s">
        <v>36</v>
      </c>
      <c r="D1" s="70">
        <v>46006</v>
      </c>
      <c r="E1" s="70">
        <f>D1+7</f>
        <v>46013</v>
      </c>
      <c r="F1" s="70">
        <f t="shared" ref="F1:BQ1" si="0">E1+7</f>
        <v>46020</v>
      </c>
      <c r="G1" s="70">
        <f t="shared" si="0"/>
        <v>46027</v>
      </c>
      <c r="H1" s="70">
        <f t="shared" si="0"/>
        <v>46034</v>
      </c>
      <c r="I1" s="70">
        <f t="shared" si="0"/>
        <v>46041</v>
      </c>
      <c r="J1" s="70">
        <f t="shared" si="0"/>
        <v>46048</v>
      </c>
      <c r="K1" s="70">
        <f t="shared" si="0"/>
        <v>46055</v>
      </c>
      <c r="L1" s="70">
        <f t="shared" si="0"/>
        <v>46062</v>
      </c>
      <c r="M1" s="70">
        <f t="shared" si="0"/>
        <v>46069</v>
      </c>
      <c r="N1" s="70">
        <f t="shared" si="0"/>
        <v>46076</v>
      </c>
      <c r="O1" s="70">
        <f t="shared" si="0"/>
        <v>46083</v>
      </c>
      <c r="P1" s="70">
        <f t="shared" si="0"/>
        <v>46090</v>
      </c>
      <c r="Q1" s="70">
        <f t="shared" si="0"/>
        <v>46097</v>
      </c>
      <c r="R1" s="70">
        <f t="shared" si="0"/>
        <v>46104</v>
      </c>
      <c r="S1" s="70">
        <f t="shared" si="0"/>
        <v>46111</v>
      </c>
      <c r="T1" s="70">
        <f t="shared" si="0"/>
        <v>46118</v>
      </c>
      <c r="U1" s="70">
        <f t="shared" si="0"/>
        <v>46125</v>
      </c>
      <c r="V1" s="70">
        <f t="shared" si="0"/>
        <v>46132</v>
      </c>
      <c r="W1" s="70">
        <f t="shared" si="0"/>
        <v>46139</v>
      </c>
      <c r="X1" s="70">
        <f t="shared" si="0"/>
        <v>46146</v>
      </c>
      <c r="Y1" s="70">
        <f t="shared" si="0"/>
        <v>46153</v>
      </c>
      <c r="Z1" s="70">
        <f t="shared" si="0"/>
        <v>46160</v>
      </c>
      <c r="AA1" s="70">
        <f t="shared" si="0"/>
        <v>46167</v>
      </c>
      <c r="AB1" s="70">
        <f t="shared" si="0"/>
        <v>46174</v>
      </c>
      <c r="AC1" s="70">
        <f t="shared" si="0"/>
        <v>46181</v>
      </c>
      <c r="AD1" s="70">
        <f t="shared" si="0"/>
        <v>46188</v>
      </c>
      <c r="AE1" s="70">
        <f t="shared" si="0"/>
        <v>46195</v>
      </c>
      <c r="AF1" s="70">
        <f t="shared" si="0"/>
        <v>46202</v>
      </c>
      <c r="AG1" s="70">
        <f t="shared" si="0"/>
        <v>46209</v>
      </c>
      <c r="AH1" s="70">
        <f t="shared" si="0"/>
        <v>46216</v>
      </c>
      <c r="AI1" s="70">
        <f t="shared" si="0"/>
        <v>46223</v>
      </c>
      <c r="AJ1" s="70">
        <f t="shared" si="0"/>
        <v>46230</v>
      </c>
      <c r="AK1" s="70">
        <f t="shared" si="0"/>
        <v>46237</v>
      </c>
      <c r="AL1" s="70">
        <f t="shared" si="0"/>
        <v>46244</v>
      </c>
      <c r="AM1" s="70">
        <f t="shared" si="0"/>
        <v>46251</v>
      </c>
      <c r="AN1" s="70">
        <f t="shared" si="0"/>
        <v>46258</v>
      </c>
      <c r="AO1" s="70">
        <f t="shared" si="0"/>
        <v>46265</v>
      </c>
      <c r="AP1" s="70">
        <f t="shared" si="0"/>
        <v>46272</v>
      </c>
      <c r="AQ1" s="70">
        <f t="shared" si="0"/>
        <v>46279</v>
      </c>
      <c r="AR1" s="70">
        <f t="shared" si="0"/>
        <v>46286</v>
      </c>
      <c r="AS1" s="70">
        <f t="shared" si="0"/>
        <v>46293</v>
      </c>
      <c r="AT1" s="70">
        <f t="shared" si="0"/>
        <v>46300</v>
      </c>
      <c r="AU1" s="70">
        <f>AT1+7</f>
        <v>46307</v>
      </c>
      <c r="AV1" s="70">
        <f t="shared" si="0"/>
        <v>46314</v>
      </c>
      <c r="AW1" s="70">
        <f t="shared" si="0"/>
        <v>46321</v>
      </c>
      <c r="AX1" s="70">
        <f t="shared" si="0"/>
        <v>46328</v>
      </c>
      <c r="AY1" s="70">
        <f t="shared" si="0"/>
        <v>46335</v>
      </c>
      <c r="AZ1" s="70">
        <f t="shared" si="0"/>
        <v>46342</v>
      </c>
      <c r="BA1" s="70">
        <f t="shared" si="0"/>
        <v>46349</v>
      </c>
      <c r="BB1" s="70">
        <f t="shared" si="0"/>
        <v>46356</v>
      </c>
      <c r="BC1" s="70">
        <f t="shared" si="0"/>
        <v>46363</v>
      </c>
      <c r="BD1" s="70">
        <f t="shared" si="0"/>
        <v>46370</v>
      </c>
      <c r="BE1" s="70">
        <f t="shared" si="0"/>
        <v>46377</v>
      </c>
      <c r="BF1" s="70">
        <f t="shared" si="0"/>
        <v>46384</v>
      </c>
      <c r="BG1" s="70">
        <f t="shared" si="0"/>
        <v>46391</v>
      </c>
      <c r="BH1" s="70">
        <f t="shared" si="0"/>
        <v>46398</v>
      </c>
      <c r="BI1" s="70">
        <f t="shared" si="0"/>
        <v>46405</v>
      </c>
      <c r="BJ1" s="70">
        <f t="shared" si="0"/>
        <v>46412</v>
      </c>
      <c r="BK1" s="70">
        <f t="shared" si="0"/>
        <v>46419</v>
      </c>
      <c r="BL1" s="70">
        <f t="shared" si="0"/>
        <v>46426</v>
      </c>
      <c r="BM1" s="70">
        <f t="shared" si="0"/>
        <v>46433</v>
      </c>
      <c r="BN1" s="70">
        <f t="shared" si="0"/>
        <v>46440</v>
      </c>
      <c r="BO1" s="70">
        <f t="shared" si="0"/>
        <v>46447</v>
      </c>
      <c r="BP1" s="70">
        <f t="shared" si="0"/>
        <v>46454</v>
      </c>
      <c r="BQ1" s="70">
        <f t="shared" si="0"/>
        <v>46461</v>
      </c>
      <c r="BR1" s="70">
        <f t="shared" ref="BR1" si="1">BQ1+7</f>
        <v>46468</v>
      </c>
    </row>
    <row r="2" spans="1:70" s="32" customFormat="1">
      <c r="A2" s="45">
        <f>Releases!$D$1</f>
        <v>45978</v>
      </c>
      <c r="B2" s="71" t="s">
        <v>13</v>
      </c>
      <c r="C2" s="72" t="s">
        <v>24</v>
      </c>
      <c r="D2" s="81">
        <f>IFERROR(INDEX(Releases!$C$3:$BZ$11,MATCH($C2,Releases!$C$3:$C$11,0),MATCH(D$1,Releases!$C$3:$BZ$3,0)),0)</f>
        <v>0</v>
      </c>
      <c r="E2" s="81">
        <f>IFERROR(INDEX(Releases!$C$3:$BZ$11,MATCH($C2,Releases!$C$3:$C$11,0),MATCH(E$1,Releases!$C$3:$BZ$3,0)),0)</f>
        <v>0</v>
      </c>
      <c r="F2" s="81">
        <f>IFERROR(INDEX(Releases!$C$3:$BZ$11,MATCH($C2,Releases!$C$3:$C$11,0),MATCH(F$1,Releases!$C$3:$BZ$3,0)),0)</f>
        <v>0</v>
      </c>
      <c r="G2" s="81">
        <f>IFERROR(INDEX(Releases!$C$3:$BZ$11,MATCH($C2,Releases!$C$3:$C$11,0),MATCH(G$1,Releases!$C$3:$BZ$3,0)),0)</f>
        <v>0</v>
      </c>
      <c r="H2" s="81">
        <f>IFERROR(INDEX(Releases!$C$3:$BZ$11,MATCH($C2,Releases!$C$3:$C$11,0),MATCH(H$1,Releases!$C$3:$BZ$3,0)),0)</f>
        <v>0</v>
      </c>
      <c r="I2" s="81">
        <f>IFERROR(INDEX(Releases!$C$3:$BZ$11,MATCH($C2,Releases!$C$3:$C$11,0),MATCH(I$1,Releases!$C$3:$BZ$3,0)),0)</f>
        <v>0</v>
      </c>
      <c r="J2" s="81">
        <f>IFERROR(INDEX(Releases!$C$3:$BZ$11,MATCH($C2,Releases!$C$3:$C$11,0),MATCH(J$1,Releases!$C$3:$BZ$3,0)),0)</f>
        <v>0</v>
      </c>
      <c r="K2" s="81">
        <f>IFERROR(INDEX(Releases!$C$3:$BZ$11,MATCH($C2,Releases!$C$3:$C$11,0),MATCH(K$1,Releases!$C$3:$BZ$3,0)),0)</f>
        <v>0</v>
      </c>
      <c r="L2" s="81">
        <f>IFERROR(INDEX(Releases!$C$3:$BZ$11,MATCH($C2,Releases!$C$3:$C$11,0),MATCH(L$1,Releases!$C$3:$BZ$3,0)),0)</f>
        <v>0</v>
      </c>
      <c r="M2" s="81">
        <f>IFERROR(INDEX(Releases!$C$3:$BZ$11,MATCH($C2,Releases!$C$3:$C$11,0),MATCH(M$1,Releases!$C$3:$BZ$3,0)),0)</f>
        <v>0</v>
      </c>
      <c r="N2" s="81">
        <f>IFERROR(INDEX(Releases!$C$3:$BZ$11,MATCH($C2,Releases!$C$3:$C$11,0),MATCH(N$1,Releases!$C$3:$BZ$3,0)),0)</f>
        <v>0</v>
      </c>
      <c r="O2" s="81">
        <f>IFERROR(INDEX(Releases!$C$3:$BZ$11,MATCH($C2,Releases!$C$3:$C$11,0),MATCH(O$1,Releases!$C$3:$BZ$3,0)),0)</f>
        <v>0</v>
      </c>
      <c r="P2" s="81">
        <f>IFERROR(INDEX(Releases!$C$3:$BZ$11,MATCH($C2,Releases!$C$3:$C$11,0),MATCH(P$1,Releases!$C$3:$BZ$3,0)),0)</f>
        <v>0</v>
      </c>
      <c r="Q2" s="81">
        <f>IFERROR(INDEX(Releases!$C$3:$BZ$11,MATCH($C2,Releases!$C$3:$C$11,0),MATCH(Q$1,Releases!$C$3:$BZ$3,0)),0)</f>
        <v>0</v>
      </c>
      <c r="R2" s="81">
        <f>IFERROR(INDEX(Releases!$C$3:$BZ$11,MATCH($C2,Releases!$C$3:$C$11,0),MATCH(R$1,Releases!$C$3:$BZ$3,0)),0)</f>
        <v>0</v>
      </c>
      <c r="S2" s="81">
        <f>IFERROR(INDEX(Releases!$C$3:$BZ$11,MATCH($C2,Releases!$C$3:$C$11,0),MATCH(S$1,Releases!$C$3:$BZ$3,0)),0)</f>
        <v>0</v>
      </c>
      <c r="T2" s="81">
        <f>IFERROR(INDEX(Releases!$C$3:$BZ$11,MATCH($C2,Releases!$C$3:$C$11,0),MATCH(T$1,Releases!$C$3:$BZ$3,0)),0)</f>
        <v>0</v>
      </c>
      <c r="U2" s="81">
        <f>IFERROR(INDEX(Releases!$C$3:$BZ$11,MATCH($C2,Releases!$C$3:$C$11,0),MATCH(U$1,Releases!$C$3:$BZ$3,0)),0)</f>
        <v>0</v>
      </c>
      <c r="V2" s="81">
        <f>IFERROR(INDEX(Releases!$C$3:$BZ$11,MATCH($C2,Releases!$C$3:$C$11,0),MATCH(V$1,Releases!$C$3:$BZ$3,0)),0)</f>
        <v>0</v>
      </c>
      <c r="W2" s="81">
        <f>IFERROR(INDEX(Releases!$C$3:$BZ$11,MATCH($C2,Releases!$C$3:$C$11,0),MATCH(W$1,Releases!$C$3:$BZ$3,0)),0)</f>
        <v>0</v>
      </c>
      <c r="X2" s="81">
        <f>IFERROR(INDEX(Releases!$C$3:$BZ$11,MATCH($C2,Releases!$C$3:$C$11,0),MATCH(X$1,Releases!$C$3:$BZ$3,0)),0)</f>
        <v>0</v>
      </c>
      <c r="Y2" s="81">
        <f>IFERROR(INDEX(Releases!$C$3:$BZ$11,MATCH($C2,Releases!$C$3:$C$11,0),MATCH(Y$1,Releases!$C$3:$BZ$3,0)),0)</f>
        <v>0</v>
      </c>
      <c r="Z2" s="81">
        <f>IFERROR(INDEX(Releases!$C$3:$BZ$11,MATCH($C2,Releases!$C$3:$C$11,0),MATCH(Z$1,Releases!$C$3:$BZ$3,0)),0)</f>
        <v>0</v>
      </c>
      <c r="AA2" s="81">
        <f>IFERROR(INDEX(Releases!$C$3:$BZ$11,MATCH($C2,Releases!$C$3:$C$11,0),MATCH(AA$1,Releases!$C$3:$BZ$3,0)),0)</f>
        <v>0</v>
      </c>
      <c r="AB2" s="81">
        <f>IFERROR(INDEX(Releases!$C$3:$BZ$11,MATCH($C2,Releases!$C$3:$C$11,0),MATCH(AB$1,Releases!$C$3:$BZ$3,0)),0)</f>
        <v>0</v>
      </c>
      <c r="AC2" s="81">
        <f>IFERROR(INDEX(Releases!$C$3:$BZ$11,MATCH($C2,Releases!$C$3:$C$11,0),MATCH(AC$1,Releases!$C$3:$BZ$3,0)),0)</f>
        <v>0</v>
      </c>
      <c r="AD2" s="81">
        <f>IFERROR(INDEX(Releases!$C$3:$BZ$11,MATCH($C2,Releases!$C$3:$C$11,0),MATCH(AD$1,Releases!$C$3:$BZ$3,0)),0)</f>
        <v>0</v>
      </c>
      <c r="AE2" s="81">
        <f>IFERROR(INDEX(Releases!$C$3:$BZ$11,MATCH($C2,Releases!$C$3:$C$11,0),MATCH(AE$1,Releases!$C$3:$BZ$3,0)),0)</f>
        <v>0</v>
      </c>
      <c r="AF2" s="81">
        <f>IFERROR(INDEX(Releases!$C$3:$BZ$11,MATCH($C2,Releases!$C$3:$C$11,0),MATCH(AF$1,Releases!$C$3:$BZ$3,0)),0)</f>
        <v>0</v>
      </c>
      <c r="AG2" s="81">
        <f>IFERROR(INDEX(Releases!$C$3:$BZ$11,MATCH($C2,Releases!$C$3:$C$11,0),MATCH(AG$1,Releases!$C$3:$BZ$3,0)),0)</f>
        <v>0</v>
      </c>
      <c r="AH2" s="81">
        <f>IFERROR(INDEX(Releases!$C$3:$BZ$11,MATCH($C2,Releases!$C$3:$C$11,0),MATCH(AH$1,Releases!$C$3:$BZ$3,0)),0)</f>
        <v>0</v>
      </c>
      <c r="AI2" s="81">
        <f>IFERROR(INDEX(Releases!$C$3:$BZ$11,MATCH($C2,Releases!$C$3:$C$11,0),MATCH(AI$1,Releases!$C$3:$BZ$3,0)),0)</f>
        <v>0</v>
      </c>
      <c r="AJ2" s="81">
        <f>IFERROR(INDEX(Releases!$C$3:$BZ$11,MATCH($C2,Releases!$C$3:$C$11,0),MATCH(AJ$1,Releases!$C$3:$BZ$3,0)),0)</f>
        <v>0</v>
      </c>
      <c r="AK2" s="81">
        <f>IFERROR(INDEX(Releases!$C$3:$BZ$11,MATCH($C2,Releases!$C$3:$C$11,0),MATCH(AK$1,Releases!$C$3:$BZ$3,0)),0)</f>
        <v>0</v>
      </c>
      <c r="AL2" s="81">
        <f>IFERROR(INDEX(Releases!$C$3:$BZ$11,MATCH($C2,Releases!$C$3:$C$11,0),MATCH(AL$1,Releases!$C$3:$BZ$3,0)),0)</f>
        <v>0</v>
      </c>
      <c r="AM2" s="81">
        <f>IFERROR(INDEX(Releases!$C$3:$BZ$11,MATCH($C2,Releases!$C$3:$C$11,0),MATCH(AM$1,Releases!$C$3:$BZ$3,0)),0)</f>
        <v>0</v>
      </c>
      <c r="AN2" s="81">
        <f>IFERROR(INDEX(Releases!$C$3:$BZ$11,MATCH($C2,Releases!$C$3:$C$11,0),MATCH(AN$1,Releases!$C$3:$BZ$3,0)),0)</f>
        <v>0</v>
      </c>
      <c r="AO2" s="81">
        <f>IFERROR(INDEX(Releases!$C$3:$BZ$11,MATCH($C2,Releases!$C$3:$C$11,0),MATCH(AO$1,Releases!$C$3:$BZ$3,0)),0)</f>
        <v>0</v>
      </c>
      <c r="AP2" s="81">
        <f>IFERROR(INDEX(Releases!$C$3:$BZ$11,MATCH($C2,Releases!$C$3:$C$11,0),MATCH(AP$1,Releases!$C$3:$BZ$3,0)),0)</f>
        <v>0</v>
      </c>
      <c r="AQ2" s="81">
        <f>IFERROR(INDEX(Releases!$C$3:$BZ$11,MATCH($C2,Releases!$C$3:$C$11,0),MATCH(AQ$1,Releases!$C$3:$BZ$3,0)),0)</f>
        <v>0</v>
      </c>
      <c r="AR2" s="81">
        <f>IFERROR(INDEX(Releases!$C$3:$BZ$11,MATCH($C2,Releases!$C$3:$C$11,0),MATCH(AR$1,Releases!$C$3:$BZ$3,0)),0)</f>
        <v>0</v>
      </c>
      <c r="AS2" s="81">
        <f>IFERROR(INDEX(Releases!$C$3:$BZ$11,MATCH($C2,Releases!$C$3:$C$11,0),MATCH(AS$1,Releases!$C$3:$BZ$3,0)),0)</f>
        <v>0</v>
      </c>
      <c r="AT2" s="81">
        <f>IFERROR(INDEX(Releases!$C$3:$BZ$11,MATCH($C2,Releases!$C$3:$C$11,0),MATCH(AT$1,Releases!$C$3:$BZ$3,0)),0)</f>
        <v>0</v>
      </c>
      <c r="AU2" s="81">
        <f>IFERROR(INDEX(Releases!$C$3:$BZ$11,MATCH($C2,Releases!$C$3:$C$11,0),MATCH(AU$1,Releases!$C$3:$BZ$3,0)),0)</f>
        <v>0</v>
      </c>
      <c r="AV2" s="81">
        <f>IFERROR(INDEX(Releases!$C$3:$BZ$11,MATCH($C2,Releases!$C$3:$C$11,0),MATCH(AV$1,Releases!$C$3:$BZ$3,0)),0)</f>
        <v>0</v>
      </c>
      <c r="AW2" s="81">
        <f>IFERROR(INDEX(Releases!$C$3:$BZ$11,MATCH($C2,Releases!$C$3:$C$11,0),MATCH(AW$1,Releases!$C$3:$BZ$3,0)),0)</f>
        <v>0</v>
      </c>
      <c r="AX2" s="81">
        <f>IFERROR(INDEX(Releases!$C$3:$BZ$11,MATCH($C2,Releases!$C$3:$C$11,0),MATCH(AX$1,Releases!$C$3:$BZ$3,0)),0)</f>
        <v>0</v>
      </c>
      <c r="AY2" s="81">
        <f>IFERROR(INDEX(Releases!$C$3:$BZ$11,MATCH($C2,Releases!$C$3:$C$11,0),MATCH(AY$1,Releases!$C$3:$BZ$3,0)),0)</f>
        <v>0</v>
      </c>
      <c r="AZ2" s="81">
        <f>IFERROR(INDEX(Releases!$C$3:$BZ$11,MATCH($C2,Releases!$C$3:$C$11,0),MATCH(AZ$1,Releases!$C$3:$BZ$3,0)),0)</f>
        <v>0</v>
      </c>
      <c r="BA2" s="81">
        <f>IFERROR(INDEX(Releases!$C$3:$BZ$11,MATCH($C2,Releases!$C$3:$C$11,0),MATCH(BA$1,Releases!$C$3:$BZ$3,0)),0)</f>
        <v>0</v>
      </c>
      <c r="BB2" s="81">
        <f>IFERROR(INDEX(Releases!$C$3:$BZ$11,MATCH($C2,Releases!$C$3:$C$11,0),MATCH(BB$1,Releases!$C$3:$BZ$3,0)),0)</f>
        <v>0</v>
      </c>
      <c r="BC2" s="81">
        <f>IFERROR(INDEX(Releases!$C$3:$BZ$11,MATCH($C2,Releases!$C$3:$C$11,0),MATCH(BC$1,Releases!$C$3:$BZ$3,0)),0)</f>
        <v>0</v>
      </c>
      <c r="BD2" s="81">
        <f>IFERROR(INDEX(Releases!$C$3:$BZ$11,MATCH($C2,Releases!$C$3:$C$11,0),MATCH(BD$1,Releases!$C$3:$BZ$3,0)),0)</f>
        <v>0</v>
      </c>
      <c r="BE2" s="81">
        <f>IFERROR(INDEX(Releases!$C$3:$BZ$11,MATCH($C2,Releases!$C$3:$C$11,0),MATCH(BE$1,Releases!$C$3:$BZ$3,0)),0)</f>
        <v>0</v>
      </c>
      <c r="BF2" s="81">
        <f>IFERROR(INDEX(Releases!$C$3:$BZ$11,MATCH($C2,Releases!$C$3:$C$11,0),MATCH(BF$1,Releases!$C$3:$BZ$3,0)),0)</f>
        <v>0</v>
      </c>
      <c r="BG2" s="81">
        <f>IFERROR(INDEX(Releases!$C$3:$BZ$11,MATCH($C2,Releases!$C$3:$C$11,0),MATCH(BG$1,Releases!$C$3:$BZ$3,0)),0)</f>
        <v>0</v>
      </c>
      <c r="BH2" s="81">
        <f>IFERROR(INDEX(Releases!$C$3:$BZ$11,MATCH($C2,Releases!$C$3:$C$11,0),MATCH(BH$1,Releases!$C$3:$BZ$3,0)),0)</f>
        <v>0</v>
      </c>
      <c r="BI2" s="81">
        <f>IFERROR(INDEX(Releases!$C$3:$BZ$11,MATCH($C2,Releases!$C$3:$C$11,0),MATCH(BI$1,Releases!$C$3:$BZ$3,0)),0)</f>
        <v>0</v>
      </c>
      <c r="BJ2" s="81">
        <f>IFERROR(INDEX(Releases!$C$3:$BZ$11,MATCH($C2,Releases!$C$3:$C$11,0),MATCH(BJ$1,Releases!$C$3:$BZ$3,0)),0)</f>
        <v>0</v>
      </c>
      <c r="BK2" s="81">
        <f>IFERROR(INDEX(Releases!$C$3:$BZ$11,MATCH($C2,Releases!$C$3:$C$11,0),MATCH(BK$1,Releases!$C$3:$BZ$3,0)),0)</f>
        <v>0</v>
      </c>
      <c r="BL2" s="81">
        <f>IFERROR(INDEX(Releases!$C$3:$BZ$11,MATCH($C2,Releases!$C$3:$C$11,0),MATCH(BL$1,Releases!$C$3:$BZ$3,0)),0)</f>
        <v>0</v>
      </c>
      <c r="BM2" s="81">
        <f>IFERROR(INDEX(Releases!$C$3:$BZ$11,MATCH($C2,Releases!$C$3:$C$11,0),MATCH(BM$1,Releases!$C$3:$BZ$3,0)),0)</f>
        <v>0</v>
      </c>
      <c r="BN2" s="81">
        <f>IFERROR(INDEX(Releases!$C$3:$BZ$11,MATCH($C2,Releases!$C$3:$C$11,0),MATCH(BN$1,Releases!$C$3:$BZ$3,0)),0)</f>
        <v>0</v>
      </c>
      <c r="BO2" s="81">
        <f>IFERROR(INDEX(Releases!$C$3:$BZ$11,MATCH($C2,Releases!$C$3:$C$11,0),MATCH(BO$1,Releases!$C$3:$BZ$3,0)),0)</f>
        <v>0</v>
      </c>
      <c r="BP2" s="81">
        <f>IFERROR(INDEX(Releases!$C$3:$BZ$11,MATCH($C2,Releases!$C$3:$C$11,0),MATCH(BP$1,Releases!$C$3:$BZ$3,0)),0)</f>
        <v>0</v>
      </c>
      <c r="BQ2" s="81">
        <f>IFERROR(INDEX(Releases!$C$3:$BZ$11,MATCH($C2,Releases!$C$3:$C$11,0),MATCH(BQ$1,Releases!$C$3:$BZ$3,0)),0)</f>
        <v>0</v>
      </c>
      <c r="BR2" s="81">
        <f>IFERROR(INDEX(Releases!$C$3:$BZ$11,MATCH($C2,Releases!$C$3:$C$11,0),MATCH(BR$1,Releases!$C$3:$BZ$3,0)),0)</f>
        <v>0</v>
      </c>
    </row>
    <row r="3" spans="1:70" s="78" customFormat="1" ht="12">
      <c r="A3" s="77">
        <f>Releases!$D$1</f>
        <v>45978</v>
      </c>
      <c r="B3" s="73"/>
      <c r="C3" s="74" t="s">
        <v>34</v>
      </c>
      <c r="D3" s="82">
        <f>IFERROR(INDEX(Releases!$C$3:$BZ$11,MATCH($C3,Releases!$C$3:$C$11,0),MATCH(D$1,Releases!$C$3:$BZ$3,0)),0)</f>
        <v>0</v>
      </c>
      <c r="E3" s="82">
        <f>IFERROR(INDEX(Releases!$C$3:$BZ$11,MATCH($C3,Releases!$C$3:$C$11,0),MATCH(E$1,Releases!$C$3:$BZ$3,0)),0)</f>
        <v>0</v>
      </c>
      <c r="F3" s="82">
        <f>IFERROR(INDEX(Releases!$C$3:$BZ$11,MATCH($C3,Releases!$C$3:$C$11,0),MATCH(F$1,Releases!$C$3:$BZ$3,0)),0)</f>
        <v>0</v>
      </c>
      <c r="G3" s="82">
        <f>IFERROR(INDEX(Releases!$C$3:$BZ$11,MATCH($C3,Releases!$C$3:$C$11,0),MATCH(G$1,Releases!$C$3:$BZ$3,0)),0)</f>
        <v>0</v>
      </c>
      <c r="H3" s="82">
        <f>IFERROR(INDEX(Releases!$C$3:$BZ$11,MATCH($C3,Releases!$C$3:$C$11,0),MATCH(H$1,Releases!$C$3:$BZ$3,0)),0)</f>
        <v>0</v>
      </c>
      <c r="I3" s="82">
        <f>IFERROR(INDEX(Releases!$C$3:$BZ$11,MATCH($C3,Releases!$C$3:$C$11,0),MATCH(I$1,Releases!$C$3:$BZ$3,0)),0)</f>
        <v>0</v>
      </c>
      <c r="J3" s="82">
        <f>IFERROR(INDEX(Releases!$C$3:$BZ$11,MATCH($C3,Releases!$C$3:$C$11,0),MATCH(J$1,Releases!$C$3:$BZ$3,0)),0)</f>
        <v>0</v>
      </c>
      <c r="K3" s="82">
        <f>IFERROR(INDEX(Releases!$C$3:$BZ$11,MATCH($C3,Releases!$C$3:$C$11,0),MATCH(K$1,Releases!$C$3:$BZ$3,0)),0)</f>
        <v>0</v>
      </c>
      <c r="L3" s="82">
        <f>IFERROR(INDEX(Releases!$C$3:$BZ$11,MATCH($C3,Releases!$C$3:$C$11,0),MATCH(L$1,Releases!$C$3:$BZ$3,0)),0)</f>
        <v>0</v>
      </c>
      <c r="M3" s="82">
        <f>IFERROR(INDEX(Releases!$C$3:$BZ$11,MATCH($C3,Releases!$C$3:$C$11,0),MATCH(M$1,Releases!$C$3:$BZ$3,0)),0)</f>
        <v>0</v>
      </c>
      <c r="N3" s="82">
        <f>IFERROR(INDEX(Releases!$C$3:$BZ$11,MATCH($C3,Releases!$C$3:$C$11,0),MATCH(N$1,Releases!$C$3:$BZ$3,0)),0)</f>
        <v>0</v>
      </c>
      <c r="O3" s="82">
        <f>IFERROR(INDEX(Releases!$C$3:$BZ$11,MATCH($C3,Releases!$C$3:$C$11,0),MATCH(O$1,Releases!$C$3:$BZ$3,0)),0)</f>
        <v>0</v>
      </c>
      <c r="P3" s="82">
        <f>IFERROR(INDEX(Releases!$C$3:$BZ$11,MATCH($C3,Releases!$C$3:$C$11,0),MATCH(P$1,Releases!$C$3:$BZ$3,0)),0)</f>
        <v>0</v>
      </c>
      <c r="Q3" s="82">
        <f>IFERROR(INDEX(Releases!$C$3:$BZ$11,MATCH($C3,Releases!$C$3:$C$11,0),MATCH(Q$1,Releases!$C$3:$BZ$3,0)),0)</f>
        <v>0</v>
      </c>
      <c r="R3" s="82">
        <f>IFERROR(INDEX(Releases!$C$3:$BZ$11,MATCH($C3,Releases!$C$3:$C$11,0),MATCH(R$1,Releases!$C$3:$BZ$3,0)),0)</f>
        <v>0</v>
      </c>
      <c r="S3" s="82">
        <f>IFERROR(INDEX(Releases!$C$3:$BZ$11,MATCH($C3,Releases!$C$3:$C$11,0),MATCH(S$1,Releases!$C$3:$BZ$3,0)),0)</f>
        <v>0</v>
      </c>
      <c r="T3" s="82">
        <f>IFERROR(INDEX(Releases!$C$3:$BZ$11,MATCH($C3,Releases!$C$3:$C$11,0),MATCH(T$1,Releases!$C$3:$BZ$3,0)),0)</f>
        <v>0</v>
      </c>
      <c r="U3" s="82">
        <f>IFERROR(INDEX(Releases!$C$3:$BZ$11,MATCH($C3,Releases!$C$3:$C$11,0),MATCH(U$1,Releases!$C$3:$BZ$3,0)),0)</f>
        <v>0</v>
      </c>
      <c r="V3" s="82">
        <f>IFERROR(INDEX(Releases!$C$3:$BZ$11,MATCH($C3,Releases!$C$3:$C$11,0),MATCH(V$1,Releases!$C$3:$BZ$3,0)),0)</f>
        <v>0</v>
      </c>
      <c r="W3" s="82">
        <f>IFERROR(INDEX(Releases!$C$3:$BZ$11,MATCH($C3,Releases!$C$3:$C$11,0),MATCH(W$1,Releases!$C$3:$BZ$3,0)),0)</f>
        <v>0</v>
      </c>
      <c r="X3" s="82">
        <f>IFERROR(INDEX(Releases!$C$3:$BZ$11,MATCH($C3,Releases!$C$3:$C$11,0),MATCH(X$1,Releases!$C$3:$BZ$3,0)),0)</f>
        <v>0</v>
      </c>
      <c r="Y3" s="82">
        <f>IFERROR(INDEX(Releases!$C$3:$BZ$11,MATCH($C3,Releases!$C$3:$C$11,0),MATCH(Y$1,Releases!$C$3:$BZ$3,0)),0)</f>
        <v>0</v>
      </c>
      <c r="Z3" s="82">
        <f>IFERROR(INDEX(Releases!$C$3:$BZ$11,MATCH($C3,Releases!$C$3:$C$11,0),MATCH(Z$1,Releases!$C$3:$BZ$3,0)),0)</f>
        <v>0</v>
      </c>
      <c r="AA3" s="82">
        <f>IFERROR(INDEX(Releases!$C$3:$BZ$11,MATCH($C3,Releases!$C$3:$C$11,0),MATCH(AA$1,Releases!$C$3:$BZ$3,0)),0)</f>
        <v>0</v>
      </c>
      <c r="AB3" s="82">
        <f>IFERROR(INDEX(Releases!$C$3:$BZ$11,MATCH($C3,Releases!$C$3:$C$11,0),MATCH(AB$1,Releases!$C$3:$BZ$3,0)),0)</f>
        <v>0</v>
      </c>
      <c r="AC3" s="82">
        <f>IFERROR(INDEX(Releases!$C$3:$BZ$11,MATCH($C3,Releases!$C$3:$C$11,0),MATCH(AC$1,Releases!$C$3:$BZ$3,0)),0)</f>
        <v>0</v>
      </c>
      <c r="AD3" s="82">
        <f>IFERROR(INDEX(Releases!$C$3:$BZ$11,MATCH($C3,Releases!$C$3:$C$11,0),MATCH(AD$1,Releases!$C$3:$BZ$3,0)),0)</f>
        <v>0</v>
      </c>
      <c r="AE3" s="82">
        <f>IFERROR(INDEX(Releases!$C$3:$BZ$11,MATCH($C3,Releases!$C$3:$C$11,0),MATCH(AE$1,Releases!$C$3:$BZ$3,0)),0)</f>
        <v>0</v>
      </c>
      <c r="AF3" s="82">
        <f>IFERROR(INDEX(Releases!$C$3:$BZ$11,MATCH($C3,Releases!$C$3:$C$11,0),MATCH(AF$1,Releases!$C$3:$BZ$3,0)),0)</f>
        <v>0</v>
      </c>
      <c r="AG3" s="82">
        <f>IFERROR(INDEX(Releases!$C$3:$BZ$11,MATCH($C3,Releases!$C$3:$C$11,0),MATCH(AG$1,Releases!$C$3:$BZ$3,0)),0)</f>
        <v>0</v>
      </c>
      <c r="AH3" s="82">
        <f>IFERROR(INDEX(Releases!$C$3:$BZ$11,MATCH($C3,Releases!$C$3:$C$11,0),MATCH(AH$1,Releases!$C$3:$BZ$3,0)),0)</f>
        <v>0</v>
      </c>
      <c r="AI3" s="82">
        <f>IFERROR(INDEX(Releases!$C$3:$BZ$11,MATCH($C3,Releases!$C$3:$C$11,0),MATCH(AI$1,Releases!$C$3:$BZ$3,0)),0)</f>
        <v>0</v>
      </c>
      <c r="AJ3" s="82">
        <f>IFERROR(INDEX(Releases!$C$3:$BZ$11,MATCH($C3,Releases!$C$3:$C$11,0),MATCH(AJ$1,Releases!$C$3:$BZ$3,0)),0)</f>
        <v>0</v>
      </c>
      <c r="AK3" s="82">
        <f>IFERROR(INDEX(Releases!$C$3:$BZ$11,MATCH($C3,Releases!$C$3:$C$11,0),MATCH(AK$1,Releases!$C$3:$BZ$3,0)),0)</f>
        <v>0</v>
      </c>
      <c r="AL3" s="82">
        <f>IFERROR(INDEX(Releases!$C$3:$BZ$11,MATCH($C3,Releases!$C$3:$C$11,0),MATCH(AL$1,Releases!$C$3:$BZ$3,0)),0)</f>
        <v>0</v>
      </c>
      <c r="AM3" s="82">
        <f>IFERROR(INDEX(Releases!$C$3:$BZ$11,MATCH($C3,Releases!$C$3:$C$11,0),MATCH(AM$1,Releases!$C$3:$BZ$3,0)),0)</f>
        <v>0</v>
      </c>
      <c r="AN3" s="82">
        <f>IFERROR(INDEX(Releases!$C$3:$BZ$11,MATCH($C3,Releases!$C$3:$C$11,0),MATCH(AN$1,Releases!$C$3:$BZ$3,0)),0)</f>
        <v>0</v>
      </c>
      <c r="AO3" s="82">
        <f>IFERROR(INDEX(Releases!$C$3:$BZ$11,MATCH($C3,Releases!$C$3:$C$11,0),MATCH(AO$1,Releases!$C$3:$BZ$3,0)),0)</f>
        <v>0</v>
      </c>
      <c r="AP3" s="82">
        <f>IFERROR(INDEX(Releases!$C$3:$BZ$11,MATCH($C3,Releases!$C$3:$C$11,0),MATCH(AP$1,Releases!$C$3:$BZ$3,0)),0)</f>
        <v>0</v>
      </c>
      <c r="AQ3" s="82">
        <f>IFERROR(INDEX(Releases!$C$3:$BZ$11,MATCH($C3,Releases!$C$3:$C$11,0),MATCH(AQ$1,Releases!$C$3:$BZ$3,0)),0)</f>
        <v>0</v>
      </c>
      <c r="AR3" s="82">
        <f>IFERROR(INDEX(Releases!$C$3:$BZ$11,MATCH($C3,Releases!$C$3:$C$11,0),MATCH(AR$1,Releases!$C$3:$BZ$3,0)),0)</f>
        <v>0</v>
      </c>
      <c r="AS3" s="82">
        <f>IFERROR(INDEX(Releases!$C$3:$BZ$11,MATCH($C3,Releases!$C$3:$C$11,0),MATCH(AS$1,Releases!$C$3:$BZ$3,0)),0)</f>
        <v>0</v>
      </c>
      <c r="AT3" s="82">
        <f>IFERROR(INDEX(Releases!$C$3:$BZ$11,MATCH($C3,Releases!$C$3:$C$11,0),MATCH(AT$1,Releases!$C$3:$BZ$3,0)),0)</f>
        <v>0</v>
      </c>
      <c r="AU3" s="82">
        <f>IFERROR(INDEX(Releases!$C$3:$BZ$11,MATCH($C3,Releases!$C$3:$C$11,0),MATCH(AU$1,Releases!$C$3:$BZ$3,0)),0)</f>
        <v>0</v>
      </c>
      <c r="AV3" s="82">
        <f>IFERROR(INDEX(Releases!$C$3:$BZ$11,MATCH($C3,Releases!$C$3:$C$11,0),MATCH(AV$1,Releases!$C$3:$BZ$3,0)),0)</f>
        <v>0</v>
      </c>
      <c r="AW3" s="82">
        <f>IFERROR(INDEX(Releases!$C$3:$BZ$11,MATCH($C3,Releases!$C$3:$C$11,0),MATCH(AW$1,Releases!$C$3:$BZ$3,0)),0)</f>
        <v>0</v>
      </c>
      <c r="AX3" s="82">
        <f>IFERROR(INDEX(Releases!$C$3:$BZ$11,MATCH($C3,Releases!$C$3:$C$11,0),MATCH(AX$1,Releases!$C$3:$BZ$3,0)),0)</f>
        <v>0</v>
      </c>
      <c r="AY3" s="82">
        <f>IFERROR(INDEX(Releases!$C$3:$BZ$11,MATCH($C3,Releases!$C$3:$C$11,0),MATCH(AY$1,Releases!$C$3:$BZ$3,0)),0)</f>
        <v>0</v>
      </c>
      <c r="AZ3" s="82">
        <f>IFERROR(INDEX(Releases!$C$3:$BZ$11,MATCH($C3,Releases!$C$3:$C$11,0),MATCH(AZ$1,Releases!$C$3:$BZ$3,0)),0)</f>
        <v>0</v>
      </c>
      <c r="BA3" s="82">
        <f>IFERROR(INDEX(Releases!$C$3:$BZ$11,MATCH($C3,Releases!$C$3:$C$11,0),MATCH(BA$1,Releases!$C$3:$BZ$3,0)),0)</f>
        <v>0</v>
      </c>
      <c r="BB3" s="82">
        <f>IFERROR(INDEX(Releases!$C$3:$BZ$11,MATCH($C3,Releases!$C$3:$C$11,0),MATCH(BB$1,Releases!$C$3:$BZ$3,0)),0)</f>
        <v>0</v>
      </c>
      <c r="BC3" s="82">
        <f>IFERROR(INDEX(Releases!$C$3:$BZ$11,MATCH($C3,Releases!$C$3:$C$11,0),MATCH(BC$1,Releases!$C$3:$BZ$3,0)),0)</f>
        <v>0</v>
      </c>
      <c r="BD3" s="82">
        <f>IFERROR(INDEX(Releases!$C$3:$BZ$11,MATCH($C3,Releases!$C$3:$C$11,0),MATCH(BD$1,Releases!$C$3:$BZ$3,0)),0)</f>
        <v>0</v>
      </c>
      <c r="BE3" s="82">
        <f>IFERROR(INDEX(Releases!$C$3:$BZ$11,MATCH($C3,Releases!$C$3:$C$11,0),MATCH(BE$1,Releases!$C$3:$BZ$3,0)),0)</f>
        <v>0</v>
      </c>
      <c r="BF3" s="82">
        <f>IFERROR(INDEX(Releases!$C$3:$BZ$11,MATCH($C3,Releases!$C$3:$C$11,0),MATCH(BF$1,Releases!$C$3:$BZ$3,0)),0)</f>
        <v>0</v>
      </c>
      <c r="BG3" s="82">
        <f>IFERROR(INDEX(Releases!$C$3:$BZ$11,MATCH($C3,Releases!$C$3:$C$11,0),MATCH(BG$1,Releases!$C$3:$BZ$3,0)),0)</f>
        <v>0</v>
      </c>
      <c r="BH3" s="82">
        <f>IFERROR(INDEX(Releases!$C$3:$BZ$11,MATCH($C3,Releases!$C$3:$C$11,0),MATCH(BH$1,Releases!$C$3:$BZ$3,0)),0)</f>
        <v>0</v>
      </c>
      <c r="BI3" s="82">
        <f>IFERROR(INDEX(Releases!$C$3:$BZ$11,MATCH($C3,Releases!$C$3:$C$11,0),MATCH(BI$1,Releases!$C$3:$BZ$3,0)),0)</f>
        <v>0</v>
      </c>
      <c r="BJ3" s="82">
        <f>IFERROR(INDEX(Releases!$C$3:$BZ$11,MATCH($C3,Releases!$C$3:$C$11,0),MATCH(BJ$1,Releases!$C$3:$BZ$3,0)),0)</f>
        <v>0</v>
      </c>
      <c r="BK3" s="82">
        <f>IFERROR(INDEX(Releases!$C$3:$BZ$11,MATCH($C3,Releases!$C$3:$C$11,0),MATCH(BK$1,Releases!$C$3:$BZ$3,0)),0)</f>
        <v>0</v>
      </c>
      <c r="BL3" s="82">
        <f>IFERROR(INDEX(Releases!$C$3:$BZ$11,MATCH($C3,Releases!$C$3:$C$11,0),MATCH(BL$1,Releases!$C$3:$BZ$3,0)),0)</f>
        <v>0</v>
      </c>
      <c r="BM3" s="82">
        <f>IFERROR(INDEX(Releases!$C$3:$BZ$11,MATCH($C3,Releases!$C$3:$C$11,0),MATCH(BM$1,Releases!$C$3:$BZ$3,0)),0)</f>
        <v>0</v>
      </c>
      <c r="BN3" s="82">
        <f>IFERROR(INDEX(Releases!$C$3:$BZ$11,MATCH($C3,Releases!$C$3:$C$11,0),MATCH(BN$1,Releases!$C$3:$BZ$3,0)),0)</f>
        <v>0</v>
      </c>
      <c r="BO3" s="82">
        <f>IFERROR(INDEX(Releases!$C$3:$BZ$11,MATCH($C3,Releases!$C$3:$C$11,0),MATCH(BO$1,Releases!$C$3:$BZ$3,0)),0)</f>
        <v>0</v>
      </c>
      <c r="BP3" s="82">
        <f>IFERROR(INDEX(Releases!$C$3:$BZ$11,MATCH($C3,Releases!$C$3:$C$11,0),MATCH(BP$1,Releases!$C$3:$BZ$3,0)),0)</f>
        <v>0</v>
      </c>
      <c r="BQ3" s="82">
        <f>IFERROR(INDEX(Releases!$C$3:$BZ$11,MATCH($C3,Releases!$C$3:$C$11,0),MATCH(BQ$1,Releases!$C$3:$BZ$3,0)),0)</f>
        <v>0</v>
      </c>
      <c r="BR3" s="82">
        <f>IFERROR(INDEX(Releases!$C$3:$BZ$11,MATCH($C3,Releases!$C$3:$C$11,0),MATCH(BR$1,Releases!$C$3:$BZ$3,0)),0)</f>
        <v>0</v>
      </c>
    </row>
    <row r="4" spans="1:70" s="32" customFormat="1">
      <c r="A4" s="45">
        <f>Releases!$D$1</f>
        <v>45978</v>
      </c>
      <c r="B4" s="71" t="s">
        <v>14</v>
      </c>
      <c r="C4" s="72" t="s">
        <v>25</v>
      </c>
      <c r="D4" s="81">
        <f>IFERROR(INDEX(Releases!$C$3:$BZ$11,MATCH($C4,Releases!$C$3:$C$11,0),MATCH(D$1,Releases!$C$3:$BZ$3,0)),0)</f>
        <v>0</v>
      </c>
      <c r="E4" s="81">
        <f>IFERROR(INDEX(Releases!$C$3:$BZ$11,MATCH($C4,Releases!$C$3:$C$11,0),MATCH(E$1,Releases!$C$3:$BZ$3,0)),0)</f>
        <v>0</v>
      </c>
      <c r="F4" s="81">
        <f>IFERROR(INDEX(Releases!$C$3:$BZ$11,MATCH($C4,Releases!$C$3:$C$11,0),MATCH(F$1,Releases!$C$3:$BZ$3,0)),0)</f>
        <v>0</v>
      </c>
      <c r="G4" s="81">
        <f>IFERROR(INDEX(Releases!$C$3:$BZ$11,MATCH($C4,Releases!$C$3:$C$11,0),MATCH(G$1,Releases!$C$3:$BZ$3,0)),0)</f>
        <v>0</v>
      </c>
      <c r="H4" s="81">
        <f>IFERROR(INDEX(Releases!$C$3:$BZ$11,MATCH($C4,Releases!$C$3:$C$11,0),MATCH(H$1,Releases!$C$3:$BZ$3,0)),0)</f>
        <v>0</v>
      </c>
      <c r="I4" s="81">
        <f>IFERROR(INDEX(Releases!$C$3:$BZ$11,MATCH($C4,Releases!$C$3:$C$11,0),MATCH(I$1,Releases!$C$3:$BZ$3,0)),0)</f>
        <v>0</v>
      </c>
      <c r="J4" s="81">
        <f>IFERROR(INDEX(Releases!$C$3:$BZ$11,MATCH($C4,Releases!$C$3:$C$11,0),MATCH(J$1,Releases!$C$3:$BZ$3,0)),0)</f>
        <v>0</v>
      </c>
      <c r="K4" s="81">
        <f>IFERROR(INDEX(Releases!$C$3:$BZ$11,MATCH($C4,Releases!$C$3:$C$11,0),MATCH(K$1,Releases!$C$3:$BZ$3,0)),0)</f>
        <v>0</v>
      </c>
      <c r="L4" s="81">
        <f>IFERROR(INDEX(Releases!$C$3:$BZ$11,MATCH($C4,Releases!$C$3:$C$11,0),MATCH(L$1,Releases!$C$3:$BZ$3,0)),0)</f>
        <v>0</v>
      </c>
      <c r="M4" s="81">
        <f>IFERROR(INDEX(Releases!$C$3:$BZ$11,MATCH($C4,Releases!$C$3:$C$11,0),MATCH(M$1,Releases!$C$3:$BZ$3,0)),0)</f>
        <v>0</v>
      </c>
      <c r="N4" s="81">
        <f>IFERROR(INDEX(Releases!$C$3:$BZ$11,MATCH($C4,Releases!$C$3:$C$11,0),MATCH(N$1,Releases!$C$3:$BZ$3,0)),0)</f>
        <v>0</v>
      </c>
      <c r="O4" s="81">
        <f>IFERROR(INDEX(Releases!$C$3:$BZ$11,MATCH($C4,Releases!$C$3:$C$11,0),MATCH(O$1,Releases!$C$3:$BZ$3,0)),0)</f>
        <v>0</v>
      </c>
      <c r="P4" s="81">
        <f>IFERROR(INDEX(Releases!$C$3:$BZ$11,MATCH($C4,Releases!$C$3:$C$11,0),MATCH(P$1,Releases!$C$3:$BZ$3,0)),0)</f>
        <v>0</v>
      </c>
      <c r="Q4" s="81">
        <f>IFERROR(INDEX(Releases!$C$3:$BZ$11,MATCH($C4,Releases!$C$3:$C$11,0),MATCH(Q$1,Releases!$C$3:$BZ$3,0)),0)</f>
        <v>0</v>
      </c>
      <c r="R4" s="81">
        <f>IFERROR(INDEX(Releases!$C$3:$BZ$11,MATCH($C4,Releases!$C$3:$C$11,0),MATCH(R$1,Releases!$C$3:$BZ$3,0)),0)</f>
        <v>0</v>
      </c>
      <c r="S4" s="81">
        <f>IFERROR(INDEX(Releases!$C$3:$BZ$11,MATCH($C4,Releases!$C$3:$C$11,0),MATCH(S$1,Releases!$C$3:$BZ$3,0)),0)</f>
        <v>0</v>
      </c>
      <c r="T4" s="81">
        <f>IFERROR(INDEX(Releases!$C$3:$BZ$11,MATCH($C4,Releases!$C$3:$C$11,0),MATCH(T$1,Releases!$C$3:$BZ$3,0)),0)</f>
        <v>0</v>
      </c>
      <c r="U4" s="81">
        <f>IFERROR(INDEX(Releases!$C$3:$BZ$11,MATCH($C4,Releases!$C$3:$C$11,0),MATCH(U$1,Releases!$C$3:$BZ$3,0)),0)</f>
        <v>0</v>
      </c>
      <c r="V4" s="81">
        <f>IFERROR(INDEX(Releases!$C$3:$BZ$11,MATCH($C4,Releases!$C$3:$C$11,0),MATCH(V$1,Releases!$C$3:$BZ$3,0)),0)</f>
        <v>0</v>
      </c>
      <c r="W4" s="81">
        <f>IFERROR(INDEX(Releases!$C$3:$BZ$11,MATCH($C4,Releases!$C$3:$C$11,0),MATCH(W$1,Releases!$C$3:$BZ$3,0)),0)</f>
        <v>0</v>
      </c>
      <c r="X4" s="81">
        <f>IFERROR(INDEX(Releases!$C$3:$BZ$11,MATCH($C4,Releases!$C$3:$C$11,0),MATCH(X$1,Releases!$C$3:$BZ$3,0)),0)</f>
        <v>0</v>
      </c>
      <c r="Y4" s="81">
        <f>IFERROR(INDEX(Releases!$C$3:$BZ$11,MATCH($C4,Releases!$C$3:$C$11,0),MATCH(Y$1,Releases!$C$3:$BZ$3,0)),0)</f>
        <v>0</v>
      </c>
      <c r="Z4" s="81">
        <f>IFERROR(INDEX(Releases!$C$3:$BZ$11,MATCH($C4,Releases!$C$3:$C$11,0),MATCH(Z$1,Releases!$C$3:$BZ$3,0)),0)</f>
        <v>0</v>
      </c>
      <c r="AA4" s="81">
        <f>IFERROR(INDEX(Releases!$C$3:$BZ$11,MATCH($C4,Releases!$C$3:$C$11,0),MATCH(AA$1,Releases!$C$3:$BZ$3,0)),0)</f>
        <v>0</v>
      </c>
      <c r="AB4" s="81">
        <f>IFERROR(INDEX(Releases!$C$3:$BZ$11,MATCH($C4,Releases!$C$3:$C$11,0),MATCH(AB$1,Releases!$C$3:$BZ$3,0)),0)</f>
        <v>0</v>
      </c>
      <c r="AC4" s="81">
        <f>IFERROR(INDEX(Releases!$C$3:$BZ$11,MATCH($C4,Releases!$C$3:$C$11,0),MATCH(AC$1,Releases!$C$3:$BZ$3,0)),0)</f>
        <v>0</v>
      </c>
      <c r="AD4" s="81">
        <f>IFERROR(INDEX(Releases!$C$3:$BZ$11,MATCH($C4,Releases!$C$3:$C$11,0),MATCH(AD$1,Releases!$C$3:$BZ$3,0)),0)</f>
        <v>0</v>
      </c>
      <c r="AE4" s="81">
        <f>IFERROR(INDEX(Releases!$C$3:$BZ$11,MATCH($C4,Releases!$C$3:$C$11,0),MATCH(AE$1,Releases!$C$3:$BZ$3,0)),0)</f>
        <v>0</v>
      </c>
      <c r="AF4" s="81">
        <f>IFERROR(INDEX(Releases!$C$3:$BZ$11,MATCH($C4,Releases!$C$3:$C$11,0),MATCH(AF$1,Releases!$C$3:$BZ$3,0)),0)</f>
        <v>0</v>
      </c>
      <c r="AG4" s="81">
        <f>IFERROR(INDEX(Releases!$C$3:$BZ$11,MATCH($C4,Releases!$C$3:$C$11,0),MATCH(AG$1,Releases!$C$3:$BZ$3,0)),0)</f>
        <v>0</v>
      </c>
      <c r="AH4" s="81">
        <f>IFERROR(INDEX(Releases!$C$3:$BZ$11,MATCH($C4,Releases!$C$3:$C$11,0),MATCH(AH$1,Releases!$C$3:$BZ$3,0)),0)</f>
        <v>0</v>
      </c>
      <c r="AI4" s="81">
        <f>IFERROR(INDEX(Releases!$C$3:$BZ$11,MATCH($C4,Releases!$C$3:$C$11,0),MATCH(AI$1,Releases!$C$3:$BZ$3,0)),0)</f>
        <v>0</v>
      </c>
      <c r="AJ4" s="81">
        <f>IFERROR(INDEX(Releases!$C$3:$BZ$11,MATCH($C4,Releases!$C$3:$C$11,0),MATCH(AJ$1,Releases!$C$3:$BZ$3,0)),0)</f>
        <v>0</v>
      </c>
      <c r="AK4" s="81">
        <f>IFERROR(INDEX(Releases!$C$3:$BZ$11,MATCH($C4,Releases!$C$3:$C$11,0),MATCH(AK$1,Releases!$C$3:$BZ$3,0)),0)</f>
        <v>0</v>
      </c>
      <c r="AL4" s="81">
        <f>IFERROR(INDEX(Releases!$C$3:$BZ$11,MATCH($C4,Releases!$C$3:$C$11,0),MATCH(AL$1,Releases!$C$3:$BZ$3,0)),0)</f>
        <v>0</v>
      </c>
      <c r="AM4" s="81">
        <f>IFERROR(INDEX(Releases!$C$3:$BZ$11,MATCH($C4,Releases!$C$3:$C$11,0),MATCH(AM$1,Releases!$C$3:$BZ$3,0)),0)</f>
        <v>0</v>
      </c>
      <c r="AN4" s="81">
        <f>IFERROR(INDEX(Releases!$C$3:$BZ$11,MATCH($C4,Releases!$C$3:$C$11,0),MATCH(AN$1,Releases!$C$3:$BZ$3,0)),0)</f>
        <v>0</v>
      </c>
      <c r="AO4" s="81">
        <f>IFERROR(INDEX(Releases!$C$3:$BZ$11,MATCH($C4,Releases!$C$3:$C$11,0),MATCH(AO$1,Releases!$C$3:$BZ$3,0)),0)</f>
        <v>0</v>
      </c>
      <c r="AP4" s="81">
        <f>IFERROR(INDEX(Releases!$C$3:$BZ$11,MATCH($C4,Releases!$C$3:$C$11,0),MATCH(AP$1,Releases!$C$3:$BZ$3,0)),0)</f>
        <v>0</v>
      </c>
      <c r="AQ4" s="81">
        <f>IFERROR(INDEX(Releases!$C$3:$BZ$11,MATCH($C4,Releases!$C$3:$C$11,0),MATCH(AQ$1,Releases!$C$3:$BZ$3,0)),0)</f>
        <v>0</v>
      </c>
      <c r="AR4" s="81">
        <f>IFERROR(INDEX(Releases!$C$3:$BZ$11,MATCH($C4,Releases!$C$3:$C$11,0),MATCH(AR$1,Releases!$C$3:$BZ$3,0)),0)</f>
        <v>0</v>
      </c>
      <c r="AS4" s="81">
        <f>IFERROR(INDEX(Releases!$C$3:$BZ$11,MATCH($C4,Releases!$C$3:$C$11,0),MATCH(AS$1,Releases!$C$3:$BZ$3,0)),0)</f>
        <v>0</v>
      </c>
      <c r="AT4" s="81">
        <f>IFERROR(INDEX(Releases!$C$3:$BZ$11,MATCH($C4,Releases!$C$3:$C$11,0),MATCH(AT$1,Releases!$C$3:$BZ$3,0)),0)</f>
        <v>0</v>
      </c>
      <c r="AU4" s="81">
        <f>IFERROR(INDEX(Releases!$C$3:$BZ$11,MATCH($C4,Releases!$C$3:$C$11,0),MATCH(AU$1,Releases!$C$3:$BZ$3,0)),0)</f>
        <v>0</v>
      </c>
      <c r="AV4" s="81">
        <f>IFERROR(INDEX(Releases!$C$3:$BZ$11,MATCH($C4,Releases!$C$3:$C$11,0),MATCH(AV$1,Releases!$C$3:$BZ$3,0)),0)</f>
        <v>0</v>
      </c>
      <c r="AW4" s="81">
        <f>IFERROR(INDEX(Releases!$C$3:$BZ$11,MATCH($C4,Releases!$C$3:$C$11,0),MATCH(AW$1,Releases!$C$3:$BZ$3,0)),0)</f>
        <v>0</v>
      </c>
      <c r="AX4" s="81">
        <f>IFERROR(INDEX(Releases!$C$3:$BZ$11,MATCH($C4,Releases!$C$3:$C$11,0),MATCH(AX$1,Releases!$C$3:$BZ$3,0)),0)</f>
        <v>0</v>
      </c>
      <c r="AY4" s="81">
        <f>IFERROR(INDEX(Releases!$C$3:$BZ$11,MATCH($C4,Releases!$C$3:$C$11,0),MATCH(AY$1,Releases!$C$3:$BZ$3,0)),0)</f>
        <v>0</v>
      </c>
      <c r="AZ4" s="81">
        <f>IFERROR(INDEX(Releases!$C$3:$BZ$11,MATCH($C4,Releases!$C$3:$C$11,0),MATCH(AZ$1,Releases!$C$3:$BZ$3,0)),0)</f>
        <v>0</v>
      </c>
      <c r="BA4" s="81">
        <f>IFERROR(INDEX(Releases!$C$3:$BZ$11,MATCH($C4,Releases!$C$3:$C$11,0),MATCH(BA$1,Releases!$C$3:$BZ$3,0)),0)</f>
        <v>0</v>
      </c>
      <c r="BB4" s="81">
        <f>IFERROR(INDEX(Releases!$C$3:$BZ$11,MATCH($C4,Releases!$C$3:$C$11,0),MATCH(BB$1,Releases!$C$3:$BZ$3,0)),0)</f>
        <v>0</v>
      </c>
      <c r="BC4" s="81">
        <f>IFERROR(INDEX(Releases!$C$3:$BZ$11,MATCH($C4,Releases!$C$3:$C$11,0),MATCH(BC$1,Releases!$C$3:$BZ$3,0)),0)</f>
        <v>0</v>
      </c>
      <c r="BD4" s="81">
        <f>IFERROR(INDEX(Releases!$C$3:$BZ$11,MATCH($C4,Releases!$C$3:$C$11,0),MATCH(BD$1,Releases!$C$3:$BZ$3,0)),0)</f>
        <v>0</v>
      </c>
      <c r="BE4" s="81">
        <f>IFERROR(INDEX(Releases!$C$3:$BZ$11,MATCH($C4,Releases!$C$3:$C$11,0),MATCH(BE$1,Releases!$C$3:$BZ$3,0)),0)</f>
        <v>0</v>
      </c>
      <c r="BF4" s="81">
        <f>IFERROR(INDEX(Releases!$C$3:$BZ$11,MATCH($C4,Releases!$C$3:$C$11,0),MATCH(BF$1,Releases!$C$3:$BZ$3,0)),0)</f>
        <v>0</v>
      </c>
      <c r="BG4" s="81">
        <f>IFERROR(INDEX(Releases!$C$3:$BZ$11,MATCH($C4,Releases!$C$3:$C$11,0),MATCH(BG$1,Releases!$C$3:$BZ$3,0)),0)</f>
        <v>0</v>
      </c>
      <c r="BH4" s="81">
        <f>IFERROR(INDEX(Releases!$C$3:$BZ$11,MATCH($C4,Releases!$C$3:$C$11,0),MATCH(BH$1,Releases!$C$3:$BZ$3,0)),0)</f>
        <v>0</v>
      </c>
      <c r="BI4" s="81">
        <f>IFERROR(INDEX(Releases!$C$3:$BZ$11,MATCH($C4,Releases!$C$3:$C$11,0),MATCH(BI$1,Releases!$C$3:$BZ$3,0)),0)</f>
        <v>0</v>
      </c>
      <c r="BJ4" s="81">
        <f>IFERROR(INDEX(Releases!$C$3:$BZ$11,MATCH($C4,Releases!$C$3:$C$11,0),MATCH(BJ$1,Releases!$C$3:$BZ$3,0)),0)</f>
        <v>0</v>
      </c>
      <c r="BK4" s="81">
        <f>IFERROR(INDEX(Releases!$C$3:$BZ$11,MATCH($C4,Releases!$C$3:$C$11,0),MATCH(BK$1,Releases!$C$3:$BZ$3,0)),0)</f>
        <v>0</v>
      </c>
      <c r="BL4" s="81">
        <f>IFERROR(INDEX(Releases!$C$3:$BZ$11,MATCH($C4,Releases!$C$3:$C$11,0),MATCH(BL$1,Releases!$C$3:$BZ$3,0)),0)</f>
        <v>0</v>
      </c>
      <c r="BM4" s="81">
        <f>IFERROR(INDEX(Releases!$C$3:$BZ$11,MATCH($C4,Releases!$C$3:$C$11,0),MATCH(BM$1,Releases!$C$3:$BZ$3,0)),0)</f>
        <v>0</v>
      </c>
      <c r="BN4" s="81">
        <f>IFERROR(INDEX(Releases!$C$3:$BZ$11,MATCH($C4,Releases!$C$3:$C$11,0),MATCH(BN$1,Releases!$C$3:$BZ$3,0)),0)</f>
        <v>0</v>
      </c>
      <c r="BO4" s="81">
        <f>IFERROR(INDEX(Releases!$C$3:$BZ$11,MATCH($C4,Releases!$C$3:$C$11,0),MATCH(BO$1,Releases!$C$3:$BZ$3,0)),0)</f>
        <v>0</v>
      </c>
      <c r="BP4" s="81">
        <f>IFERROR(INDEX(Releases!$C$3:$BZ$11,MATCH($C4,Releases!$C$3:$C$11,0),MATCH(BP$1,Releases!$C$3:$BZ$3,0)),0)</f>
        <v>0</v>
      </c>
      <c r="BQ4" s="81">
        <f>IFERROR(INDEX(Releases!$C$3:$BZ$11,MATCH($C4,Releases!$C$3:$C$11,0),MATCH(BQ$1,Releases!$C$3:$BZ$3,0)),0)</f>
        <v>0</v>
      </c>
      <c r="BR4" s="81">
        <f>IFERROR(INDEX(Releases!$C$3:$BZ$11,MATCH($C4,Releases!$C$3:$C$11,0),MATCH(BR$1,Releases!$C$3:$BZ$3,0)),0)</f>
        <v>0</v>
      </c>
    </row>
    <row r="5" spans="1:70" s="78" customFormat="1" ht="12">
      <c r="A5" s="77">
        <f>Releases!$D$1</f>
        <v>45978</v>
      </c>
      <c r="B5" s="73"/>
      <c r="C5" s="74" t="s">
        <v>35</v>
      </c>
      <c r="D5" s="82">
        <f>IFERROR(INDEX(Releases!$C$3:$BZ$11,MATCH($C5,Releases!$C$3:$C$11,0),MATCH(D$1,Releases!$C$3:$BZ$3,0)),0)</f>
        <v>0</v>
      </c>
      <c r="E5" s="82">
        <f>IFERROR(INDEX(Releases!$C$3:$BZ$11,MATCH($C5,Releases!$C$3:$C$11,0),MATCH(E$1,Releases!$C$3:$BZ$3,0)),0)</f>
        <v>0</v>
      </c>
      <c r="F5" s="82">
        <f>IFERROR(INDEX(Releases!$C$3:$BZ$11,MATCH($C5,Releases!$C$3:$C$11,0),MATCH(F$1,Releases!$C$3:$BZ$3,0)),0)</f>
        <v>0</v>
      </c>
      <c r="G5" s="82">
        <f>IFERROR(INDEX(Releases!$C$3:$BZ$11,MATCH($C5,Releases!$C$3:$C$11,0),MATCH(G$1,Releases!$C$3:$BZ$3,0)),0)</f>
        <v>0</v>
      </c>
      <c r="H5" s="82">
        <f>IFERROR(INDEX(Releases!$C$3:$BZ$11,MATCH($C5,Releases!$C$3:$C$11,0),MATCH(H$1,Releases!$C$3:$BZ$3,0)),0)</f>
        <v>0</v>
      </c>
      <c r="I5" s="82">
        <f>IFERROR(INDEX(Releases!$C$3:$BZ$11,MATCH($C5,Releases!$C$3:$C$11,0),MATCH(I$1,Releases!$C$3:$BZ$3,0)),0)</f>
        <v>0</v>
      </c>
      <c r="J5" s="82">
        <f>IFERROR(INDEX(Releases!$C$3:$BZ$11,MATCH($C5,Releases!$C$3:$C$11,0),MATCH(J$1,Releases!$C$3:$BZ$3,0)),0)</f>
        <v>0</v>
      </c>
      <c r="K5" s="82">
        <f>IFERROR(INDEX(Releases!$C$3:$BZ$11,MATCH($C5,Releases!$C$3:$C$11,0),MATCH(K$1,Releases!$C$3:$BZ$3,0)),0)</f>
        <v>0</v>
      </c>
      <c r="L5" s="82">
        <f>IFERROR(INDEX(Releases!$C$3:$BZ$11,MATCH($C5,Releases!$C$3:$C$11,0),MATCH(L$1,Releases!$C$3:$BZ$3,0)),0)</f>
        <v>0</v>
      </c>
      <c r="M5" s="82">
        <f>IFERROR(INDEX(Releases!$C$3:$BZ$11,MATCH($C5,Releases!$C$3:$C$11,0),MATCH(M$1,Releases!$C$3:$BZ$3,0)),0)</f>
        <v>0</v>
      </c>
      <c r="N5" s="82">
        <f>IFERROR(INDEX(Releases!$C$3:$BZ$11,MATCH($C5,Releases!$C$3:$C$11,0),MATCH(N$1,Releases!$C$3:$BZ$3,0)),0)</f>
        <v>0</v>
      </c>
      <c r="O5" s="82">
        <f>IFERROR(INDEX(Releases!$C$3:$BZ$11,MATCH($C5,Releases!$C$3:$C$11,0),MATCH(O$1,Releases!$C$3:$BZ$3,0)),0)</f>
        <v>0</v>
      </c>
      <c r="P5" s="82">
        <f>IFERROR(INDEX(Releases!$C$3:$BZ$11,MATCH($C5,Releases!$C$3:$C$11,0),MATCH(P$1,Releases!$C$3:$BZ$3,0)),0)</f>
        <v>0</v>
      </c>
      <c r="Q5" s="82">
        <f>IFERROR(INDEX(Releases!$C$3:$BZ$11,MATCH($C5,Releases!$C$3:$C$11,0),MATCH(Q$1,Releases!$C$3:$BZ$3,0)),0)</f>
        <v>0</v>
      </c>
      <c r="R5" s="82">
        <f>IFERROR(INDEX(Releases!$C$3:$BZ$11,MATCH($C5,Releases!$C$3:$C$11,0),MATCH(R$1,Releases!$C$3:$BZ$3,0)),0)</f>
        <v>0</v>
      </c>
      <c r="S5" s="82">
        <f>IFERROR(INDEX(Releases!$C$3:$BZ$11,MATCH($C5,Releases!$C$3:$C$11,0),MATCH(S$1,Releases!$C$3:$BZ$3,0)),0)</f>
        <v>0</v>
      </c>
      <c r="T5" s="82">
        <f>IFERROR(INDEX(Releases!$C$3:$BZ$11,MATCH($C5,Releases!$C$3:$C$11,0),MATCH(T$1,Releases!$C$3:$BZ$3,0)),0)</f>
        <v>0</v>
      </c>
      <c r="U5" s="82">
        <f>IFERROR(INDEX(Releases!$C$3:$BZ$11,MATCH($C5,Releases!$C$3:$C$11,0),MATCH(U$1,Releases!$C$3:$BZ$3,0)),0)</f>
        <v>0</v>
      </c>
      <c r="V5" s="82">
        <f>IFERROR(INDEX(Releases!$C$3:$BZ$11,MATCH($C5,Releases!$C$3:$C$11,0),MATCH(V$1,Releases!$C$3:$BZ$3,0)),0)</f>
        <v>0</v>
      </c>
      <c r="W5" s="82">
        <f>IFERROR(INDEX(Releases!$C$3:$BZ$11,MATCH($C5,Releases!$C$3:$C$11,0),MATCH(W$1,Releases!$C$3:$BZ$3,0)),0)</f>
        <v>0</v>
      </c>
      <c r="X5" s="82">
        <f>IFERROR(INDEX(Releases!$C$3:$BZ$11,MATCH($C5,Releases!$C$3:$C$11,0),MATCH(X$1,Releases!$C$3:$BZ$3,0)),0)</f>
        <v>0</v>
      </c>
      <c r="Y5" s="82">
        <f>IFERROR(INDEX(Releases!$C$3:$BZ$11,MATCH($C5,Releases!$C$3:$C$11,0),MATCH(Y$1,Releases!$C$3:$BZ$3,0)),0)</f>
        <v>0</v>
      </c>
      <c r="Z5" s="82">
        <f>IFERROR(INDEX(Releases!$C$3:$BZ$11,MATCH($C5,Releases!$C$3:$C$11,0),MATCH(Z$1,Releases!$C$3:$BZ$3,0)),0)</f>
        <v>0</v>
      </c>
      <c r="AA5" s="82">
        <f>IFERROR(INDEX(Releases!$C$3:$BZ$11,MATCH($C5,Releases!$C$3:$C$11,0),MATCH(AA$1,Releases!$C$3:$BZ$3,0)),0)</f>
        <v>0</v>
      </c>
      <c r="AB5" s="82">
        <f>IFERROR(INDEX(Releases!$C$3:$BZ$11,MATCH($C5,Releases!$C$3:$C$11,0),MATCH(AB$1,Releases!$C$3:$BZ$3,0)),0)</f>
        <v>0</v>
      </c>
      <c r="AC5" s="82">
        <f>IFERROR(INDEX(Releases!$C$3:$BZ$11,MATCH($C5,Releases!$C$3:$C$11,0),MATCH(AC$1,Releases!$C$3:$BZ$3,0)),0)</f>
        <v>0</v>
      </c>
      <c r="AD5" s="82">
        <f>IFERROR(INDEX(Releases!$C$3:$BZ$11,MATCH($C5,Releases!$C$3:$C$11,0),MATCH(AD$1,Releases!$C$3:$BZ$3,0)),0)</f>
        <v>0</v>
      </c>
      <c r="AE5" s="82">
        <f>IFERROR(INDEX(Releases!$C$3:$BZ$11,MATCH($C5,Releases!$C$3:$C$11,0),MATCH(AE$1,Releases!$C$3:$BZ$3,0)),0)</f>
        <v>0</v>
      </c>
      <c r="AF5" s="82">
        <f>IFERROR(INDEX(Releases!$C$3:$BZ$11,MATCH($C5,Releases!$C$3:$C$11,0),MATCH(AF$1,Releases!$C$3:$BZ$3,0)),0)</f>
        <v>0</v>
      </c>
      <c r="AG5" s="82">
        <f>IFERROR(INDEX(Releases!$C$3:$BZ$11,MATCH($C5,Releases!$C$3:$C$11,0),MATCH(AG$1,Releases!$C$3:$BZ$3,0)),0)</f>
        <v>0</v>
      </c>
      <c r="AH5" s="82">
        <f>IFERROR(INDEX(Releases!$C$3:$BZ$11,MATCH($C5,Releases!$C$3:$C$11,0),MATCH(AH$1,Releases!$C$3:$BZ$3,0)),0)</f>
        <v>0</v>
      </c>
      <c r="AI5" s="82">
        <f>IFERROR(INDEX(Releases!$C$3:$BZ$11,MATCH($C5,Releases!$C$3:$C$11,0),MATCH(AI$1,Releases!$C$3:$BZ$3,0)),0)</f>
        <v>0</v>
      </c>
      <c r="AJ5" s="82">
        <f>IFERROR(INDEX(Releases!$C$3:$BZ$11,MATCH($C5,Releases!$C$3:$C$11,0),MATCH(AJ$1,Releases!$C$3:$BZ$3,0)),0)</f>
        <v>0</v>
      </c>
      <c r="AK5" s="82">
        <f>IFERROR(INDEX(Releases!$C$3:$BZ$11,MATCH($C5,Releases!$C$3:$C$11,0),MATCH(AK$1,Releases!$C$3:$BZ$3,0)),0)</f>
        <v>0</v>
      </c>
      <c r="AL5" s="82">
        <f>IFERROR(INDEX(Releases!$C$3:$BZ$11,MATCH($C5,Releases!$C$3:$C$11,0),MATCH(AL$1,Releases!$C$3:$BZ$3,0)),0)</f>
        <v>0</v>
      </c>
      <c r="AM5" s="82">
        <f>IFERROR(INDEX(Releases!$C$3:$BZ$11,MATCH($C5,Releases!$C$3:$C$11,0),MATCH(AM$1,Releases!$C$3:$BZ$3,0)),0)</f>
        <v>0</v>
      </c>
      <c r="AN5" s="82">
        <f>IFERROR(INDEX(Releases!$C$3:$BZ$11,MATCH($C5,Releases!$C$3:$C$11,0),MATCH(AN$1,Releases!$C$3:$BZ$3,0)),0)</f>
        <v>0</v>
      </c>
      <c r="AO5" s="82">
        <f>IFERROR(INDEX(Releases!$C$3:$BZ$11,MATCH($C5,Releases!$C$3:$C$11,0),MATCH(AO$1,Releases!$C$3:$BZ$3,0)),0)</f>
        <v>0</v>
      </c>
      <c r="AP5" s="82">
        <f>IFERROR(INDEX(Releases!$C$3:$BZ$11,MATCH($C5,Releases!$C$3:$C$11,0),MATCH(AP$1,Releases!$C$3:$BZ$3,0)),0)</f>
        <v>0</v>
      </c>
      <c r="AQ5" s="82">
        <f>IFERROR(INDEX(Releases!$C$3:$BZ$11,MATCH($C5,Releases!$C$3:$C$11,0),MATCH(AQ$1,Releases!$C$3:$BZ$3,0)),0)</f>
        <v>0</v>
      </c>
      <c r="AR5" s="82">
        <f>IFERROR(INDEX(Releases!$C$3:$BZ$11,MATCH($C5,Releases!$C$3:$C$11,0),MATCH(AR$1,Releases!$C$3:$BZ$3,0)),0)</f>
        <v>0</v>
      </c>
      <c r="AS5" s="82">
        <f>IFERROR(INDEX(Releases!$C$3:$BZ$11,MATCH($C5,Releases!$C$3:$C$11,0),MATCH(AS$1,Releases!$C$3:$BZ$3,0)),0)</f>
        <v>0</v>
      </c>
      <c r="AT5" s="82">
        <f>IFERROR(INDEX(Releases!$C$3:$BZ$11,MATCH($C5,Releases!$C$3:$C$11,0),MATCH(AT$1,Releases!$C$3:$BZ$3,0)),0)</f>
        <v>0</v>
      </c>
      <c r="AU5" s="82">
        <f>IFERROR(INDEX(Releases!$C$3:$BZ$11,MATCH($C5,Releases!$C$3:$C$11,0),MATCH(AU$1,Releases!$C$3:$BZ$3,0)),0)</f>
        <v>0</v>
      </c>
      <c r="AV5" s="82">
        <f>IFERROR(INDEX(Releases!$C$3:$BZ$11,MATCH($C5,Releases!$C$3:$C$11,0),MATCH(AV$1,Releases!$C$3:$BZ$3,0)),0)</f>
        <v>0</v>
      </c>
      <c r="AW5" s="82">
        <f>IFERROR(INDEX(Releases!$C$3:$BZ$11,MATCH($C5,Releases!$C$3:$C$11,0),MATCH(AW$1,Releases!$C$3:$BZ$3,0)),0)</f>
        <v>0</v>
      </c>
      <c r="AX5" s="82">
        <f>IFERROR(INDEX(Releases!$C$3:$BZ$11,MATCH($C5,Releases!$C$3:$C$11,0),MATCH(AX$1,Releases!$C$3:$BZ$3,0)),0)</f>
        <v>0</v>
      </c>
      <c r="AY5" s="82">
        <f>IFERROR(INDEX(Releases!$C$3:$BZ$11,MATCH($C5,Releases!$C$3:$C$11,0),MATCH(AY$1,Releases!$C$3:$BZ$3,0)),0)</f>
        <v>0</v>
      </c>
      <c r="AZ5" s="82">
        <f>IFERROR(INDEX(Releases!$C$3:$BZ$11,MATCH($C5,Releases!$C$3:$C$11,0),MATCH(AZ$1,Releases!$C$3:$BZ$3,0)),0)</f>
        <v>0</v>
      </c>
      <c r="BA5" s="82">
        <f>IFERROR(INDEX(Releases!$C$3:$BZ$11,MATCH($C5,Releases!$C$3:$C$11,0),MATCH(BA$1,Releases!$C$3:$BZ$3,0)),0)</f>
        <v>0</v>
      </c>
      <c r="BB5" s="82">
        <f>IFERROR(INDEX(Releases!$C$3:$BZ$11,MATCH($C5,Releases!$C$3:$C$11,0),MATCH(BB$1,Releases!$C$3:$BZ$3,0)),0)</f>
        <v>0</v>
      </c>
      <c r="BC5" s="82">
        <f>IFERROR(INDEX(Releases!$C$3:$BZ$11,MATCH($C5,Releases!$C$3:$C$11,0),MATCH(BC$1,Releases!$C$3:$BZ$3,0)),0)</f>
        <v>0</v>
      </c>
      <c r="BD5" s="82">
        <f>IFERROR(INDEX(Releases!$C$3:$BZ$11,MATCH($C5,Releases!$C$3:$C$11,0),MATCH(BD$1,Releases!$C$3:$BZ$3,0)),0)</f>
        <v>0</v>
      </c>
      <c r="BE5" s="82">
        <f>IFERROR(INDEX(Releases!$C$3:$BZ$11,MATCH($C5,Releases!$C$3:$C$11,0),MATCH(BE$1,Releases!$C$3:$BZ$3,0)),0)</f>
        <v>0</v>
      </c>
      <c r="BF5" s="82">
        <f>IFERROR(INDEX(Releases!$C$3:$BZ$11,MATCH($C5,Releases!$C$3:$C$11,0),MATCH(BF$1,Releases!$C$3:$BZ$3,0)),0)</f>
        <v>0</v>
      </c>
      <c r="BG5" s="82">
        <f>IFERROR(INDEX(Releases!$C$3:$BZ$11,MATCH($C5,Releases!$C$3:$C$11,0),MATCH(BG$1,Releases!$C$3:$BZ$3,0)),0)</f>
        <v>0</v>
      </c>
      <c r="BH5" s="82">
        <f>IFERROR(INDEX(Releases!$C$3:$BZ$11,MATCH($C5,Releases!$C$3:$C$11,0),MATCH(BH$1,Releases!$C$3:$BZ$3,0)),0)</f>
        <v>0</v>
      </c>
      <c r="BI5" s="82">
        <f>IFERROR(INDEX(Releases!$C$3:$BZ$11,MATCH($C5,Releases!$C$3:$C$11,0),MATCH(BI$1,Releases!$C$3:$BZ$3,0)),0)</f>
        <v>0</v>
      </c>
      <c r="BJ5" s="82">
        <f>IFERROR(INDEX(Releases!$C$3:$BZ$11,MATCH($C5,Releases!$C$3:$C$11,0),MATCH(BJ$1,Releases!$C$3:$BZ$3,0)),0)</f>
        <v>0</v>
      </c>
      <c r="BK5" s="82">
        <f>IFERROR(INDEX(Releases!$C$3:$BZ$11,MATCH($C5,Releases!$C$3:$C$11,0),MATCH(BK$1,Releases!$C$3:$BZ$3,0)),0)</f>
        <v>0</v>
      </c>
      <c r="BL5" s="82">
        <f>IFERROR(INDEX(Releases!$C$3:$BZ$11,MATCH($C5,Releases!$C$3:$C$11,0),MATCH(BL$1,Releases!$C$3:$BZ$3,0)),0)</f>
        <v>0</v>
      </c>
      <c r="BM5" s="82">
        <f>IFERROR(INDEX(Releases!$C$3:$BZ$11,MATCH($C5,Releases!$C$3:$C$11,0),MATCH(BM$1,Releases!$C$3:$BZ$3,0)),0)</f>
        <v>0</v>
      </c>
      <c r="BN5" s="82">
        <f>IFERROR(INDEX(Releases!$C$3:$BZ$11,MATCH($C5,Releases!$C$3:$C$11,0),MATCH(BN$1,Releases!$C$3:$BZ$3,0)),0)</f>
        <v>0</v>
      </c>
      <c r="BO5" s="82">
        <f>IFERROR(INDEX(Releases!$C$3:$BZ$11,MATCH($C5,Releases!$C$3:$C$11,0),MATCH(BO$1,Releases!$C$3:$BZ$3,0)),0)</f>
        <v>0</v>
      </c>
      <c r="BP5" s="82">
        <f>IFERROR(INDEX(Releases!$C$3:$BZ$11,MATCH($C5,Releases!$C$3:$C$11,0),MATCH(BP$1,Releases!$C$3:$BZ$3,0)),0)</f>
        <v>0</v>
      </c>
      <c r="BQ5" s="82">
        <f>IFERROR(INDEX(Releases!$C$3:$BZ$11,MATCH($C5,Releases!$C$3:$C$11,0),MATCH(BQ$1,Releases!$C$3:$BZ$3,0)),0)</f>
        <v>0</v>
      </c>
      <c r="BR5" s="82">
        <f>IFERROR(INDEX(Releases!$C$3:$BZ$11,MATCH($C5,Releases!$C$3:$C$11,0),MATCH(BR$1,Releases!$C$3:$BZ$3,0)),0)</f>
        <v>0</v>
      </c>
    </row>
    <row r="6" spans="1:70" s="32" customFormat="1">
      <c r="A6" s="45">
        <f>Releases!$D$1</f>
        <v>45978</v>
      </c>
      <c r="B6" s="71" t="s">
        <v>15</v>
      </c>
      <c r="C6" s="72" t="s">
        <v>26</v>
      </c>
      <c r="D6" s="81">
        <f>IFERROR(INDEX(Releases!$C$3:$BZ$11,MATCH($C6,Releases!$C$3:$C$11,0),MATCH(D$1,Releases!$C$3:$BZ$3,0)),0)</f>
        <v>0</v>
      </c>
      <c r="E6" s="81">
        <f>IFERROR(INDEX(Releases!$C$3:$BZ$11,MATCH($C6,Releases!$C$3:$C$11,0),MATCH(E$1,Releases!$C$3:$BZ$3,0)),0)</f>
        <v>0</v>
      </c>
      <c r="F6" s="81">
        <f>IFERROR(INDEX(Releases!$C$3:$BZ$11,MATCH($C6,Releases!$C$3:$C$11,0),MATCH(F$1,Releases!$C$3:$BZ$3,0)),0)</f>
        <v>0</v>
      </c>
      <c r="G6" s="81">
        <f>IFERROR(INDEX(Releases!$C$3:$BZ$11,MATCH($C6,Releases!$C$3:$C$11,0),MATCH(G$1,Releases!$C$3:$BZ$3,0)),0)</f>
        <v>0</v>
      </c>
      <c r="H6" s="81">
        <f>IFERROR(INDEX(Releases!$C$3:$BZ$11,MATCH($C6,Releases!$C$3:$C$11,0),MATCH(H$1,Releases!$C$3:$BZ$3,0)),0)</f>
        <v>0</v>
      </c>
      <c r="I6" s="81">
        <f>IFERROR(INDEX(Releases!$C$3:$BZ$11,MATCH($C6,Releases!$C$3:$C$11,0),MATCH(I$1,Releases!$C$3:$BZ$3,0)),0)</f>
        <v>0</v>
      </c>
      <c r="J6" s="81">
        <f>IFERROR(INDEX(Releases!$C$3:$BZ$11,MATCH($C6,Releases!$C$3:$C$11,0),MATCH(J$1,Releases!$C$3:$BZ$3,0)),0)</f>
        <v>0</v>
      </c>
      <c r="K6" s="81">
        <f>IFERROR(INDEX(Releases!$C$3:$BZ$11,MATCH($C6,Releases!$C$3:$C$11,0),MATCH(K$1,Releases!$C$3:$BZ$3,0)),0)</f>
        <v>0</v>
      </c>
      <c r="L6" s="81">
        <f>IFERROR(INDEX(Releases!$C$3:$BZ$11,MATCH($C6,Releases!$C$3:$C$11,0),MATCH(L$1,Releases!$C$3:$BZ$3,0)),0)</f>
        <v>0</v>
      </c>
      <c r="M6" s="81">
        <f>IFERROR(INDEX(Releases!$C$3:$BZ$11,MATCH($C6,Releases!$C$3:$C$11,0),MATCH(M$1,Releases!$C$3:$BZ$3,0)),0)</f>
        <v>0</v>
      </c>
      <c r="N6" s="81">
        <f>IFERROR(INDEX(Releases!$C$3:$BZ$11,MATCH($C6,Releases!$C$3:$C$11,0),MATCH(N$1,Releases!$C$3:$BZ$3,0)),0)</f>
        <v>0</v>
      </c>
      <c r="O6" s="81">
        <f>IFERROR(INDEX(Releases!$C$3:$BZ$11,MATCH($C6,Releases!$C$3:$C$11,0),MATCH(O$1,Releases!$C$3:$BZ$3,0)),0)</f>
        <v>0</v>
      </c>
      <c r="P6" s="81">
        <f>IFERROR(INDEX(Releases!$C$3:$BZ$11,MATCH($C6,Releases!$C$3:$C$11,0),MATCH(P$1,Releases!$C$3:$BZ$3,0)),0)</f>
        <v>0</v>
      </c>
      <c r="Q6" s="81">
        <f>IFERROR(INDEX(Releases!$C$3:$BZ$11,MATCH($C6,Releases!$C$3:$C$11,0),MATCH(Q$1,Releases!$C$3:$BZ$3,0)),0)</f>
        <v>0</v>
      </c>
      <c r="R6" s="81">
        <f>IFERROR(INDEX(Releases!$C$3:$BZ$11,MATCH($C6,Releases!$C$3:$C$11,0),MATCH(R$1,Releases!$C$3:$BZ$3,0)),0)</f>
        <v>0</v>
      </c>
      <c r="S6" s="81">
        <f>IFERROR(INDEX(Releases!$C$3:$BZ$11,MATCH($C6,Releases!$C$3:$C$11,0),MATCH(S$1,Releases!$C$3:$BZ$3,0)),0)</f>
        <v>0</v>
      </c>
      <c r="T6" s="81">
        <f>IFERROR(INDEX(Releases!$C$3:$BZ$11,MATCH($C6,Releases!$C$3:$C$11,0),MATCH(T$1,Releases!$C$3:$BZ$3,0)),0)</f>
        <v>0</v>
      </c>
      <c r="U6" s="81">
        <f>IFERROR(INDEX(Releases!$C$3:$BZ$11,MATCH($C6,Releases!$C$3:$C$11,0),MATCH(U$1,Releases!$C$3:$BZ$3,0)),0)</f>
        <v>0</v>
      </c>
      <c r="V6" s="81">
        <f>IFERROR(INDEX(Releases!$C$3:$BZ$11,MATCH($C6,Releases!$C$3:$C$11,0),MATCH(V$1,Releases!$C$3:$BZ$3,0)),0)</f>
        <v>0</v>
      </c>
      <c r="W6" s="81">
        <f>IFERROR(INDEX(Releases!$C$3:$BZ$11,MATCH($C6,Releases!$C$3:$C$11,0),MATCH(W$1,Releases!$C$3:$BZ$3,0)),0)</f>
        <v>0</v>
      </c>
      <c r="X6" s="81">
        <f>IFERROR(INDEX(Releases!$C$3:$BZ$11,MATCH($C6,Releases!$C$3:$C$11,0),MATCH(X$1,Releases!$C$3:$BZ$3,0)),0)</f>
        <v>0</v>
      </c>
      <c r="Y6" s="81">
        <f>IFERROR(INDEX(Releases!$C$3:$BZ$11,MATCH($C6,Releases!$C$3:$C$11,0),MATCH(Y$1,Releases!$C$3:$BZ$3,0)),0)</f>
        <v>0</v>
      </c>
      <c r="Z6" s="81">
        <f>IFERROR(INDEX(Releases!$C$3:$BZ$11,MATCH($C6,Releases!$C$3:$C$11,0),MATCH(Z$1,Releases!$C$3:$BZ$3,0)),0)</f>
        <v>0</v>
      </c>
      <c r="AA6" s="81">
        <f>IFERROR(INDEX(Releases!$C$3:$BZ$11,MATCH($C6,Releases!$C$3:$C$11,0),MATCH(AA$1,Releases!$C$3:$BZ$3,0)),0)</f>
        <v>0</v>
      </c>
      <c r="AB6" s="81">
        <f>IFERROR(INDEX(Releases!$C$3:$BZ$11,MATCH($C6,Releases!$C$3:$C$11,0),MATCH(AB$1,Releases!$C$3:$BZ$3,0)),0)</f>
        <v>0</v>
      </c>
      <c r="AC6" s="81">
        <f>IFERROR(INDEX(Releases!$C$3:$BZ$11,MATCH($C6,Releases!$C$3:$C$11,0),MATCH(AC$1,Releases!$C$3:$BZ$3,0)),0)</f>
        <v>0</v>
      </c>
      <c r="AD6" s="81">
        <f>IFERROR(INDEX(Releases!$C$3:$BZ$11,MATCH($C6,Releases!$C$3:$C$11,0),MATCH(AD$1,Releases!$C$3:$BZ$3,0)),0)</f>
        <v>0</v>
      </c>
      <c r="AE6" s="81">
        <f>IFERROR(INDEX(Releases!$C$3:$BZ$11,MATCH($C6,Releases!$C$3:$C$11,0),MATCH(AE$1,Releases!$C$3:$BZ$3,0)),0)</f>
        <v>0</v>
      </c>
      <c r="AF6" s="81">
        <f>IFERROR(INDEX(Releases!$C$3:$BZ$11,MATCH($C6,Releases!$C$3:$C$11,0),MATCH(AF$1,Releases!$C$3:$BZ$3,0)),0)</f>
        <v>0</v>
      </c>
      <c r="AG6" s="81">
        <f>IFERROR(INDEX(Releases!$C$3:$BZ$11,MATCH($C6,Releases!$C$3:$C$11,0),MATCH(AG$1,Releases!$C$3:$BZ$3,0)),0)</f>
        <v>0</v>
      </c>
      <c r="AH6" s="81">
        <f>IFERROR(INDEX(Releases!$C$3:$BZ$11,MATCH($C6,Releases!$C$3:$C$11,0),MATCH(AH$1,Releases!$C$3:$BZ$3,0)),0)</f>
        <v>0</v>
      </c>
      <c r="AI6" s="81">
        <f>IFERROR(INDEX(Releases!$C$3:$BZ$11,MATCH($C6,Releases!$C$3:$C$11,0),MATCH(AI$1,Releases!$C$3:$BZ$3,0)),0)</f>
        <v>0</v>
      </c>
      <c r="AJ6" s="81">
        <f>IFERROR(INDEX(Releases!$C$3:$BZ$11,MATCH($C6,Releases!$C$3:$C$11,0),MATCH(AJ$1,Releases!$C$3:$BZ$3,0)),0)</f>
        <v>0</v>
      </c>
      <c r="AK6" s="81">
        <f>IFERROR(INDEX(Releases!$C$3:$BZ$11,MATCH($C6,Releases!$C$3:$C$11,0),MATCH(AK$1,Releases!$C$3:$BZ$3,0)),0)</f>
        <v>0</v>
      </c>
      <c r="AL6" s="81">
        <f>IFERROR(INDEX(Releases!$C$3:$BZ$11,MATCH($C6,Releases!$C$3:$C$11,0),MATCH(AL$1,Releases!$C$3:$BZ$3,0)),0)</f>
        <v>0</v>
      </c>
      <c r="AM6" s="81">
        <f>IFERROR(INDEX(Releases!$C$3:$BZ$11,MATCH($C6,Releases!$C$3:$C$11,0),MATCH(AM$1,Releases!$C$3:$BZ$3,0)),0)</f>
        <v>0</v>
      </c>
      <c r="AN6" s="81">
        <f>IFERROR(INDEX(Releases!$C$3:$BZ$11,MATCH($C6,Releases!$C$3:$C$11,0),MATCH(AN$1,Releases!$C$3:$BZ$3,0)),0)</f>
        <v>0</v>
      </c>
      <c r="AO6" s="81">
        <f>IFERROR(INDEX(Releases!$C$3:$BZ$11,MATCH($C6,Releases!$C$3:$C$11,0),MATCH(AO$1,Releases!$C$3:$BZ$3,0)),0)</f>
        <v>0</v>
      </c>
      <c r="AP6" s="81">
        <f>IFERROR(INDEX(Releases!$C$3:$BZ$11,MATCH($C6,Releases!$C$3:$C$11,0),MATCH(AP$1,Releases!$C$3:$BZ$3,0)),0)</f>
        <v>0</v>
      </c>
      <c r="AQ6" s="81">
        <f>IFERROR(INDEX(Releases!$C$3:$BZ$11,MATCH($C6,Releases!$C$3:$C$11,0),MATCH(AQ$1,Releases!$C$3:$BZ$3,0)),0)</f>
        <v>0</v>
      </c>
      <c r="AR6" s="81">
        <f>IFERROR(INDEX(Releases!$C$3:$BZ$11,MATCH($C6,Releases!$C$3:$C$11,0),MATCH(AR$1,Releases!$C$3:$BZ$3,0)),0)</f>
        <v>0</v>
      </c>
      <c r="AS6" s="81">
        <f>IFERROR(INDEX(Releases!$C$3:$BZ$11,MATCH($C6,Releases!$C$3:$C$11,0),MATCH(AS$1,Releases!$C$3:$BZ$3,0)),0)</f>
        <v>0</v>
      </c>
      <c r="AT6" s="81">
        <f>IFERROR(INDEX(Releases!$C$3:$BZ$11,MATCH($C6,Releases!$C$3:$C$11,0),MATCH(AT$1,Releases!$C$3:$BZ$3,0)),0)</f>
        <v>0</v>
      </c>
      <c r="AU6" s="81">
        <f>IFERROR(INDEX(Releases!$C$3:$BZ$11,MATCH($C6,Releases!$C$3:$C$11,0),MATCH(AU$1,Releases!$C$3:$BZ$3,0)),0)</f>
        <v>0</v>
      </c>
      <c r="AV6" s="81">
        <f>IFERROR(INDEX(Releases!$C$3:$BZ$11,MATCH($C6,Releases!$C$3:$C$11,0),MATCH(AV$1,Releases!$C$3:$BZ$3,0)),0)</f>
        <v>0</v>
      </c>
      <c r="AW6" s="81">
        <f>IFERROR(INDEX(Releases!$C$3:$BZ$11,MATCH($C6,Releases!$C$3:$C$11,0),MATCH(AW$1,Releases!$C$3:$BZ$3,0)),0)</f>
        <v>0</v>
      </c>
      <c r="AX6" s="81">
        <f>IFERROR(INDEX(Releases!$C$3:$BZ$11,MATCH($C6,Releases!$C$3:$C$11,0),MATCH(AX$1,Releases!$C$3:$BZ$3,0)),0)</f>
        <v>0</v>
      </c>
      <c r="AY6" s="81">
        <f>IFERROR(INDEX(Releases!$C$3:$BZ$11,MATCH($C6,Releases!$C$3:$C$11,0),MATCH(AY$1,Releases!$C$3:$BZ$3,0)),0)</f>
        <v>0</v>
      </c>
      <c r="AZ6" s="81">
        <f>IFERROR(INDEX(Releases!$C$3:$BZ$11,MATCH($C6,Releases!$C$3:$C$11,0),MATCH(AZ$1,Releases!$C$3:$BZ$3,0)),0)</f>
        <v>0</v>
      </c>
      <c r="BA6" s="81">
        <f>IFERROR(INDEX(Releases!$C$3:$BZ$11,MATCH($C6,Releases!$C$3:$C$11,0),MATCH(BA$1,Releases!$C$3:$BZ$3,0)),0)</f>
        <v>0</v>
      </c>
      <c r="BB6" s="81">
        <f>IFERROR(INDEX(Releases!$C$3:$BZ$11,MATCH($C6,Releases!$C$3:$C$11,0),MATCH(BB$1,Releases!$C$3:$BZ$3,0)),0)</f>
        <v>0</v>
      </c>
      <c r="BC6" s="81">
        <f>IFERROR(INDEX(Releases!$C$3:$BZ$11,MATCH($C6,Releases!$C$3:$C$11,0),MATCH(BC$1,Releases!$C$3:$BZ$3,0)),0)</f>
        <v>0</v>
      </c>
      <c r="BD6" s="81">
        <f>IFERROR(INDEX(Releases!$C$3:$BZ$11,MATCH($C6,Releases!$C$3:$C$11,0),MATCH(BD$1,Releases!$C$3:$BZ$3,0)),0)</f>
        <v>0</v>
      </c>
      <c r="BE6" s="81">
        <f>IFERROR(INDEX(Releases!$C$3:$BZ$11,MATCH($C6,Releases!$C$3:$C$11,0),MATCH(BE$1,Releases!$C$3:$BZ$3,0)),0)</f>
        <v>0</v>
      </c>
      <c r="BF6" s="81">
        <f>IFERROR(INDEX(Releases!$C$3:$BZ$11,MATCH($C6,Releases!$C$3:$C$11,0),MATCH(BF$1,Releases!$C$3:$BZ$3,0)),0)</f>
        <v>0</v>
      </c>
      <c r="BG6" s="81">
        <f>IFERROR(INDEX(Releases!$C$3:$BZ$11,MATCH($C6,Releases!$C$3:$C$11,0),MATCH(BG$1,Releases!$C$3:$BZ$3,0)),0)</f>
        <v>0</v>
      </c>
      <c r="BH6" s="81">
        <f>IFERROR(INDEX(Releases!$C$3:$BZ$11,MATCH($C6,Releases!$C$3:$C$11,0),MATCH(BH$1,Releases!$C$3:$BZ$3,0)),0)</f>
        <v>0</v>
      </c>
      <c r="BI6" s="81">
        <f>IFERROR(INDEX(Releases!$C$3:$BZ$11,MATCH($C6,Releases!$C$3:$C$11,0),MATCH(BI$1,Releases!$C$3:$BZ$3,0)),0)</f>
        <v>0</v>
      </c>
      <c r="BJ6" s="81">
        <f>IFERROR(INDEX(Releases!$C$3:$BZ$11,MATCH($C6,Releases!$C$3:$C$11,0),MATCH(BJ$1,Releases!$C$3:$BZ$3,0)),0)</f>
        <v>0</v>
      </c>
      <c r="BK6" s="81">
        <f>IFERROR(INDEX(Releases!$C$3:$BZ$11,MATCH($C6,Releases!$C$3:$C$11,0),MATCH(BK$1,Releases!$C$3:$BZ$3,0)),0)</f>
        <v>0</v>
      </c>
      <c r="BL6" s="81">
        <f>IFERROR(INDEX(Releases!$C$3:$BZ$11,MATCH($C6,Releases!$C$3:$C$11,0),MATCH(BL$1,Releases!$C$3:$BZ$3,0)),0)</f>
        <v>0</v>
      </c>
      <c r="BM6" s="81">
        <f>IFERROR(INDEX(Releases!$C$3:$BZ$11,MATCH($C6,Releases!$C$3:$C$11,0),MATCH(BM$1,Releases!$C$3:$BZ$3,0)),0)</f>
        <v>0</v>
      </c>
      <c r="BN6" s="81">
        <f>IFERROR(INDEX(Releases!$C$3:$BZ$11,MATCH($C6,Releases!$C$3:$C$11,0),MATCH(BN$1,Releases!$C$3:$BZ$3,0)),0)</f>
        <v>0</v>
      </c>
      <c r="BO6" s="81">
        <f>IFERROR(INDEX(Releases!$C$3:$BZ$11,MATCH($C6,Releases!$C$3:$C$11,0),MATCH(BO$1,Releases!$C$3:$BZ$3,0)),0)</f>
        <v>0</v>
      </c>
      <c r="BP6" s="81">
        <f>IFERROR(INDEX(Releases!$C$3:$BZ$11,MATCH($C6,Releases!$C$3:$C$11,0),MATCH(BP$1,Releases!$C$3:$BZ$3,0)),0)</f>
        <v>0</v>
      </c>
      <c r="BQ6" s="81">
        <f>IFERROR(INDEX(Releases!$C$3:$BZ$11,MATCH($C6,Releases!$C$3:$C$11,0),MATCH(BQ$1,Releases!$C$3:$BZ$3,0)),0)</f>
        <v>0</v>
      </c>
      <c r="BR6" s="81">
        <f>IFERROR(INDEX(Releases!$C$3:$BZ$11,MATCH($C6,Releases!$C$3:$C$11,0),MATCH(BR$1,Releases!$C$3:$BZ$3,0)),0)</f>
        <v>0</v>
      </c>
    </row>
    <row r="7" spans="1:70" s="78" customFormat="1" ht="12">
      <c r="A7" s="77">
        <f>Releases!$D$1</f>
        <v>45978</v>
      </c>
      <c r="B7" s="73"/>
      <c r="C7" s="74" t="s">
        <v>37</v>
      </c>
      <c r="D7" s="82">
        <f>IFERROR(INDEX(Releases!$C$3:$BZ$11,MATCH($C7,Releases!$C$3:$C$11,0),MATCH(D$1,Releases!$C$3:$BZ$3,0)),0)</f>
        <v>0</v>
      </c>
      <c r="E7" s="82">
        <f>IFERROR(INDEX(Releases!$C$3:$BZ$11,MATCH($C7,Releases!$C$3:$C$11,0),MATCH(E$1,Releases!$C$3:$BZ$3,0)),0)</f>
        <v>0</v>
      </c>
      <c r="F7" s="82">
        <f>IFERROR(INDEX(Releases!$C$3:$BZ$11,MATCH($C7,Releases!$C$3:$C$11,0),MATCH(F$1,Releases!$C$3:$BZ$3,0)),0)</f>
        <v>0</v>
      </c>
      <c r="G7" s="82">
        <f>IFERROR(INDEX(Releases!$C$3:$BZ$11,MATCH($C7,Releases!$C$3:$C$11,0),MATCH(G$1,Releases!$C$3:$BZ$3,0)),0)</f>
        <v>0</v>
      </c>
      <c r="H7" s="82">
        <f>IFERROR(INDEX(Releases!$C$3:$BZ$11,MATCH($C7,Releases!$C$3:$C$11,0),MATCH(H$1,Releases!$C$3:$BZ$3,0)),0)</f>
        <v>0</v>
      </c>
      <c r="I7" s="82">
        <f>IFERROR(INDEX(Releases!$C$3:$BZ$11,MATCH($C7,Releases!$C$3:$C$11,0),MATCH(I$1,Releases!$C$3:$BZ$3,0)),0)</f>
        <v>0</v>
      </c>
      <c r="J7" s="82">
        <f>IFERROR(INDEX(Releases!$C$3:$BZ$11,MATCH($C7,Releases!$C$3:$C$11,0),MATCH(J$1,Releases!$C$3:$BZ$3,0)),0)</f>
        <v>0</v>
      </c>
      <c r="K7" s="82">
        <f>IFERROR(INDEX(Releases!$C$3:$BZ$11,MATCH($C7,Releases!$C$3:$C$11,0),MATCH(K$1,Releases!$C$3:$BZ$3,0)),0)</f>
        <v>0</v>
      </c>
      <c r="L7" s="82">
        <f>IFERROR(INDEX(Releases!$C$3:$BZ$11,MATCH($C7,Releases!$C$3:$C$11,0),MATCH(L$1,Releases!$C$3:$BZ$3,0)),0)</f>
        <v>0</v>
      </c>
      <c r="M7" s="82">
        <f>IFERROR(INDEX(Releases!$C$3:$BZ$11,MATCH($C7,Releases!$C$3:$C$11,0),MATCH(M$1,Releases!$C$3:$BZ$3,0)),0)</f>
        <v>0</v>
      </c>
      <c r="N7" s="82">
        <f>IFERROR(INDEX(Releases!$C$3:$BZ$11,MATCH($C7,Releases!$C$3:$C$11,0),MATCH(N$1,Releases!$C$3:$BZ$3,0)),0)</f>
        <v>0</v>
      </c>
      <c r="O7" s="82">
        <f>IFERROR(INDEX(Releases!$C$3:$BZ$11,MATCH($C7,Releases!$C$3:$C$11,0),MATCH(O$1,Releases!$C$3:$BZ$3,0)),0)</f>
        <v>0</v>
      </c>
      <c r="P7" s="82">
        <f>IFERROR(INDEX(Releases!$C$3:$BZ$11,MATCH($C7,Releases!$C$3:$C$11,0),MATCH(P$1,Releases!$C$3:$BZ$3,0)),0)</f>
        <v>0</v>
      </c>
      <c r="Q7" s="82">
        <f>IFERROR(INDEX(Releases!$C$3:$BZ$11,MATCH($C7,Releases!$C$3:$C$11,0),MATCH(Q$1,Releases!$C$3:$BZ$3,0)),0)</f>
        <v>0</v>
      </c>
      <c r="R7" s="82">
        <f>IFERROR(INDEX(Releases!$C$3:$BZ$11,MATCH($C7,Releases!$C$3:$C$11,0),MATCH(R$1,Releases!$C$3:$BZ$3,0)),0)</f>
        <v>0</v>
      </c>
      <c r="S7" s="82">
        <f>IFERROR(INDEX(Releases!$C$3:$BZ$11,MATCH($C7,Releases!$C$3:$C$11,0),MATCH(S$1,Releases!$C$3:$BZ$3,0)),0)</f>
        <v>0</v>
      </c>
      <c r="T7" s="82">
        <f>IFERROR(INDEX(Releases!$C$3:$BZ$11,MATCH($C7,Releases!$C$3:$C$11,0),MATCH(T$1,Releases!$C$3:$BZ$3,0)),0)</f>
        <v>0</v>
      </c>
      <c r="U7" s="82">
        <f>IFERROR(INDEX(Releases!$C$3:$BZ$11,MATCH($C7,Releases!$C$3:$C$11,0),MATCH(U$1,Releases!$C$3:$BZ$3,0)),0)</f>
        <v>0</v>
      </c>
      <c r="V7" s="82">
        <f>IFERROR(INDEX(Releases!$C$3:$BZ$11,MATCH($C7,Releases!$C$3:$C$11,0),MATCH(V$1,Releases!$C$3:$BZ$3,0)),0)</f>
        <v>0</v>
      </c>
      <c r="W7" s="82">
        <f>IFERROR(INDEX(Releases!$C$3:$BZ$11,MATCH($C7,Releases!$C$3:$C$11,0),MATCH(W$1,Releases!$C$3:$BZ$3,0)),0)</f>
        <v>0</v>
      </c>
      <c r="X7" s="82">
        <f>IFERROR(INDEX(Releases!$C$3:$BZ$11,MATCH($C7,Releases!$C$3:$C$11,0),MATCH(X$1,Releases!$C$3:$BZ$3,0)),0)</f>
        <v>0</v>
      </c>
      <c r="Y7" s="82">
        <f>IFERROR(INDEX(Releases!$C$3:$BZ$11,MATCH($C7,Releases!$C$3:$C$11,0),MATCH(Y$1,Releases!$C$3:$BZ$3,0)),0)</f>
        <v>0</v>
      </c>
      <c r="Z7" s="82">
        <f>IFERROR(INDEX(Releases!$C$3:$BZ$11,MATCH($C7,Releases!$C$3:$C$11,0),MATCH(Z$1,Releases!$C$3:$BZ$3,0)),0)</f>
        <v>0</v>
      </c>
      <c r="AA7" s="82">
        <f>IFERROR(INDEX(Releases!$C$3:$BZ$11,MATCH($C7,Releases!$C$3:$C$11,0),MATCH(AA$1,Releases!$C$3:$BZ$3,0)),0)</f>
        <v>0</v>
      </c>
      <c r="AB7" s="82">
        <f>IFERROR(INDEX(Releases!$C$3:$BZ$11,MATCH($C7,Releases!$C$3:$C$11,0),MATCH(AB$1,Releases!$C$3:$BZ$3,0)),0)</f>
        <v>0</v>
      </c>
      <c r="AC7" s="82">
        <f>IFERROR(INDEX(Releases!$C$3:$BZ$11,MATCH($C7,Releases!$C$3:$C$11,0),MATCH(AC$1,Releases!$C$3:$BZ$3,0)),0)</f>
        <v>0</v>
      </c>
      <c r="AD7" s="82">
        <f>IFERROR(INDEX(Releases!$C$3:$BZ$11,MATCH($C7,Releases!$C$3:$C$11,0),MATCH(AD$1,Releases!$C$3:$BZ$3,0)),0)</f>
        <v>0</v>
      </c>
      <c r="AE7" s="82">
        <f>IFERROR(INDEX(Releases!$C$3:$BZ$11,MATCH($C7,Releases!$C$3:$C$11,0),MATCH(AE$1,Releases!$C$3:$BZ$3,0)),0)</f>
        <v>0</v>
      </c>
      <c r="AF7" s="82">
        <f>IFERROR(INDEX(Releases!$C$3:$BZ$11,MATCH($C7,Releases!$C$3:$C$11,0),MATCH(AF$1,Releases!$C$3:$BZ$3,0)),0)</f>
        <v>0</v>
      </c>
      <c r="AG7" s="82">
        <f>IFERROR(INDEX(Releases!$C$3:$BZ$11,MATCH($C7,Releases!$C$3:$C$11,0),MATCH(AG$1,Releases!$C$3:$BZ$3,0)),0)</f>
        <v>0</v>
      </c>
      <c r="AH7" s="82">
        <f>IFERROR(INDEX(Releases!$C$3:$BZ$11,MATCH($C7,Releases!$C$3:$C$11,0),MATCH(AH$1,Releases!$C$3:$BZ$3,0)),0)</f>
        <v>0</v>
      </c>
      <c r="AI7" s="82">
        <f>IFERROR(INDEX(Releases!$C$3:$BZ$11,MATCH($C7,Releases!$C$3:$C$11,0),MATCH(AI$1,Releases!$C$3:$BZ$3,0)),0)</f>
        <v>0</v>
      </c>
      <c r="AJ7" s="82">
        <f>IFERROR(INDEX(Releases!$C$3:$BZ$11,MATCH($C7,Releases!$C$3:$C$11,0),MATCH(AJ$1,Releases!$C$3:$BZ$3,0)),0)</f>
        <v>0</v>
      </c>
      <c r="AK7" s="82">
        <f>IFERROR(INDEX(Releases!$C$3:$BZ$11,MATCH($C7,Releases!$C$3:$C$11,0),MATCH(AK$1,Releases!$C$3:$BZ$3,0)),0)</f>
        <v>0</v>
      </c>
      <c r="AL7" s="82">
        <f>IFERROR(INDEX(Releases!$C$3:$BZ$11,MATCH($C7,Releases!$C$3:$C$11,0),MATCH(AL$1,Releases!$C$3:$BZ$3,0)),0)</f>
        <v>0</v>
      </c>
      <c r="AM7" s="82">
        <f>IFERROR(INDEX(Releases!$C$3:$BZ$11,MATCH($C7,Releases!$C$3:$C$11,0),MATCH(AM$1,Releases!$C$3:$BZ$3,0)),0)</f>
        <v>0</v>
      </c>
      <c r="AN7" s="82">
        <f>IFERROR(INDEX(Releases!$C$3:$BZ$11,MATCH($C7,Releases!$C$3:$C$11,0),MATCH(AN$1,Releases!$C$3:$BZ$3,0)),0)</f>
        <v>0</v>
      </c>
      <c r="AO7" s="82">
        <f>IFERROR(INDEX(Releases!$C$3:$BZ$11,MATCH($C7,Releases!$C$3:$C$11,0),MATCH(AO$1,Releases!$C$3:$BZ$3,0)),0)</f>
        <v>0</v>
      </c>
      <c r="AP7" s="82">
        <f>IFERROR(INDEX(Releases!$C$3:$BZ$11,MATCH($C7,Releases!$C$3:$C$11,0),MATCH(AP$1,Releases!$C$3:$BZ$3,0)),0)</f>
        <v>0</v>
      </c>
      <c r="AQ7" s="82">
        <f>IFERROR(INDEX(Releases!$C$3:$BZ$11,MATCH($C7,Releases!$C$3:$C$11,0),MATCH(AQ$1,Releases!$C$3:$BZ$3,0)),0)</f>
        <v>0</v>
      </c>
      <c r="AR7" s="82">
        <f>IFERROR(INDEX(Releases!$C$3:$BZ$11,MATCH($C7,Releases!$C$3:$C$11,0),MATCH(AR$1,Releases!$C$3:$BZ$3,0)),0)</f>
        <v>0</v>
      </c>
      <c r="AS7" s="82">
        <f>IFERROR(INDEX(Releases!$C$3:$BZ$11,MATCH($C7,Releases!$C$3:$C$11,0),MATCH(AS$1,Releases!$C$3:$BZ$3,0)),0)</f>
        <v>0</v>
      </c>
      <c r="AT7" s="82">
        <f>IFERROR(INDEX(Releases!$C$3:$BZ$11,MATCH($C7,Releases!$C$3:$C$11,0),MATCH(AT$1,Releases!$C$3:$BZ$3,0)),0)</f>
        <v>0</v>
      </c>
      <c r="AU7" s="82">
        <f>IFERROR(INDEX(Releases!$C$3:$BZ$11,MATCH($C7,Releases!$C$3:$C$11,0),MATCH(AU$1,Releases!$C$3:$BZ$3,0)),0)</f>
        <v>0</v>
      </c>
      <c r="AV7" s="82">
        <f>IFERROR(INDEX(Releases!$C$3:$BZ$11,MATCH($C7,Releases!$C$3:$C$11,0),MATCH(AV$1,Releases!$C$3:$BZ$3,0)),0)</f>
        <v>0</v>
      </c>
      <c r="AW7" s="82">
        <f>IFERROR(INDEX(Releases!$C$3:$BZ$11,MATCH($C7,Releases!$C$3:$C$11,0),MATCH(AW$1,Releases!$C$3:$BZ$3,0)),0)</f>
        <v>0</v>
      </c>
      <c r="AX7" s="82">
        <f>IFERROR(INDEX(Releases!$C$3:$BZ$11,MATCH($C7,Releases!$C$3:$C$11,0),MATCH(AX$1,Releases!$C$3:$BZ$3,0)),0)</f>
        <v>0</v>
      </c>
      <c r="AY7" s="82">
        <f>IFERROR(INDEX(Releases!$C$3:$BZ$11,MATCH($C7,Releases!$C$3:$C$11,0),MATCH(AY$1,Releases!$C$3:$BZ$3,0)),0)</f>
        <v>0</v>
      </c>
      <c r="AZ7" s="82">
        <f>IFERROR(INDEX(Releases!$C$3:$BZ$11,MATCH($C7,Releases!$C$3:$C$11,0),MATCH(AZ$1,Releases!$C$3:$BZ$3,0)),0)</f>
        <v>0</v>
      </c>
      <c r="BA7" s="82">
        <f>IFERROR(INDEX(Releases!$C$3:$BZ$11,MATCH($C7,Releases!$C$3:$C$11,0),MATCH(BA$1,Releases!$C$3:$BZ$3,0)),0)</f>
        <v>0</v>
      </c>
      <c r="BB7" s="82">
        <f>IFERROR(INDEX(Releases!$C$3:$BZ$11,MATCH($C7,Releases!$C$3:$C$11,0),MATCH(BB$1,Releases!$C$3:$BZ$3,0)),0)</f>
        <v>0</v>
      </c>
      <c r="BC7" s="82">
        <f>IFERROR(INDEX(Releases!$C$3:$BZ$11,MATCH($C7,Releases!$C$3:$C$11,0),MATCH(BC$1,Releases!$C$3:$BZ$3,0)),0)</f>
        <v>0</v>
      </c>
      <c r="BD7" s="82">
        <f>IFERROR(INDEX(Releases!$C$3:$BZ$11,MATCH($C7,Releases!$C$3:$C$11,0),MATCH(BD$1,Releases!$C$3:$BZ$3,0)),0)</f>
        <v>0</v>
      </c>
      <c r="BE7" s="82">
        <f>IFERROR(INDEX(Releases!$C$3:$BZ$11,MATCH($C7,Releases!$C$3:$C$11,0),MATCH(BE$1,Releases!$C$3:$BZ$3,0)),0)</f>
        <v>0</v>
      </c>
      <c r="BF7" s="82">
        <f>IFERROR(INDEX(Releases!$C$3:$BZ$11,MATCH($C7,Releases!$C$3:$C$11,0),MATCH(BF$1,Releases!$C$3:$BZ$3,0)),0)</f>
        <v>0</v>
      </c>
      <c r="BG7" s="82">
        <f>IFERROR(INDEX(Releases!$C$3:$BZ$11,MATCH($C7,Releases!$C$3:$C$11,0),MATCH(BG$1,Releases!$C$3:$BZ$3,0)),0)</f>
        <v>0</v>
      </c>
      <c r="BH7" s="82">
        <f>IFERROR(INDEX(Releases!$C$3:$BZ$11,MATCH($C7,Releases!$C$3:$C$11,0),MATCH(BH$1,Releases!$C$3:$BZ$3,0)),0)</f>
        <v>0</v>
      </c>
      <c r="BI7" s="82">
        <f>IFERROR(INDEX(Releases!$C$3:$BZ$11,MATCH($C7,Releases!$C$3:$C$11,0),MATCH(BI$1,Releases!$C$3:$BZ$3,0)),0)</f>
        <v>0</v>
      </c>
      <c r="BJ7" s="82">
        <f>IFERROR(INDEX(Releases!$C$3:$BZ$11,MATCH($C7,Releases!$C$3:$C$11,0),MATCH(BJ$1,Releases!$C$3:$BZ$3,0)),0)</f>
        <v>0</v>
      </c>
      <c r="BK7" s="82">
        <f>IFERROR(INDEX(Releases!$C$3:$BZ$11,MATCH($C7,Releases!$C$3:$C$11,0),MATCH(BK$1,Releases!$C$3:$BZ$3,0)),0)</f>
        <v>0</v>
      </c>
      <c r="BL7" s="82">
        <f>IFERROR(INDEX(Releases!$C$3:$BZ$11,MATCH($C7,Releases!$C$3:$C$11,0),MATCH(BL$1,Releases!$C$3:$BZ$3,0)),0)</f>
        <v>0</v>
      </c>
      <c r="BM7" s="82">
        <f>IFERROR(INDEX(Releases!$C$3:$BZ$11,MATCH($C7,Releases!$C$3:$C$11,0),MATCH(BM$1,Releases!$C$3:$BZ$3,0)),0)</f>
        <v>0</v>
      </c>
      <c r="BN7" s="82">
        <f>IFERROR(INDEX(Releases!$C$3:$BZ$11,MATCH($C7,Releases!$C$3:$C$11,0),MATCH(BN$1,Releases!$C$3:$BZ$3,0)),0)</f>
        <v>0</v>
      </c>
      <c r="BO7" s="82">
        <f>IFERROR(INDEX(Releases!$C$3:$BZ$11,MATCH($C7,Releases!$C$3:$C$11,0),MATCH(BO$1,Releases!$C$3:$BZ$3,0)),0)</f>
        <v>0</v>
      </c>
      <c r="BP7" s="82">
        <f>IFERROR(INDEX(Releases!$C$3:$BZ$11,MATCH($C7,Releases!$C$3:$C$11,0),MATCH(BP$1,Releases!$C$3:$BZ$3,0)),0)</f>
        <v>0</v>
      </c>
      <c r="BQ7" s="82">
        <f>IFERROR(INDEX(Releases!$C$3:$BZ$11,MATCH($C7,Releases!$C$3:$C$11,0),MATCH(BQ$1,Releases!$C$3:$BZ$3,0)),0)</f>
        <v>0</v>
      </c>
      <c r="BR7" s="82">
        <f>IFERROR(INDEX(Releases!$C$3:$BZ$11,MATCH($C7,Releases!$C$3:$C$11,0),MATCH(BR$1,Releases!$C$3:$BZ$3,0)),0)</f>
        <v>0</v>
      </c>
    </row>
    <row r="8" spans="1:70" s="32" customFormat="1">
      <c r="A8" s="45">
        <f>Releases!$D$1</f>
        <v>45978</v>
      </c>
      <c r="B8" s="71" t="s">
        <v>16</v>
      </c>
      <c r="C8" s="72" t="s">
        <v>27</v>
      </c>
      <c r="D8" s="81">
        <f>IFERROR(INDEX(Releases!$C$3:$BZ$11,MATCH($C8,Releases!$C$3:$C$11,0),MATCH(D$1,Releases!$C$3:$BZ$3,0)),0)</f>
        <v>0</v>
      </c>
      <c r="E8" s="81">
        <f>IFERROR(INDEX(Releases!$C$3:$BZ$11,MATCH($C8,Releases!$C$3:$C$11,0),MATCH(E$1,Releases!$C$3:$BZ$3,0)),0)</f>
        <v>0</v>
      </c>
      <c r="F8" s="81">
        <f>IFERROR(INDEX(Releases!$C$3:$BZ$11,MATCH($C8,Releases!$C$3:$C$11,0),MATCH(F$1,Releases!$C$3:$BZ$3,0)),0)</f>
        <v>0</v>
      </c>
      <c r="G8" s="81">
        <f>IFERROR(INDEX(Releases!$C$3:$BZ$11,MATCH($C8,Releases!$C$3:$C$11,0),MATCH(G$1,Releases!$C$3:$BZ$3,0)),0)</f>
        <v>0</v>
      </c>
      <c r="H8" s="81">
        <f>IFERROR(INDEX(Releases!$C$3:$BZ$11,MATCH($C8,Releases!$C$3:$C$11,0),MATCH(H$1,Releases!$C$3:$BZ$3,0)),0)</f>
        <v>0</v>
      </c>
      <c r="I8" s="81">
        <f>IFERROR(INDEX(Releases!$C$3:$BZ$11,MATCH($C8,Releases!$C$3:$C$11,0),MATCH(I$1,Releases!$C$3:$BZ$3,0)),0)</f>
        <v>0</v>
      </c>
      <c r="J8" s="81">
        <f>IFERROR(INDEX(Releases!$C$3:$BZ$11,MATCH($C8,Releases!$C$3:$C$11,0),MATCH(J$1,Releases!$C$3:$BZ$3,0)),0)</f>
        <v>0</v>
      </c>
      <c r="K8" s="81">
        <f>IFERROR(INDEX(Releases!$C$3:$BZ$11,MATCH($C8,Releases!$C$3:$C$11,0),MATCH(K$1,Releases!$C$3:$BZ$3,0)),0)</f>
        <v>0</v>
      </c>
      <c r="L8" s="81">
        <f>IFERROR(INDEX(Releases!$C$3:$BZ$11,MATCH($C8,Releases!$C$3:$C$11,0),MATCH(L$1,Releases!$C$3:$BZ$3,0)),0)</f>
        <v>0</v>
      </c>
      <c r="M8" s="81">
        <f>IFERROR(INDEX(Releases!$C$3:$BZ$11,MATCH($C8,Releases!$C$3:$C$11,0),MATCH(M$1,Releases!$C$3:$BZ$3,0)),0)</f>
        <v>0</v>
      </c>
      <c r="N8" s="81">
        <f>IFERROR(INDEX(Releases!$C$3:$BZ$11,MATCH($C8,Releases!$C$3:$C$11,0),MATCH(N$1,Releases!$C$3:$BZ$3,0)),0)</f>
        <v>0</v>
      </c>
      <c r="O8" s="81">
        <f>IFERROR(INDEX(Releases!$C$3:$BZ$11,MATCH($C8,Releases!$C$3:$C$11,0),MATCH(O$1,Releases!$C$3:$BZ$3,0)),0)</f>
        <v>0</v>
      </c>
      <c r="P8" s="81">
        <f>IFERROR(INDEX(Releases!$C$3:$BZ$11,MATCH($C8,Releases!$C$3:$C$11,0),MATCH(P$1,Releases!$C$3:$BZ$3,0)),0)</f>
        <v>0</v>
      </c>
      <c r="Q8" s="81">
        <f>IFERROR(INDEX(Releases!$C$3:$BZ$11,MATCH($C8,Releases!$C$3:$C$11,0),MATCH(Q$1,Releases!$C$3:$BZ$3,0)),0)</f>
        <v>0</v>
      </c>
      <c r="R8" s="81">
        <f>IFERROR(INDEX(Releases!$C$3:$BZ$11,MATCH($C8,Releases!$C$3:$C$11,0),MATCH(R$1,Releases!$C$3:$BZ$3,0)),0)</f>
        <v>0</v>
      </c>
      <c r="S8" s="81">
        <f>IFERROR(INDEX(Releases!$C$3:$BZ$11,MATCH($C8,Releases!$C$3:$C$11,0),MATCH(S$1,Releases!$C$3:$BZ$3,0)),0)</f>
        <v>0</v>
      </c>
      <c r="T8" s="81">
        <f>IFERROR(INDEX(Releases!$C$3:$BZ$11,MATCH($C8,Releases!$C$3:$C$11,0),MATCH(T$1,Releases!$C$3:$BZ$3,0)),0)</f>
        <v>0</v>
      </c>
      <c r="U8" s="81">
        <f>IFERROR(INDEX(Releases!$C$3:$BZ$11,MATCH($C8,Releases!$C$3:$C$11,0),MATCH(U$1,Releases!$C$3:$BZ$3,0)),0)</f>
        <v>0</v>
      </c>
      <c r="V8" s="81">
        <f>IFERROR(INDEX(Releases!$C$3:$BZ$11,MATCH($C8,Releases!$C$3:$C$11,0),MATCH(V$1,Releases!$C$3:$BZ$3,0)),0)</f>
        <v>0</v>
      </c>
      <c r="W8" s="81">
        <f>IFERROR(INDEX(Releases!$C$3:$BZ$11,MATCH($C8,Releases!$C$3:$C$11,0),MATCH(W$1,Releases!$C$3:$BZ$3,0)),0)</f>
        <v>0</v>
      </c>
      <c r="X8" s="81">
        <f>IFERROR(INDEX(Releases!$C$3:$BZ$11,MATCH($C8,Releases!$C$3:$C$11,0),MATCH(X$1,Releases!$C$3:$BZ$3,0)),0)</f>
        <v>0</v>
      </c>
      <c r="Y8" s="81">
        <f>IFERROR(INDEX(Releases!$C$3:$BZ$11,MATCH($C8,Releases!$C$3:$C$11,0),MATCH(Y$1,Releases!$C$3:$BZ$3,0)),0)</f>
        <v>0</v>
      </c>
      <c r="Z8" s="81">
        <f>IFERROR(INDEX(Releases!$C$3:$BZ$11,MATCH($C8,Releases!$C$3:$C$11,0),MATCH(Z$1,Releases!$C$3:$BZ$3,0)),0)</f>
        <v>0</v>
      </c>
      <c r="AA8" s="81">
        <f>IFERROR(INDEX(Releases!$C$3:$BZ$11,MATCH($C8,Releases!$C$3:$C$11,0),MATCH(AA$1,Releases!$C$3:$BZ$3,0)),0)</f>
        <v>0</v>
      </c>
      <c r="AB8" s="81">
        <f>IFERROR(INDEX(Releases!$C$3:$BZ$11,MATCH($C8,Releases!$C$3:$C$11,0),MATCH(AB$1,Releases!$C$3:$BZ$3,0)),0)</f>
        <v>0</v>
      </c>
      <c r="AC8" s="81">
        <f>IFERROR(INDEX(Releases!$C$3:$BZ$11,MATCH($C8,Releases!$C$3:$C$11,0),MATCH(AC$1,Releases!$C$3:$BZ$3,0)),0)</f>
        <v>0</v>
      </c>
      <c r="AD8" s="81">
        <f>IFERROR(INDEX(Releases!$C$3:$BZ$11,MATCH($C8,Releases!$C$3:$C$11,0),MATCH(AD$1,Releases!$C$3:$BZ$3,0)),0)</f>
        <v>0</v>
      </c>
      <c r="AE8" s="81">
        <f>IFERROR(INDEX(Releases!$C$3:$BZ$11,MATCH($C8,Releases!$C$3:$C$11,0),MATCH(AE$1,Releases!$C$3:$BZ$3,0)),0)</f>
        <v>0</v>
      </c>
      <c r="AF8" s="81">
        <f>IFERROR(INDEX(Releases!$C$3:$BZ$11,MATCH($C8,Releases!$C$3:$C$11,0),MATCH(AF$1,Releases!$C$3:$BZ$3,0)),0)</f>
        <v>0</v>
      </c>
      <c r="AG8" s="81">
        <f>IFERROR(INDEX(Releases!$C$3:$BZ$11,MATCH($C8,Releases!$C$3:$C$11,0),MATCH(AG$1,Releases!$C$3:$BZ$3,0)),0)</f>
        <v>0</v>
      </c>
      <c r="AH8" s="81">
        <f>IFERROR(INDEX(Releases!$C$3:$BZ$11,MATCH($C8,Releases!$C$3:$C$11,0),MATCH(AH$1,Releases!$C$3:$BZ$3,0)),0)</f>
        <v>0</v>
      </c>
      <c r="AI8" s="81">
        <f>IFERROR(INDEX(Releases!$C$3:$BZ$11,MATCH($C8,Releases!$C$3:$C$11,0),MATCH(AI$1,Releases!$C$3:$BZ$3,0)),0)</f>
        <v>0</v>
      </c>
      <c r="AJ8" s="81">
        <f>IFERROR(INDEX(Releases!$C$3:$BZ$11,MATCH($C8,Releases!$C$3:$C$11,0),MATCH(AJ$1,Releases!$C$3:$BZ$3,0)),0)</f>
        <v>0</v>
      </c>
      <c r="AK8" s="81">
        <f>IFERROR(INDEX(Releases!$C$3:$BZ$11,MATCH($C8,Releases!$C$3:$C$11,0),MATCH(AK$1,Releases!$C$3:$BZ$3,0)),0)</f>
        <v>0</v>
      </c>
      <c r="AL8" s="81">
        <f>IFERROR(INDEX(Releases!$C$3:$BZ$11,MATCH($C8,Releases!$C$3:$C$11,0),MATCH(AL$1,Releases!$C$3:$BZ$3,0)),0)</f>
        <v>0</v>
      </c>
      <c r="AM8" s="81">
        <f>IFERROR(INDEX(Releases!$C$3:$BZ$11,MATCH($C8,Releases!$C$3:$C$11,0),MATCH(AM$1,Releases!$C$3:$BZ$3,0)),0)</f>
        <v>0</v>
      </c>
      <c r="AN8" s="81">
        <f>IFERROR(INDEX(Releases!$C$3:$BZ$11,MATCH($C8,Releases!$C$3:$C$11,0),MATCH(AN$1,Releases!$C$3:$BZ$3,0)),0)</f>
        <v>0</v>
      </c>
      <c r="AO8" s="81">
        <f>IFERROR(INDEX(Releases!$C$3:$BZ$11,MATCH($C8,Releases!$C$3:$C$11,0),MATCH(AO$1,Releases!$C$3:$BZ$3,0)),0)</f>
        <v>0</v>
      </c>
      <c r="AP8" s="81">
        <f>IFERROR(INDEX(Releases!$C$3:$BZ$11,MATCH($C8,Releases!$C$3:$C$11,0),MATCH(AP$1,Releases!$C$3:$BZ$3,0)),0)</f>
        <v>0</v>
      </c>
      <c r="AQ8" s="81">
        <f>IFERROR(INDEX(Releases!$C$3:$BZ$11,MATCH($C8,Releases!$C$3:$C$11,0),MATCH(AQ$1,Releases!$C$3:$BZ$3,0)),0)</f>
        <v>0</v>
      </c>
      <c r="AR8" s="81">
        <f>IFERROR(INDEX(Releases!$C$3:$BZ$11,MATCH($C8,Releases!$C$3:$C$11,0),MATCH(AR$1,Releases!$C$3:$BZ$3,0)),0)</f>
        <v>0</v>
      </c>
      <c r="AS8" s="81">
        <f>IFERROR(INDEX(Releases!$C$3:$BZ$11,MATCH($C8,Releases!$C$3:$C$11,0),MATCH(AS$1,Releases!$C$3:$BZ$3,0)),0)</f>
        <v>0</v>
      </c>
      <c r="AT8" s="81">
        <f>IFERROR(INDEX(Releases!$C$3:$BZ$11,MATCH($C8,Releases!$C$3:$C$11,0),MATCH(AT$1,Releases!$C$3:$BZ$3,0)),0)</f>
        <v>0</v>
      </c>
      <c r="AU8" s="81">
        <f>IFERROR(INDEX(Releases!$C$3:$BZ$11,MATCH($C8,Releases!$C$3:$C$11,0),MATCH(AU$1,Releases!$C$3:$BZ$3,0)),0)</f>
        <v>0</v>
      </c>
      <c r="AV8" s="81">
        <f>IFERROR(INDEX(Releases!$C$3:$BZ$11,MATCH($C8,Releases!$C$3:$C$11,0),MATCH(AV$1,Releases!$C$3:$BZ$3,0)),0)</f>
        <v>0</v>
      </c>
      <c r="AW8" s="81">
        <f>IFERROR(INDEX(Releases!$C$3:$BZ$11,MATCH($C8,Releases!$C$3:$C$11,0),MATCH(AW$1,Releases!$C$3:$BZ$3,0)),0)</f>
        <v>0</v>
      </c>
      <c r="AX8" s="81">
        <f>IFERROR(INDEX(Releases!$C$3:$BZ$11,MATCH($C8,Releases!$C$3:$C$11,0),MATCH(AX$1,Releases!$C$3:$BZ$3,0)),0)</f>
        <v>0</v>
      </c>
      <c r="AY8" s="81">
        <f>IFERROR(INDEX(Releases!$C$3:$BZ$11,MATCH($C8,Releases!$C$3:$C$11,0),MATCH(AY$1,Releases!$C$3:$BZ$3,0)),0)</f>
        <v>0</v>
      </c>
      <c r="AZ8" s="81">
        <f>IFERROR(INDEX(Releases!$C$3:$BZ$11,MATCH($C8,Releases!$C$3:$C$11,0),MATCH(AZ$1,Releases!$C$3:$BZ$3,0)),0)</f>
        <v>0</v>
      </c>
      <c r="BA8" s="81">
        <f>IFERROR(INDEX(Releases!$C$3:$BZ$11,MATCH($C8,Releases!$C$3:$C$11,0),MATCH(BA$1,Releases!$C$3:$BZ$3,0)),0)</f>
        <v>0</v>
      </c>
      <c r="BB8" s="81">
        <f>IFERROR(INDEX(Releases!$C$3:$BZ$11,MATCH($C8,Releases!$C$3:$C$11,0),MATCH(BB$1,Releases!$C$3:$BZ$3,0)),0)</f>
        <v>0</v>
      </c>
      <c r="BC8" s="81">
        <f>IFERROR(INDEX(Releases!$C$3:$BZ$11,MATCH($C8,Releases!$C$3:$C$11,0),MATCH(BC$1,Releases!$C$3:$BZ$3,0)),0)</f>
        <v>0</v>
      </c>
      <c r="BD8" s="81">
        <f>IFERROR(INDEX(Releases!$C$3:$BZ$11,MATCH($C8,Releases!$C$3:$C$11,0),MATCH(BD$1,Releases!$C$3:$BZ$3,0)),0)</f>
        <v>0</v>
      </c>
      <c r="BE8" s="81">
        <f>IFERROR(INDEX(Releases!$C$3:$BZ$11,MATCH($C8,Releases!$C$3:$C$11,0),MATCH(BE$1,Releases!$C$3:$BZ$3,0)),0)</f>
        <v>0</v>
      </c>
      <c r="BF8" s="81">
        <f>IFERROR(INDEX(Releases!$C$3:$BZ$11,MATCH($C8,Releases!$C$3:$C$11,0),MATCH(BF$1,Releases!$C$3:$BZ$3,0)),0)</f>
        <v>0</v>
      </c>
      <c r="BG8" s="81">
        <f>IFERROR(INDEX(Releases!$C$3:$BZ$11,MATCH($C8,Releases!$C$3:$C$11,0),MATCH(BG$1,Releases!$C$3:$BZ$3,0)),0)</f>
        <v>0</v>
      </c>
      <c r="BH8" s="81">
        <f>IFERROR(INDEX(Releases!$C$3:$BZ$11,MATCH($C8,Releases!$C$3:$C$11,0),MATCH(BH$1,Releases!$C$3:$BZ$3,0)),0)</f>
        <v>0</v>
      </c>
      <c r="BI8" s="81">
        <f>IFERROR(INDEX(Releases!$C$3:$BZ$11,MATCH($C8,Releases!$C$3:$C$11,0),MATCH(BI$1,Releases!$C$3:$BZ$3,0)),0)</f>
        <v>0</v>
      </c>
      <c r="BJ8" s="81">
        <f>IFERROR(INDEX(Releases!$C$3:$BZ$11,MATCH($C8,Releases!$C$3:$C$11,0),MATCH(BJ$1,Releases!$C$3:$BZ$3,0)),0)</f>
        <v>0</v>
      </c>
      <c r="BK8" s="81">
        <f>IFERROR(INDEX(Releases!$C$3:$BZ$11,MATCH($C8,Releases!$C$3:$C$11,0),MATCH(BK$1,Releases!$C$3:$BZ$3,0)),0)</f>
        <v>0</v>
      </c>
      <c r="BL8" s="81">
        <f>IFERROR(INDEX(Releases!$C$3:$BZ$11,MATCH($C8,Releases!$C$3:$C$11,0),MATCH(BL$1,Releases!$C$3:$BZ$3,0)),0)</f>
        <v>0</v>
      </c>
      <c r="BM8" s="81">
        <f>IFERROR(INDEX(Releases!$C$3:$BZ$11,MATCH($C8,Releases!$C$3:$C$11,0),MATCH(BM$1,Releases!$C$3:$BZ$3,0)),0)</f>
        <v>0</v>
      </c>
      <c r="BN8" s="81">
        <f>IFERROR(INDEX(Releases!$C$3:$BZ$11,MATCH($C8,Releases!$C$3:$C$11,0),MATCH(BN$1,Releases!$C$3:$BZ$3,0)),0)</f>
        <v>0</v>
      </c>
      <c r="BO8" s="81">
        <f>IFERROR(INDEX(Releases!$C$3:$BZ$11,MATCH($C8,Releases!$C$3:$C$11,0),MATCH(BO$1,Releases!$C$3:$BZ$3,0)),0)</f>
        <v>0</v>
      </c>
      <c r="BP8" s="81">
        <f>IFERROR(INDEX(Releases!$C$3:$BZ$11,MATCH($C8,Releases!$C$3:$C$11,0),MATCH(BP$1,Releases!$C$3:$BZ$3,0)),0)</f>
        <v>0</v>
      </c>
      <c r="BQ8" s="81">
        <f>IFERROR(INDEX(Releases!$C$3:$BZ$11,MATCH($C8,Releases!$C$3:$C$11,0),MATCH(BQ$1,Releases!$C$3:$BZ$3,0)),0)</f>
        <v>0</v>
      </c>
      <c r="BR8" s="81">
        <f>IFERROR(INDEX(Releases!$C$3:$BZ$11,MATCH($C8,Releases!$C$3:$C$11,0),MATCH(BR$1,Releases!$C$3:$BZ$3,0)),0)</f>
        <v>0</v>
      </c>
    </row>
    <row r="9" spans="1:70" s="78" customFormat="1" ht="12">
      <c r="A9" s="77">
        <f>Releases!$D$1</f>
        <v>45978</v>
      </c>
      <c r="B9" s="73"/>
      <c r="C9" s="74" t="s">
        <v>38</v>
      </c>
      <c r="D9" s="82">
        <f>IFERROR(INDEX(Releases!$C$3:$BZ$11,MATCH($C9,Releases!$C$3:$C$11,0),MATCH(D$1,Releases!$C$3:$BZ$3,0)),0)</f>
        <v>0</v>
      </c>
      <c r="E9" s="82">
        <f>IFERROR(INDEX(Releases!$C$3:$BZ$11,MATCH($C9,Releases!$C$3:$C$11,0),MATCH(E$1,Releases!$C$3:$BZ$3,0)),0)</f>
        <v>0</v>
      </c>
      <c r="F9" s="82">
        <f>IFERROR(INDEX(Releases!$C$3:$BZ$11,MATCH($C9,Releases!$C$3:$C$11,0),MATCH(F$1,Releases!$C$3:$BZ$3,0)),0)</f>
        <v>0</v>
      </c>
      <c r="G9" s="82">
        <f>IFERROR(INDEX(Releases!$C$3:$BZ$11,MATCH($C9,Releases!$C$3:$C$11,0),MATCH(G$1,Releases!$C$3:$BZ$3,0)),0)</f>
        <v>0</v>
      </c>
      <c r="H9" s="82">
        <f>IFERROR(INDEX(Releases!$C$3:$BZ$11,MATCH($C9,Releases!$C$3:$C$11,0),MATCH(H$1,Releases!$C$3:$BZ$3,0)),0)</f>
        <v>0</v>
      </c>
      <c r="I9" s="82">
        <f>IFERROR(INDEX(Releases!$C$3:$BZ$11,MATCH($C9,Releases!$C$3:$C$11,0),MATCH(I$1,Releases!$C$3:$BZ$3,0)),0)</f>
        <v>0</v>
      </c>
      <c r="J9" s="82">
        <f>IFERROR(INDEX(Releases!$C$3:$BZ$11,MATCH($C9,Releases!$C$3:$C$11,0),MATCH(J$1,Releases!$C$3:$BZ$3,0)),0)</f>
        <v>0</v>
      </c>
      <c r="K9" s="82">
        <f>IFERROR(INDEX(Releases!$C$3:$BZ$11,MATCH($C9,Releases!$C$3:$C$11,0),MATCH(K$1,Releases!$C$3:$BZ$3,0)),0)</f>
        <v>0</v>
      </c>
      <c r="L9" s="82">
        <f>IFERROR(INDEX(Releases!$C$3:$BZ$11,MATCH($C9,Releases!$C$3:$C$11,0),MATCH(L$1,Releases!$C$3:$BZ$3,0)),0)</f>
        <v>0</v>
      </c>
      <c r="M9" s="82">
        <f>IFERROR(INDEX(Releases!$C$3:$BZ$11,MATCH($C9,Releases!$C$3:$C$11,0),MATCH(M$1,Releases!$C$3:$BZ$3,0)),0)</f>
        <v>0</v>
      </c>
      <c r="N9" s="82">
        <f>IFERROR(INDEX(Releases!$C$3:$BZ$11,MATCH($C9,Releases!$C$3:$C$11,0),MATCH(N$1,Releases!$C$3:$BZ$3,0)),0)</f>
        <v>0</v>
      </c>
      <c r="O9" s="82">
        <f>IFERROR(INDEX(Releases!$C$3:$BZ$11,MATCH($C9,Releases!$C$3:$C$11,0),MATCH(O$1,Releases!$C$3:$BZ$3,0)),0)</f>
        <v>0</v>
      </c>
      <c r="P9" s="82">
        <f>IFERROR(INDEX(Releases!$C$3:$BZ$11,MATCH($C9,Releases!$C$3:$C$11,0),MATCH(P$1,Releases!$C$3:$BZ$3,0)),0)</f>
        <v>0</v>
      </c>
      <c r="Q9" s="82">
        <f>IFERROR(INDEX(Releases!$C$3:$BZ$11,MATCH($C9,Releases!$C$3:$C$11,0),MATCH(Q$1,Releases!$C$3:$BZ$3,0)),0)</f>
        <v>0</v>
      </c>
      <c r="R9" s="82">
        <f>IFERROR(INDEX(Releases!$C$3:$BZ$11,MATCH($C9,Releases!$C$3:$C$11,0),MATCH(R$1,Releases!$C$3:$BZ$3,0)),0)</f>
        <v>0</v>
      </c>
      <c r="S9" s="82">
        <f>IFERROR(INDEX(Releases!$C$3:$BZ$11,MATCH($C9,Releases!$C$3:$C$11,0),MATCH(S$1,Releases!$C$3:$BZ$3,0)),0)</f>
        <v>0</v>
      </c>
      <c r="T9" s="82">
        <f>IFERROR(INDEX(Releases!$C$3:$BZ$11,MATCH($C9,Releases!$C$3:$C$11,0),MATCH(T$1,Releases!$C$3:$BZ$3,0)),0)</f>
        <v>0</v>
      </c>
      <c r="U9" s="82">
        <f>IFERROR(INDEX(Releases!$C$3:$BZ$11,MATCH($C9,Releases!$C$3:$C$11,0),MATCH(U$1,Releases!$C$3:$BZ$3,0)),0)</f>
        <v>0</v>
      </c>
      <c r="V9" s="82">
        <f>IFERROR(INDEX(Releases!$C$3:$BZ$11,MATCH($C9,Releases!$C$3:$C$11,0),MATCH(V$1,Releases!$C$3:$BZ$3,0)),0)</f>
        <v>0</v>
      </c>
      <c r="W9" s="82">
        <f>IFERROR(INDEX(Releases!$C$3:$BZ$11,MATCH($C9,Releases!$C$3:$C$11,0),MATCH(W$1,Releases!$C$3:$BZ$3,0)),0)</f>
        <v>0</v>
      </c>
      <c r="X9" s="82">
        <f>IFERROR(INDEX(Releases!$C$3:$BZ$11,MATCH($C9,Releases!$C$3:$C$11,0),MATCH(X$1,Releases!$C$3:$BZ$3,0)),0)</f>
        <v>0</v>
      </c>
      <c r="Y9" s="82">
        <f>IFERROR(INDEX(Releases!$C$3:$BZ$11,MATCH($C9,Releases!$C$3:$C$11,0),MATCH(Y$1,Releases!$C$3:$BZ$3,0)),0)</f>
        <v>0</v>
      </c>
      <c r="Z9" s="82">
        <f>IFERROR(INDEX(Releases!$C$3:$BZ$11,MATCH($C9,Releases!$C$3:$C$11,0),MATCH(Z$1,Releases!$C$3:$BZ$3,0)),0)</f>
        <v>0</v>
      </c>
      <c r="AA9" s="82">
        <f>IFERROR(INDEX(Releases!$C$3:$BZ$11,MATCH($C9,Releases!$C$3:$C$11,0),MATCH(AA$1,Releases!$C$3:$BZ$3,0)),0)</f>
        <v>0</v>
      </c>
      <c r="AB9" s="82">
        <f>IFERROR(INDEX(Releases!$C$3:$BZ$11,MATCH($C9,Releases!$C$3:$C$11,0),MATCH(AB$1,Releases!$C$3:$BZ$3,0)),0)</f>
        <v>0</v>
      </c>
      <c r="AC9" s="82">
        <f>IFERROR(INDEX(Releases!$C$3:$BZ$11,MATCH($C9,Releases!$C$3:$C$11,0),MATCH(AC$1,Releases!$C$3:$BZ$3,0)),0)</f>
        <v>0</v>
      </c>
      <c r="AD9" s="82">
        <f>IFERROR(INDEX(Releases!$C$3:$BZ$11,MATCH($C9,Releases!$C$3:$C$11,0),MATCH(AD$1,Releases!$C$3:$BZ$3,0)),0)</f>
        <v>0</v>
      </c>
      <c r="AE9" s="82">
        <f>IFERROR(INDEX(Releases!$C$3:$BZ$11,MATCH($C9,Releases!$C$3:$C$11,0),MATCH(AE$1,Releases!$C$3:$BZ$3,0)),0)</f>
        <v>0</v>
      </c>
      <c r="AF9" s="82">
        <f>IFERROR(INDEX(Releases!$C$3:$BZ$11,MATCH($C9,Releases!$C$3:$C$11,0),MATCH(AF$1,Releases!$C$3:$BZ$3,0)),0)</f>
        <v>0</v>
      </c>
      <c r="AG9" s="82">
        <f>IFERROR(INDEX(Releases!$C$3:$BZ$11,MATCH($C9,Releases!$C$3:$C$11,0),MATCH(AG$1,Releases!$C$3:$BZ$3,0)),0)</f>
        <v>0</v>
      </c>
      <c r="AH9" s="82">
        <f>IFERROR(INDEX(Releases!$C$3:$BZ$11,MATCH($C9,Releases!$C$3:$C$11,0),MATCH(AH$1,Releases!$C$3:$BZ$3,0)),0)</f>
        <v>0</v>
      </c>
      <c r="AI9" s="82">
        <f>IFERROR(INDEX(Releases!$C$3:$BZ$11,MATCH($C9,Releases!$C$3:$C$11,0),MATCH(AI$1,Releases!$C$3:$BZ$3,0)),0)</f>
        <v>0</v>
      </c>
      <c r="AJ9" s="82">
        <f>IFERROR(INDEX(Releases!$C$3:$BZ$11,MATCH($C9,Releases!$C$3:$C$11,0),MATCH(AJ$1,Releases!$C$3:$BZ$3,0)),0)</f>
        <v>0</v>
      </c>
      <c r="AK9" s="82">
        <f>IFERROR(INDEX(Releases!$C$3:$BZ$11,MATCH($C9,Releases!$C$3:$C$11,0),MATCH(AK$1,Releases!$C$3:$BZ$3,0)),0)</f>
        <v>0</v>
      </c>
      <c r="AL9" s="82">
        <f>IFERROR(INDEX(Releases!$C$3:$BZ$11,MATCH($C9,Releases!$C$3:$C$11,0),MATCH(AL$1,Releases!$C$3:$BZ$3,0)),0)</f>
        <v>0</v>
      </c>
      <c r="AM9" s="82">
        <f>IFERROR(INDEX(Releases!$C$3:$BZ$11,MATCH($C9,Releases!$C$3:$C$11,0),MATCH(AM$1,Releases!$C$3:$BZ$3,0)),0)</f>
        <v>0</v>
      </c>
      <c r="AN9" s="82">
        <f>IFERROR(INDEX(Releases!$C$3:$BZ$11,MATCH($C9,Releases!$C$3:$C$11,0),MATCH(AN$1,Releases!$C$3:$BZ$3,0)),0)</f>
        <v>0</v>
      </c>
      <c r="AO9" s="82">
        <f>IFERROR(INDEX(Releases!$C$3:$BZ$11,MATCH($C9,Releases!$C$3:$C$11,0),MATCH(AO$1,Releases!$C$3:$BZ$3,0)),0)</f>
        <v>0</v>
      </c>
      <c r="AP9" s="82">
        <f>IFERROR(INDEX(Releases!$C$3:$BZ$11,MATCH($C9,Releases!$C$3:$C$11,0),MATCH(AP$1,Releases!$C$3:$BZ$3,0)),0)</f>
        <v>0</v>
      </c>
      <c r="AQ9" s="82">
        <f>IFERROR(INDEX(Releases!$C$3:$BZ$11,MATCH($C9,Releases!$C$3:$C$11,0),MATCH(AQ$1,Releases!$C$3:$BZ$3,0)),0)</f>
        <v>0</v>
      </c>
      <c r="AR9" s="82">
        <f>IFERROR(INDEX(Releases!$C$3:$BZ$11,MATCH($C9,Releases!$C$3:$C$11,0),MATCH(AR$1,Releases!$C$3:$BZ$3,0)),0)</f>
        <v>0</v>
      </c>
      <c r="AS9" s="82">
        <f>IFERROR(INDEX(Releases!$C$3:$BZ$11,MATCH($C9,Releases!$C$3:$C$11,0),MATCH(AS$1,Releases!$C$3:$BZ$3,0)),0)</f>
        <v>0</v>
      </c>
      <c r="AT9" s="82">
        <f>IFERROR(INDEX(Releases!$C$3:$BZ$11,MATCH($C9,Releases!$C$3:$C$11,0),MATCH(AT$1,Releases!$C$3:$BZ$3,0)),0)</f>
        <v>0</v>
      </c>
      <c r="AU9" s="82">
        <f>IFERROR(INDEX(Releases!$C$3:$BZ$11,MATCH($C9,Releases!$C$3:$C$11,0),MATCH(AU$1,Releases!$C$3:$BZ$3,0)),0)</f>
        <v>0</v>
      </c>
      <c r="AV9" s="82">
        <f>IFERROR(INDEX(Releases!$C$3:$BZ$11,MATCH($C9,Releases!$C$3:$C$11,0),MATCH(AV$1,Releases!$C$3:$BZ$3,0)),0)</f>
        <v>0</v>
      </c>
      <c r="AW9" s="82">
        <f>IFERROR(INDEX(Releases!$C$3:$BZ$11,MATCH($C9,Releases!$C$3:$C$11,0),MATCH(AW$1,Releases!$C$3:$BZ$3,0)),0)</f>
        <v>0</v>
      </c>
      <c r="AX9" s="82">
        <f>IFERROR(INDEX(Releases!$C$3:$BZ$11,MATCH($C9,Releases!$C$3:$C$11,0),MATCH(AX$1,Releases!$C$3:$BZ$3,0)),0)</f>
        <v>0</v>
      </c>
      <c r="AY9" s="82">
        <f>IFERROR(INDEX(Releases!$C$3:$BZ$11,MATCH($C9,Releases!$C$3:$C$11,0),MATCH(AY$1,Releases!$C$3:$BZ$3,0)),0)</f>
        <v>0</v>
      </c>
      <c r="AZ9" s="82">
        <f>IFERROR(INDEX(Releases!$C$3:$BZ$11,MATCH($C9,Releases!$C$3:$C$11,0),MATCH(AZ$1,Releases!$C$3:$BZ$3,0)),0)</f>
        <v>0</v>
      </c>
      <c r="BA9" s="82">
        <f>IFERROR(INDEX(Releases!$C$3:$BZ$11,MATCH($C9,Releases!$C$3:$C$11,0),MATCH(BA$1,Releases!$C$3:$BZ$3,0)),0)</f>
        <v>0</v>
      </c>
      <c r="BB9" s="82">
        <f>IFERROR(INDEX(Releases!$C$3:$BZ$11,MATCH($C9,Releases!$C$3:$C$11,0),MATCH(BB$1,Releases!$C$3:$BZ$3,0)),0)</f>
        <v>0</v>
      </c>
      <c r="BC9" s="82">
        <f>IFERROR(INDEX(Releases!$C$3:$BZ$11,MATCH($C9,Releases!$C$3:$C$11,0),MATCH(BC$1,Releases!$C$3:$BZ$3,0)),0)</f>
        <v>0</v>
      </c>
      <c r="BD9" s="82">
        <f>IFERROR(INDEX(Releases!$C$3:$BZ$11,MATCH($C9,Releases!$C$3:$C$11,0),MATCH(BD$1,Releases!$C$3:$BZ$3,0)),0)</f>
        <v>0</v>
      </c>
      <c r="BE9" s="82">
        <f>IFERROR(INDEX(Releases!$C$3:$BZ$11,MATCH($C9,Releases!$C$3:$C$11,0),MATCH(BE$1,Releases!$C$3:$BZ$3,0)),0)</f>
        <v>0</v>
      </c>
      <c r="BF9" s="82">
        <f>IFERROR(INDEX(Releases!$C$3:$BZ$11,MATCH($C9,Releases!$C$3:$C$11,0),MATCH(BF$1,Releases!$C$3:$BZ$3,0)),0)</f>
        <v>0</v>
      </c>
      <c r="BG9" s="82">
        <f>IFERROR(INDEX(Releases!$C$3:$BZ$11,MATCH($C9,Releases!$C$3:$C$11,0),MATCH(BG$1,Releases!$C$3:$BZ$3,0)),0)</f>
        <v>0</v>
      </c>
      <c r="BH9" s="82">
        <f>IFERROR(INDEX(Releases!$C$3:$BZ$11,MATCH($C9,Releases!$C$3:$C$11,0),MATCH(BH$1,Releases!$C$3:$BZ$3,0)),0)</f>
        <v>0</v>
      </c>
      <c r="BI9" s="82">
        <f>IFERROR(INDEX(Releases!$C$3:$BZ$11,MATCH($C9,Releases!$C$3:$C$11,0),MATCH(BI$1,Releases!$C$3:$BZ$3,0)),0)</f>
        <v>0</v>
      </c>
      <c r="BJ9" s="82">
        <f>IFERROR(INDEX(Releases!$C$3:$BZ$11,MATCH($C9,Releases!$C$3:$C$11,0),MATCH(BJ$1,Releases!$C$3:$BZ$3,0)),0)</f>
        <v>0</v>
      </c>
      <c r="BK9" s="82">
        <f>IFERROR(INDEX(Releases!$C$3:$BZ$11,MATCH($C9,Releases!$C$3:$C$11,0),MATCH(BK$1,Releases!$C$3:$BZ$3,0)),0)</f>
        <v>0</v>
      </c>
      <c r="BL9" s="82">
        <f>IFERROR(INDEX(Releases!$C$3:$BZ$11,MATCH($C9,Releases!$C$3:$C$11,0),MATCH(BL$1,Releases!$C$3:$BZ$3,0)),0)</f>
        <v>0</v>
      </c>
      <c r="BM9" s="82">
        <f>IFERROR(INDEX(Releases!$C$3:$BZ$11,MATCH($C9,Releases!$C$3:$C$11,0),MATCH(BM$1,Releases!$C$3:$BZ$3,0)),0)</f>
        <v>0</v>
      </c>
      <c r="BN9" s="82">
        <f>IFERROR(INDEX(Releases!$C$3:$BZ$11,MATCH($C9,Releases!$C$3:$C$11,0),MATCH(BN$1,Releases!$C$3:$BZ$3,0)),0)</f>
        <v>0</v>
      </c>
      <c r="BO9" s="82">
        <f>IFERROR(INDEX(Releases!$C$3:$BZ$11,MATCH($C9,Releases!$C$3:$C$11,0),MATCH(BO$1,Releases!$C$3:$BZ$3,0)),0)</f>
        <v>0</v>
      </c>
      <c r="BP9" s="82">
        <f>IFERROR(INDEX(Releases!$C$3:$BZ$11,MATCH($C9,Releases!$C$3:$C$11,0),MATCH(BP$1,Releases!$C$3:$BZ$3,0)),0)</f>
        <v>0</v>
      </c>
      <c r="BQ9" s="82">
        <f>IFERROR(INDEX(Releases!$C$3:$BZ$11,MATCH($C9,Releases!$C$3:$C$11,0),MATCH(BQ$1,Releases!$C$3:$BZ$3,0)),0)</f>
        <v>0</v>
      </c>
      <c r="BR9" s="82">
        <f>IFERROR(INDEX(Releases!$C$3:$BZ$11,MATCH($C9,Releases!$C$3:$C$11,0),MATCH(BR$1,Releases!$C$3:$BZ$3,0)),0)</f>
        <v>0</v>
      </c>
    </row>
    <row r="10" spans="1:70">
      <c r="A10" s="68"/>
    </row>
    <row r="11" spans="1:70" s="69" customFormat="1" ht="30">
      <c r="A11" s="75" t="s">
        <v>40</v>
      </c>
      <c r="B11" s="75" t="s">
        <v>0</v>
      </c>
      <c r="C11" s="75" t="s">
        <v>39</v>
      </c>
      <c r="D11" s="75">
        <v>46006</v>
      </c>
      <c r="E11" s="75">
        <f>D11+7</f>
        <v>46013</v>
      </c>
      <c r="F11" s="75">
        <f t="shared" ref="F11:BQ11" si="2">E11+7</f>
        <v>46020</v>
      </c>
      <c r="G11" s="75">
        <f t="shared" si="2"/>
        <v>46027</v>
      </c>
      <c r="H11" s="75">
        <f t="shared" si="2"/>
        <v>46034</v>
      </c>
      <c r="I11" s="75">
        <f t="shared" si="2"/>
        <v>46041</v>
      </c>
      <c r="J11" s="75">
        <f t="shared" si="2"/>
        <v>46048</v>
      </c>
      <c r="K11" s="75">
        <f t="shared" si="2"/>
        <v>46055</v>
      </c>
      <c r="L11" s="75">
        <f t="shared" si="2"/>
        <v>46062</v>
      </c>
      <c r="M11" s="75">
        <f t="shared" si="2"/>
        <v>46069</v>
      </c>
      <c r="N11" s="75">
        <f t="shared" si="2"/>
        <v>46076</v>
      </c>
      <c r="O11" s="75">
        <f t="shared" si="2"/>
        <v>46083</v>
      </c>
      <c r="P11" s="75">
        <f t="shared" si="2"/>
        <v>46090</v>
      </c>
      <c r="Q11" s="75">
        <f t="shared" si="2"/>
        <v>46097</v>
      </c>
      <c r="R11" s="75">
        <f t="shared" si="2"/>
        <v>46104</v>
      </c>
      <c r="S11" s="75">
        <f t="shared" si="2"/>
        <v>46111</v>
      </c>
      <c r="T11" s="75">
        <f t="shared" si="2"/>
        <v>46118</v>
      </c>
      <c r="U11" s="75">
        <f t="shared" si="2"/>
        <v>46125</v>
      </c>
      <c r="V11" s="75">
        <f t="shared" si="2"/>
        <v>46132</v>
      </c>
      <c r="W11" s="75">
        <f t="shared" si="2"/>
        <v>46139</v>
      </c>
      <c r="X11" s="75">
        <f t="shared" si="2"/>
        <v>46146</v>
      </c>
      <c r="Y11" s="75">
        <f t="shared" si="2"/>
        <v>46153</v>
      </c>
      <c r="Z11" s="75">
        <f t="shared" si="2"/>
        <v>46160</v>
      </c>
      <c r="AA11" s="75">
        <f t="shared" si="2"/>
        <v>46167</v>
      </c>
      <c r="AB11" s="75">
        <f t="shared" si="2"/>
        <v>46174</v>
      </c>
      <c r="AC11" s="75">
        <f t="shared" si="2"/>
        <v>46181</v>
      </c>
      <c r="AD11" s="75">
        <f t="shared" si="2"/>
        <v>46188</v>
      </c>
      <c r="AE11" s="75">
        <f t="shared" si="2"/>
        <v>46195</v>
      </c>
      <c r="AF11" s="75">
        <f t="shared" si="2"/>
        <v>46202</v>
      </c>
      <c r="AG11" s="75">
        <f t="shared" si="2"/>
        <v>46209</v>
      </c>
      <c r="AH11" s="75">
        <f t="shared" si="2"/>
        <v>46216</v>
      </c>
      <c r="AI11" s="75">
        <f t="shared" si="2"/>
        <v>46223</v>
      </c>
      <c r="AJ11" s="75">
        <f t="shared" si="2"/>
        <v>46230</v>
      </c>
      <c r="AK11" s="75">
        <f t="shared" si="2"/>
        <v>46237</v>
      </c>
      <c r="AL11" s="75">
        <f t="shared" si="2"/>
        <v>46244</v>
      </c>
      <c r="AM11" s="75">
        <f t="shared" si="2"/>
        <v>46251</v>
      </c>
      <c r="AN11" s="75">
        <f t="shared" si="2"/>
        <v>46258</v>
      </c>
      <c r="AO11" s="75">
        <f t="shared" si="2"/>
        <v>46265</v>
      </c>
      <c r="AP11" s="75">
        <f t="shared" si="2"/>
        <v>46272</v>
      </c>
      <c r="AQ11" s="75">
        <f t="shared" si="2"/>
        <v>46279</v>
      </c>
      <c r="AR11" s="75">
        <f t="shared" si="2"/>
        <v>46286</v>
      </c>
      <c r="AS11" s="75">
        <f t="shared" si="2"/>
        <v>46293</v>
      </c>
      <c r="AT11" s="75">
        <f t="shared" si="2"/>
        <v>46300</v>
      </c>
      <c r="AU11" s="75">
        <f>AT11+7</f>
        <v>46307</v>
      </c>
      <c r="AV11" s="75">
        <f t="shared" si="2"/>
        <v>46314</v>
      </c>
      <c r="AW11" s="75">
        <f t="shared" si="2"/>
        <v>46321</v>
      </c>
      <c r="AX11" s="75">
        <f t="shared" si="2"/>
        <v>46328</v>
      </c>
      <c r="AY11" s="75">
        <f t="shared" si="2"/>
        <v>46335</v>
      </c>
      <c r="AZ11" s="75">
        <f t="shared" si="2"/>
        <v>46342</v>
      </c>
      <c r="BA11" s="75">
        <f t="shared" si="2"/>
        <v>46349</v>
      </c>
      <c r="BB11" s="75">
        <f t="shared" si="2"/>
        <v>46356</v>
      </c>
      <c r="BC11" s="75">
        <f t="shared" si="2"/>
        <v>46363</v>
      </c>
      <c r="BD11" s="75">
        <f t="shared" si="2"/>
        <v>46370</v>
      </c>
      <c r="BE11" s="75">
        <f t="shared" si="2"/>
        <v>46377</v>
      </c>
      <c r="BF11" s="75">
        <f t="shared" si="2"/>
        <v>46384</v>
      </c>
      <c r="BG11" s="75">
        <f t="shared" si="2"/>
        <v>46391</v>
      </c>
      <c r="BH11" s="75">
        <f t="shared" si="2"/>
        <v>46398</v>
      </c>
      <c r="BI11" s="75">
        <f t="shared" si="2"/>
        <v>46405</v>
      </c>
      <c r="BJ11" s="75">
        <f t="shared" si="2"/>
        <v>46412</v>
      </c>
      <c r="BK11" s="75">
        <f t="shared" si="2"/>
        <v>46419</v>
      </c>
      <c r="BL11" s="75">
        <f t="shared" si="2"/>
        <v>46426</v>
      </c>
      <c r="BM11" s="75">
        <f t="shared" si="2"/>
        <v>46433</v>
      </c>
      <c r="BN11" s="75">
        <f t="shared" si="2"/>
        <v>46440</v>
      </c>
      <c r="BO11" s="75">
        <f t="shared" si="2"/>
        <v>46447</v>
      </c>
      <c r="BP11" s="75">
        <f t="shared" si="2"/>
        <v>46454</v>
      </c>
      <c r="BQ11" s="75">
        <f t="shared" si="2"/>
        <v>46461</v>
      </c>
      <c r="BR11" s="75">
        <f t="shared" ref="BR11" si="3">BQ11+7</f>
        <v>46468</v>
      </c>
    </row>
    <row r="12" spans="1:70" s="32" customFormat="1">
      <c r="A12" s="45">
        <v>45929</v>
      </c>
      <c r="B12" s="71" t="s">
        <v>13</v>
      </c>
      <c r="C12" s="72" t="s">
        <v>24</v>
      </c>
      <c r="D12" s="81">
        <v>0</v>
      </c>
      <c r="E12" s="81">
        <v>28</v>
      </c>
      <c r="F12" s="81">
        <v>33</v>
      </c>
      <c r="G12" s="81">
        <v>33</v>
      </c>
      <c r="H12" s="81">
        <v>0</v>
      </c>
      <c r="I12" s="81">
        <v>44</v>
      </c>
      <c r="J12" s="81">
        <v>55.000000000000007</v>
      </c>
      <c r="K12" s="81">
        <v>55.000000000000007</v>
      </c>
      <c r="L12" s="81">
        <v>66</v>
      </c>
      <c r="M12" s="81">
        <v>66</v>
      </c>
      <c r="N12" s="81">
        <v>66</v>
      </c>
      <c r="O12" s="81">
        <v>66</v>
      </c>
      <c r="P12" s="81">
        <v>66</v>
      </c>
      <c r="Q12" s="81">
        <v>93.500000000000014</v>
      </c>
      <c r="R12" s="81">
        <v>88</v>
      </c>
      <c r="S12" s="81">
        <v>88</v>
      </c>
      <c r="T12" s="81">
        <v>88</v>
      </c>
      <c r="U12" s="81">
        <v>104.50000000000001</v>
      </c>
      <c r="V12" s="81">
        <v>110.00000000000001</v>
      </c>
      <c r="W12" s="81">
        <v>143</v>
      </c>
      <c r="X12" s="81">
        <v>143</v>
      </c>
      <c r="Y12" s="81">
        <v>143</v>
      </c>
      <c r="Z12" s="81">
        <v>143</v>
      </c>
      <c r="AA12" s="81">
        <v>143</v>
      </c>
      <c r="AB12" s="81">
        <v>143</v>
      </c>
      <c r="AC12" s="81">
        <v>143</v>
      </c>
      <c r="AD12" s="81">
        <v>218.9</v>
      </c>
      <c r="AE12" s="81">
        <v>231.00000000000003</v>
      </c>
      <c r="AF12" s="81">
        <v>231.00000000000003</v>
      </c>
      <c r="AG12" s="81">
        <v>231.00000000000003</v>
      </c>
      <c r="AH12" s="81">
        <v>231.00000000000003</v>
      </c>
      <c r="AI12" s="81">
        <v>184.8</v>
      </c>
      <c r="AJ12" s="81">
        <v>209.00000000000003</v>
      </c>
      <c r="AK12" s="81">
        <v>209.00000000000003</v>
      </c>
      <c r="AL12" s="81">
        <v>236.50000000000003</v>
      </c>
      <c r="AM12" s="81">
        <v>236.50000000000003</v>
      </c>
      <c r="AN12" s="81">
        <v>236.50000000000003</v>
      </c>
      <c r="AO12" s="81">
        <v>258.5</v>
      </c>
      <c r="AP12" s="81">
        <v>231.00000000000003</v>
      </c>
      <c r="AQ12" s="81">
        <v>166.10000000000002</v>
      </c>
      <c r="AR12" s="81">
        <v>154</v>
      </c>
      <c r="AS12" s="81">
        <v>337.70000000000005</v>
      </c>
      <c r="AT12" s="81">
        <v>269.5</v>
      </c>
      <c r="AU12" s="81">
        <v>269.5</v>
      </c>
      <c r="AV12" s="81">
        <v>269.5</v>
      </c>
      <c r="AW12" s="81">
        <v>269.5</v>
      </c>
      <c r="AX12" s="81">
        <v>269.5</v>
      </c>
      <c r="AY12" s="81">
        <v>269.5</v>
      </c>
      <c r="AZ12" s="81">
        <v>269.5</v>
      </c>
      <c r="BA12" s="81">
        <v>269.5</v>
      </c>
      <c r="BB12" s="81">
        <v>269.5</v>
      </c>
      <c r="BC12" s="81">
        <v>269.5</v>
      </c>
      <c r="BD12" s="81">
        <v>0</v>
      </c>
      <c r="BE12" s="81">
        <v>0</v>
      </c>
      <c r="BF12" s="81">
        <v>0</v>
      </c>
      <c r="BG12" s="81">
        <v>0</v>
      </c>
      <c r="BH12" s="81">
        <v>0</v>
      </c>
      <c r="BI12" s="81">
        <v>0</v>
      </c>
      <c r="BJ12" s="81">
        <v>0</v>
      </c>
      <c r="BK12" s="81">
        <v>0</v>
      </c>
      <c r="BL12" s="81">
        <v>0</v>
      </c>
      <c r="BM12" s="81">
        <v>0</v>
      </c>
      <c r="BN12" s="81">
        <v>0</v>
      </c>
      <c r="BO12" s="81">
        <v>0</v>
      </c>
      <c r="BP12" s="81">
        <v>0</v>
      </c>
      <c r="BQ12" s="81">
        <v>0</v>
      </c>
      <c r="BR12" s="81">
        <v>0</v>
      </c>
    </row>
    <row r="13" spans="1:70" s="78" customFormat="1" ht="12">
      <c r="A13" s="77">
        <v>45929</v>
      </c>
      <c r="B13" s="73"/>
      <c r="C13" s="74" t="s">
        <v>34</v>
      </c>
      <c r="D13" s="82">
        <v>0</v>
      </c>
      <c r="E13" s="82">
        <v>28</v>
      </c>
      <c r="F13" s="82">
        <v>61</v>
      </c>
      <c r="G13" s="82">
        <v>94</v>
      </c>
      <c r="H13" s="82">
        <v>94</v>
      </c>
      <c r="I13" s="82">
        <v>138</v>
      </c>
      <c r="J13" s="82">
        <v>193</v>
      </c>
      <c r="K13" s="82">
        <v>248</v>
      </c>
      <c r="L13" s="82">
        <v>314</v>
      </c>
      <c r="M13" s="82">
        <v>380</v>
      </c>
      <c r="N13" s="82">
        <v>446</v>
      </c>
      <c r="O13" s="82">
        <v>512</v>
      </c>
      <c r="P13" s="82">
        <v>578</v>
      </c>
      <c r="Q13" s="82">
        <v>671.5</v>
      </c>
      <c r="R13" s="82">
        <v>759.5</v>
      </c>
      <c r="S13" s="82">
        <v>847.5</v>
      </c>
      <c r="T13" s="82">
        <v>935.5</v>
      </c>
      <c r="U13" s="82">
        <v>1040</v>
      </c>
      <c r="V13" s="82">
        <v>1150</v>
      </c>
      <c r="W13" s="82">
        <v>1293</v>
      </c>
      <c r="X13" s="82">
        <v>1436</v>
      </c>
      <c r="Y13" s="82">
        <v>1579</v>
      </c>
      <c r="Z13" s="82">
        <v>1722</v>
      </c>
      <c r="AA13" s="82">
        <v>1865</v>
      </c>
      <c r="AB13" s="82">
        <v>2008</v>
      </c>
      <c r="AC13" s="82">
        <v>2151</v>
      </c>
      <c r="AD13" s="82">
        <v>2369.9</v>
      </c>
      <c r="AE13" s="82">
        <v>2600.9</v>
      </c>
      <c r="AF13" s="82">
        <v>2831.9</v>
      </c>
      <c r="AG13" s="82">
        <v>3062.9</v>
      </c>
      <c r="AH13" s="82">
        <v>3293.9</v>
      </c>
      <c r="AI13" s="82">
        <v>3478.7000000000003</v>
      </c>
      <c r="AJ13" s="82">
        <v>3687.7000000000003</v>
      </c>
      <c r="AK13" s="82">
        <v>3896.7000000000003</v>
      </c>
      <c r="AL13" s="82">
        <v>4133.2000000000007</v>
      </c>
      <c r="AM13" s="82">
        <v>4369.7000000000007</v>
      </c>
      <c r="AN13" s="82">
        <v>4606.2000000000007</v>
      </c>
      <c r="AO13" s="82">
        <v>4864.7000000000007</v>
      </c>
      <c r="AP13" s="82">
        <v>5095.7000000000007</v>
      </c>
      <c r="AQ13" s="82">
        <v>5261.8000000000011</v>
      </c>
      <c r="AR13" s="82">
        <v>5415.8000000000011</v>
      </c>
      <c r="AS13" s="82">
        <v>5753.5000000000009</v>
      </c>
      <c r="AT13" s="82">
        <v>6023.0000000000009</v>
      </c>
      <c r="AU13" s="82">
        <v>6292.5000000000009</v>
      </c>
      <c r="AV13" s="82">
        <v>6562.0000000000009</v>
      </c>
      <c r="AW13" s="82">
        <v>6831.5000000000009</v>
      </c>
      <c r="AX13" s="82">
        <v>7101.0000000000009</v>
      </c>
      <c r="AY13" s="82">
        <v>7370.5000000000009</v>
      </c>
      <c r="AZ13" s="82">
        <v>7640.0000000000009</v>
      </c>
      <c r="BA13" s="82">
        <v>7909.5000000000009</v>
      </c>
      <c r="BB13" s="82">
        <v>8179.0000000000009</v>
      </c>
      <c r="BC13" s="82">
        <v>8448.5</v>
      </c>
      <c r="BD13" s="82">
        <v>8448.5</v>
      </c>
      <c r="BE13" s="82">
        <v>8448.5</v>
      </c>
      <c r="BF13" s="82">
        <v>8448.5</v>
      </c>
      <c r="BG13" s="82">
        <v>8448.5</v>
      </c>
      <c r="BH13" s="82">
        <v>0</v>
      </c>
      <c r="BI13" s="82">
        <v>0</v>
      </c>
      <c r="BJ13" s="82">
        <v>0</v>
      </c>
      <c r="BK13" s="82">
        <v>0</v>
      </c>
      <c r="BL13" s="82">
        <v>0</v>
      </c>
      <c r="BM13" s="82">
        <v>0</v>
      </c>
      <c r="BN13" s="82">
        <v>0</v>
      </c>
      <c r="BO13" s="82">
        <v>0</v>
      </c>
      <c r="BP13" s="82">
        <v>0</v>
      </c>
      <c r="BQ13" s="82">
        <v>0</v>
      </c>
      <c r="BR13" s="82">
        <v>0</v>
      </c>
    </row>
    <row r="14" spans="1:70" s="32" customFormat="1">
      <c r="A14" s="45">
        <v>45929</v>
      </c>
      <c r="B14" s="71" t="s">
        <v>14</v>
      </c>
      <c r="C14" s="72" t="s">
        <v>25</v>
      </c>
      <c r="D14" s="81">
        <v>0</v>
      </c>
      <c r="E14" s="81">
        <v>28</v>
      </c>
      <c r="F14" s="81">
        <v>33</v>
      </c>
      <c r="G14" s="81">
        <v>33</v>
      </c>
      <c r="H14" s="81">
        <v>0</v>
      </c>
      <c r="I14" s="81">
        <v>44</v>
      </c>
      <c r="J14" s="81">
        <v>55.000000000000007</v>
      </c>
      <c r="K14" s="81">
        <v>55.000000000000007</v>
      </c>
      <c r="L14" s="81">
        <v>66</v>
      </c>
      <c r="M14" s="81">
        <v>66</v>
      </c>
      <c r="N14" s="81">
        <v>66</v>
      </c>
      <c r="O14" s="81">
        <v>66</v>
      </c>
      <c r="P14" s="81">
        <v>66</v>
      </c>
      <c r="Q14" s="81">
        <v>93.500000000000014</v>
      </c>
      <c r="R14" s="81">
        <v>88</v>
      </c>
      <c r="S14" s="81">
        <v>88</v>
      </c>
      <c r="T14" s="81">
        <v>88</v>
      </c>
      <c r="U14" s="81">
        <v>104.50000000000001</v>
      </c>
      <c r="V14" s="81">
        <v>110.00000000000001</v>
      </c>
      <c r="W14" s="81">
        <v>143</v>
      </c>
      <c r="X14" s="81">
        <v>143</v>
      </c>
      <c r="Y14" s="81">
        <v>143</v>
      </c>
      <c r="Z14" s="81">
        <v>143</v>
      </c>
      <c r="AA14" s="81">
        <v>143</v>
      </c>
      <c r="AB14" s="81">
        <v>143</v>
      </c>
      <c r="AC14" s="81">
        <v>143</v>
      </c>
      <c r="AD14" s="81">
        <v>218.9</v>
      </c>
      <c r="AE14" s="81">
        <v>231.00000000000003</v>
      </c>
      <c r="AF14" s="81">
        <v>231.00000000000003</v>
      </c>
      <c r="AG14" s="81">
        <v>231.00000000000003</v>
      </c>
      <c r="AH14" s="81">
        <v>231.00000000000003</v>
      </c>
      <c r="AI14" s="81">
        <v>184.8</v>
      </c>
      <c r="AJ14" s="81">
        <v>209.00000000000003</v>
      </c>
      <c r="AK14" s="81">
        <v>209.00000000000003</v>
      </c>
      <c r="AL14" s="81">
        <v>236.50000000000003</v>
      </c>
      <c r="AM14" s="81">
        <v>236.50000000000003</v>
      </c>
      <c r="AN14" s="81">
        <v>236.50000000000003</v>
      </c>
      <c r="AO14" s="81">
        <v>258.5</v>
      </c>
      <c r="AP14" s="81">
        <v>231.00000000000003</v>
      </c>
      <c r="AQ14" s="81">
        <v>166.10000000000002</v>
      </c>
      <c r="AR14" s="81">
        <v>154</v>
      </c>
      <c r="AS14" s="81">
        <v>337.70000000000005</v>
      </c>
      <c r="AT14" s="81">
        <v>269.5</v>
      </c>
      <c r="AU14" s="81">
        <v>269.5</v>
      </c>
      <c r="AV14" s="81">
        <v>269.5</v>
      </c>
      <c r="AW14" s="81">
        <v>269.5</v>
      </c>
      <c r="AX14" s="81">
        <v>269.5</v>
      </c>
      <c r="AY14" s="81">
        <v>269.5</v>
      </c>
      <c r="AZ14" s="81">
        <v>269.5</v>
      </c>
      <c r="BA14" s="81">
        <v>269.5</v>
      </c>
      <c r="BB14" s="81">
        <v>269.5</v>
      </c>
      <c r="BC14" s="81">
        <v>269.5</v>
      </c>
      <c r="BD14" s="81">
        <v>0</v>
      </c>
      <c r="BE14" s="81">
        <v>0</v>
      </c>
      <c r="BF14" s="81">
        <v>0</v>
      </c>
      <c r="BG14" s="81">
        <v>0</v>
      </c>
      <c r="BH14" s="81">
        <v>0</v>
      </c>
      <c r="BI14" s="81">
        <v>0</v>
      </c>
      <c r="BJ14" s="81">
        <v>0</v>
      </c>
      <c r="BK14" s="81">
        <v>0</v>
      </c>
      <c r="BL14" s="81">
        <v>0</v>
      </c>
      <c r="BM14" s="81">
        <v>0</v>
      </c>
      <c r="BN14" s="81">
        <v>0</v>
      </c>
      <c r="BO14" s="81">
        <v>0</v>
      </c>
      <c r="BP14" s="81">
        <v>0</v>
      </c>
      <c r="BQ14" s="81">
        <v>0</v>
      </c>
      <c r="BR14" s="81">
        <v>0</v>
      </c>
    </row>
    <row r="15" spans="1:70" s="78" customFormat="1" ht="12">
      <c r="A15" s="77">
        <v>45929</v>
      </c>
      <c r="B15" s="73"/>
      <c r="C15" s="74" t="s">
        <v>35</v>
      </c>
      <c r="D15" s="82">
        <v>0</v>
      </c>
      <c r="E15" s="82">
        <v>28</v>
      </c>
      <c r="F15" s="82">
        <v>61</v>
      </c>
      <c r="G15" s="82">
        <v>94</v>
      </c>
      <c r="H15" s="82">
        <v>94</v>
      </c>
      <c r="I15" s="82">
        <v>138</v>
      </c>
      <c r="J15" s="82">
        <v>193</v>
      </c>
      <c r="K15" s="82">
        <v>248</v>
      </c>
      <c r="L15" s="82">
        <v>314</v>
      </c>
      <c r="M15" s="82">
        <v>380</v>
      </c>
      <c r="N15" s="82">
        <v>446</v>
      </c>
      <c r="O15" s="82">
        <v>512</v>
      </c>
      <c r="P15" s="82">
        <v>578</v>
      </c>
      <c r="Q15" s="82">
        <v>671.5</v>
      </c>
      <c r="R15" s="82">
        <v>759.5</v>
      </c>
      <c r="S15" s="82">
        <v>847.5</v>
      </c>
      <c r="T15" s="82">
        <v>935.5</v>
      </c>
      <c r="U15" s="82">
        <v>1040</v>
      </c>
      <c r="V15" s="82">
        <v>1150</v>
      </c>
      <c r="W15" s="82">
        <v>1293</v>
      </c>
      <c r="X15" s="82">
        <v>1436</v>
      </c>
      <c r="Y15" s="82">
        <v>1579</v>
      </c>
      <c r="Z15" s="82">
        <v>1722</v>
      </c>
      <c r="AA15" s="82">
        <v>1865</v>
      </c>
      <c r="AB15" s="82">
        <v>2008</v>
      </c>
      <c r="AC15" s="82">
        <v>2151</v>
      </c>
      <c r="AD15" s="82">
        <v>2369.9</v>
      </c>
      <c r="AE15" s="82">
        <v>2600.9</v>
      </c>
      <c r="AF15" s="82">
        <v>2831.9</v>
      </c>
      <c r="AG15" s="82">
        <v>3062.9</v>
      </c>
      <c r="AH15" s="82">
        <v>3293.9</v>
      </c>
      <c r="AI15" s="82">
        <v>3478.7000000000003</v>
      </c>
      <c r="AJ15" s="82">
        <v>3687.7000000000003</v>
      </c>
      <c r="AK15" s="82">
        <v>3896.7000000000003</v>
      </c>
      <c r="AL15" s="82">
        <v>4133.2000000000007</v>
      </c>
      <c r="AM15" s="82">
        <v>4369.7000000000007</v>
      </c>
      <c r="AN15" s="82">
        <v>4606.2000000000007</v>
      </c>
      <c r="AO15" s="82">
        <v>4864.7000000000007</v>
      </c>
      <c r="AP15" s="82">
        <v>5095.7000000000007</v>
      </c>
      <c r="AQ15" s="82">
        <v>5261.8000000000011</v>
      </c>
      <c r="AR15" s="82">
        <v>5415.8000000000011</v>
      </c>
      <c r="AS15" s="82">
        <v>5753.5000000000009</v>
      </c>
      <c r="AT15" s="82">
        <v>6023.0000000000009</v>
      </c>
      <c r="AU15" s="82">
        <v>6292.5000000000009</v>
      </c>
      <c r="AV15" s="82">
        <v>6562.0000000000009</v>
      </c>
      <c r="AW15" s="82">
        <v>6831.5000000000009</v>
      </c>
      <c r="AX15" s="82">
        <v>7101.0000000000009</v>
      </c>
      <c r="AY15" s="82">
        <v>7370.5000000000009</v>
      </c>
      <c r="AZ15" s="82">
        <v>7640.0000000000009</v>
      </c>
      <c r="BA15" s="82">
        <v>7909.5000000000009</v>
      </c>
      <c r="BB15" s="82">
        <v>8179.0000000000009</v>
      </c>
      <c r="BC15" s="82">
        <v>8448.5</v>
      </c>
      <c r="BD15" s="82">
        <v>8448.5</v>
      </c>
      <c r="BE15" s="82">
        <v>8448.5</v>
      </c>
      <c r="BF15" s="82">
        <v>8448.5</v>
      </c>
      <c r="BG15" s="82">
        <v>8448.5</v>
      </c>
      <c r="BH15" s="82">
        <v>0</v>
      </c>
      <c r="BI15" s="82">
        <v>0</v>
      </c>
      <c r="BJ15" s="82">
        <v>0</v>
      </c>
      <c r="BK15" s="82">
        <v>0</v>
      </c>
      <c r="BL15" s="82">
        <v>0</v>
      </c>
      <c r="BM15" s="82">
        <v>0</v>
      </c>
      <c r="BN15" s="82">
        <v>0</v>
      </c>
      <c r="BO15" s="82">
        <v>0</v>
      </c>
      <c r="BP15" s="82">
        <v>0</v>
      </c>
      <c r="BQ15" s="82">
        <v>0</v>
      </c>
      <c r="BR15" s="82">
        <v>0</v>
      </c>
    </row>
    <row r="16" spans="1:70" s="32" customFormat="1">
      <c r="A16" s="45">
        <v>45929</v>
      </c>
      <c r="B16" s="71" t="s">
        <v>15</v>
      </c>
      <c r="C16" s="72" t="s">
        <v>26</v>
      </c>
      <c r="D16" s="81">
        <v>0</v>
      </c>
      <c r="E16" s="81">
        <v>28</v>
      </c>
      <c r="F16" s="81">
        <v>33</v>
      </c>
      <c r="G16" s="81">
        <v>33</v>
      </c>
      <c r="H16" s="81">
        <v>0</v>
      </c>
      <c r="I16" s="81">
        <v>44</v>
      </c>
      <c r="J16" s="81">
        <v>55.000000000000007</v>
      </c>
      <c r="K16" s="81">
        <v>55.000000000000007</v>
      </c>
      <c r="L16" s="81">
        <v>66</v>
      </c>
      <c r="M16" s="81">
        <v>66</v>
      </c>
      <c r="N16" s="81">
        <v>66</v>
      </c>
      <c r="O16" s="81">
        <v>66</v>
      </c>
      <c r="P16" s="81">
        <v>66</v>
      </c>
      <c r="Q16" s="81">
        <v>93.500000000000014</v>
      </c>
      <c r="R16" s="81">
        <v>88</v>
      </c>
      <c r="S16" s="81">
        <v>88</v>
      </c>
      <c r="T16" s="81">
        <v>88</v>
      </c>
      <c r="U16" s="81">
        <v>104.50000000000001</v>
      </c>
      <c r="V16" s="81">
        <v>110.00000000000001</v>
      </c>
      <c r="W16" s="81">
        <v>143</v>
      </c>
      <c r="X16" s="81">
        <v>143</v>
      </c>
      <c r="Y16" s="81">
        <v>143</v>
      </c>
      <c r="Z16" s="81">
        <v>143</v>
      </c>
      <c r="AA16" s="81">
        <v>143</v>
      </c>
      <c r="AB16" s="81">
        <v>143</v>
      </c>
      <c r="AC16" s="81">
        <v>143</v>
      </c>
      <c r="AD16" s="81">
        <v>218.9</v>
      </c>
      <c r="AE16" s="81">
        <v>231.00000000000003</v>
      </c>
      <c r="AF16" s="81">
        <v>231.00000000000003</v>
      </c>
      <c r="AG16" s="81">
        <v>231.00000000000003</v>
      </c>
      <c r="AH16" s="81">
        <v>231.00000000000003</v>
      </c>
      <c r="AI16" s="81">
        <v>184.8</v>
      </c>
      <c r="AJ16" s="81">
        <v>209.00000000000003</v>
      </c>
      <c r="AK16" s="81">
        <v>209.00000000000003</v>
      </c>
      <c r="AL16" s="81">
        <v>236.50000000000003</v>
      </c>
      <c r="AM16" s="81">
        <v>236.50000000000003</v>
      </c>
      <c r="AN16" s="81">
        <v>236.50000000000003</v>
      </c>
      <c r="AO16" s="81">
        <v>258.5</v>
      </c>
      <c r="AP16" s="81">
        <v>231.00000000000003</v>
      </c>
      <c r="AQ16" s="81">
        <v>166.10000000000002</v>
      </c>
      <c r="AR16" s="81">
        <v>154</v>
      </c>
      <c r="AS16" s="81">
        <v>337.70000000000005</v>
      </c>
      <c r="AT16" s="81">
        <v>269.5</v>
      </c>
      <c r="AU16" s="81">
        <v>269.5</v>
      </c>
      <c r="AV16" s="81">
        <v>269.5</v>
      </c>
      <c r="AW16" s="81">
        <v>269.5</v>
      </c>
      <c r="AX16" s="81">
        <v>269.5</v>
      </c>
      <c r="AY16" s="81">
        <v>269.5</v>
      </c>
      <c r="AZ16" s="81">
        <v>269.5</v>
      </c>
      <c r="BA16" s="81">
        <v>269.5</v>
      </c>
      <c r="BB16" s="81">
        <v>269.5</v>
      </c>
      <c r="BC16" s="81">
        <v>269.5</v>
      </c>
      <c r="BD16" s="81">
        <v>0</v>
      </c>
      <c r="BE16" s="81">
        <v>0</v>
      </c>
      <c r="BF16" s="81">
        <v>0</v>
      </c>
      <c r="BG16" s="81">
        <v>0</v>
      </c>
      <c r="BH16" s="81">
        <v>0</v>
      </c>
      <c r="BI16" s="81">
        <v>0</v>
      </c>
      <c r="BJ16" s="81">
        <v>0</v>
      </c>
      <c r="BK16" s="81">
        <v>0</v>
      </c>
      <c r="BL16" s="81">
        <v>0</v>
      </c>
      <c r="BM16" s="81">
        <v>0</v>
      </c>
      <c r="BN16" s="81">
        <v>0</v>
      </c>
      <c r="BO16" s="81">
        <v>0</v>
      </c>
      <c r="BP16" s="81">
        <v>0</v>
      </c>
      <c r="BQ16" s="81">
        <v>0</v>
      </c>
      <c r="BR16" s="81">
        <v>0</v>
      </c>
    </row>
    <row r="17" spans="1:70" s="78" customFormat="1" ht="12">
      <c r="A17" s="77">
        <v>45929</v>
      </c>
      <c r="B17" s="73"/>
      <c r="C17" s="74" t="s">
        <v>37</v>
      </c>
      <c r="D17" s="82">
        <v>0</v>
      </c>
      <c r="E17" s="82">
        <v>28</v>
      </c>
      <c r="F17" s="82">
        <v>61</v>
      </c>
      <c r="G17" s="82">
        <v>94</v>
      </c>
      <c r="H17" s="82">
        <v>94</v>
      </c>
      <c r="I17" s="82">
        <v>138</v>
      </c>
      <c r="J17" s="82">
        <v>193</v>
      </c>
      <c r="K17" s="82">
        <v>248</v>
      </c>
      <c r="L17" s="82">
        <v>314</v>
      </c>
      <c r="M17" s="82">
        <v>380</v>
      </c>
      <c r="N17" s="82">
        <v>446</v>
      </c>
      <c r="O17" s="82">
        <v>512</v>
      </c>
      <c r="P17" s="82">
        <v>578</v>
      </c>
      <c r="Q17" s="82">
        <v>671.5</v>
      </c>
      <c r="R17" s="82">
        <v>759.5</v>
      </c>
      <c r="S17" s="82">
        <v>847.5</v>
      </c>
      <c r="T17" s="82">
        <v>935.5</v>
      </c>
      <c r="U17" s="82">
        <v>1040</v>
      </c>
      <c r="V17" s="82">
        <v>1150</v>
      </c>
      <c r="W17" s="82">
        <v>1293</v>
      </c>
      <c r="X17" s="82">
        <v>1436</v>
      </c>
      <c r="Y17" s="82">
        <v>1579</v>
      </c>
      <c r="Z17" s="82">
        <v>1722</v>
      </c>
      <c r="AA17" s="82">
        <v>1865</v>
      </c>
      <c r="AB17" s="82">
        <v>2008</v>
      </c>
      <c r="AC17" s="82">
        <v>2151</v>
      </c>
      <c r="AD17" s="82">
        <v>2369.9</v>
      </c>
      <c r="AE17" s="82">
        <v>2600.9</v>
      </c>
      <c r="AF17" s="82">
        <v>2831.9</v>
      </c>
      <c r="AG17" s="82">
        <v>3062.9</v>
      </c>
      <c r="AH17" s="82">
        <v>3293.9</v>
      </c>
      <c r="AI17" s="82">
        <v>3478.7000000000003</v>
      </c>
      <c r="AJ17" s="82">
        <v>3687.7000000000003</v>
      </c>
      <c r="AK17" s="82">
        <v>3896.7000000000003</v>
      </c>
      <c r="AL17" s="82">
        <v>4133.2000000000007</v>
      </c>
      <c r="AM17" s="82">
        <v>4369.7000000000007</v>
      </c>
      <c r="AN17" s="82">
        <v>4606.2000000000007</v>
      </c>
      <c r="AO17" s="82">
        <v>4864.7000000000007</v>
      </c>
      <c r="AP17" s="82">
        <v>5095.7000000000007</v>
      </c>
      <c r="AQ17" s="82">
        <v>5261.8000000000011</v>
      </c>
      <c r="AR17" s="82">
        <v>5415.8000000000011</v>
      </c>
      <c r="AS17" s="82">
        <v>5753.5000000000009</v>
      </c>
      <c r="AT17" s="82">
        <v>6023.0000000000009</v>
      </c>
      <c r="AU17" s="82">
        <v>6292.5000000000009</v>
      </c>
      <c r="AV17" s="82">
        <v>6562.0000000000009</v>
      </c>
      <c r="AW17" s="82">
        <v>6831.5000000000009</v>
      </c>
      <c r="AX17" s="82">
        <v>7101.0000000000009</v>
      </c>
      <c r="AY17" s="82">
        <v>7370.5000000000009</v>
      </c>
      <c r="AZ17" s="82">
        <v>7640.0000000000009</v>
      </c>
      <c r="BA17" s="82">
        <v>7909.5000000000009</v>
      </c>
      <c r="BB17" s="82">
        <v>8179.0000000000009</v>
      </c>
      <c r="BC17" s="82">
        <v>8448.5</v>
      </c>
      <c r="BD17" s="82">
        <v>8448.5</v>
      </c>
      <c r="BE17" s="82">
        <v>8448.5</v>
      </c>
      <c r="BF17" s="82">
        <v>8448.5</v>
      </c>
      <c r="BG17" s="82">
        <v>8448.5</v>
      </c>
      <c r="BH17" s="82">
        <v>0</v>
      </c>
      <c r="BI17" s="82">
        <v>0</v>
      </c>
      <c r="BJ17" s="82">
        <v>0</v>
      </c>
      <c r="BK17" s="82">
        <v>0</v>
      </c>
      <c r="BL17" s="82">
        <v>0</v>
      </c>
      <c r="BM17" s="82">
        <v>0</v>
      </c>
      <c r="BN17" s="82">
        <v>0</v>
      </c>
      <c r="BO17" s="82">
        <v>0</v>
      </c>
      <c r="BP17" s="82">
        <v>0</v>
      </c>
      <c r="BQ17" s="82">
        <v>0</v>
      </c>
      <c r="BR17" s="82">
        <v>0</v>
      </c>
    </row>
    <row r="18" spans="1:70" s="32" customFormat="1">
      <c r="A18" s="45">
        <v>45929</v>
      </c>
      <c r="B18" s="71" t="s">
        <v>16</v>
      </c>
      <c r="C18" s="72" t="s">
        <v>27</v>
      </c>
      <c r="D18" s="81">
        <v>0</v>
      </c>
      <c r="E18" s="81">
        <v>28</v>
      </c>
      <c r="F18" s="81">
        <v>33</v>
      </c>
      <c r="G18" s="81">
        <v>33</v>
      </c>
      <c r="H18" s="81">
        <v>0</v>
      </c>
      <c r="I18" s="81">
        <v>44</v>
      </c>
      <c r="J18" s="81">
        <v>55.000000000000007</v>
      </c>
      <c r="K18" s="81">
        <v>55.000000000000007</v>
      </c>
      <c r="L18" s="81">
        <v>66</v>
      </c>
      <c r="M18" s="81">
        <v>66</v>
      </c>
      <c r="N18" s="81">
        <v>66</v>
      </c>
      <c r="O18" s="81">
        <v>66</v>
      </c>
      <c r="P18" s="81">
        <v>66</v>
      </c>
      <c r="Q18" s="81">
        <v>93.500000000000014</v>
      </c>
      <c r="R18" s="81">
        <v>88</v>
      </c>
      <c r="S18" s="81">
        <v>88</v>
      </c>
      <c r="T18" s="81">
        <v>88</v>
      </c>
      <c r="U18" s="81">
        <v>104.50000000000001</v>
      </c>
      <c r="V18" s="81">
        <v>110.00000000000001</v>
      </c>
      <c r="W18" s="81">
        <v>143</v>
      </c>
      <c r="X18" s="81">
        <v>143</v>
      </c>
      <c r="Y18" s="81">
        <v>143</v>
      </c>
      <c r="Z18" s="81">
        <v>143</v>
      </c>
      <c r="AA18" s="81">
        <v>143</v>
      </c>
      <c r="AB18" s="81">
        <v>143</v>
      </c>
      <c r="AC18" s="81">
        <v>143</v>
      </c>
      <c r="AD18" s="81">
        <v>218.9</v>
      </c>
      <c r="AE18" s="81">
        <v>231.00000000000003</v>
      </c>
      <c r="AF18" s="81">
        <v>231.00000000000003</v>
      </c>
      <c r="AG18" s="81">
        <v>231.00000000000003</v>
      </c>
      <c r="AH18" s="81">
        <v>231.00000000000003</v>
      </c>
      <c r="AI18" s="81">
        <v>184.8</v>
      </c>
      <c r="AJ18" s="81">
        <v>209.00000000000003</v>
      </c>
      <c r="AK18" s="81">
        <v>209.00000000000003</v>
      </c>
      <c r="AL18" s="81">
        <v>236.50000000000003</v>
      </c>
      <c r="AM18" s="81">
        <v>236.50000000000003</v>
      </c>
      <c r="AN18" s="81">
        <v>236.50000000000003</v>
      </c>
      <c r="AO18" s="81">
        <v>258.5</v>
      </c>
      <c r="AP18" s="81">
        <v>231.00000000000003</v>
      </c>
      <c r="AQ18" s="81">
        <v>166.10000000000002</v>
      </c>
      <c r="AR18" s="81">
        <v>154</v>
      </c>
      <c r="AS18" s="81">
        <v>337.70000000000005</v>
      </c>
      <c r="AT18" s="81">
        <v>269.5</v>
      </c>
      <c r="AU18" s="81">
        <v>269.5</v>
      </c>
      <c r="AV18" s="81">
        <v>269.5</v>
      </c>
      <c r="AW18" s="81">
        <v>269.5</v>
      </c>
      <c r="AX18" s="81">
        <v>269.5</v>
      </c>
      <c r="AY18" s="81">
        <v>269.5</v>
      </c>
      <c r="AZ18" s="81">
        <v>269.5</v>
      </c>
      <c r="BA18" s="81">
        <v>269.5</v>
      </c>
      <c r="BB18" s="81">
        <v>269.5</v>
      </c>
      <c r="BC18" s="81">
        <v>269.5</v>
      </c>
      <c r="BD18" s="81">
        <v>0</v>
      </c>
      <c r="BE18" s="81">
        <v>0</v>
      </c>
      <c r="BF18" s="81">
        <v>0</v>
      </c>
      <c r="BG18" s="81">
        <v>0</v>
      </c>
      <c r="BH18" s="81">
        <v>0</v>
      </c>
      <c r="BI18" s="81">
        <v>0</v>
      </c>
      <c r="BJ18" s="81">
        <v>0</v>
      </c>
      <c r="BK18" s="81">
        <v>0</v>
      </c>
      <c r="BL18" s="81">
        <v>0</v>
      </c>
      <c r="BM18" s="81">
        <v>0</v>
      </c>
      <c r="BN18" s="81">
        <v>0</v>
      </c>
      <c r="BO18" s="81">
        <v>0</v>
      </c>
      <c r="BP18" s="81">
        <v>0</v>
      </c>
      <c r="BQ18" s="81">
        <v>0</v>
      </c>
      <c r="BR18" s="81">
        <v>0</v>
      </c>
    </row>
    <row r="19" spans="1:70" s="78" customFormat="1" ht="12">
      <c r="A19" s="77">
        <v>45929</v>
      </c>
      <c r="B19" s="73"/>
      <c r="C19" s="74" t="s">
        <v>38</v>
      </c>
      <c r="D19" s="82">
        <v>0</v>
      </c>
      <c r="E19" s="82">
        <v>28</v>
      </c>
      <c r="F19" s="82">
        <v>61</v>
      </c>
      <c r="G19" s="82">
        <v>94</v>
      </c>
      <c r="H19" s="82">
        <v>94</v>
      </c>
      <c r="I19" s="82">
        <v>138</v>
      </c>
      <c r="J19" s="82">
        <v>193</v>
      </c>
      <c r="K19" s="82">
        <v>248</v>
      </c>
      <c r="L19" s="82">
        <v>314</v>
      </c>
      <c r="M19" s="82">
        <v>380</v>
      </c>
      <c r="N19" s="82">
        <v>446</v>
      </c>
      <c r="O19" s="82">
        <v>512</v>
      </c>
      <c r="P19" s="82">
        <v>578</v>
      </c>
      <c r="Q19" s="82">
        <v>671.5</v>
      </c>
      <c r="R19" s="82">
        <v>759.5</v>
      </c>
      <c r="S19" s="82">
        <v>847.5</v>
      </c>
      <c r="T19" s="82">
        <v>935.5</v>
      </c>
      <c r="U19" s="82">
        <v>1040</v>
      </c>
      <c r="V19" s="82">
        <v>1150</v>
      </c>
      <c r="W19" s="82">
        <v>1293</v>
      </c>
      <c r="X19" s="82">
        <v>1436</v>
      </c>
      <c r="Y19" s="82">
        <v>1579</v>
      </c>
      <c r="Z19" s="82">
        <v>1722</v>
      </c>
      <c r="AA19" s="82">
        <v>1865</v>
      </c>
      <c r="AB19" s="82">
        <v>2008</v>
      </c>
      <c r="AC19" s="82">
        <v>2151</v>
      </c>
      <c r="AD19" s="82">
        <v>2369.9</v>
      </c>
      <c r="AE19" s="82">
        <v>2600.9</v>
      </c>
      <c r="AF19" s="82">
        <v>2831.9</v>
      </c>
      <c r="AG19" s="82">
        <v>3062.9</v>
      </c>
      <c r="AH19" s="82">
        <v>3293.9</v>
      </c>
      <c r="AI19" s="82">
        <v>3478.7000000000003</v>
      </c>
      <c r="AJ19" s="82">
        <v>3687.7000000000003</v>
      </c>
      <c r="AK19" s="82">
        <v>3896.7000000000003</v>
      </c>
      <c r="AL19" s="82">
        <v>4133.2000000000007</v>
      </c>
      <c r="AM19" s="82">
        <v>4369.7000000000007</v>
      </c>
      <c r="AN19" s="82">
        <v>4606.2000000000007</v>
      </c>
      <c r="AO19" s="82">
        <v>4864.7000000000007</v>
      </c>
      <c r="AP19" s="82">
        <v>5095.7000000000007</v>
      </c>
      <c r="AQ19" s="82">
        <v>5261.8000000000011</v>
      </c>
      <c r="AR19" s="82">
        <v>5415.8000000000011</v>
      </c>
      <c r="AS19" s="82">
        <v>5753.5000000000009</v>
      </c>
      <c r="AT19" s="82">
        <v>6023.0000000000009</v>
      </c>
      <c r="AU19" s="82">
        <v>6292.5000000000009</v>
      </c>
      <c r="AV19" s="82">
        <v>6562.0000000000009</v>
      </c>
      <c r="AW19" s="82">
        <v>6831.5000000000009</v>
      </c>
      <c r="AX19" s="82">
        <v>7101.0000000000009</v>
      </c>
      <c r="AY19" s="82">
        <v>7370.5000000000009</v>
      </c>
      <c r="AZ19" s="82">
        <v>7640.0000000000009</v>
      </c>
      <c r="BA19" s="82">
        <v>7909.5000000000009</v>
      </c>
      <c r="BB19" s="82">
        <v>8179.0000000000009</v>
      </c>
      <c r="BC19" s="82">
        <v>8448.5</v>
      </c>
      <c r="BD19" s="82">
        <v>8448.5</v>
      </c>
      <c r="BE19" s="82">
        <v>8448.5</v>
      </c>
      <c r="BF19" s="82">
        <v>8448.5</v>
      </c>
      <c r="BG19" s="82">
        <v>8448.5</v>
      </c>
      <c r="BH19" s="82">
        <v>0</v>
      </c>
      <c r="BI19" s="82">
        <v>0</v>
      </c>
      <c r="BJ19" s="82">
        <v>0</v>
      </c>
      <c r="BK19" s="82">
        <v>0</v>
      </c>
      <c r="BL19" s="82">
        <v>0</v>
      </c>
      <c r="BM19" s="82">
        <v>0</v>
      </c>
      <c r="BN19" s="82">
        <v>0</v>
      </c>
      <c r="BO19" s="82">
        <v>0</v>
      </c>
      <c r="BP19" s="82">
        <v>0</v>
      </c>
      <c r="BQ19" s="82">
        <v>0</v>
      </c>
      <c r="BR19" s="82">
        <v>0</v>
      </c>
    </row>
    <row r="20" spans="1:70" s="32" customFormat="1">
      <c r="A20" s="45">
        <v>45901</v>
      </c>
      <c r="B20" s="71" t="s">
        <v>13</v>
      </c>
      <c r="C20" s="72" t="s">
        <v>24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20</v>
      </c>
      <c r="L20" s="32">
        <v>20</v>
      </c>
      <c r="M20" s="32">
        <v>20</v>
      </c>
      <c r="N20" s="32">
        <v>20</v>
      </c>
      <c r="O20" s="32">
        <v>30</v>
      </c>
      <c r="P20" s="32">
        <v>30</v>
      </c>
      <c r="Q20" s="32">
        <v>30</v>
      </c>
      <c r="R20" s="32">
        <v>30</v>
      </c>
      <c r="S20" s="32">
        <v>30</v>
      </c>
      <c r="T20" s="32">
        <v>45</v>
      </c>
      <c r="U20" s="32">
        <v>45</v>
      </c>
      <c r="V20" s="32">
        <v>45</v>
      </c>
      <c r="W20" s="32">
        <v>45</v>
      </c>
      <c r="X20" s="32">
        <v>60</v>
      </c>
      <c r="Y20" s="32">
        <v>60</v>
      </c>
      <c r="Z20" s="32">
        <v>60</v>
      </c>
      <c r="AA20" s="32">
        <v>60</v>
      </c>
      <c r="AB20" s="32">
        <v>75</v>
      </c>
      <c r="AC20" s="32">
        <v>75</v>
      </c>
      <c r="AD20" s="32">
        <v>75</v>
      </c>
      <c r="AE20" s="32">
        <v>90</v>
      </c>
      <c r="AF20" s="32">
        <v>90</v>
      </c>
      <c r="AG20" s="32">
        <v>100</v>
      </c>
      <c r="AH20" s="32">
        <v>100</v>
      </c>
      <c r="AI20" s="32">
        <v>100</v>
      </c>
      <c r="AJ20" s="32">
        <v>115</v>
      </c>
      <c r="AK20" s="32">
        <v>115</v>
      </c>
      <c r="AL20" s="32">
        <v>115</v>
      </c>
      <c r="AM20" s="32">
        <v>115</v>
      </c>
      <c r="AN20" s="32">
        <v>115</v>
      </c>
      <c r="AO20" s="32">
        <v>115</v>
      </c>
      <c r="AP20" s="32">
        <v>115</v>
      </c>
      <c r="AQ20" s="32">
        <v>115</v>
      </c>
      <c r="AR20" s="32">
        <v>115</v>
      </c>
      <c r="AS20" s="32">
        <v>115</v>
      </c>
      <c r="AT20" s="32">
        <v>115</v>
      </c>
      <c r="AU20" s="32">
        <v>115</v>
      </c>
      <c r="AV20" s="32">
        <v>115</v>
      </c>
      <c r="AW20" s="32">
        <v>115</v>
      </c>
      <c r="AX20" s="32">
        <v>115</v>
      </c>
      <c r="AY20" s="32">
        <v>115</v>
      </c>
      <c r="AZ20" s="32">
        <v>115</v>
      </c>
      <c r="BA20" s="32">
        <v>120</v>
      </c>
      <c r="BB20" s="32">
        <v>120</v>
      </c>
      <c r="BC20" s="32">
        <v>120</v>
      </c>
      <c r="BD20" s="32">
        <v>120</v>
      </c>
      <c r="BE20" s="32">
        <v>120</v>
      </c>
      <c r="BF20" s="32">
        <v>120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</row>
    <row r="21" spans="1:70" s="78" customFormat="1" ht="12">
      <c r="A21" s="77">
        <v>45901</v>
      </c>
      <c r="B21" s="73"/>
      <c r="C21" s="74" t="s">
        <v>34</v>
      </c>
      <c r="D21" s="78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20</v>
      </c>
      <c r="L21" s="78">
        <v>40</v>
      </c>
      <c r="M21" s="78">
        <v>60</v>
      </c>
      <c r="N21" s="78">
        <v>80</v>
      </c>
      <c r="O21" s="78">
        <v>110</v>
      </c>
      <c r="P21" s="78">
        <v>140</v>
      </c>
      <c r="Q21" s="78">
        <v>170</v>
      </c>
      <c r="R21" s="78">
        <v>200</v>
      </c>
      <c r="S21" s="78">
        <v>230</v>
      </c>
      <c r="T21" s="78">
        <v>275</v>
      </c>
      <c r="U21" s="78">
        <v>320</v>
      </c>
      <c r="V21" s="78">
        <v>365</v>
      </c>
      <c r="W21" s="78">
        <v>410</v>
      </c>
      <c r="X21" s="78">
        <v>470</v>
      </c>
      <c r="Y21" s="78">
        <v>530</v>
      </c>
      <c r="Z21" s="78">
        <v>590</v>
      </c>
      <c r="AA21" s="78">
        <v>650</v>
      </c>
      <c r="AB21" s="78">
        <v>725</v>
      </c>
      <c r="AC21" s="78">
        <v>800</v>
      </c>
      <c r="AD21" s="78">
        <v>875</v>
      </c>
      <c r="AE21" s="78">
        <v>965</v>
      </c>
      <c r="AF21" s="78">
        <v>1055</v>
      </c>
      <c r="AG21" s="78">
        <v>1155</v>
      </c>
      <c r="AH21" s="78">
        <v>1255</v>
      </c>
      <c r="AI21" s="78">
        <v>1355</v>
      </c>
      <c r="AJ21" s="78">
        <v>1470</v>
      </c>
      <c r="AK21" s="78">
        <v>1585</v>
      </c>
      <c r="AL21" s="78">
        <v>1700</v>
      </c>
      <c r="AM21" s="78">
        <v>1815</v>
      </c>
      <c r="AN21" s="78">
        <v>1930</v>
      </c>
      <c r="AO21" s="78">
        <v>2045</v>
      </c>
      <c r="AP21" s="78">
        <v>2160</v>
      </c>
      <c r="AQ21" s="78">
        <v>2275</v>
      </c>
      <c r="AR21" s="78">
        <v>2390</v>
      </c>
      <c r="AS21" s="78">
        <v>2505</v>
      </c>
      <c r="AT21" s="78">
        <v>2620</v>
      </c>
      <c r="AU21" s="78">
        <v>2735</v>
      </c>
      <c r="AV21" s="78">
        <v>2850</v>
      </c>
      <c r="AW21" s="78">
        <v>2965</v>
      </c>
      <c r="AX21" s="78">
        <v>3080</v>
      </c>
      <c r="AY21" s="78">
        <v>3195</v>
      </c>
      <c r="AZ21" s="78">
        <v>3310</v>
      </c>
      <c r="BA21" s="78">
        <v>3430</v>
      </c>
      <c r="BB21" s="78">
        <v>3550</v>
      </c>
      <c r="BC21" s="78">
        <v>3670</v>
      </c>
      <c r="BD21" s="78">
        <v>3790</v>
      </c>
      <c r="BE21" s="78">
        <v>3910</v>
      </c>
      <c r="BF21" s="78">
        <v>4030</v>
      </c>
      <c r="BG21" s="78">
        <v>0</v>
      </c>
      <c r="BH21" s="78">
        <v>0</v>
      </c>
      <c r="BI21" s="78">
        <v>0</v>
      </c>
      <c r="BJ21" s="78">
        <v>0</v>
      </c>
      <c r="BK21" s="78">
        <v>0</v>
      </c>
      <c r="BL21" s="78">
        <v>0</v>
      </c>
      <c r="BM21" s="78">
        <v>0</v>
      </c>
      <c r="BN21" s="78">
        <v>0</v>
      </c>
      <c r="BO21" s="78">
        <v>0</v>
      </c>
      <c r="BP21" s="78">
        <v>0</v>
      </c>
      <c r="BQ21" s="78">
        <v>0</v>
      </c>
      <c r="BR21" s="78">
        <v>0</v>
      </c>
    </row>
    <row r="22" spans="1:70" s="32" customFormat="1">
      <c r="A22" s="45">
        <v>45901</v>
      </c>
      <c r="B22" s="71" t="s">
        <v>14</v>
      </c>
      <c r="C22" s="72" t="s">
        <v>25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20</v>
      </c>
      <c r="L22" s="32">
        <v>20</v>
      </c>
      <c r="M22" s="32">
        <v>20</v>
      </c>
      <c r="N22" s="32">
        <v>20</v>
      </c>
      <c r="O22" s="32">
        <v>30</v>
      </c>
      <c r="P22" s="32">
        <v>30</v>
      </c>
      <c r="Q22" s="32">
        <v>30</v>
      </c>
      <c r="R22" s="32">
        <v>30</v>
      </c>
      <c r="S22" s="32">
        <v>30</v>
      </c>
      <c r="T22" s="32">
        <v>45</v>
      </c>
      <c r="U22" s="32">
        <v>45</v>
      </c>
      <c r="V22" s="32">
        <v>45</v>
      </c>
      <c r="W22" s="32">
        <v>45</v>
      </c>
      <c r="X22" s="32">
        <v>60</v>
      </c>
      <c r="Y22" s="32">
        <v>60</v>
      </c>
      <c r="Z22" s="32">
        <v>60</v>
      </c>
      <c r="AA22" s="32">
        <v>60</v>
      </c>
      <c r="AB22" s="32">
        <v>75</v>
      </c>
      <c r="AC22" s="32">
        <v>75</v>
      </c>
      <c r="AD22" s="32">
        <v>75</v>
      </c>
      <c r="AE22" s="32">
        <v>90</v>
      </c>
      <c r="AF22" s="32">
        <v>90</v>
      </c>
      <c r="AG22" s="32">
        <v>100</v>
      </c>
      <c r="AH22" s="32">
        <v>100</v>
      </c>
      <c r="AI22" s="32">
        <v>100</v>
      </c>
      <c r="AJ22" s="32">
        <v>115</v>
      </c>
      <c r="AK22" s="32">
        <v>115</v>
      </c>
      <c r="AL22" s="32">
        <v>115</v>
      </c>
      <c r="AM22" s="32">
        <v>115</v>
      </c>
      <c r="AN22" s="32">
        <v>115</v>
      </c>
      <c r="AO22" s="32">
        <v>115</v>
      </c>
      <c r="AP22" s="32">
        <v>115</v>
      </c>
      <c r="AQ22" s="32">
        <v>115</v>
      </c>
      <c r="AR22" s="32">
        <v>115</v>
      </c>
      <c r="AS22" s="32">
        <v>115</v>
      </c>
      <c r="AT22" s="32">
        <v>115</v>
      </c>
      <c r="AU22" s="32">
        <v>115</v>
      </c>
      <c r="AV22" s="32">
        <v>115</v>
      </c>
      <c r="AW22" s="32">
        <v>115</v>
      </c>
      <c r="AX22" s="32">
        <v>115</v>
      </c>
      <c r="AY22" s="32">
        <v>115</v>
      </c>
      <c r="AZ22" s="32">
        <v>115</v>
      </c>
      <c r="BA22" s="32">
        <v>120</v>
      </c>
      <c r="BB22" s="32">
        <v>120</v>
      </c>
      <c r="BC22" s="32">
        <v>120</v>
      </c>
      <c r="BD22" s="32">
        <v>120</v>
      </c>
      <c r="BE22" s="32">
        <v>120</v>
      </c>
      <c r="BF22" s="32">
        <v>120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</row>
    <row r="23" spans="1:70" s="78" customFormat="1" ht="12">
      <c r="A23" s="77">
        <v>45901</v>
      </c>
      <c r="B23" s="73"/>
      <c r="C23" s="74" t="s">
        <v>35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20</v>
      </c>
      <c r="L23" s="78">
        <v>40</v>
      </c>
      <c r="M23" s="78">
        <v>60</v>
      </c>
      <c r="N23" s="78">
        <v>80</v>
      </c>
      <c r="O23" s="78">
        <v>110</v>
      </c>
      <c r="P23" s="78">
        <v>140</v>
      </c>
      <c r="Q23" s="78">
        <v>170</v>
      </c>
      <c r="R23" s="78">
        <v>200</v>
      </c>
      <c r="S23" s="78">
        <v>230</v>
      </c>
      <c r="T23" s="78">
        <v>275</v>
      </c>
      <c r="U23" s="78">
        <v>320</v>
      </c>
      <c r="V23" s="78">
        <v>365</v>
      </c>
      <c r="W23" s="78">
        <v>410</v>
      </c>
      <c r="X23" s="78">
        <v>470</v>
      </c>
      <c r="Y23" s="78">
        <v>530</v>
      </c>
      <c r="Z23" s="78">
        <v>590</v>
      </c>
      <c r="AA23" s="78">
        <v>650</v>
      </c>
      <c r="AB23" s="78">
        <v>725</v>
      </c>
      <c r="AC23" s="78">
        <v>800</v>
      </c>
      <c r="AD23" s="78">
        <v>875</v>
      </c>
      <c r="AE23" s="78">
        <v>965</v>
      </c>
      <c r="AF23" s="78">
        <v>1055</v>
      </c>
      <c r="AG23" s="78">
        <v>1155</v>
      </c>
      <c r="AH23" s="78">
        <v>1255</v>
      </c>
      <c r="AI23" s="78">
        <v>1355</v>
      </c>
      <c r="AJ23" s="78">
        <v>1470</v>
      </c>
      <c r="AK23" s="78">
        <v>1585</v>
      </c>
      <c r="AL23" s="78">
        <v>1700</v>
      </c>
      <c r="AM23" s="78">
        <v>1815</v>
      </c>
      <c r="AN23" s="78">
        <v>1930</v>
      </c>
      <c r="AO23" s="78">
        <v>2045</v>
      </c>
      <c r="AP23" s="78">
        <v>2160</v>
      </c>
      <c r="AQ23" s="78">
        <v>2275</v>
      </c>
      <c r="AR23" s="78">
        <v>2390</v>
      </c>
      <c r="AS23" s="78">
        <v>2505</v>
      </c>
      <c r="AT23" s="78">
        <v>2620</v>
      </c>
      <c r="AU23" s="78">
        <v>2735</v>
      </c>
      <c r="AV23" s="78">
        <v>2850</v>
      </c>
      <c r="AW23" s="78">
        <v>2965</v>
      </c>
      <c r="AX23" s="78">
        <v>3080</v>
      </c>
      <c r="AY23" s="78">
        <v>3195</v>
      </c>
      <c r="AZ23" s="78">
        <v>3310</v>
      </c>
      <c r="BA23" s="78">
        <v>3430</v>
      </c>
      <c r="BB23" s="78">
        <v>3550</v>
      </c>
      <c r="BC23" s="78">
        <v>3670</v>
      </c>
      <c r="BD23" s="78">
        <v>3790</v>
      </c>
      <c r="BE23" s="78">
        <v>3910</v>
      </c>
      <c r="BF23" s="78">
        <v>4030</v>
      </c>
      <c r="BG23" s="78">
        <v>0</v>
      </c>
      <c r="BH23" s="78">
        <v>0</v>
      </c>
      <c r="BI23" s="78">
        <v>0</v>
      </c>
      <c r="BJ23" s="78">
        <v>0</v>
      </c>
      <c r="BK23" s="78">
        <v>0</v>
      </c>
      <c r="BL23" s="78">
        <v>0</v>
      </c>
      <c r="BM23" s="78">
        <v>0</v>
      </c>
      <c r="BN23" s="78">
        <v>0</v>
      </c>
      <c r="BO23" s="78">
        <v>0</v>
      </c>
      <c r="BP23" s="78">
        <v>0</v>
      </c>
      <c r="BQ23" s="78">
        <v>0</v>
      </c>
      <c r="BR23" s="78">
        <v>0</v>
      </c>
    </row>
    <row r="24" spans="1:70" s="32" customFormat="1">
      <c r="A24" s="45">
        <v>45901</v>
      </c>
      <c r="B24" s="71" t="s">
        <v>15</v>
      </c>
      <c r="C24" s="72" t="s">
        <v>26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20</v>
      </c>
      <c r="L24" s="32">
        <v>20</v>
      </c>
      <c r="M24" s="32">
        <v>20</v>
      </c>
      <c r="N24" s="32">
        <v>20</v>
      </c>
      <c r="O24" s="32">
        <v>30</v>
      </c>
      <c r="P24" s="32">
        <v>30</v>
      </c>
      <c r="Q24" s="32">
        <v>30</v>
      </c>
      <c r="R24" s="32">
        <v>30</v>
      </c>
      <c r="S24" s="32">
        <v>30</v>
      </c>
      <c r="T24" s="32">
        <v>45</v>
      </c>
      <c r="U24" s="32">
        <v>45</v>
      </c>
      <c r="V24" s="32">
        <v>45</v>
      </c>
      <c r="W24" s="32">
        <v>45</v>
      </c>
      <c r="X24" s="32">
        <v>60</v>
      </c>
      <c r="Y24" s="32">
        <v>60</v>
      </c>
      <c r="Z24" s="32">
        <v>60</v>
      </c>
      <c r="AA24" s="32">
        <v>60</v>
      </c>
      <c r="AB24" s="32">
        <v>75</v>
      </c>
      <c r="AC24" s="32">
        <v>75</v>
      </c>
      <c r="AD24" s="32">
        <v>75</v>
      </c>
      <c r="AE24" s="32">
        <v>90</v>
      </c>
      <c r="AF24" s="32">
        <v>90</v>
      </c>
      <c r="AG24" s="32">
        <v>100</v>
      </c>
      <c r="AH24" s="32">
        <v>100</v>
      </c>
      <c r="AI24" s="32">
        <v>100</v>
      </c>
      <c r="AJ24" s="32">
        <v>115</v>
      </c>
      <c r="AK24" s="32">
        <v>115</v>
      </c>
      <c r="AL24" s="32">
        <v>115</v>
      </c>
      <c r="AM24" s="32">
        <v>115</v>
      </c>
      <c r="AN24" s="32">
        <v>115</v>
      </c>
      <c r="AO24" s="32">
        <v>115</v>
      </c>
      <c r="AP24" s="32">
        <v>115</v>
      </c>
      <c r="AQ24" s="32">
        <v>115</v>
      </c>
      <c r="AR24" s="32">
        <v>115</v>
      </c>
      <c r="AS24" s="32">
        <v>115</v>
      </c>
      <c r="AT24" s="32">
        <v>115</v>
      </c>
      <c r="AU24" s="32">
        <v>115</v>
      </c>
      <c r="AV24" s="32">
        <v>115</v>
      </c>
      <c r="AW24" s="32">
        <v>115</v>
      </c>
      <c r="AX24" s="32">
        <v>115</v>
      </c>
      <c r="AY24" s="32">
        <v>115</v>
      </c>
      <c r="AZ24" s="32">
        <v>115</v>
      </c>
      <c r="BA24" s="32">
        <v>120</v>
      </c>
      <c r="BB24" s="32">
        <v>120</v>
      </c>
      <c r="BC24" s="32">
        <v>120</v>
      </c>
      <c r="BD24" s="32">
        <v>120</v>
      </c>
      <c r="BE24" s="32">
        <v>120</v>
      </c>
      <c r="BF24" s="32">
        <v>120</v>
      </c>
      <c r="BG24" s="32">
        <v>0</v>
      </c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0</v>
      </c>
      <c r="BP24" s="32">
        <v>0</v>
      </c>
      <c r="BQ24" s="32">
        <v>0</v>
      </c>
      <c r="BR24" s="32">
        <v>0</v>
      </c>
    </row>
    <row r="25" spans="1:70" s="78" customFormat="1" ht="12">
      <c r="A25" s="77">
        <v>45901</v>
      </c>
      <c r="B25" s="73"/>
      <c r="C25" s="74" t="s">
        <v>37</v>
      </c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20</v>
      </c>
      <c r="L25" s="78">
        <v>40</v>
      </c>
      <c r="M25" s="78">
        <v>60</v>
      </c>
      <c r="N25" s="78">
        <v>80</v>
      </c>
      <c r="O25" s="78">
        <v>110</v>
      </c>
      <c r="P25" s="78">
        <v>140</v>
      </c>
      <c r="Q25" s="78">
        <v>170</v>
      </c>
      <c r="R25" s="78">
        <v>200</v>
      </c>
      <c r="S25" s="78">
        <v>230</v>
      </c>
      <c r="T25" s="78">
        <v>275</v>
      </c>
      <c r="U25" s="78">
        <v>320</v>
      </c>
      <c r="V25" s="78">
        <v>365</v>
      </c>
      <c r="W25" s="78">
        <v>410</v>
      </c>
      <c r="X25" s="78">
        <v>470</v>
      </c>
      <c r="Y25" s="78">
        <v>530</v>
      </c>
      <c r="Z25" s="78">
        <v>590</v>
      </c>
      <c r="AA25" s="78">
        <v>650</v>
      </c>
      <c r="AB25" s="78">
        <v>725</v>
      </c>
      <c r="AC25" s="78">
        <v>800</v>
      </c>
      <c r="AD25" s="78">
        <v>875</v>
      </c>
      <c r="AE25" s="78">
        <v>965</v>
      </c>
      <c r="AF25" s="78">
        <v>1055</v>
      </c>
      <c r="AG25" s="78">
        <v>1155</v>
      </c>
      <c r="AH25" s="78">
        <v>1255</v>
      </c>
      <c r="AI25" s="78">
        <v>1355</v>
      </c>
      <c r="AJ25" s="78">
        <v>1470</v>
      </c>
      <c r="AK25" s="78">
        <v>1585</v>
      </c>
      <c r="AL25" s="78">
        <v>1700</v>
      </c>
      <c r="AM25" s="78">
        <v>1815</v>
      </c>
      <c r="AN25" s="78">
        <v>1930</v>
      </c>
      <c r="AO25" s="78">
        <v>2045</v>
      </c>
      <c r="AP25" s="78">
        <v>2160</v>
      </c>
      <c r="AQ25" s="78">
        <v>2275</v>
      </c>
      <c r="AR25" s="78">
        <v>2390</v>
      </c>
      <c r="AS25" s="78">
        <v>2505</v>
      </c>
      <c r="AT25" s="78">
        <v>2620</v>
      </c>
      <c r="AU25" s="78">
        <v>2735</v>
      </c>
      <c r="AV25" s="78">
        <v>2850</v>
      </c>
      <c r="AW25" s="78">
        <v>2965</v>
      </c>
      <c r="AX25" s="78">
        <v>3080</v>
      </c>
      <c r="AY25" s="78">
        <v>3195</v>
      </c>
      <c r="AZ25" s="78">
        <v>3310</v>
      </c>
      <c r="BA25" s="78">
        <v>3430</v>
      </c>
      <c r="BB25" s="78">
        <v>3550</v>
      </c>
      <c r="BC25" s="78">
        <v>3670</v>
      </c>
      <c r="BD25" s="78">
        <v>3790</v>
      </c>
      <c r="BE25" s="78">
        <v>3910</v>
      </c>
      <c r="BF25" s="78">
        <v>4030</v>
      </c>
      <c r="BG25" s="78">
        <v>0</v>
      </c>
      <c r="BH25" s="78">
        <v>0</v>
      </c>
      <c r="BI25" s="78">
        <v>0</v>
      </c>
      <c r="BJ25" s="78">
        <v>0</v>
      </c>
      <c r="BK25" s="78">
        <v>0</v>
      </c>
      <c r="BL25" s="78">
        <v>0</v>
      </c>
      <c r="BM25" s="78">
        <v>0</v>
      </c>
      <c r="BN25" s="78">
        <v>0</v>
      </c>
      <c r="BO25" s="78">
        <v>0</v>
      </c>
      <c r="BP25" s="78">
        <v>0</v>
      </c>
      <c r="BQ25" s="78">
        <v>0</v>
      </c>
      <c r="BR25" s="78">
        <v>0</v>
      </c>
    </row>
    <row r="26" spans="1:70" s="32" customFormat="1">
      <c r="A26" s="45">
        <v>45901</v>
      </c>
      <c r="B26" s="71" t="s">
        <v>16</v>
      </c>
      <c r="C26" s="72" t="s">
        <v>27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20</v>
      </c>
      <c r="L26" s="32">
        <v>20</v>
      </c>
      <c r="M26" s="32">
        <v>20</v>
      </c>
      <c r="N26" s="32">
        <v>20</v>
      </c>
      <c r="O26" s="32">
        <v>30</v>
      </c>
      <c r="P26" s="32">
        <v>30</v>
      </c>
      <c r="Q26" s="32">
        <v>30</v>
      </c>
      <c r="R26" s="32">
        <v>30</v>
      </c>
      <c r="S26" s="32">
        <v>30</v>
      </c>
      <c r="T26" s="32">
        <v>45</v>
      </c>
      <c r="U26" s="32">
        <v>45</v>
      </c>
      <c r="V26" s="32">
        <v>45</v>
      </c>
      <c r="W26" s="32">
        <v>45</v>
      </c>
      <c r="X26" s="32">
        <v>60</v>
      </c>
      <c r="Y26" s="32">
        <v>60</v>
      </c>
      <c r="Z26" s="32">
        <v>60</v>
      </c>
      <c r="AA26" s="32">
        <v>60</v>
      </c>
      <c r="AB26" s="32">
        <v>75</v>
      </c>
      <c r="AC26" s="32">
        <v>75</v>
      </c>
      <c r="AD26" s="32">
        <v>75</v>
      </c>
      <c r="AE26" s="32">
        <v>90</v>
      </c>
      <c r="AF26" s="32">
        <v>90</v>
      </c>
      <c r="AG26" s="32">
        <v>100</v>
      </c>
      <c r="AH26" s="32">
        <v>100</v>
      </c>
      <c r="AI26" s="32">
        <v>100</v>
      </c>
      <c r="AJ26" s="32">
        <v>115</v>
      </c>
      <c r="AK26" s="32">
        <v>115</v>
      </c>
      <c r="AL26" s="32">
        <v>115</v>
      </c>
      <c r="AM26" s="32">
        <v>115</v>
      </c>
      <c r="AN26" s="32">
        <v>115</v>
      </c>
      <c r="AO26" s="32">
        <v>115</v>
      </c>
      <c r="AP26" s="32">
        <v>115</v>
      </c>
      <c r="AQ26" s="32">
        <v>115</v>
      </c>
      <c r="AR26" s="32">
        <v>115</v>
      </c>
      <c r="AS26" s="32">
        <v>115</v>
      </c>
      <c r="AT26" s="32">
        <v>115</v>
      </c>
      <c r="AU26" s="32">
        <v>115</v>
      </c>
      <c r="AV26" s="32">
        <v>115</v>
      </c>
      <c r="AW26" s="32">
        <v>115</v>
      </c>
      <c r="AX26" s="32">
        <v>115</v>
      </c>
      <c r="AY26" s="32">
        <v>115</v>
      </c>
      <c r="AZ26" s="32">
        <v>115</v>
      </c>
      <c r="BA26" s="32">
        <v>120</v>
      </c>
      <c r="BB26" s="32">
        <v>120</v>
      </c>
      <c r="BC26" s="32">
        <v>120</v>
      </c>
      <c r="BD26" s="32">
        <v>120</v>
      </c>
      <c r="BE26" s="32">
        <v>120</v>
      </c>
      <c r="BF26" s="32">
        <v>120</v>
      </c>
      <c r="BG26" s="32">
        <v>0</v>
      </c>
      <c r="BH26" s="32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0</v>
      </c>
      <c r="BO26" s="32">
        <v>0</v>
      </c>
      <c r="BP26" s="32">
        <v>0</v>
      </c>
      <c r="BQ26" s="32">
        <v>0</v>
      </c>
      <c r="BR26" s="32">
        <v>0</v>
      </c>
    </row>
    <row r="27" spans="1:70" s="78" customFormat="1" ht="12">
      <c r="A27" s="77">
        <v>45901</v>
      </c>
      <c r="B27" s="73"/>
      <c r="C27" s="74" t="s">
        <v>38</v>
      </c>
      <c r="D27" s="78">
        <v>0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20</v>
      </c>
      <c r="L27" s="78">
        <v>40</v>
      </c>
      <c r="M27" s="78">
        <v>60</v>
      </c>
      <c r="N27" s="78">
        <v>80</v>
      </c>
      <c r="O27" s="78">
        <v>110</v>
      </c>
      <c r="P27" s="78">
        <v>140</v>
      </c>
      <c r="Q27" s="78">
        <v>170</v>
      </c>
      <c r="R27" s="78">
        <v>200</v>
      </c>
      <c r="S27" s="78">
        <v>230</v>
      </c>
      <c r="T27" s="78">
        <v>275</v>
      </c>
      <c r="U27" s="78">
        <v>320</v>
      </c>
      <c r="V27" s="78">
        <v>365</v>
      </c>
      <c r="W27" s="78">
        <v>410</v>
      </c>
      <c r="X27" s="78">
        <v>470</v>
      </c>
      <c r="Y27" s="78">
        <v>530</v>
      </c>
      <c r="Z27" s="78">
        <v>590</v>
      </c>
      <c r="AA27" s="78">
        <v>650</v>
      </c>
      <c r="AB27" s="78">
        <v>725</v>
      </c>
      <c r="AC27" s="78">
        <v>800</v>
      </c>
      <c r="AD27" s="78">
        <v>875</v>
      </c>
      <c r="AE27" s="78">
        <v>965</v>
      </c>
      <c r="AF27" s="78">
        <v>1055</v>
      </c>
      <c r="AG27" s="78">
        <v>1155</v>
      </c>
      <c r="AH27" s="78">
        <v>1255</v>
      </c>
      <c r="AI27" s="78">
        <v>1355</v>
      </c>
      <c r="AJ27" s="78">
        <v>1470</v>
      </c>
      <c r="AK27" s="78">
        <v>1585</v>
      </c>
      <c r="AL27" s="78">
        <v>1700</v>
      </c>
      <c r="AM27" s="78">
        <v>1815</v>
      </c>
      <c r="AN27" s="78">
        <v>1930</v>
      </c>
      <c r="AO27" s="78">
        <v>2045</v>
      </c>
      <c r="AP27" s="78">
        <v>2160</v>
      </c>
      <c r="AQ27" s="78">
        <v>2275</v>
      </c>
      <c r="AR27" s="78">
        <v>2390</v>
      </c>
      <c r="AS27" s="78">
        <v>2505</v>
      </c>
      <c r="AT27" s="78">
        <v>2620</v>
      </c>
      <c r="AU27" s="78">
        <v>2735</v>
      </c>
      <c r="AV27" s="78">
        <v>2850</v>
      </c>
      <c r="AW27" s="78">
        <v>2965</v>
      </c>
      <c r="AX27" s="78">
        <v>3080</v>
      </c>
      <c r="AY27" s="78">
        <v>3195</v>
      </c>
      <c r="AZ27" s="78">
        <v>3310</v>
      </c>
      <c r="BA27" s="78">
        <v>3430</v>
      </c>
      <c r="BB27" s="78">
        <v>3550</v>
      </c>
      <c r="BC27" s="78">
        <v>3670</v>
      </c>
      <c r="BD27" s="78">
        <v>3790</v>
      </c>
      <c r="BE27" s="78">
        <v>3910</v>
      </c>
      <c r="BF27" s="78">
        <v>4030</v>
      </c>
      <c r="BG27" s="78">
        <v>0</v>
      </c>
      <c r="BH27" s="78">
        <v>0</v>
      </c>
      <c r="BI27" s="78">
        <v>0</v>
      </c>
      <c r="BJ27" s="78">
        <v>0</v>
      </c>
      <c r="BK27" s="78">
        <v>0</v>
      </c>
      <c r="BL27" s="78">
        <v>0</v>
      </c>
      <c r="BM27" s="78">
        <v>0</v>
      </c>
      <c r="BN27" s="78">
        <v>0</v>
      </c>
      <c r="BO27" s="78">
        <v>0</v>
      </c>
      <c r="BP27" s="78">
        <v>0</v>
      </c>
      <c r="BQ27" s="78">
        <v>0</v>
      </c>
      <c r="BR27" s="78">
        <v>0</v>
      </c>
    </row>
  </sheetData>
  <autoFilter ref="A11:BR11" xr:uid="{A800D715-BB92-442F-9847-1B8742531A14}"/>
  <pageMargins left="0.7" right="0.7" top="0.75" bottom="0.75" header="0.3" footer="0.3"/>
  <pageSetup orientation="portrait" verticalDpi="0" r:id="rId1"/>
  <headerFooter>
    <oddFooter>&amp;L8.2.2.4.22 KB Components Tracker - Template&amp;RCreated:01/16/26TS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Receiving</vt:lpstr>
      <vt:lpstr>Shipping</vt:lpstr>
      <vt:lpstr>MRP</vt:lpstr>
      <vt:lpstr>Parts Legend</vt:lpstr>
      <vt:lpstr>Releases</vt:lpstr>
      <vt:lpstr>waterfall</vt:lpstr>
      <vt:lpstr>'Parts Legend'!Print_Area</vt:lpstr>
      <vt:lpstr>'Parts Legend'!Print_Titles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Suciu</dc:creator>
  <cp:lastModifiedBy>Amit Shinde</cp:lastModifiedBy>
  <cp:lastPrinted>2026-01-16T20:18:14Z</cp:lastPrinted>
  <dcterms:created xsi:type="dcterms:W3CDTF">2025-02-19T15:32:52Z</dcterms:created>
  <dcterms:modified xsi:type="dcterms:W3CDTF">2026-01-16T20:18:17Z</dcterms:modified>
</cp:coreProperties>
</file>