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8.0 Production\8.2 Forms\8.2.2 Plant 2\8.2.2.4 Shipping Forms\"/>
    </mc:Choice>
  </mc:AlternateContent>
  <xr:revisionPtr revIDLastSave="0" documentId="13_ncr:1_{90E7C6BF-1A21-40F3-B66B-263A8175CF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1" r:id="rId1"/>
    <sheet name="Receiving" sheetId="5" r:id="rId2"/>
    <sheet name="Shipping" sheetId="8" r:id="rId3"/>
    <sheet name="MRP" sheetId="6" r:id="rId4"/>
    <sheet name="Releases" sheetId="7" r:id="rId5"/>
    <sheet name="Parts Legend" sheetId="15" r:id="rId6"/>
    <sheet name="Shipping total" sheetId="18" r:id="rId7"/>
  </sheets>
  <definedNames>
    <definedName name="_xlnm._FilterDatabase" localSheetId="3" hidden="1">MRP!$A$11:$Z$79</definedName>
    <definedName name="_xlnm._FilterDatabase" localSheetId="2" hidden="1">Shipping!$A$2:$G$1245</definedName>
    <definedName name="_xlnm.Print_Area" localSheetId="5">'Parts Legend'!$A$1:$D$12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E12" i="5"/>
  <c r="E13" i="5"/>
  <c r="E4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H1" i="5"/>
  <c r="F13" i="5"/>
  <c r="D13" i="5"/>
  <c r="C13" i="5"/>
  <c r="F12" i="5"/>
  <c r="D12" i="5"/>
  <c r="C12" i="5"/>
  <c r="F11" i="5"/>
  <c r="E11" i="5" s="1"/>
  <c r="D11" i="5"/>
  <c r="C11" i="5"/>
  <c r="F10" i="5"/>
  <c r="E10" i="5" s="1"/>
  <c r="D10" i="5"/>
  <c r="C10" i="5"/>
  <c r="F9" i="5"/>
  <c r="D9" i="5"/>
  <c r="C9" i="5"/>
  <c r="F8" i="5"/>
  <c r="E8" i="5" s="1"/>
  <c r="D8" i="5"/>
  <c r="C8" i="5"/>
  <c r="F7" i="5"/>
  <c r="E7" i="5" s="1"/>
  <c r="D7" i="5"/>
  <c r="C7" i="5"/>
  <c r="F6" i="5"/>
  <c r="E6" i="5" s="1"/>
  <c r="D6" i="5"/>
  <c r="C6" i="5"/>
  <c r="F5" i="5"/>
  <c r="E5" i="5" s="1"/>
  <c r="D5" i="5"/>
  <c r="C5" i="5"/>
  <c r="F4" i="5"/>
  <c r="D4" i="5"/>
  <c r="C4" i="5"/>
  <c r="G1" i="5"/>
  <c r="BQ37" i="8"/>
  <c r="BP28" i="8" l="1"/>
  <c r="BQ28" i="8"/>
  <c r="BO28" i="8"/>
  <c r="BQ18" i="8" l="1"/>
  <c r="BP18" i="8"/>
  <c r="BP1" i="8" s="1"/>
  <c r="BO18" i="8"/>
  <c r="BM18" i="8"/>
  <c r="BM1" i="8" s="1"/>
  <c r="BL18" i="8"/>
  <c r="BL1" i="8" s="1"/>
  <c r="L14" i="8"/>
  <c r="L5" i="8"/>
  <c r="L6" i="8"/>
  <c r="L7" i="8"/>
  <c r="L8" i="8"/>
  <c r="L9" i="8"/>
  <c r="L10" i="8"/>
  <c r="L11" i="8"/>
  <c r="L12" i="8"/>
  <c r="L13" i="8"/>
  <c r="L4" i="8"/>
  <c r="BS1" i="8"/>
  <c r="BT1" i="8"/>
  <c r="BU1" i="8"/>
  <c r="BV1" i="8"/>
  <c r="BW1" i="8"/>
  <c r="BX1" i="8"/>
  <c r="BY1" i="8"/>
  <c r="BZ1" i="8"/>
  <c r="CA1" i="8"/>
  <c r="CB1" i="8"/>
  <c r="CC1" i="8"/>
  <c r="CD1" i="8"/>
  <c r="CE1" i="8"/>
  <c r="CF1" i="8"/>
  <c r="CG1" i="8"/>
  <c r="CH1" i="8"/>
  <c r="CI1" i="8"/>
  <c r="CJ1" i="8"/>
  <c r="CK1" i="8"/>
  <c r="CL1" i="8"/>
  <c r="CM1" i="8"/>
  <c r="CN1" i="8"/>
  <c r="CO1" i="8"/>
  <c r="CP1" i="8"/>
  <c r="CQ1" i="8"/>
  <c r="CR1" i="8"/>
  <c r="CS1" i="8"/>
  <c r="CT1" i="8"/>
  <c r="CU1" i="8"/>
  <c r="CV1" i="8"/>
  <c r="CW1" i="8"/>
  <c r="CX1" i="8"/>
  <c r="CY1" i="8"/>
  <c r="CZ1" i="8"/>
  <c r="DA1" i="8"/>
  <c r="DB1" i="8"/>
  <c r="DC1" i="8"/>
  <c r="DD1" i="8"/>
  <c r="DE1" i="8"/>
  <c r="DF1" i="8"/>
  <c r="BR1" i="8"/>
  <c r="BQ1" i="8"/>
  <c r="N1" i="8"/>
  <c r="O1" i="8"/>
  <c r="P1" i="8"/>
  <c r="Q1" i="8"/>
  <c r="R1" i="8"/>
  <c r="S1" i="8"/>
  <c r="T1" i="8"/>
  <c r="U1" i="8"/>
  <c r="V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S1" i="8"/>
  <c r="AT1" i="8"/>
  <c r="AU1" i="8"/>
  <c r="AV1" i="8"/>
  <c r="AW1" i="8"/>
  <c r="AX1" i="8"/>
  <c r="AY1" i="8"/>
  <c r="AZ1" i="8"/>
  <c r="BA1" i="8"/>
  <c r="BB1" i="8"/>
  <c r="BC1" i="8"/>
  <c r="BD1" i="8"/>
  <c r="BE1" i="8"/>
  <c r="BF1" i="8"/>
  <c r="BG1" i="8"/>
  <c r="BH1" i="8"/>
  <c r="BI1" i="8"/>
  <c r="BJ1" i="8"/>
  <c r="BK1" i="8"/>
  <c r="BN1" i="8"/>
  <c r="BO1" i="8"/>
  <c r="W1" i="8"/>
  <c r="AR1" i="8"/>
  <c r="M1" i="8"/>
  <c r="K5" i="8"/>
  <c r="K13" i="8"/>
  <c r="K7" i="8"/>
  <c r="K8" i="8"/>
  <c r="K10" i="8"/>
  <c r="K12" i="8"/>
  <c r="K6" i="8"/>
  <c r="K9" i="8"/>
  <c r="K11" i="8"/>
  <c r="K4" i="8"/>
  <c r="J5" i="8"/>
  <c r="J13" i="8"/>
  <c r="J7" i="8"/>
  <c r="J8" i="8"/>
  <c r="J10" i="8"/>
  <c r="J12" i="8"/>
  <c r="J6" i="8"/>
  <c r="J9" i="8"/>
  <c r="J11" i="8"/>
  <c r="J4" i="8"/>
  <c r="L2" i="8" l="1"/>
  <c r="D361" i="8" l="1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360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361" i="8"/>
  <c r="G360" i="8"/>
  <c r="G351" i="8"/>
  <c r="G352" i="8"/>
  <c r="G353" i="8"/>
  <c r="G354" i="8"/>
  <c r="G355" i="8"/>
  <c r="G356" i="8"/>
  <c r="G357" i="8"/>
  <c r="G358" i="8"/>
  <c r="G359" i="8"/>
  <c r="G350" i="8"/>
  <c r="G349" i="8"/>
  <c r="G348" i="8"/>
  <c r="G347" i="8"/>
  <c r="G344" i="8"/>
  <c r="G345" i="8"/>
  <c r="G346" i="8"/>
  <c r="G343" i="8"/>
  <c r="G337" i="8"/>
  <c r="G338" i="8"/>
  <c r="G339" i="8"/>
  <c r="G340" i="8"/>
  <c r="G341" i="8"/>
  <c r="G342" i="8"/>
  <c r="G336" i="8"/>
  <c r="G331" i="8"/>
  <c r="G332" i="8"/>
  <c r="G333" i="8"/>
  <c r="G334" i="8"/>
  <c r="G335" i="8"/>
  <c r="G328" i="8"/>
  <c r="G329" i="8"/>
  <c r="G330" i="8"/>
  <c r="G319" i="8"/>
  <c r="G320" i="8"/>
  <c r="G321" i="8"/>
  <c r="G322" i="8"/>
  <c r="G323" i="8"/>
  <c r="G324" i="8"/>
  <c r="G325" i="8"/>
  <c r="G326" i="8"/>
  <c r="G327" i="8"/>
  <c r="G309" i="8"/>
  <c r="G310" i="8"/>
  <c r="G311" i="8"/>
  <c r="G312" i="8"/>
  <c r="G313" i="8"/>
  <c r="G314" i="8"/>
  <c r="G315" i="8"/>
  <c r="G316" i="8"/>
  <c r="G317" i="8"/>
  <c r="G318" i="8"/>
  <c r="G308" i="8"/>
  <c r="G307" i="8"/>
  <c r="G297" i="8"/>
  <c r="G298" i="8"/>
  <c r="G299" i="8"/>
  <c r="G300" i="8"/>
  <c r="G301" i="8"/>
  <c r="G302" i="8"/>
  <c r="G303" i="8"/>
  <c r="G304" i="8"/>
  <c r="G305" i="8"/>
  <c r="G306" i="8"/>
  <c r="G287" i="8"/>
  <c r="G288" i="8"/>
  <c r="G289" i="8"/>
  <c r="G290" i="8"/>
  <c r="G291" i="8"/>
  <c r="G292" i="8"/>
  <c r="G293" i="8"/>
  <c r="G294" i="8"/>
  <c r="G295" i="8"/>
  <c r="G296" i="8"/>
  <c r="G285" i="8"/>
  <c r="G286" i="8"/>
  <c r="G284" i="8"/>
  <c r="G283" i="8"/>
  <c r="G273" i="8"/>
  <c r="G274" i="8"/>
  <c r="G275" i="8"/>
  <c r="G276" i="8"/>
  <c r="G277" i="8"/>
  <c r="G278" i="8"/>
  <c r="G279" i="8"/>
  <c r="G280" i="8"/>
  <c r="G281" i="8"/>
  <c r="G282" i="8"/>
  <c r="G272" i="8"/>
  <c r="G267" i="8"/>
  <c r="G268" i="8"/>
  <c r="G269" i="8"/>
  <c r="G270" i="8"/>
  <c r="G271" i="8"/>
  <c r="G259" i="8"/>
  <c r="G260" i="8"/>
  <c r="G261" i="8"/>
  <c r="G262" i="8"/>
  <c r="G263" i="8"/>
  <c r="G264" i="8"/>
  <c r="G265" i="8"/>
  <c r="G266" i="8"/>
  <c r="G258" i="8"/>
  <c r="G248" i="8"/>
  <c r="G249" i="8"/>
  <c r="G250" i="8"/>
  <c r="G251" i="8"/>
  <c r="G252" i="8"/>
  <c r="G253" i="8"/>
  <c r="G254" i="8"/>
  <c r="G255" i="8"/>
  <c r="G256" i="8"/>
  <c r="G257" i="8"/>
  <c r="G242" i="8"/>
  <c r="G243" i="8"/>
  <c r="G244" i="8"/>
  <c r="G245" i="8"/>
  <c r="G246" i="8"/>
  <c r="G247" i="8"/>
  <c r="G241" i="8"/>
  <c r="G4" i="8" l="1"/>
  <c r="G5" i="8"/>
  <c r="G13" i="8"/>
  <c r="G7" i="8"/>
  <c r="G8" i="8"/>
  <c r="G10" i="8"/>
  <c r="G12" i="8"/>
  <c r="G6" i="8"/>
  <c r="G9" i="8"/>
  <c r="G11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23" i="8"/>
  <c r="O2" i="18" l="1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I2" i="18"/>
  <c r="J2" i="18"/>
  <c r="K2" i="18"/>
  <c r="L2" i="18"/>
  <c r="M2" i="18"/>
  <c r="N2" i="18"/>
  <c r="G11" i="6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C2" i="18"/>
  <c r="D2" i="18"/>
  <c r="E2" i="18"/>
  <c r="F2" i="18"/>
  <c r="G2" i="18"/>
  <c r="H2" i="18"/>
  <c r="B2" i="18"/>
  <c r="A16" i="6"/>
  <c r="G46" i="6" l="1" a="1"/>
  <c r="G46" i="6" s="1"/>
  <c r="G29" i="6"/>
  <c r="G30" i="6"/>
  <c r="G36" i="6"/>
  <c r="G37" i="6"/>
  <c r="G43" i="6"/>
  <c r="G44" i="6"/>
  <c r="G50" i="6"/>
  <c r="G51" i="6"/>
  <c r="G57" i="6"/>
  <c r="G58" i="6"/>
  <c r="G64" i="6"/>
  <c r="G65" i="6"/>
  <c r="G71" i="6"/>
  <c r="G72" i="6"/>
  <c r="G78" i="6"/>
  <c r="G79" i="6"/>
  <c r="A65" i="6"/>
  <c r="A64" i="6"/>
  <c r="A63" i="6"/>
  <c r="A62" i="6"/>
  <c r="A61" i="6"/>
  <c r="A59" i="6"/>
  <c r="A13" i="6"/>
  <c r="A14" i="6"/>
  <c r="A15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60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12" i="6"/>
  <c r="G40" i="6" l="1" a="1"/>
  <c r="G40" i="6" s="1"/>
  <c r="G68" i="6" a="1"/>
  <c r="G68" i="6" s="1"/>
  <c r="G67" i="6" a="1"/>
  <c r="G67" i="6" s="1"/>
  <c r="G39" i="6" a="1"/>
  <c r="G39" i="6" s="1"/>
  <c r="G60" i="6" a="1"/>
  <c r="G60" i="6" s="1"/>
  <c r="G32" i="6" a="1"/>
  <c r="G32" i="6" s="1"/>
  <c r="G75" i="6" a="1"/>
  <c r="G75" i="6" s="1"/>
  <c r="G53" i="6" a="1"/>
  <c r="G53" i="6" s="1"/>
  <c r="G54" i="6" a="1"/>
  <c r="G54" i="6" s="1"/>
  <c r="G61" i="6" a="1"/>
  <c r="G61" i="6" s="1"/>
  <c r="G47" i="6" a="1"/>
  <c r="G47" i="6" s="1"/>
  <c r="G48" i="6" s="1"/>
  <c r="G33" i="6" a="1"/>
  <c r="G33" i="6" s="1"/>
  <c r="G74" i="6" a="1"/>
  <c r="G74" i="6" s="1"/>
  <c r="G69" i="6" l="1"/>
  <c r="G41" i="6"/>
  <c r="G76" i="6"/>
  <c r="G34" i="6"/>
  <c r="G55" i="6"/>
  <c r="G62" i="6"/>
  <c r="Z74" i="6" l="1" a="1"/>
  <c r="Z74" i="6" s="1"/>
  <c r="Y74" i="6" a="1"/>
  <c r="Y74" i="6" s="1"/>
  <c r="X74" i="6" a="1"/>
  <c r="X74" i="6" s="1"/>
  <c r="W74" i="6" a="1"/>
  <c r="W74" i="6" s="1"/>
  <c r="V74" i="6" a="1"/>
  <c r="V74" i="6" s="1"/>
  <c r="U74" i="6" a="1"/>
  <c r="U74" i="6" s="1"/>
  <c r="T74" i="6" a="1"/>
  <c r="T74" i="6" s="1"/>
  <c r="S74" i="6" a="1"/>
  <c r="S74" i="6" s="1"/>
  <c r="R74" i="6" a="1"/>
  <c r="R74" i="6" s="1"/>
  <c r="Q74" i="6" a="1"/>
  <c r="Q74" i="6" s="1"/>
  <c r="P74" i="6" a="1"/>
  <c r="P74" i="6" s="1"/>
  <c r="O74" i="6" a="1"/>
  <c r="O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F74" i="6" a="1"/>
  <c r="F74" i="6" s="1"/>
  <c r="Z67" i="6" a="1"/>
  <c r="Z67" i="6" s="1"/>
  <c r="Y67" i="6" a="1"/>
  <c r="Y67" i="6" s="1"/>
  <c r="X67" i="6" a="1"/>
  <c r="X67" i="6" s="1"/>
  <c r="W67" i="6" a="1"/>
  <c r="W67" i="6" s="1"/>
  <c r="V67" i="6" a="1"/>
  <c r="V67" i="6" s="1"/>
  <c r="U67" i="6" a="1"/>
  <c r="U67" i="6" s="1"/>
  <c r="T67" i="6" a="1"/>
  <c r="T67" i="6" s="1"/>
  <c r="S67" i="6" a="1"/>
  <c r="S67" i="6" s="1"/>
  <c r="R67" i="6" a="1"/>
  <c r="R67" i="6" s="1"/>
  <c r="Q67" i="6" a="1"/>
  <c r="Q67" i="6" s="1"/>
  <c r="P67" i="6" a="1"/>
  <c r="P67" i="6" s="1"/>
  <c r="O67" i="6" a="1"/>
  <c r="O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F67" i="6" a="1"/>
  <c r="F67" i="6" s="1"/>
  <c r="Z60" i="6" a="1"/>
  <c r="Z60" i="6" s="1"/>
  <c r="Y60" i="6" a="1"/>
  <c r="Y60" i="6" s="1"/>
  <c r="X60" i="6" a="1"/>
  <c r="X60" i="6" s="1"/>
  <c r="W60" i="6" a="1"/>
  <c r="W60" i="6" s="1"/>
  <c r="V60" i="6" a="1"/>
  <c r="V60" i="6" s="1"/>
  <c r="U60" i="6" a="1"/>
  <c r="U60" i="6" s="1"/>
  <c r="T60" i="6" a="1"/>
  <c r="T60" i="6" s="1"/>
  <c r="S60" i="6" a="1"/>
  <c r="S60" i="6" s="1"/>
  <c r="R60" i="6" a="1"/>
  <c r="R60" i="6" s="1"/>
  <c r="Q60" i="6" a="1"/>
  <c r="Q60" i="6" s="1"/>
  <c r="P60" i="6" a="1"/>
  <c r="P60" i="6" s="1"/>
  <c r="O60" i="6" a="1"/>
  <c r="O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F60" i="6" a="1"/>
  <c r="F60" i="6" s="1"/>
  <c r="Z53" i="6" a="1"/>
  <c r="Z53" i="6" s="1"/>
  <c r="Y53" i="6" a="1"/>
  <c r="Y53" i="6" s="1"/>
  <c r="X53" i="6" a="1"/>
  <c r="X53" i="6" s="1"/>
  <c r="W53" i="6" a="1"/>
  <c r="W53" i="6" s="1"/>
  <c r="V53" i="6" a="1"/>
  <c r="V53" i="6" s="1"/>
  <c r="U53" i="6" a="1"/>
  <c r="U53" i="6" s="1"/>
  <c r="T53" i="6" a="1"/>
  <c r="T53" i="6" s="1"/>
  <c r="S53" i="6" a="1"/>
  <c r="S53" i="6" s="1"/>
  <c r="R53" i="6" a="1"/>
  <c r="R53" i="6" s="1"/>
  <c r="Q53" i="6" a="1"/>
  <c r="Q53" i="6" s="1"/>
  <c r="P53" i="6" a="1"/>
  <c r="P53" i="6" s="1"/>
  <c r="O53" i="6" a="1"/>
  <c r="O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F53" i="6" a="1"/>
  <c r="F53" i="6" s="1"/>
  <c r="Z46" i="6" a="1"/>
  <c r="Z46" i="6" s="1"/>
  <c r="Y46" i="6" a="1"/>
  <c r="Y46" i="6" s="1"/>
  <c r="X46" i="6" a="1"/>
  <c r="X46" i="6" s="1"/>
  <c r="W46" i="6" a="1"/>
  <c r="W46" i="6" s="1"/>
  <c r="V46" i="6" a="1"/>
  <c r="V46" i="6" s="1"/>
  <c r="U46" i="6" a="1"/>
  <c r="U46" i="6" s="1"/>
  <c r="T46" i="6" a="1"/>
  <c r="T46" i="6" s="1"/>
  <c r="S46" i="6" a="1"/>
  <c r="S46" i="6" s="1"/>
  <c r="R46" i="6" a="1"/>
  <c r="R46" i="6" s="1"/>
  <c r="Q46" i="6" a="1"/>
  <c r="Q46" i="6" s="1"/>
  <c r="P46" i="6" a="1"/>
  <c r="P46" i="6" s="1"/>
  <c r="O46" i="6" a="1"/>
  <c r="O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F46" i="6" a="1"/>
  <c r="F46" i="6" s="1"/>
  <c r="Z39" i="6" a="1"/>
  <c r="Z39" i="6" s="1"/>
  <c r="Y39" i="6" a="1"/>
  <c r="Y39" i="6" s="1"/>
  <c r="X39" i="6" a="1"/>
  <c r="X39" i="6" s="1"/>
  <c r="W39" i="6" a="1"/>
  <c r="W39" i="6" s="1"/>
  <c r="V39" i="6" a="1"/>
  <c r="V39" i="6" s="1"/>
  <c r="U39" i="6" a="1"/>
  <c r="U39" i="6" s="1"/>
  <c r="T39" i="6" a="1"/>
  <c r="T39" i="6" s="1"/>
  <c r="S39" i="6" a="1"/>
  <c r="S39" i="6" s="1"/>
  <c r="R39" i="6" a="1"/>
  <c r="R39" i="6" s="1"/>
  <c r="Q39" i="6" a="1"/>
  <c r="Q39" i="6" s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F39" i="6" a="1"/>
  <c r="F39" i="6" s="1"/>
  <c r="Z32" i="6" a="1"/>
  <c r="Z32" i="6" s="1"/>
  <c r="Y32" i="6" a="1"/>
  <c r="Y32" i="6" s="1"/>
  <c r="X32" i="6" a="1"/>
  <c r="X32" i="6" s="1"/>
  <c r="W32" i="6" a="1"/>
  <c r="W32" i="6" s="1"/>
  <c r="V32" i="6" a="1"/>
  <c r="V32" i="6" s="1"/>
  <c r="U32" i="6" a="1"/>
  <c r="U32" i="6" s="1"/>
  <c r="T32" i="6" a="1"/>
  <c r="T32" i="6" s="1"/>
  <c r="S32" i="6" a="1"/>
  <c r="S32" i="6" s="1"/>
  <c r="R32" i="6" a="1"/>
  <c r="R32" i="6" s="1"/>
  <c r="Q32" i="6" a="1"/>
  <c r="Q32" i="6" s="1"/>
  <c r="P32" i="6" a="1"/>
  <c r="P32" i="6" s="1"/>
  <c r="O32" i="6" a="1"/>
  <c r="O32" i="6" s="1"/>
  <c r="N32" i="6" a="1"/>
  <c r="N32" i="6" s="1"/>
  <c r="M32" i="6" a="1"/>
  <c r="M32" i="6" s="1"/>
  <c r="L32" i="6" a="1"/>
  <c r="L32" i="6" s="1"/>
  <c r="K32" i="6" a="1"/>
  <c r="K32" i="6" s="1"/>
  <c r="J32" i="6" a="1"/>
  <c r="J32" i="6" s="1"/>
  <c r="I32" i="6" a="1"/>
  <c r="I32" i="6" s="1"/>
  <c r="H32" i="6" a="1"/>
  <c r="H32" i="6" s="1"/>
  <c r="F32" i="6" a="1"/>
  <c r="F32" i="6" s="1"/>
  <c r="Z25" i="6" a="1"/>
  <c r="Z25" i="6" s="1"/>
  <c r="Y25" i="6" a="1"/>
  <c r="Y25" i="6" s="1"/>
  <c r="X25" i="6" a="1"/>
  <c r="X25" i="6" s="1"/>
  <c r="W25" i="6" a="1"/>
  <c r="W25" i="6" s="1"/>
  <c r="V25" i="6" a="1"/>
  <c r="V25" i="6" s="1"/>
  <c r="U25" i="6" a="1"/>
  <c r="U25" i="6" s="1"/>
  <c r="T25" i="6" a="1"/>
  <c r="T25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Z18" i="6" a="1"/>
  <c r="Z18" i="6" s="1"/>
  <c r="Y18" i="6" a="1"/>
  <c r="Y18" i="6" s="1"/>
  <c r="X18" i="6" a="1"/>
  <c r="X18" i="6" s="1"/>
  <c r="W18" i="6" a="1"/>
  <c r="W18" i="6" s="1"/>
  <c r="V18" i="6" a="1"/>
  <c r="V18" i="6" s="1"/>
  <c r="U18" i="6" a="1"/>
  <c r="U18" i="6" s="1"/>
  <c r="T18" i="6" a="1"/>
  <c r="T18" i="6" s="1"/>
  <c r="S18" i="6" a="1"/>
  <c r="S18" i="6" s="1"/>
  <c r="R18" i="6" a="1"/>
  <c r="R18" i="6" s="1"/>
  <c r="Q18" i="6" a="1"/>
  <c r="Q18" i="6" s="1"/>
  <c r="P18" i="6" a="1"/>
  <c r="P18" i="6" s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M14" i="6" l="1" a="1"/>
  <c r="M14" i="6" s="1"/>
  <c r="Z79" i="6" l="1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F79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F72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F65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F58" i="6"/>
  <c r="Q10" i="6"/>
  <c r="R10" i="6"/>
  <c r="S10" i="6"/>
  <c r="T10" i="6"/>
  <c r="U10" i="6"/>
  <c r="V10" i="6"/>
  <c r="W10" i="6"/>
  <c r="X10" i="6"/>
  <c r="Y10" i="6"/>
  <c r="Z10" i="6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X13" i="6" a="1"/>
  <c r="X13" i="6" s="1"/>
  <c r="Y13" i="6" a="1"/>
  <c r="Y13" i="6" s="1"/>
  <c r="Z13" i="6" a="1"/>
  <c r="Z13" i="6" s="1"/>
  <c r="Q14" i="6" a="1"/>
  <c r="Q14" i="6" s="1"/>
  <c r="R14" i="6" a="1"/>
  <c r="R14" i="6" s="1"/>
  <c r="S14" i="6" a="1"/>
  <c r="S14" i="6" s="1"/>
  <c r="T14" i="6" a="1"/>
  <c r="T14" i="6" s="1"/>
  <c r="U14" i="6" a="1"/>
  <c r="U14" i="6" s="1"/>
  <c r="V14" i="6" a="1"/>
  <c r="V14" i="6" s="1"/>
  <c r="W14" i="6" a="1"/>
  <c r="W14" i="6" s="1"/>
  <c r="X14" i="6" a="1"/>
  <c r="X14" i="6" s="1"/>
  <c r="Y14" i="6" a="1"/>
  <c r="Y14" i="6" s="1"/>
  <c r="Z14" i="6" a="1"/>
  <c r="Z14" i="6" s="1"/>
  <c r="Q19" i="6" a="1"/>
  <c r="Q19" i="6" s="1"/>
  <c r="R19" i="6" a="1"/>
  <c r="R19" i="6" s="1"/>
  <c r="S19" i="6" a="1"/>
  <c r="S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Q22" i="6"/>
  <c r="R22" i="6"/>
  <c r="S22" i="6"/>
  <c r="T22" i="6"/>
  <c r="U22" i="6"/>
  <c r="V22" i="6"/>
  <c r="W22" i="6"/>
  <c r="X22" i="6"/>
  <c r="Y22" i="6"/>
  <c r="Z22" i="6"/>
  <c r="Q23" i="6"/>
  <c r="R23" i="6"/>
  <c r="S23" i="6"/>
  <c r="T23" i="6"/>
  <c r="U23" i="6"/>
  <c r="V23" i="6"/>
  <c r="W23" i="6"/>
  <c r="X23" i="6"/>
  <c r="Y23" i="6"/>
  <c r="Z23" i="6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Z26" i="6" a="1"/>
  <c r="Z26" i="6" s="1"/>
  <c r="Q29" i="6"/>
  <c r="R29" i="6"/>
  <c r="S29" i="6"/>
  <c r="T29" i="6"/>
  <c r="U29" i="6"/>
  <c r="V29" i="6"/>
  <c r="W29" i="6"/>
  <c r="X29" i="6"/>
  <c r="Y29" i="6"/>
  <c r="Z29" i="6"/>
  <c r="Q30" i="6"/>
  <c r="R30" i="6"/>
  <c r="S30" i="6"/>
  <c r="T30" i="6"/>
  <c r="U30" i="6"/>
  <c r="V30" i="6"/>
  <c r="W30" i="6"/>
  <c r="X30" i="6"/>
  <c r="Y30" i="6"/>
  <c r="Z30" i="6"/>
  <c r="Q33" i="6" a="1"/>
  <c r="Q33" i="6" s="1"/>
  <c r="R33" i="6" a="1"/>
  <c r="R33" i="6" s="1"/>
  <c r="S33" i="6" a="1"/>
  <c r="S33" i="6" s="1"/>
  <c r="T33" i="6" a="1"/>
  <c r="T33" i="6" s="1"/>
  <c r="U33" i="6" a="1"/>
  <c r="U33" i="6" s="1"/>
  <c r="V33" i="6" a="1"/>
  <c r="V33" i="6" s="1"/>
  <c r="W33" i="6" a="1"/>
  <c r="W33" i="6" s="1"/>
  <c r="X33" i="6" a="1"/>
  <c r="X33" i="6" s="1"/>
  <c r="Y33" i="6" a="1"/>
  <c r="Y33" i="6" s="1"/>
  <c r="Z33" i="6" a="1"/>
  <c r="Z33" i="6" s="1"/>
  <c r="Q36" i="6"/>
  <c r="R36" i="6"/>
  <c r="S36" i="6"/>
  <c r="T36" i="6"/>
  <c r="U36" i="6"/>
  <c r="V36" i="6"/>
  <c r="W36" i="6"/>
  <c r="X36" i="6"/>
  <c r="Y36" i="6"/>
  <c r="Z36" i="6"/>
  <c r="Q37" i="6"/>
  <c r="R37" i="6"/>
  <c r="S37" i="6"/>
  <c r="T37" i="6"/>
  <c r="U37" i="6"/>
  <c r="V37" i="6"/>
  <c r="W37" i="6"/>
  <c r="X37" i="6"/>
  <c r="Y37" i="6"/>
  <c r="Z37" i="6"/>
  <c r="Q40" i="6" a="1"/>
  <c r="Q40" i="6" s="1"/>
  <c r="R40" i="6" a="1"/>
  <c r="R40" i="6" s="1"/>
  <c r="S40" i="6" a="1"/>
  <c r="S40" i="6" s="1"/>
  <c r="T40" i="6" a="1"/>
  <c r="T40" i="6" s="1"/>
  <c r="U40" i="6" a="1"/>
  <c r="U40" i="6" s="1"/>
  <c r="V40" i="6" a="1"/>
  <c r="V40" i="6" s="1"/>
  <c r="W40" i="6" a="1"/>
  <c r="W40" i="6" s="1"/>
  <c r="X40" i="6" a="1"/>
  <c r="X40" i="6" s="1"/>
  <c r="Y40" i="6" a="1"/>
  <c r="Y40" i="6" s="1"/>
  <c r="Z40" i="6" a="1"/>
  <c r="Z40" i="6" s="1"/>
  <c r="Q43" i="6"/>
  <c r="R43" i="6"/>
  <c r="S43" i="6"/>
  <c r="T43" i="6"/>
  <c r="U43" i="6"/>
  <c r="V43" i="6"/>
  <c r="W43" i="6"/>
  <c r="X43" i="6"/>
  <c r="Y43" i="6"/>
  <c r="Z43" i="6"/>
  <c r="Q44" i="6"/>
  <c r="R44" i="6"/>
  <c r="S44" i="6"/>
  <c r="T44" i="6"/>
  <c r="U44" i="6"/>
  <c r="V44" i="6"/>
  <c r="W44" i="6"/>
  <c r="X44" i="6"/>
  <c r="Y44" i="6"/>
  <c r="Z44" i="6"/>
  <c r="Q47" i="6" a="1"/>
  <c r="Q47" i="6" s="1"/>
  <c r="R47" i="6" a="1"/>
  <c r="R47" i="6" s="1"/>
  <c r="S47" i="6" a="1"/>
  <c r="S47" i="6" s="1"/>
  <c r="T47" i="6" a="1"/>
  <c r="T47" i="6" s="1"/>
  <c r="U47" i="6" a="1"/>
  <c r="U47" i="6" s="1"/>
  <c r="V47" i="6" a="1"/>
  <c r="V47" i="6" s="1"/>
  <c r="W47" i="6" a="1"/>
  <c r="W47" i="6" s="1"/>
  <c r="X47" i="6" a="1"/>
  <c r="X47" i="6" s="1"/>
  <c r="Y47" i="6" a="1"/>
  <c r="Y47" i="6" s="1"/>
  <c r="Z47" i="6" a="1"/>
  <c r="Z47" i="6" s="1"/>
  <c r="Q50" i="6"/>
  <c r="R50" i="6"/>
  <c r="S50" i="6"/>
  <c r="T50" i="6"/>
  <c r="U50" i="6"/>
  <c r="V50" i="6"/>
  <c r="W50" i="6"/>
  <c r="X50" i="6"/>
  <c r="Y50" i="6"/>
  <c r="Z50" i="6"/>
  <c r="Q51" i="6"/>
  <c r="R51" i="6"/>
  <c r="S51" i="6"/>
  <c r="T51" i="6"/>
  <c r="U51" i="6"/>
  <c r="V51" i="6"/>
  <c r="W51" i="6"/>
  <c r="X51" i="6"/>
  <c r="Y51" i="6"/>
  <c r="Z51" i="6"/>
  <c r="Q54" i="6" a="1"/>
  <c r="Q54" i="6" s="1"/>
  <c r="R54" i="6" a="1"/>
  <c r="R54" i="6" s="1"/>
  <c r="S54" i="6" a="1"/>
  <c r="S54" i="6" s="1"/>
  <c r="T54" i="6" a="1"/>
  <c r="T54" i="6" s="1"/>
  <c r="U54" i="6" a="1"/>
  <c r="U54" i="6" s="1"/>
  <c r="V54" i="6" a="1"/>
  <c r="V54" i="6" s="1"/>
  <c r="W54" i="6" a="1"/>
  <c r="W54" i="6" s="1"/>
  <c r="X54" i="6" a="1"/>
  <c r="X54" i="6" s="1"/>
  <c r="Y54" i="6" a="1"/>
  <c r="Y54" i="6" s="1"/>
  <c r="Z54" i="6" a="1"/>
  <c r="Z54" i="6" s="1"/>
  <c r="Q57" i="6"/>
  <c r="R57" i="6"/>
  <c r="S57" i="6"/>
  <c r="T57" i="6"/>
  <c r="U57" i="6"/>
  <c r="V57" i="6"/>
  <c r="W57" i="6"/>
  <c r="X57" i="6"/>
  <c r="Y57" i="6"/>
  <c r="Z57" i="6"/>
  <c r="Q61" i="6" a="1"/>
  <c r="Q61" i="6" s="1"/>
  <c r="R61" i="6" a="1"/>
  <c r="R61" i="6" s="1"/>
  <c r="S61" i="6" a="1"/>
  <c r="S61" i="6" s="1"/>
  <c r="T61" i="6" a="1"/>
  <c r="T61" i="6" s="1"/>
  <c r="U61" i="6" a="1"/>
  <c r="U61" i="6" s="1"/>
  <c r="V61" i="6" a="1"/>
  <c r="V61" i="6" s="1"/>
  <c r="W61" i="6" a="1"/>
  <c r="W61" i="6" s="1"/>
  <c r="X61" i="6" a="1"/>
  <c r="X61" i="6" s="1"/>
  <c r="Y61" i="6" a="1"/>
  <c r="Y61" i="6" s="1"/>
  <c r="Z61" i="6" a="1"/>
  <c r="Z61" i="6" s="1"/>
  <c r="Q64" i="6"/>
  <c r="R64" i="6"/>
  <c r="S64" i="6"/>
  <c r="T64" i="6"/>
  <c r="U64" i="6"/>
  <c r="V64" i="6"/>
  <c r="W64" i="6"/>
  <c r="X64" i="6"/>
  <c r="Y64" i="6"/>
  <c r="Z64" i="6"/>
  <c r="Q68" i="6" a="1"/>
  <c r="Q68" i="6" s="1"/>
  <c r="R68" i="6" a="1"/>
  <c r="R68" i="6" s="1"/>
  <c r="S68" i="6" a="1"/>
  <c r="S68" i="6" s="1"/>
  <c r="T68" i="6" a="1"/>
  <c r="T68" i="6" s="1"/>
  <c r="U68" i="6" a="1"/>
  <c r="U68" i="6" s="1"/>
  <c r="V68" i="6" a="1"/>
  <c r="V68" i="6" s="1"/>
  <c r="W68" i="6" a="1"/>
  <c r="W68" i="6" s="1"/>
  <c r="X68" i="6" a="1"/>
  <c r="X68" i="6" s="1"/>
  <c r="Y68" i="6" a="1"/>
  <c r="Y68" i="6" s="1"/>
  <c r="Z68" i="6" a="1"/>
  <c r="Z68" i="6" s="1"/>
  <c r="Q71" i="6"/>
  <c r="R71" i="6"/>
  <c r="S71" i="6"/>
  <c r="T71" i="6"/>
  <c r="U71" i="6"/>
  <c r="V71" i="6"/>
  <c r="W71" i="6"/>
  <c r="X71" i="6"/>
  <c r="Y71" i="6"/>
  <c r="Z71" i="6"/>
  <c r="Q75" i="6" a="1"/>
  <c r="Q75" i="6" s="1"/>
  <c r="R75" i="6" a="1"/>
  <c r="R75" i="6" s="1"/>
  <c r="S75" i="6" a="1"/>
  <c r="S75" i="6" s="1"/>
  <c r="T75" i="6" a="1"/>
  <c r="T75" i="6" s="1"/>
  <c r="U75" i="6" a="1"/>
  <c r="U75" i="6" s="1"/>
  <c r="V75" i="6" a="1"/>
  <c r="V75" i="6" s="1"/>
  <c r="W75" i="6" a="1"/>
  <c r="W75" i="6" s="1"/>
  <c r="X75" i="6" a="1"/>
  <c r="X75" i="6" s="1"/>
  <c r="Y75" i="6" a="1"/>
  <c r="Y75" i="6" s="1"/>
  <c r="Z75" i="6" a="1"/>
  <c r="Z75" i="6" s="1"/>
  <c r="Q78" i="6"/>
  <c r="R78" i="6"/>
  <c r="S78" i="6"/>
  <c r="T78" i="6"/>
  <c r="U78" i="6"/>
  <c r="V78" i="6"/>
  <c r="W78" i="6"/>
  <c r="X78" i="6"/>
  <c r="Y78" i="6"/>
  <c r="Z78" i="6"/>
  <c r="P23" i="6"/>
  <c r="O23" i="6"/>
  <c r="N23" i="6"/>
  <c r="M23" i="6"/>
  <c r="L23" i="6"/>
  <c r="K23" i="6"/>
  <c r="J23" i="6"/>
  <c r="I23" i="6"/>
  <c r="H23" i="6"/>
  <c r="G23" i="6"/>
  <c r="F23" i="6"/>
  <c r="P22" i="6"/>
  <c r="O22" i="6"/>
  <c r="N22" i="6"/>
  <c r="M22" i="6"/>
  <c r="L22" i="6"/>
  <c r="K22" i="6"/>
  <c r="J22" i="6"/>
  <c r="I22" i="6"/>
  <c r="G22" i="6"/>
  <c r="F22" i="6"/>
  <c r="P30" i="6"/>
  <c r="O30" i="6"/>
  <c r="N30" i="6"/>
  <c r="M30" i="6"/>
  <c r="L30" i="6"/>
  <c r="K30" i="6"/>
  <c r="J30" i="6"/>
  <c r="I30" i="6"/>
  <c r="H30" i="6"/>
  <c r="F30" i="6"/>
  <c r="P29" i="6"/>
  <c r="O29" i="6"/>
  <c r="N29" i="6"/>
  <c r="M29" i="6"/>
  <c r="L29" i="6"/>
  <c r="K29" i="6"/>
  <c r="J29" i="6"/>
  <c r="I29" i="6"/>
  <c r="H29" i="6"/>
  <c r="F29" i="6"/>
  <c r="P37" i="6"/>
  <c r="O37" i="6"/>
  <c r="N37" i="6"/>
  <c r="M37" i="6"/>
  <c r="L37" i="6"/>
  <c r="K37" i="6"/>
  <c r="J37" i="6"/>
  <c r="I37" i="6"/>
  <c r="H37" i="6"/>
  <c r="F37" i="6"/>
  <c r="P36" i="6"/>
  <c r="O36" i="6"/>
  <c r="N36" i="6"/>
  <c r="M36" i="6"/>
  <c r="L36" i="6"/>
  <c r="K36" i="6"/>
  <c r="J36" i="6"/>
  <c r="I36" i="6"/>
  <c r="H36" i="6"/>
  <c r="F36" i="6"/>
  <c r="P44" i="6"/>
  <c r="O44" i="6"/>
  <c r="N44" i="6"/>
  <c r="M44" i="6"/>
  <c r="L44" i="6"/>
  <c r="K44" i="6"/>
  <c r="J44" i="6"/>
  <c r="I44" i="6"/>
  <c r="H44" i="6"/>
  <c r="F44" i="6"/>
  <c r="P43" i="6"/>
  <c r="O43" i="6"/>
  <c r="N43" i="6"/>
  <c r="M43" i="6"/>
  <c r="L43" i="6"/>
  <c r="K43" i="6"/>
  <c r="J43" i="6"/>
  <c r="I43" i="6"/>
  <c r="H43" i="6"/>
  <c r="F43" i="6"/>
  <c r="P51" i="6"/>
  <c r="O51" i="6"/>
  <c r="N51" i="6"/>
  <c r="M51" i="6"/>
  <c r="L51" i="6"/>
  <c r="K51" i="6"/>
  <c r="J51" i="6"/>
  <c r="I51" i="6"/>
  <c r="H51" i="6"/>
  <c r="F51" i="6"/>
  <c r="P50" i="6"/>
  <c r="O50" i="6"/>
  <c r="N50" i="6"/>
  <c r="M50" i="6"/>
  <c r="L50" i="6"/>
  <c r="K50" i="6"/>
  <c r="J50" i="6"/>
  <c r="I50" i="6"/>
  <c r="H50" i="6"/>
  <c r="F50" i="6"/>
  <c r="P57" i="6"/>
  <c r="O57" i="6"/>
  <c r="N57" i="6"/>
  <c r="M57" i="6"/>
  <c r="L57" i="6"/>
  <c r="K57" i="6"/>
  <c r="J57" i="6"/>
  <c r="I57" i="6"/>
  <c r="H57" i="6"/>
  <c r="F57" i="6"/>
  <c r="P64" i="6"/>
  <c r="O64" i="6"/>
  <c r="N64" i="6"/>
  <c r="M64" i="6"/>
  <c r="L64" i="6"/>
  <c r="K64" i="6"/>
  <c r="J64" i="6"/>
  <c r="I64" i="6"/>
  <c r="H64" i="6"/>
  <c r="F64" i="6"/>
  <c r="P71" i="6"/>
  <c r="O71" i="6"/>
  <c r="N71" i="6"/>
  <c r="M71" i="6"/>
  <c r="L71" i="6"/>
  <c r="K71" i="6"/>
  <c r="J71" i="6"/>
  <c r="I71" i="6"/>
  <c r="H71" i="6"/>
  <c r="F71" i="6"/>
  <c r="P78" i="6"/>
  <c r="O78" i="6"/>
  <c r="N78" i="6"/>
  <c r="M78" i="6"/>
  <c r="L78" i="6"/>
  <c r="K78" i="6"/>
  <c r="J78" i="6"/>
  <c r="I78" i="6"/>
  <c r="H78" i="6"/>
  <c r="F78" i="6"/>
  <c r="F61" i="6" a="1"/>
  <c r="F61" i="6" s="1"/>
  <c r="H61" i="6" a="1"/>
  <c r="H61" i="6" s="1"/>
  <c r="I61" i="6" a="1"/>
  <c r="I61" i="6" s="1"/>
  <c r="J61" i="6" a="1"/>
  <c r="J61" i="6" s="1"/>
  <c r="K61" i="6" a="1"/>
  <c r="K61" i="6" s="1"/>
  <c r="L61" i="6" a="1"/>
  <c r="L61" i="6" s="1"/>
  <c r="M61" i="6" a="1"/>
  <c r="M61" i="6" s="1"/>
  <c r="N61" i="6" a="1"/>
  <c r="N61" i="6" s="1"/>
  <c r="O61" i="6" a="1"/>
  <c r="O61" i="6" s="1"/>
  <c r="P61" i="6" a="1"/>
  <c r="P61" i="6" s="1"/>
  <c r="P75" i="6" a="1"/>
  <c r="P75" i="6" s="1"/>
  <c r="O75" i="6" a="1"/>
  <c r="O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F75" i="6" a="1"/>
  <c r="F75" i="6" s="1"/>
  <c r="P68" i="6" a="1"/>
  <c r="P68" i="6" s="1"/>
  <c r="O68" i="6" a="1"/>
  <c r="O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F68" i="6" a="1"/>
  <c r="F68" i="6" s="1"/>
  <c r="P54" i="6" a="1"/>
  <c r="P54" i="6" s="1"/>
  <c r="O54" i="6" a="1"/>
  <c r="O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F54" i="6" a="1"/>
  <c r="F54" i="6" s="1"/>
  <c r="P47" i="6" a="1"/>
  <c r="P47" i="6" s="1"/>
  <c r="O47" i="6" a="1"/>
  <c r="O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F47" i="6" a="1"/>
  <c r="F47" i="6" s="1"/>
  <c r="P40" i="6" a="1"/>
  <c r="P40" i="6" s="1"/>
  <c r="O40" i="6" a="1"/>
  <c r="O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F40" i="6" a="1"/>
  <c r="F40" i="6" s="1"/>
  <c r="P33" i="6" a="1"/>
  <c r="P33" i="6" s="1"/>
  <c r="O33" i="6" a="1"/>
  <c r="O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F33" i="6" a="1"/>
  <c r="F33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G27" i="6" s="1"/>
  <c r="F26" i="6" a="1"/>
  <c r="F26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G20" i="6" s="1"/>
  <c r="F19" i="6" a="1"/>
  <c r="F19" i="6" s="1"/>
  <c r="L14" i="6" a="1"/>
  <c r="L14" i="6" s="1"/>
  <c r="N14" i="6" a="1"/>
  <c r="N14" i="6" s="1"/>
  <c r="O14" i="6" a="1"/>
  <c r="O14" i="6" s="1"/>
  <c r="P14" i="6" a="1"/>
  <c r="P14" i="6" s="1"/>
  <c r="F14" i="6" a="1"/>
  <c r="F14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G13" i="6" a="1"/>
  <c r="G13" i="6" s="1"/>
  <c r="H13" i="6" a="1"/>
  <c r="H13" i="6" s="1"/>
  <c r="I13" i="6" a="1"/>
  <c r="I13" i="6" s="1"/>
  <c r="J13" i="6" a="1"/>
  <c r="J13" i="6" s="1"/>
  <c r="K13" i="6" a="1"/>
  <c r="K13" i="6" s="1"/>
  <c r="L13" i="6" a="1"/>
  <c r="L13" i="6" s="1"/>
  <c r="M13" i="6" a="1"/>
  <c r="M13" i="6" s="1"/>
  <c r="N13" i="6" a="1"/>
  <c r="N13" i="6" s="1"/>
  <c r="O13" i="6" a="1"/>
  <c r="O13" i="6" s="1"/>
  <c r="P13" i="6" a="1"/>
  <c r="P13" i="6" s="1"/>
  <c r="F13" i="6" a="1"/>
  <c r="F13" i="6" s="1"/>
  <c r="P10" i="6"/>
  <c r="N10" i="6"/>
  <c r="O10" i="6"/>
  <c r="G10" i="6"/>
  <c r="H10" i="6"/>
  <c r="I10" i="6"/>
  <c r="J10" i="6"/>
  <c r="K10" i="6"/>
  <c r="L10" i="6"/>
  <c r="M10" i="6"/>
  <c r="F10" i="6"/>
  <c r="Y59" i="6" l="1"/>
  <c r="X59" i="6"/>
  <c r="H45" i="6"/>
  <c r="J73" i="6"/>
  <c r="X66" i="6"/>
  <c r="X24" i="6"/>
  <c r="Y17" i="6"/>
  <c r="O24" i="6"/>
  <c r="X17" i="6"/>
  <c r="G31" i="6"/>
  <c r="G45" i="6"/>
  <c r="G59" i="6"/>
  <c r="G73" i="6"/>
  <c r="G38" i="6"/>
  <c r="G52" i="6"/>
  <c r="G66" i="6"/>
  <c r="K38" i="6"/>
  <c r="G15" i="6"/>
  <c r="X12" i="6"/>
  <c r="Z12" i="6"/>
  <c r="Z17" i="6"/>
  <c r="Z24" i="6"/>
  <c r="Z31" i="6"/>
  <c r="Z38" i="6"/>
  <c r="Z45" i="6"/>
  <c r="Z52" i="6"/>
  <c r="Z59" i="6"/>
  <c r="Z66" i="6"/>
  <c r="Z73" i="6"/>
  <c r="P59" i="6"/>
  <c r="H73" i="6"/>
  <c r="O52" i="6"/>
  <c r="I38" i="6"/>
  <c r="L31" i="6"/>
  <c r="F45" i="6"/>
  <c r="F17" i="6"/>
  <c r="I12" i="6"/>
  <c r="O17" i="6"/>
  <c r="K31" i="6"/>
  <c r="G24" i="6"/>
  <c r="N17" i="6"/>
  <c r="I66" i="6"/>
  <c r="M52" i="6"/>
  <c r="P45" i="6"/>
  <c r="J31" i="6"/>
  <c r="F31" i="6"/>
  <c r="G12" i="6"/>
  <c r="H24" i="6"/>
  <c r="Q12" i="6"/>
  <c r="Q17" i="6"/>
  <c r="Q24" i="6"/>
  <c r="Q31" i="6"/>
  <c r="Q38" i="6"/>
  <c r="Q45" i="6"/>
  <c r="Q59" i="6"/>
  <c r="Q66" i="6"/>
  <c r="Q73" i="6"/>
  <c r="O45" i="6"/>
  <c r="I31" i="6"/>
  <c r="F38" i="6"/>
  <c r="I24" i="6"/>
  <c r="L17" i="6"/>
  <c r="F59" i="6"/>
  <c r="K73" i="6"/>
  <c r="I45" i="6"/>
  <c r="L38" i="6"/>
  <c r="H66" i="6"/>
  <c r="N52" i="6"/>
  <c r="H38" i="6"/>
  <c r="H12" i="6"/>
  <c r="M17" i="6"/>
  <c r="Q52" i="6"/>
  <c r="J66" i="6"/>
  <c r="L52" i="6"/>
  <c r="T12" i="6"/>
  <c r="T31" i="6"/>
  <c r="T45" i="6"/>
  <c r="T59" i="6"/>
  <c r="T73" i="6"/>
  <c r="J59" i="6"/>
  <c r="N73" i="6"/>
  <c r="O12" i="6"/>
  <c r="I17" i="6"/>
  <c r="U17" i="6"/>
  <c r="U24" i="6"/>
  <c r="U38" i="6"/>
  <c r="U52" i="6"/>
  <c r="U66" i="6"/>
  <c r="N66" i="6"/>
  <c r="F73" i="6"/>
  <c r="M73" i="6"/>
  <c r="H52" i="6"/>
  <c r="N12" i="6"/>
  <c r="H17" i="6"/>
  <c r="V17" i="6"/>
  <c r="V31" i="6"/>
  <c r="V45" i="6"/>
  <c r="V52" i="6"/>
  <c r="V66" i="6"/>
  <c r="L59" i="6"/>
  <c r="L73" i="6"/>
  <c r="P31" i="6"/>
  <c r="N24" i="6"/>
  <c r="W17" i="6"/>
  <c r="W31" i="6"/>
  <c r="W45" i="6"/>
  <c r="W52" i="6"/>
  <c r="W73" i="6"/>
  <c r="P66" i="6"/>
  <c r="O31" i="6"/>
  <c r="R12" i="6"/>
  <c r="R17" i="6"/>
  <c r="R24" i="6"/>
  <c r="R31" i="6"/>
  <c r="R38" i="6"/>
  <c r="R45" i="6"/>
  <c r="R52" i="6"/>
  <c r="R59" i="6"/>
  <c r="R66" i="6"/>
  <c r="R73" i="6"/>
  <c r="H59" i="6"/>
  <c r="K66" i="6"/>
  <c r="P73" i="6"/>
  <c r="K52" i="6"/>
  <c r="N45" i="6"/>
  <c r="H31" i="6"/>
  <c r="F52" i="6"/>
  <c r="J24" i="6"/>
  <c r="K17" i="6"/>
  <c r="S12" i="6"/>
  <c r="S17" i="6"/>
  <c r="S24" i="6"/>
  <c r="S31" i="6"/>
  <c r="S38" i="6"/>
  <c r="S45" i="6"/>
  <c r="S52" i="6"/>
  <c r="S59" i="6"/>
  <c r="S66" i="6"/>
  <c r="S73" i="6"/>
  <c r="I59" i="6"/>
  <c r="L66" i="6"/>
  <c r="O73" i="6"/>
  <c r="J52" i="6"/>
  <c r="M45" i="6"/>
  <c r="P38" i="6"/>
  <c r="F12" i="6"/>
  <c r="P12" i="6"/>
  <c r="K24" i="6"/>
  <c r="J17" i="6"/>
  <c r="T17" i="6"/>
  <c r="T24" i="6"/>
  <c r="T38" i="6"/>
  <c r="T52" i="6"/>
  <c r="T66" i="6"/>
  <c r="F66" i="6"/>
  <c r="M66" i="6"/>
  <c r="I52" i="6"/>
  <c r="L45" i="6"/>
  <c r="O38" i="6"/>
  <c r="L24" i="6"/>
  <c r="U12" i="6"/>
  <c r="U31" i="6"/>
  <c r="U45" i="6"/>
  <c r="U59" i="6"/>
  <c r="U73" i="6"/>
  <c r="K59" i="6"/>
  <c r="K45" i="6"/>
  <c r="N38" i="6"/>
  <c r="F24" i="6"/>
  <c r="M24" i="6"/>
  <c r="V12" i="6"/>
  <c r="V24" i="6"/>
  <c r="V38" i="6"/>
  <c r="V59" i="6"/>
  <c r="V73" i="6"/>
  <c r="O66" i="6"/>
  <c r="J45" i="6"/>
  <c r="M38" i="6"/>
  <c r="M12" i="6"/>
  <c r="G17" i="6"/>
  <c r="W12" i="6"/>
  <c r="W24" i="6"/>
  <c r="W38" i="6"/>
  <c r="W59" i="6"/>
  <c r="W66" i="6"/>
  <c r="M59" i="6"/>
  <c r="L12" i="6"/>
  <c r="J12" i="6"/>
  <c r="Y45" i="6"/>
  <c r="K12" i="6"/>
  <c r="X45" i="6"/>
  <c r="X52" i="6"/>
  <c r="M31" i="6"/>
  <c r="Y38" i="6"/>
  <c r="Y52" i="6"/>
  <c r="Y12" i="6"/>
  <c r="N31" i="6"/>
  <c r="X38" i="6"/>
  <c r="P52" i="6"/>
  <c r="O59" i="6"/>
  <c r="Y73" i="6"/>
  <c r="Y31" i="6"/>
  <c r="P17" i="6"/>
  <c r="N59" i="6"/>
  <c r="X73" i="6"/>
  <c r="X31" i="6"/>
  <c r="P24" i="6"/>
  <c r="J38" i="6"/>
  <c r="I73" i="6"/>
  <c r="Y66" i="6"/>
  <c r="Y24" i="6"/>
  <c r="F15" i="6"/>
  <c r="F55" i="6"/>
  <c r="H55" i="6" s="1"/>
  <c r="I55" i="6" s="1"/>
  <c r="J55" i="6" s="1"/>
  <c r="K55" i="6" s="1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F76" i="6"/>
  <c r="H76" i="6" s="1"/>
  <c r="I76" i="6" s="1"/>
  <c r="J76" i="6" s="1"/>
  <c r="K76" i="6" s="1"/>
  <c r="L76" i="6" s="1"/>
  <c r="M76" i="6" s="1"/>
  <c r="N76" i="6" s="1"/>
  <c r="O76" i="6" s="1"/>
  <c r="P76" i="6" s="1"/>
  <c r="Q76" i="6" s="1"/>
  <c r="R76" i="6" s="1"/>
  <c r="S76" i="6" s="1"/>
  <c r="T76" i="6" s="1"/>
  <c r="U76" i="6" s="1"/>
  <c r="V76" i="6" s="1"/>
  <c r="W76" i="6" s="1"/>
  <c r="X76" i="6" s="1"/>
  <c r="Y76" i="6" s="1"/>
  <c r="Z76" i="6" s="1"/>
  <c r="F69" i="6"/>
  <c r="H69" i="6" s="1"/>
  <c r="I69" i="6" s="1"/>
  <c r="J69" i="6" s="1"/>
  <c r="K69" i="6" s="1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F62" i="6"/>
  <c r="H62" i="6" s="1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X62" i="6" s="1"/>
  <c r="Y62" i="6" s="1"/>
  <c r="Z62" i="6" s="1"/>
  <c r="F27" i="6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F41" i="6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F20" i="6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F34" i="6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F48" i="6"/>
  <c r="H48" i="6" s="1"/>
  <c r="I48" i="6" s="1"/>
  <c r="J48" i="6" s="1"/>
  <c r="K48" i="6" s="1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F16" i="6" l="1"/>
  <c r="G16" i="6" s="1"/>
  <c r="H15" i="6" s="1"/>
  <c r="H16" i="6" l="1"/>
  <c r="I15" i="6" s="1"/>
  <c r="I16" i="6" s="1"/>
  <c r="J15" i="6" s="1"/>
  <c r="J16" i="6" l="1"/>
  <c r="K15" i="6" l="1"/>
  <c r="K16" i="6" l="1"/>
  <c r="L15" i="6" l="1"/>
  <c r="L16" i="6" s="1"/>
  <c r="M15" i="6" l="1"/>
  <c r="M16" i="6" l="1"/>
  <c r="N15" i="6" l="1"/>
  <c r="N16" i="6" l="1"/>
  <c r="O15" i="6" l="1"/>
  <c r="O16" i="6" l="1"/>
  <c r="P15" i="6" s="1"/>
  <c r="P16" i="6" l="1"/>
  <c r="Q15" i="6" l="1"/>
  <c r="Q16" i="6" l="1"/>
  <c r="R15" i="6" l="1"/>
  <c r="R16" i="6" l="1"/>
  <c r="S15" i="6" s="1"/>
  <c r="S16" i="6" l="1"/>
  <c r="T15" i="6" s="1"/>
  <c r="T16" i="6" l="1"/>
  <c r="U15" i="6" l="1"/>
  <c r="U16" i="6" l="1"/>
  <c r="V15" i="6" l="1"/>
  <c r="V16" i="6" l="1"/>
  <c r="W15" i="6" l="1"/>
  <c r="W16" i="6" l="1"/>
  <c r="X15" i="6" l="1"/>
  <c r="X16" i="6" l="1"/>
  <c r="Y15" i="6" l="1"/>
  <c r="Y16" i="6" l="1"/>
  <c r="Z15" i="6" l="1"/>
  <c r="Z16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Franche</author>
    <author>selec</author>
  </authors>
  <commentList>
    <comment ref="BR3" authorId="0" shapeId="0" xr:uid="{0D5F2D0E-C6FA-42FC-A4A8-585D932B9BD2}">
      <text>
        <r>
          <rPr>
            <b/>
            <sz val="9"/>
            <color indexed="81"/>
            <rFont val="Tahoma"/>
            <family val="2"/>
          </rPr>
          <t>Nicholas Franche:</t>
        </r>
        <r>
          <rPr>
            <sz val="9"/>
            <color indexed="81"/>
            <rFont val="Tahoma"/>
            <family val="2"/>
          </rPr>
          <t xml:space="preserve">
RMA
</t>
        </r>
      </text>
    </comment>
    <comment ref="BT7" authorId="1" shapeId="0" xr:uid="{E8D66176-5931-4E58-87BD-FA3E76B3ABE9}">
      <text>
        <r>
          <rPr>
            <b/>
            <sz val="9"/>
            <color indexed="81"/>
            <rFont val="Tahoma"/>
            <family val="2"/>
          </rPr>
          <t>selec:</t>
        </r>
        <r>
          <rPr>
            <sz val="9"/>
            <color indexed="81"/>
            <rFont val="Tahoma"/>
            <family val="2"/>
          </rPr>
          <t xml:space="preserve">
Raw Bezel returns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Karan Bhatia</author>
  </authors>
  <commentList>
    <comment ref="C6" authorId="0" shapeId="0" xr:uid="{BB990400-5722-431A-B6B0-5234ECBD5A73}">
      <text>
        <r>
          <rPr>
            <b/>
            <sz val="9"/>
            <color indexed="81"/>
            <rFont val="Tahoma"/>
            <family val="2"/>
          </rPr>
          <t>Material</t>
        </r>
      </text>
    </comment>
    <comment ref="D6" authorId="0" shapeId="0" xr:uid="{B883674F-9524-419C-9F44-A3C6BDC8BF76}">
      <text>
        <r>
          <rPr>
            <b/>
            <sz val="9"/>
            <color indexed="81"/>
            <rFont val="Tahoma"/>
            <family val="2"/>
          </rPr>
          <t>Material Description</t>
        </r>
      </text>
    </comment>
    <comment ref="F6" authorId="0" shapeId="0" xr:uid="{829CD49F-1434-4424-94B9-BED5AE85F319}">
      <text>
        <r>
          <rPr>
            <b/>
            <sz val="9"/>
            <color indexed="81"/>
            <rFont val="Tahoma"/>
            <family val="2"/>
          </rPr>
          <t>Past Due</t>
        </r>
      </text>
    </comment>
    <comment ref="G6" authorId="0" shapeId="0" xr:uid="{B26B0959-3DEA-4D2F-B895-C62B05451FBD}">
      <text>
        <r>
          <rPr>
            <b/>
            <sz val="9"/>
            <color indexed="81"/>
            <rFont val="Tahoma"/>
            <family val="2"/>
          </rPr>
          <t>2024/12/02</t>
        </r>
      </text>
    </comment>
    <comment ref="H6" authorId="0" shapeId="0" xr:uid="{5E6E3E62-83DA-46B3-BB03-D133B43F06C3}">
      <text>
        <r>
          <rPr>
            <b/>
            <sz val="9"/>
            <color indexed="81"/>
            <rFont val="Tahoma"/>
            <family val="2"/>
          </rPr>
          <t>2024/12/03</t>
        </r>
      </text>
    </comment>
    <comment ref="I6" authorId="0" shapeId="0" xr:uid="{7DD3ABBB-E058-45F8-BB64-16787DE031BD}">
      <text>
        <r>
          <rPr>
            <b/>
            <sz val="9"/>
            <color indexed="81"/>
            <rFont val="Tahoma"/>
            <family val="2"/>
          </rPr>
          <t>2024/12/04</t>
        </r>
      </text>
    </comment>
    <comment ref="J6" authorId="0" shapeId="0" xr:uid="{BA47CA7F-869B-4CAD-94BB-986FB627B2AB}">
      <text>
        <r>
          <rPr>
            <b/>
            <sz val="9"/>
            <color indexed="81"/>
            <rFont val="Tahoma"/>
            <family val="2"/>
          </rPr>
          <t>2024/12/05</t>
        </r>
      </text>
    </comment>
    <comment ref="K6" authorId="0" shapeId="0" xr:uid="{8819E6E0-7CA7-43C0-B102-F43AC1440758}">
      <text>
        <r>
          <rPr>
            <b/>
            <sz val="9"/>
            <color indexed="81"/>
            <rFont val="Tahoma"/>
            <family val="2"/>
          </rPr>
          <t>2024/12/06</t>
        </r>
      </text>
    </comment>
    <comment ref="L6" authorId="0" shapeId="0" xr:uid="{9996A521-150F-4651-995B-056C30B37753}">
      <text>
        <r>
          <rPr>
            <b/>
            <sz val="9"/>
            <color indexed="81"/>
            <rFont val="Tahoma"/>
            <family val="2"/>
          </rPr>
          <t>2024/12/07</t>
        </r>
      </text>
    </comment>
    <comment ref="M6" authorId="0" shapeId="0" xr:uid="{228DA758-7753-43C1-B7FD-7B0CF4810BEC}">
      <text>
        <r>
          <rPr>
            <b/>
            <sz val="9"/>
            <color indexed="81"/>
            <rFont val="Tahoma"/>
            <family val="2"/>
          </rPr>
          <t>2024/12/08</t>
        </r>
      </text>
    </comment>
    <comment ref="N6" authorId="0" shapeId="0" xr:uid="{9BFBB6A0-3787-4C38-A0AF-D9BA2FB9CA63}">
      <text>
        <r>
          <rPr>
            <b/>
            <sz val="9"/>
            <color indexed="81"/>
            <rFont val="Tahoma"/>
            <family val="2"/>
          </rPr>
          <t>2024/12/09</t>
        </r>
      </text>
    </comment>
    <comment ref="O6" authorId="0" shapeId="0" xr:uid="{5F243F59-9433-4A95-98BB-3EE0296E15C6}">
      <text>
        <r>
          <rPr>
            <b/>
            <sz val="9"/>
            <color indexed="81"/>
            <rFont val="Tahoma"/>
            <family val="2"/>
          </rPr>
          <t>2024/12/10</t>
        </r>
      </text>
    </comment>
    <comment ref="P6" authorId="0" shapeId="0" xr:uid="{627CF903-5A6A-4783-B52C-231B49A9AF22}">
      <text>
        <r>
          <rPr>
            <b/>
            <sz val="9"/>
            <color indexed="81"/>
            <rFont val="Tahoma"/>
            <family val="2"/>
          </rPr>
          <t>2024/12/11</t>
        </r>
      </text>
    </comment>
    <comment ref="Q6" authorId="0" shapeId="0" xr:uid="{68D32990-A754-45E7-97D0-A0B9E04F05B2}">
      <text>
        <r>
          <rPr>
            <b/>
            <sz val="9"/>
            <color indexed="81"/>
            <rFont val="Tahoma"/>
            <family val="2"/>
          </rPr>
          <t>2024/12/12</t>
        </r>
      </text>
    </comment>
    <comment ref="R6" authorId="0" shapeId="0" xr:uid="{80A00393-3D0F-4376-A124-E20028FA0448}">
      <text>
        <r>
          <rPr>
            <b/>
            <sz val="9"/>
            <color indexed="81"/>
            <rFont val="Tahoma"/>
            <family val="2"/>
          </rPr>
          <t>2024/12/13</t>
        </r>
      </text>
    </comment>
    <comment ref="S6" authorId="0" shapeId="0" xr:uid="{71DCC162-B9DF-455B-BFA7-9B4907F4193A}">
      <text>
        <r>
          <rPr>
            <b/>
            <sz val="9"/>
            <color indexed="81"/>
            <rFont val="Tahoma"/>
            <family val="2"/>
          </rPr>
          <t>2024/12/14</t>
        </r>
      </text>
    </comment>
    <comment ref="T6" authorId="0" shapeId="0" xr:uid="{1E07E22C-B4E6-4F4D-B93F-4748B249E59C}">
      <text>
        <r>
          <rPr>
            <b/>
            <sz val="9"/>
            <color indexed="81"/>
            <rFont val="Tahoma"/>
            <family val="2"/>
          </rPr>
          <t>2024/12/15</t>
        </r>
      </text>
    </comment>
    <comment ref="U6" authorId="0" shapeId="0" xr:uid="{0CE8C94F-1D5B-4490-9790-FB67641DDA08}">
      <text>
        <r>
          <rPr>
            <b/>
            <sz val="9"/>
            <color indexed="81"/>
            <rFont val="Tahoma"/>
            <family val="2"/>
          </rPr>
          <t>Week:12/16</t>
        </r>
      </text>
    </comment>
    <comment ref="V6" authorId="0" shapeId="0" xr:uid="{C8B8F0A3-8CE2-4ECD-B1EA-8F441F71E18D}">
      <text>
        <r>
          <rPr>
            <b/>
            <sz val="9"/>
            <color indexed="81"/>
            <rFont val="Tahoma"/>
            <family val="2"/>
          </rPr>
          <t>Week:12/23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<sst xmlns="http://schemas.openxmlformats.org/spreadsheetml/2006/main" count="1402" uniqueCount="146">
  <si>
    <t>Description</t>
  </si>
  <si>
    <t>Part#</t>
  </si>
  <si>
    <t>Date</t>
  </si>
  <si>
    <t>FG Part#</t>
  </si>
  <si>
    <t>RAW Part#</t>
  </si>
  <si>
    <t>Instructions:</t>
  </si>
  <si>
    <t>"Select All" (CTRL-A) in the file sent by Multimatic</t>
  </si>
  <si>
    <t>Material</t>
  </si>
  <si>
    <t>Material Description</t>
  </si>
  <si>
    <t>Line Type</t>
  </si>
  <si>
    <t>demand</t>
  </si>
  <si>
    <t>received</t>
  </si>
  <si>
    <t>shipped</t>
  </si>
  <si>
    <t>production</t>
  </si>
  <si>
    <t>inv raw</t>
  </si>
  <si>
    <t>line time</t>
  </si>
  <si>
    <t>labour time</t>
  </si>
  <si>
    <t xml:space="preserve">Main Lower Cover </t>
  </si>
  <si>
    <t xml:space="preserve">Main Upper Cover </t>
  </si>
  <si>
    <t>Vent Cover</t>
  </si>
  <si>
    <t>Rear Plate</t>
  </si>
  <si>
    <t>Bezel</t>
  </si>
  <si>
    <t>LH IR Cover</t>
  </si>
  <si>
    <t>RH IR Cover</t>
  </si>
  <si>
    <t>LH Lateral Belt</t>
  </si>
  <si>
    <t>RH Lateral Belt</t>
  </si>
  <si>
    <t>Rear Belt</t>
  </si>
  <si>
    <t>LT050</t>
  </si>
  <si>
    <t>White</t>
  </si>
  <si>
    <t xml:space="preserve">White </t>
  </si>
  <si>
    <t>Black</t>
  </si>
  <si>
    <t>KN</t>
  </si>
  <si>
    <t>Color</t>
  </si>
  <si>
    <t>PO#</t>
  </si>
  <si>
    <t>EMPTY BOX</t>
  </si>
  <si>
    <t>Packing Slip #</t>
  </si>
  <si>
    <t>Qty Shipped</t>
  </si>
  <si>
    <t>Initial</t>
  </si>
  <si>
    <t>1. Change the Packing Slip number to the next sequence (+ 1)</t>
  </si>
  <si>
    <t>2. Change the date to reflect the date the parts are shipped</t>
  </si>
  <si>
    <t>3. Update "Shipper Init:" (if required)</t>
  </si>
  <si>
    <t>5. Type the respective quantities and number of skids</t>
  </si>
  <si>
    <t>6. Update the total weight</t>
  </si>
  <si>
    <t>7. Click the button at the end of each row to update the log</t>
  </si>
  <si>
    <t>4. Choose the part numbers shipped from the drop down, or type in</t>
  </si>
  <si>
    <t xml:space="preserve">8. Double check the Shipping Log tab </t>
  </si>
  <si>
    <t xml:space="preserve">- make sure all the parts were exported  </t>
  </si>
  <si>
    <t>- in case of dupplication delete the extra row(s) in the log</t>
  </si>
  <si>
    <t>Note:</t>
  </si>
  <si>
    <t>that need to be changed. If any changes need to be done the password is laval</t>
  </si>
  <si>
    <t>the "Packing List" tab is protected for editing except for the cells</t>
  </si>
  <si>
    <t>Packing Slip and Shipping log</t>
  </si>
  <si>
    <t>Receiving log</t>
  </si>
  <si>
    <t>Enter all the parts received and their quantities</t>
  </si>
  <si>
    <t>To enter the part nuber there are 3 options:</t>
  </si>
  <si>
    <t>- type the part number</t>
  </si>
  <si>
    <t>- pick from the drop down list</t>
  </si>
  <si>
    <t>- start typing then pick from the list</t>
  </si>
  <si>
    <t>left to ship</t>
  </si>
  <si>
    <t>inventory</t>
  </si>
  <si>
    <t>9. Save the file as PDF</t>
  </si>
  <si>
    <t>- in the window that comes up go to the folder in which you want to save the PDF file</t>
  </si>
  <si>
    <t>MH</t>
  </si>
  <si>
    <t>LT056</t>
  </si>
  <si>
    <t>LT055</t>
  </si>
  <si>
    <t>Main Lower Cover</t>
  </si>
  <si>
    <t>Main Upper Cover</t>
  </si>
  <si>
    <t>LT054</t>
  </si>
  <si>
    <t>LT053</t>
  </si>
  <si>
    <t>LT052</t>
  </si>
  <si>
    <t>LT051</t>
  </si>
  <si>
    <t>Row Labels</t>
  </si>
  <si>
    <t>Grand Total</t>
  </si>
  <si>
    <t>Sum of Qty Shipped</t>
  </si>
  <si>
    <t>Column Labels</t>
  </si>
  <si>
    <t>LT057</t>
  </si>
  <si>
    <t>LT058</t>
  </si>
  <si>
    <t>Main Upper</t>
  </si>
  <si>
    <t>LT059</t>
  </si>
  <si>
    <t>LT60</t>
  </si>
  <si>
    <t>Rear plate</t>
  </si>
  <si>
    <t>LT061</t>
  </si>
  <si>
    <t>LT062</t>
  </si>
  <si>
    <t>NTF</t>
  </si>
  <si>
    <t>LT063</t>
  </si>
  <si>
    <t>LT064</t>
  </si>
  <si>
    <t>LT065</t>
  </si>
  <si>
    <t>LT066</t>
  </si>
  <si>
    <t>LT067</t>
  </si>
  <si>
    <t>LT068</t>
  </si>
  <si>
    <t>LT069</t>
  </si>
  <si>
    <t>LT070</t>
  </si>
  <si>
    <t>LT071</t>
  </si>
  <si>
    <t>LT072</t>
  </si>
  <si>
    <t>LT073</t>
  </si>
  <si>
    <t>LT074</t>
  </si>
  <si>
    <t>LT075</t>
  </si>
  <si>
    <t>LT076</t>
  </si>
  <si>
    <t>LT077</t>
  </si>
  <si>
    <t>LT079</t>
  </si>
  <si>
    <t>LT078</t>
  </si>
  <si>
    <t>RAW LH IR Cover</t>
  </si>
  <si>
    <t>RAW RH IR Cover</t>
  </si>
  <si>
    <t>(blank)</t>
  </si>
  <si>
    <t>Week of</t>
  </si>
  <si>
    <t>LT080</t>
  </si>
  <si>
    <t>RMA Received</t>
  </si>
  <si>
    <t>LT081</t>
  </si>
  <si>
    <t>LT083</t>
  </si>
  <si>
    <t>LT082</t>
  </si>
  <si>
    <t>LT084</t>
  </si>
  <si>
    <t>LT085</t>
  </si>
  <si>
    <t>PO# P067875</t>
  </si>
  <si>
    <t>LT086</t>
  </si>
  <si>
    <t>LT087</t>
  </si>
  <si>
    <t>LT090</t>
  </si>
  <si>
    <t>LT088</t>
  </si>
  <si>
    <t>LT089</t>
  </si>
  <si>
    <t>Raw</t>
  </si>
  <si>
    <t>LT091</t>
  </si>
  <si>
    <t>LT092</t>
  </si>
  <si>
    <t>LT093</t>
  </si>
  <si>
    <t>LT094</t>
  </si>
  <si>
    <t>LT095</t>
  </si>
  <si>
    <t>LT096</t>
  </si>
  <si>
    <t>LT097</t>
  </si>
  <si>
    <t>LT098</t>
  </si>
  <si>
    <t>LT099</t>
  </si>
  <si>
    <t>LT100</t>
  </si>
  <si>
    <t>LT101</t>
  </si>
  <si>
    <t>LT102</t>
  </si>
  <si>
    <t>LT103</t>
  </si>
  <si>
    <t>LT104</t>
  </si>
  <si>
    <t>TOTAL</t>
  </si>
  <si>
    <t>average sets white</t>
  </si>
  <si>
    <t>summit white</t>
  </si>
  <si>
    <t>per set</t>
  </si>
  <si>
    <t>sets need to EOP</t>
  </si>
  <si>
    <t>Summit white need</t>
  </si>
  <si>
    <t>on hand</t>
  </si>
  <si>
    <t>on order</t>
  </si>
  <si>
    <t>gallons need to EOP</t>
  </si>
  <si>
    <t>SHIPPING</t>
  </si>
  <si>
    <t>Inventory</t>
  </si>
  <si>
    <t>Total received starting 11/11</t>
  </si>
  <si>
    <t>RECEIVING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</si>
</sst>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dd/mmm/yy;@"/>
    <numFmt numFmtId="166" formatCode="[$-409]d\-mmm;@"/>
    <numFmt numFmtId="167" formatCode="0.00_);[Red]\(0.00\)"/>
    <numFmt numFmtId="168" formatCode="&quot;$&quot;#,##0.00"/>
    <numFmt numFmtId="169" formatCode="m/d;@"/>
  </numFmts>
  <fonts count="4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indexed="8"/>
      <name val="MS Sans Serif"/>
    </font>
    <font>
      <sz val="10"/>
      <color theme="1"/>
      <name val="Calibri"/>
      <family val="2"/>
      <scheme val="minor"/>
    </font>
    <font>
      <sz val="12"/>
      <name val="Arial"/>
      <family val="2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name val="宋体"/>
      <family val="3"/>
      <charset val="134"/>
    </font>
    <font>
      <b/>
      <sz val="10"/>
      <name val="Calibri Light"/>
      <family val="2"/>
      <scheme val="major"/>
    </font>
    <font>
      <b/>
      <sz val="18"/>
      <name val="Arial Black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indexed="8"/>
      <name val="MS Sans Serif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6437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0" fontId="1" fillId="0" borderId="0"/>
    <xf numFmtId="0" fontId="3" fillId="0" borderId="0"/>
    <xf numFmtId="4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2" fillId="0" borderId="0"/>
    <xf numFmtId="0" fontId="2" fillId="0" borderId="0"/>
    <xf numFmtId="0" fontId="2" fillId="0" borderId="0"/>
    <xf numFmtId="0" fontId="21" fillId="0" borderId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1" borderId="0" applyNumberFormat="0" applyBorder="0" applyAlignment="0" applyProtection="0"/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3" borderId="0" applyNumberFormat="0" applyBorder="0" applyAlignment="0" applyProtection="0"/>
    <xf numFmtId="0" fontId="26" fillId="11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5" borderId="0" applyNumberFormat="0" applyBorder="0" applyAlignment="0" applyProtection="0"/>
    <xf numFmtId="0" fontId="27" fillId="13" borderId="0" applyNumberFormat="0" applyBorder="0" applyAlignment="0" applyProtection="0"/>
    <xf numFmtId="0" fontId="27" fillId="10" borderId="0" applyNumberFormat="0" applyBorder="0" applyAlignment="0" applyProtection="0"/>
    <xf numFmtId="0" fontId="27" fillId="18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28" fillId="22" borderId="0" applyNumberFormat="0" applyBorder="0" applyAlignment="0" applyProtection="0"/>
    <xf numFmtId="0" fontId="29" fillId="23" borderId="7" applyNumberFormat="0" applyAlignment="0" applyProtection="0"/>
    <xf numFmtId="0" fontId="30" fillId="24" borderId="8" applyNumberFormat="0" applyAlignment="0" applyProtection="0"/>
    <xf numFmtId="0" fontId="31" fillId="0" borderId="0" applyNumberFormat="0" applyFill="0" applyBorder="0" applyAlignment="0" applyProtection="0"/>
    <xf numFmtId="0" fontId="32" fillId="13" borderId="0" applyNumberFormat="0" applyBorder="0" applyAlignment="0" applyProtection="0"/>
    <xf numFmtId="0" fontId="33" fillId="0" borderId="9" applyNumberFormat="0" applyFill="0" applyAlignment="0" applyProtection="0"/>
    <xf numFmtId="0" fontId="34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6" fillId="14" borderId="7" applyNumberFormat="0" applyAlignment="0" applyProtection="0"/>
    <xf numFmtId="0" fontId="37" fillId="0" borderId="12" applyNumberFormat="0" applyFill="0" applyAlignment="0" applyProtection="0"/>
    <xf numFmtId="0" fontId="38" fillId="14" borderId="0" applyNumberFormat="0" applyBorder="0" applyAlignment="0" applyProtection="0"/>
    <xf numFmtId="0" fontId="20" fillId="11" borderId="13" applyNumberFormat="0" applyAlignment="0" applyProtection="0"/>
    <xf numFmtId="0" fontId="39" fillId="23" borderId="14" applyNumberFormat="0" applyAlignment="0" applyProtection="0"/>
    <xf numFmtId="0" fontId="40" fillId="0" borderId="0" applyNumberFormat="0" applyFill="0" applyBorder="0" applyAlignment="0" applyProtection="0"/>
    <xf numFmtId="0" fontId="41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29" fillId="23" borderId="16" applyNumberFormat="0" applyAlignment="0" applyProtection="0"/>
    <xf numFmtId="0" fontId="36" fillId="14" borderId="16" applyNumberFormat="0" applyAlignment="0" applyProtection="0"/>
    <xf numFmtId="0" fontId="20" fillId="11" borderId="17" applyNumberFormat="0" applyAlignment="0" applyProtection="0"/>
    <xf numFmtId="0" fontId="39" fillId="23" borderId="18" applyNumberFormat="0" applyAlignment="0" applyProtection="0"/>
    <xf numFmtId="0" fontId="41" fillId="0" borderId="19" applyNumberFormat="0" applyFill="0" applyAlignment="0" applyProtection="0"/>
  </cellStyleXfs>
  <cellXfs count="83">
    <xf numFmtId="0" fontId="0" fillId="0" borderId="0" xfId="0"/>
    <xf numFmtId="165" fontId="2" fillId="0" borderId="0" xfId="5" applyAlignment="1">
      <alignment vertical="center"/>
    </xf>
    <xf numFmtId="165" fontId="6" fillId="0" borderId="0" xfId="5" applyFont="1" applyAlignment="1">
      <alignment vertical="center"/>
    </xf>
    <xf numFmtId="165" fontId="7" fillId="0" borderId="0" xfId="5" applyFont="1" applyAlignment="1">
      <alignment horizontal="center" vertical="center"/>
    </xf>
    <xf numFmtId="49" fontId="6" fillId="0" borderId="0" xfId="5" applyNumberFormat="1" applyFont="1" applyAlignment="1">
      <alignment vertical="center"/>
    </xf>
    <xf numFmtId="165" fontId="9" fillId="0" borderId="0" xfId="5" applyFont="1" applyAlignment="1">
      <alignment vertical="center"/>
    </xf>
    <xf numFmtId="165" fontId="10" fillId="0" borderId="2" xfId="5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0" borderId="0" xfId="0" applyFont="1"/>
    <xf numFmtId="0" fontId="17" fillId="0" borderId="0" xfId="0" applyFont="1"/>
    <xf numFmtId="0" fontId="5" fillId="0" borderId="0" xfId="0" applyFont="1"/>
    <xf numFmtId="0" fontId="18" fillId="5" borderId="0" xfId="0" applyFont="1" applyFill="1" applyAlignment="1">
      <alignment horizontal="center" vertical="top"/>
    </xf>
    <xf numFmtId="16" fontId="18" fillId="5" borderId="0" xfId="0" applyNumberFormat="1" applyFont="1" applyFill="1" applyAlignment="1">
      <alignment horizontal="center" vertical="top"/>
    </xf>
    <xf numFmtId="0" fontId="19" fillId="5" borderId="0" xfId="0" applyFont="1" applyFill="1" applyAlignment="1">
      <alignment horizontal="center" vertical="top"/>
    </xf>
    <xf numFmtId="166" fontId="0" fillId="0" borderId="0" xfId="0" applyNumberFormat="1"/>
    <xf numFmtId="0" fontId="0" fillId="4" borderId="0" xfId="0" applyFill="1"/>
    <xf numFmtId="0" fontId="17" fillId="0" borderId="0" xfId="0" applyFont="1" applyAlignment="1">
      <alignment horizontal="right" indent="1"/>
    </xf>
    <xf numFmtId="0" fontId="17" fillId="0" borderId="5" xfId="0" applyFont="1" applyBorder="1"/>
    <xf numFmtId="0" fontId="0" fillId="0" borderId="5" xfId="0" applyBorder="1"/>
    <xf numFmtId="168" fontId="8" fillId="0" borderId="1" xfId="5" applyNumberFormat="1" applyFont="1" applyBorder="1" applyAlignment="1">
      <alignment horizontal="center" vertical="center"/>
    </xf>
    <xf numFmtId="0" fontId="17" fillId="6" borderId="0" xfId="0" applyFont="1" applyFill="1"/>
    <xf numFmtId="0" fontId="17" fillId="6" borderId="5" xfId="0" applyFont="1" applyFill="1" applyBorder="1"/>
    <xf numFmtId="1" fontId="8" fillId="0" borderId="1" xfId="5" applyNumberFormat="1" applyFont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16" fontId="14" fillId="2" borderId="3" xfId="0" applyNumberFormat="1" applyFont="1" applyFill="1" applyBorder="1" applyAlignment="1">
      <alignment vertical="center"/>
    </xf>
    <xf numFmtId="14" fontId="14" fillId="2" borderId="3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0" fontId="15" fillId="3" borderId="4" xfId="0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7" fillId="0" borderId="0" xfId="0" applyFont="1" applyAlignment="1">
      <alignment vertical="center"/>
    </xf>
    <xf numFmtId="14" fontId="17" fillId="0" borderId="0" xfId="0" applyNumberFormat="1" applyFont="1" applyAlignment="1">
      <alignment vertical="center"/>
    </xf>
    <xf numFmtId="14" fontId="17" fillId="0" borderId="0" xfId="0" applyNumberFormat="1" applyFont="1"/>
    <xf numFmtId="0" fontId="0" fillId="0" borderId="0" xfId="0" quotePrefix="1"/>
    <xf numFmtId="0" fontId="0" fillId="0" borderId="0" xfId="0" quotePrefix="1" applyAlignment="1">
      <alignment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165" fontId="11" fillId="0" borderId="6" xfId="5" applyFont="1" applyBorder="1" applyAlignment="1">
      <alignment vertical="center"/>
    </xf>
    <xf numFmtId="165" fontId="8" fillId="0" borderId="1" xfId="5" applyFont="1" applyBorder="1" applyAlignment="1">
      <alignment horizontal="center" vertical="center"/>
    </xf>
    <xf numFmtId="0" fontId="23" fillId="8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19" fillId="0" borderId="0" xfId="0" applyFont="1" applyAlignment="1">
      <alignment horizontal="right"/>
    </xf>
    <xf numFmtId="9" fontId="18" fillId="0" borderId="0" xfId="0" applyNumberFormat="1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right" indent="1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17" fillId="0" borderId="0" xfId="0" applyFont="1" applyAlignment="1">
      <alignment horizontal="left" vertical="center" wrapText="1"/>
    </xf>
    <xf numFmtId="14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69" fontId="0" fillId="0" borderId="0" xfId="0" applyNumberFormat="1"/>
    <xf numFmtId="169" fontId="0" fillId="0" borderId="0" xfId="0" pivotButton="1" applyNumberFormat="1"/>
    <xf numFmtId="3" fontId="0" fillId="0" borderId="0" xfId="0" quotePrefix="1" applyNumberFormat="1"/>
    <xf numFmtId="169" fontId="17" fillId="0" borderId="0" xfId="0" applyNumberFormat="1" applyFont="1" applyAlignment="1">
      <alignment vertical="center"/>
    </xf>
    <xf numFmtId="0" fontId="17" fillId="7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" fontId="5" fillId="0" borderId="20" xfId="0" applyNumberFormat="1" applyFont="1" applyBorder="1" applyAlignment="1">
      <alignment horizontal="center" vertical="center"/>
    </xf>
    <xf numFmtId="16" fontId="5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" fontId="5" fillId="0" borderId="22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16" fontId="5" fillId="0" borderId="23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17" fillId="0" borderId="0" xfId="0" applyFont="1" applyAlignment="1">
      <alignment horizontal="left" indent="1"/>
    </xf>
    <xf numFmtId="16" fontId="17" fillId="0" borderId="0" xfId="0" applyNumberFormat="1" applyFont="1" applyAlignment="1">
      <alignment horizontal="left" indent="1"/>
    </xf>
    <xf numFmtId="16" fontId="0" fillId="0" borderId="0" xfId="0" applyNumberFormat="1"/>
    <xf numFmtId="0" fontId="45" fillId="0" borderId="0" xfId="0" applyFont="1" applyAlignment="1">
      <alignment vertical="center"/>
    </xf>
    <xf numFmtId="0" fontId="42" fillId="0" borderId="0" xfId="0" applyFont="1" applyAlignment="1">
      <alignment horizontal="right" vertical="center" indent="1"/>
    </xf>
    <xf numFmtId="16" fontId="46" fillId="7" borderId="23" xfId="0" applyNumberFormat="1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16" fontId="17" fillId="7" borderId="2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textRotation="90"/>
    </xf>
  </cellXfs>
  <cellStyles count="55">
    <cellStyle name="20% - Accent1 2" xfId="9" xr:uid="{12A103AF-8BCB-4840-B227-B2ABE38306B3}"/>
    <cellStyle name="20% - Accent2 2" xfId="10" xr:uid="{FBED29D5-DF14-4156-843C-BB9A97222D8C}"/>
    <cellStyle name="20% - Accent3 2" xfId="11" xr:uid="{D41DA4F5-4B74-407C-8990-C922BE4E5588}"/>
    <cellStyle name="20% - Accent4 2" xfId="12" xr:uid="{0B970030-0681-47EB-85AC-D85F131A34E3}"/>
    <cellStyle name="20% - Accent5 2" xfId="13" xr:uid="{EC018A4D-A4D6-4B5A-91D9-4751A8876227}"/>
    <cellStyle name="20% - Accent6 2" xfId="14" xr:uid="{4C82B784-967A-4933-B8EF-15F4AB4FB455}"/>
    <cellStyle name="40% - Accent1 2" xfId="15" xr:uid="{43DA528B-3DF5-4C97-914A-AD926D3199BF}"/>
    <cellStyle name="40% - Accent2 2" xfId="16" xr:uid="{63F63195-E7FE-4407-BA8E-7E843632749D}"/>
    <cellStyle name="40% - Accent3 2" xfId="17" xr:uid="{D6115A46-F20C-4C67-B876-27DE23E97558}"/>
    <cellStyle name="40% - Accent4 2" xfId="18" xr:uid="{2321A364-C65E-4910-8012-C8B1F5BCCC10}"/>
    <cellStyle name="40% - Accent5 2" xfId="19" xr:uid="{511652BE-E407-46CB-BE3B-99B7F750C1C5}"/>
    <cellStyle name="40% - Accent6 2" xfId="20" xr:uid="{7B37E37F-D79E-48F4-95F2-6BFCE122BF70}"/>
    <cellStyle name="60% - Accent1 2" xfId="21" xr:uid="{1E16FD7A-4710-45AE-ACD0-D6C76718A7E3}"/>
    <cellStyle name="60% - Accent2 2" xfId="22" xr:uid="{71964DB0-1A66-4DC6-824F-F2A8E234C4CC}"/>
    <cellStyle name="60% - Accent3 2" xfId="23" xr:uid="{8C7C4194-F750-41A2-8763-FB156D380123}"/>
    <cellStyle name="60% - Accent4 2" xfId="24" xr:uid="{B3A98C85-E9EB-4152-AF7E-3B7A6867765D}"/>
    <cellStyle name="60% - Accent5 2" xfId="25" xr:uid="{226EA19C-D32B-413A-9A85-E77A4F02AE1A}"/>
    <cellStyle name="60% - Accent6 2" xfId="26" xr:uid="{0682E749-96A8-4CA4-B0C6-57543360A680}"/>
    <cellStyle name="Accent1 2" xfId="27" xr:uid="{DBF18592-8503-43DB-9C95-3A15B873A77D}"/>
    <cellStyle name="Accent2 2" xfId="28" xr:uid="{5988DA8F-8699-4AD4-8183-C42731ADDD34}"/>
    <cellStyle name="Accent3 2" xfId="29" xr:uid="{2A1A0A8F-5A8B-4B57-A856-0BFD503B6E4E}"/>
    <cellStyle name="Accent4 2" xfId="30" xr:uid="{86569482-DC86-4C57-A716-57B345C8DDBB}"/>
    <cellStyle name="Accent5 2" xfId="31" xr:uid="{6B32FF6A-02E7-4A03-AB25-62983A84CFED}"/>
    <cellStyle name="Accent6 2" xfId="32" xr:uid="{769D7FDD-A374-4B6A-BE40-64706A634252}"/>
    <cellStyle name="Bad 2" xfId="33" xr:uid="{70E2A468-CDA4-4C65-BC47-5C0A50318891}"/>
    <cellStyle name="Calculation 2" xfId="34" xr:uid="{362AAF02-48C5-4129-A432-9BBD74C768FE}"/>
    <cellStyle name="Calculation 3" xfId="50" xr:uid="{D35AD40C-F3FF-4B7C-B4AC-16647ACBC32B}"/>
    <cellStyle name="Check Cell 2" xfId="35" xr:uid="{4A77A5D0-7C4C-4027-AA94-35EB04E1C43F}"/>
    <cellStyle name="Currency 2" xfId="3" xr:uid="{776715A5-7217-4EF8-909B-FAF44D8E7C52}"/>
    <cellStyle name="Currency 2 2 5" xfId="4" xr:uid="{121EB395-FE89-47DF-B35E-3D5FAA70932A}"/>
    <cellStyle name="Explanatory Text 2" xfId="36" xr:uid="{5CBEC071-419B-4C11-9CF9-97946D770C9A}"/>
    <cellStyle name="Good 2" xfId="37" xr:uid="{1E1F153E-266D-4167-87B3-41EB9C3AE712}"/>
    <cellStyle name="Heading 1 2" xfId="38" xr:uid="{41008E74-663D-43EB-A537-1007336DFDC4}"/>
    <cellStyle name="Heading 2 2" xfId="39" xr:uid="{99555528-3F30-40F9-869F-A72A6E610DDC}"/>
    <cellStyle name="Heading 3 2" xfId="40" xr:uid="{6A7EEA19-EAB5-4638-B16E-04DDE5B01D2F}"/>
    <cellStyle name="Heading 4 2" xfId="41" xr:uid="{30F582B9-673D-4180-896F-7E623A8F2B11}"/>
    <cellStyle name="Input 2" xfId="42" xr:uid="{909D7743-5CFD-4000-9D02-189B69D24D21}"/>
    <cellStyle name="Input 3" xfId="51" xr:uid="{42FDD08B-2811-4423-85BE-241A217BB201}"/>
    <cellStyle name="Linked Cell 2" xfId="43" xr:uid="{D47D0303-BE51-44D7-8667-3722220C23F7}"/>
    <cellStyle name="Neutral 2" xfId="44" xr:uid="{F7598136-E378-4E1C-A751-530D731F67D7}"/>
    <cellStyle name="Normal" xfId="0" builtinId="0"/>
    <cellStyle name="Normal 2" xfId="1" xr:uid="{00000000-0005-0000-0000-000001000000}"/>
    <cellStyle name="Normal 3" xfId="2" xr:uid="{9C165B7B-F0A6-474E-B9C0-053C03F30F55}"/>
    <cellStyle name="Normal 4" xfId="5" xr:uid="{5AA87DA8-2DC2-45C1-A3C2-7E6BF1B6B6A4}"/>
    <cellStyle name="Normal 5" xfId="8" xr:uid="{D8A56117-6FA8-42BF-B550-B3E58BA11FD5}"/>
    <cellStyle name="Normal 7" xfId="6" xr:uid="{AB78E18F-1817-4CDE-AF63-D5274C79F66F}"/>
    <cellStyle name="Normal 7 2" xfId="7" xr:uid="{D433E786-1CC2-4095-AECD-DB07BCFA6F4C}"/>
    <cellStyle name="Note 2" xfId="45" xr:uid="{15A6E63E-C39B-43EF-A3BD-D87EDB9A603B}"/>
    <cellStyle name="Note 3" xfId="52" xr:uid="{20880507-14E2-4885-B6BD-2EB62A245DA1}"/>
    <cellStyle name="Output 2" xfId="46" xr:uid="{B7CD136B-5905-4951-91F1-DE9CF9DEE820}"/>
    <cellStyle name="Output 3" xfId="53" xr:uid="{85A2DB5D-780A-4EBD-854C-9CC86DD3B803}"/>
    <cellStyle name="Title 2" xfId="47" xr:uid="{276AB75C-7C52-4FA8-8CCF-E5DF3FD189C7}"/>
    <cellStyle name="Total 2" xfId="48" xr:uid="{8373258C-54B1-4925-B766-75596E0AC0F1}"/>
    <cellStyle name="Total 3" xfId="54" xr:uid="{0E09380A-EC99-40B6-9980-D68496A279F2}"/>
    <cellStyle name="Warning Text 2" xfId="49" xr:uid="{8399F2AE-1DB1-4F38-A411-3610DBEB4750}"/>
  </cellStyles>
  <dxfs count="5"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numFmt numFmtId="169" formatCode="m/d;@"/>
    </dxf>
    <dxf>
      <numFmt numFmtId="169" formatCode="m/d;@"/>
    </dxf>
    <dxf>
      <numFmt numFmtId="169" formatCode="m/d;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DAEE68.A45DA16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16</xdr:row>
      <xdr:rowOff>66675</xdr:rowOff>
    </xdr:from>
    <xdr:to>
      <xdr:col>9</xdr:col>
      <xdr:colOff>515784</xdr:colOff>
      <xdr:row>31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A5A0B7-BEDB-B120-045C-CB95CBEA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6924675"/>
          <a:ext cx="4830609" cy="2943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291353</xdr:colOff>
      <xdr:row>0</xdr:row>
      <xdr:rowOff>32253</xdr:rowOff>
    </xdr:from>
    <xdr:to>
      <xdr:col>0</xdr:col>
      <xdr:colOff>1322295</xdr:colOff>
      <xdr:row>0</xdr:row>
      <xdr:rowOff>321960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DF15BC3-AD27-47E0-ADE6-36F67EB10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3" y="32253"/>
          <a:ext cx="973792" cy="289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odora Suciu" refreshedDate="45820.603128703704" createdVersion="8" refreshedVersion="8" minRefreshableVersion="3" recordCount="239" xr:uid="{B91C3A77-E223-453B-827B-A4D71CBE5D20}">
  <cacheSource type="worksheet">
    <worksheetSource ref="A2:E502" sheet="Shipping"/>
  </cacheSource>
  <cacheFields count="5">
    <cacheField name="Packing Slip #" numFmtId="0">
      <sharedItems containsBlank="1"/>
    </cacheField>
    <cacheField name="Date" numFmtId="14">
      <sharedItems containsNonDate="0" containsDate="1" containsString="0" containsBlank="1" minDate="2024-04-22T00:00:00" maxDate="2025-06-11T00:00:00" count="33">
        <d v="2024-12-17T00:00:00"/>
        <d v="2024-12-12T00:00:00"/>
        <d v="2024-12-19T00:00:00"/>
        <d v="2024-12-24T00:00:00"/>
        <d v="2025-01-07T00:00:00"/>
        <d v="2025-01-14T00:00:00"/>
        <d v="2025-01-21T00:00:00"/>
        <d v="2025-01-28T00:00:00"/>
        <d v="2025-02-04T00:00:00"/>
        <d v="2025-02-11T00:00:00"/>
        <d v="2025-02-20T00:00:00"/>
        <d v="2025-02-25T00:00:00"/>
        <d v="2025-02-18T00:00:00"/>
        <d v="2025-03-04T00:00:00"/>
        <d v="2025-03-11T00:00:00"/>
        <d v="2025-03-18T00:00:00"/>
        <d v="2025-03-19T00:00:00"/>
        <d v="2025-03-25T00:00:00"/>
        <d v="2025-04-01T00:00:00"/>
        <d v="2025-04-08T00:00:00"/>
        <d v="2025-04-15T00:00:00"/>
        <d v="2025-04-22T00:00:00"/>
        <d v="2024-04-22T00:00:00"/>
        <d v="2025-04-29T00:00:00"/>
        <d v="2025-05-06T00:00:00"/>
        <d v="2025-05-13T00:00:00"/>
        <d v="2025-05-20T00:00:00"/>
        <d v="2025-05-27T00:00:00"/>
        <d v="2025-06-03T00:00:00"/>
        <d v="2025-06-05T00:00:00"/>
        <d v="2025-06-09T00:00:00"/>
        <d v="2025-06-10T00:00:00"/>
        <m/>
      </sharedItems>
    </cacheField>
    <cacheField name="Part#" numFmtId="0">
      <sharedItems containsString="0" containsBlank="1" containsNumber="1" containsInteger="1" minValue="99629" maxValue="99944" count="11">
        <n v="99646"/>
        <n v="99630"/>
        <n v="99629"/>
        <n v="99632"/>
        <n v="99633"/>
        <n v="99635"/>
        <n v="99944"/>
        <n v="99636"/>
        <n v="99631"/>
        <n v="99638"/>
        <m/>
      </sharedItems>
    </cacheField>
    <cacheField name="Description" numFmtId="0">
      <sharedItems containsBlank="1"/>
    </cacheField>
    <cacheField name="Qty Shipped" numFmtId="0">
      <sharedItems containsString="0" containsBlank="1" containsNumber="1" containsInteger="1" minValue="-480" maxValue="1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s v="LT050"/>
    <x v="0"/>
    <x v="0"/>
    <s v="RH IR Cover"/>
    <n v="20"/>
  </r>
  <r>
    <s v="LT050"/>
    <x v="0"/>
    <x v="1"/>
    <s v="Vent Cover"/>
    <n v="3"/>
  </r>
  <r>
    <s v="LT050"/>
    <x v="0"/>
    <x v="1"/>
    <s v="Vent Cover"/>
    <n v="2"/>
  </r>
  <r>
    <s v="LT050"/>
    <x v="0"/>
    <x v="2"/>
    <s v="Main Lower Cover "/>
    <n v="1"/>
  </r>
  <r>
    <s v="LT050"/>
    <x v="0"/>
    <x v="1"/>
    <s v="Vent Cover"/>
    <n v="3"/>
  </r>
  <r>
    <s v="LT050"/>
    <x v="0"/>
    <x v="1"/>
    <s v="Vent Cover"/>
    <n v="2"/>
  </r>
  <r>
    <s v="LT050"/>
    <x v="0"/>
    <x v="2"/>
    <s v="Main Lower Cover "/>
    <n v="1"/>
  </r>
  <r>
    <s v="LT050"/>
    <x v="0"/>
    <x v="3"/>
    <s v="Bezel"/>
    <n v="13"/>
  </r>
  <r>
    <s v="LT050"/>
    <x v="1"/>
    <x v="2"/>
    <s v="Main Lower Cover "/>
    <n v="36"/>
  </r>
  <r>
    <s v="LT050"/>
    <x v="1"/>
    <x v="1"/>
    <s v="Vent Cover"/>
    <n v="18"/>
  </r>
  <r>
    <s v="LT050"/>
    <x v="1"/>
    <x v="2"/>
    <s v="Main Lower Cover "/>
    <n v="36"/>
  </r>
  <r>
    <s v="LT050"/>
    <x v="1"/>
    <x v="2"/>
    <s v="Main Lower Cover "/>
    <n v="36"/>
  </r>
  <r>
    <s v="LT050"/>
    <x v="1"/>
    <x v="2"/>
    <s v="Main Lower Cover "/>
    <n v="36"/>
  </r>
  <r>
    <s v="LT050"/>
    <x v="1"/>
    <x v="2"/>
    <s v="Main Lower Cover "/>
    <n v="36"/>
  </r>
  <r>
    <s v="LT050"/>
    <x v="1"/>
    <x v="2"/>
    <s v="Main Lower Cover "/>
    <n v="36"/>
  </r>
  <r>
    <s v="LT050"/>
    <x v="1"/>
    <x v="1"/>
    <s v="Vent Cover"/>
    <n v="18"/>
  </r>
  <r>
    <s v="LT050"/>
    <x v="1"/>
    <x v="1"/>
    <s v="Vent Cover"/>
    <n v="18"/>
  </r>
  <r>
    <s v="LT050"/>
    <x v="1"/>
    <x v="2"/>
    <s v="Main Lower Cover "/>
    <n v="36"/>
  </r>
  <r>
    <s v="LT050"/>
    <x v="1"/>
    <x v="2"/>
    <s v="Main Lower Cover "/>
    <n v="36"/>
  </r>
  <r>
    <s v="LT050"/>
    <x v="1"/>
    <x v="2"/>
    <s v="Main Lower Cover "/>
    <n v="36"/>
  </r>
  <r>
    <s v="LT050"/>
    <x v="1"/>
    <x v="2"/>
    <s v="Main Lower Cover "/>
    <n v="36"/>
  </r>
  <r>
    <s v="LT051"/>
    <x v="0"/>
    <x v="2"/>
    <s v="Main Lower Cover "/>
    <n v="33"/>
  </r>
  <r>
    <s v="LT051"/>
    <x v="0"/>
    <x v="1"/>
    <s v="Vent Cover"/>
    <n v="43"/>
  </r>
  <r>
    <s v="LT051"/>
    <x v="0"/>
    <x v="3"/>
    <s v="Bezel"/>
    <n v="48"/>
  </r>
  <r>
    <s v="LT051"/>
    <x v="0"/>
    <x v="4"/>
    <s v="LH IR Cover"/>
    <n v="33"/>
  </r>
  <r>
    <s v="LT051"/>
    <x v="0"/>
    <x v="0"/>
    <s v="RH IR Cover"/>
    <n v="49"/>
  </r>
  <r>
    <s v="LT051"/>
    <x v="0"/>
    <x v="5"/>
    <s v="LH Lateral Belt"/>
    <n v="50"/>
  </r>
  <r>
    <s v="LT051"/>
    <x v="0"/>
    <x v="6"/>
    <s v="RH Lateral Belt"/>
    <n v="64"/>
  </r>
  <r>
    <s v="LT051"/>
    <x v="0"/>
    <x v="7"/>
    <s v="Rear Belt"/>
    <n v="70"/>
  </r>
  <r>
    <s v="LT052"/>
    <x v="2"/>
    <x v="8"/>
    <s v="Main Upper Cover "/>
    <n v="36"/>
  </r>
  <r>
    <s v="LT053"/>
    <x v="3"/>
    <x v="2"/>
    <s v="Main Lower Cover "/>
    <n v="11"/>
  </r>
  <r>
    <s v="LT053"/>
    <x v="3"/>
    <x v="8"/>
    <s v="Main Upper Cover "/>
    <n v="36"/>
  </r>
  <r>
    <s v="LT053"/>
    <x v="3"/>
    <x v="9"/>
    <s v="Rear Plate"/>
    <n v="137"/>
  </r>
  <r>
    <s v="LT053"/>
    <x v="3"/>
    <x v="3"/>
    <s v="Bezel"/>
    <n v="100"/>
  </r>
  <r>
    <s v="LT053"/>
    <x v="3"/>
    <x v="4"/>
    <s v="LH IR Cover"/>
    <n v="130"/>
  </r>
  <r>
    <s v="LT053"/>
    <x v="3"/>
    <x v="0"/>
    <s v="RH IR Cover"/>
    <n v="78"/>
  </r>
  <r>
    <s v="LT053"/>
    <x v="3"/>
    <x v="7"/>
    <s v="Rear Belt"/>
    <n v="37"/>
  </r>
  <r>
    <s v="LT054"/>
    <x v="4"/>
    <x v="2"/>
    <s v="Main Lower Cover "/>
    <n v="66"/>
  </r>
  <r>
    <s v="LT054"/>
    <x v="4"/>
    <x v="8"/>
    <s v="Main Upper Cover "/>
    <n v="72"/>
  </r>
  <r>
    <s v="LT054"/>
    <x v="4"/>
    <x v="1"/>
    <s v="Vent Cover"/>
    <n v="100"/>
  </r>
  <r>
    <s v="LT054"/>
    <x v="4"/>
    <x v="9"/>
    <s v="Rear Plate"/>
    <n v="62"/>
  </r>
  <r>
    <s v="LT054"/>
    <x v="4"/>
    <x v="3"/>
    <s v="Bezel"/>
    <n v="65"/>
  </r>
  <r>
    <s v="LT054"/>
    <x v="4"/>
    <x v="4"/>
    <s v="LH IR Cover"/>
    <n v="102"/>
  </r>
  <r>
    <s v="LT054"/>
    <x v="4"/>
    <x v="0"/>
    <s v="RH IR Cover"/>
    <n v="116"/>
  </r>
  <r>
    <s v="LT054"/>
    <x v="4"/>
    <x v="5"/>
    <s v="LH Lateral Belt"/>
    <n v="100"/>
  </r>
  <r>
    <s v="LT054"/>
    <x v="4"/>
    <x v="6"/>
    <s v="RH Lateral Belt"/>
    <n v="105"/>
  </r>
  <r>
    <s v="LT054"/>
    <x v="4"/>
    <x v="7"/>
    <s v="Rear Belt"/>
    <n v="84"/>
  </r>
  <r>
    <s v="LT055"/>
    <x v="5"/>
    <x v="2"/>
    <s v="Main Lower Cover"/>
    <n v="66"/>
  </r>
  <r>
    <s v="LT055"/>
    <x v="5"/>
    <x v="1"/>
    <s v="Vent Cover"/>
    <n v="60"/>
  </r>
  <r>
    <s v="LT055"/>
    <x v="5"/>
    <x v="9"/>
    <s v="Rear Plate"/>
    <n v="49"/>
  </r>
  <r>
    <s v="LT055"/>
    <x v="5"/>
    <x v="3"/>
    <s v="Bezel"/>
    <n v="26"/>
  </r>
  <r>
    <s v="LT055"/>
    <x v="5"/>
    <x v="4"/>
    <s v="LH IR Cover"/>
    <n v="43"/>
  </r>
  <r>
    <s v="LT055"/>
    <x v="5"/>
    <x v="0"/>
    <s v="RH IR Cover"/>
    <n v="54"/>
  </r>
  <r>
    <s v="LT055"/>
    <x v="5"/>
    <x v="5"/>
    <s v="LH Lateral Belt"/>
    <n v="24"/>
  </r>
  <r>
    <s v="LT055"/>
    <x v="5"/>
    <x v="6"/>
    <s v="RH Lateral Belt"/>
    <n v="29"/>
  </r>
  <r>
    <s v="LT055"/>
    <x v="5"/>
    <x v="7"/>
    <s v="Rear Belt"/>
    <n v="48"/>
  </r>
  <r>
    <s v="LT055"/>
    <x v="5"/>
    <x v="8"/>
    <s v="Main Upper Cover"/>
    <n v="54"/>
  </r>
  <r>
    <s v="LT056"/>
    <x v="6"/>
    <x v="2"/>
    <s v="Main Lower Cover "/>
    <n v="11"/>
  </r>
  <r>
    <s v="LT056"/>
    <x v="6"/>
    <x v="1"/>
    <s v="Vent Cover"/>
    <n v="38"/>
  </r>
  <r>
    <s v="LT056"/>
    <x v="6"/>
    <x v="9"/>
    <s v="Rear Plate"/>
    <n v="51"/>
  </r>
  <r>
    <s v="LT056"/>
    <x v="6"/>
    <x v="3"/>
    <s v="Bezel"/>
    <n v="43"/>
  </r>
  <r>
    <s v="LT056"/>
    <x v="6"/>
    <x v="4"/>
    <s v="LH IR Cover"/>
    <n v="17"/>
  </r>
  <r>
    <s v="LT056"/>
    <x v="6"/>
    <x v="0"/>
    <s v="RH IR Cover"/>
    <n v="18"/>
  </r>
  <r>
    <s v="LT056"/>
    <x v="6"/>
    <x v="5"/>
    <s v="LH Lateral Belt"/>
    <n v="32"/>
  </r>
  <r>
    <s v="LT056"/>
    <x v="6"/>
    <x v="6"/>
    <s v="RH Lateral Belt"/>
    <n v="38"/>
  </r>
  <r>
    <s v="LT056"/>
    <x v="6"/>
    <x v="7"/>
    <s v="Rear Belt"/>
    <n v="60"/>
  </r>
  <r>
    <s v="LT056"/>
    <x v="6"/>
    <x v="8"/>
    <s v="Main Upper Cover "/>
    <n v="62"/>
  </r>
  <r>
    <s v="LT057"/>
    <x v="7"/>
    <x v="1"/>
    <s v="Vent Cover"/>
    <n v="31"/>
  </r>
  <r>
    <s v="LT057"/>
    <x v="7"/>
    <x v="3"/>
    <s v="Bezel"/>
    <n v="75"/>
  </r>
  <r>
    <s v="LT057"/>
    <x v="7"/>
    <x v="4"/>
    <s v="LH IR Cover"/>
    <n v="54"/>
  </r>
  <r>
    <s v="LT057"/>
    <x v="7"/>
    <x v="5"/>
    <s v="LH Lateral Belt"/>
    <n v="66"/>
  </r>
  <r>
    <s v="LT057"/>
    <x v="7"/>
    <x v="0"/>
    <s v="RH IR Cover"/>
    <n v="44"/>
  </r>
  <r>
    <s v="LT057"/>
    <x v="7"/>
    <x v="6"/>
    <s v="RH Lateral Belt"/>
    <n v="44"/>
  </r>
  <r>
    <s v="LT057"/>
    <x v="7"/>
    <x v="7"/>
    <s v="Rear Belt"/>
    <n v="77"/>
  </r>
  <r>
    <s v="LT057"/>
    <x v="7"/>
    <x v="8"/>
    <s v="Main Upper"/>
    <n v="46"/>
  </r>
  <r>
    <s v="LT058"/>
    <x v="8"/>
    <x v="2"/>
    <s v="Main Lower Cover"/>
    <n v="21"/>
  </r>
  <r>
    <s v="LT058"/>
    <x v="8"/>
    <x v="9"/>
    <s v="Rear Plate"/>
    <n v="33"/>
  </r>
  <r>
    <s v="LT058"/>
    <x v="8"/>
    <x v="3"/>
    <s v="Bezel"/>
    <n v="65"/>
  </r>
  <r>
    <s v="LT058"/>
    <x v="8"/>
    <x v="5"/>
    <s v="LH Lateral Belt"/>
    <n v="46"/>
  </r>
  <r>
    <s v="LT058"/>
    <x v="8"/>
    <x v="6"/>
    <s v="RH Lateral Belt"/>
    <n v="48"/>
  </r>
  <r>
    <s v="LT058"/>
    <x v="8"/>
    <x v="7"/>
    <s v="Rear Belt"/>
    <n v="36"/>
  </r>
  <r>
    <s v="LT058"/>
    <x v="8"/>
    <x v="8"/>
    <s v="Main Upper Cover"/>
    <n v="48"/>
  </r>
  <r>
    <s v="LT059"/>
    <x v="9"/>
    <x v="1"/>
    <s v="Vent Cover"/>
    <n v="72"/>
  </r>
  <r>
    <s v="LT059"/>
    <x v="9"/>
    <x v="9"/>
    <s v="Rear Plate"/>
    <n v="88"/>
  </r>
  <r>
    <s v="LT059"/>
    <x v="9"/>
    <x v="3"/>
    <s v="Bezel"/>
    <n v="9"/>
  </r>
  <r>
    <s v="LT059"/>
    <x v="9"/>
    <x v="4"/>
    <s v="LH IR Cover"/>
    <n v="9"/>
  </r>
  <r>
    <s v="LT059"/>
    <x v="9"/>
    <x v="0"/>
    <s v="RH IR Cover"/>
    <n v="18"/>
  </r>
  <r>
    <s v="LT059"/>
    <x v="9"/>
    <x v="8"/>
    <s v="Main Upper Cover"/>
    <n v="60"/>
  </r>
  <r>
    <s v="LT061"/>
    <x v="10"/>
    <x v="2"/>
    <s v="Main Lower Cover"/>
    <n v="55"/>
  </r>
  <r>
    <s v="LT061"/>
    <x v="10"/>
    <x v="3"/>
    <s v="Bezel"/>
    <n v="42"/>
  </r>
  <r>
    <s v="LT062"/>
    <x v="11"/>
    <x v="2"/>
    <s v="Main Lower Cover"/>
    <n v="66"/>
  </r>
  <r>
    <s v="LT062"/>
    <x v="11"/>
    <x v="8"/>
    <s v="Main Upper Cover"/>
    <n v="54"/>
  </r>
  <r>
    <s v="LT062"/>
    <x v="11"/>
    <x v="1"/>
    <s v="Vent Cover"/>
    <n v="55"/>
  </r>
  <r>
    <s v="LT062"/>
    <x v="11"/>
    <x v="9"/>
    <s v="Rear Plate"/>
    <n v="34"/>
  </r>
  <r>
    <s v="LT062"/>
    <x v="11"/>
    <x v="3"/>
    <s v="Bezel"/>
    <n v="39"/>
  </r>
  <r>
    <s v="LT062"/>
    <x v="11"/>
    <x v="4"/>
    <s v="LH IR Cover"/>
    <n v="94"/>
  </r>
  <r>
    <s v="LT062"/>
    <x v="11"/>
    <x v="0"/>
    <s v="RH IR Cover"/>
    <n v="103"/>
  </r>
  <r>
    <s v="LT062"/>
    <x v="11"/>
    <x v="5"/>
    <s v="LH Lateral Belt"/>
    <n v="82"/>
  </r>
  <r>
    <s v="LT062"/>
    <x v="11"/>
    <x v="6"/>
    <s v="RH Lateral Belt"/>
    <n v="86"/>
  </r>
  <r>
    <s v="LT062"/>
    <x v="11"/>
    <x v="7"/>
    <s v="Rear Belt"/>
    <n v="40"/>
  </r>
  <r>
    <s v="LT60"/>
    <x v="12"/>
    <x v="2"/>
    <s v="Main Lower Cover"/>
    <n v="11"/>
  </r>
  <r>
    <s v="LT60"/>
    <x v="12"/>
    <x v="9"/>
    <s v="Rear Plate"/>
    <n v="31"/>
  </r>
  <r>
    <s v="LT60"/>
    <x v="12"/>
    <x v="3"/>
    <s v="Bezel"/>
    <n v="26"/>
  </r>
  <r>
    <s v="LT60"/>
    <x v="12"/>
    <x v="4"/>
    <s v="LH IR Cover"/>
    <n v="25"/>
  </r>
  <r>
    <s v="LT60"/>
    <x v="12"/>
    <x v="0"/>
    <s v="RH IR Cover"/>
    <n v="21"/>
  </r>
  <r>
    <s v="LT60"/>
    <x v="12"/>
    <x v="5"/>
    <s v="LH Lateral Belt"/>
    <n v="88"/>
  </r>
  <r>
    <s v="LT60"/>
    <x v="12"/>
    <x v="6"/>
    <s v="RH Lateral Belt"/>
    <n v="82"/>
  </r>
  <r>
    <s v="LT60"/>
    <x v="12"/>
    <x v="7"/>
    <s v="Rear Belt"/>
    <n v="38"/>
  </r>
  <r>
    <s v="LT60"/>
    <x v="12"/>
    <x v="8"/>
    <s v="Main Upper Cover"/>
    <n v="54"/>
  </r>
  <r>
    <s v="LT061"/>
    <x v="10"/>
    <x v="2"/>
    <s v="Main Lower Cover"/>
    <n v="55"/>
  </r>
  <r>
    <s v="LT061"/>
    <x v="10"/>
    <x v="3"/>
    <s v="Bezel"/>
    <n v="42"/>
  </r>
  <r>
    <s v="LT062"/>
    <x v="11"/>
    <x v="2"/>
    <s v="Main Lower Cover"/>
    <n v="66"/>
  </r>
  <r>
    <s v="LT062"/>
    <x v="11"/>
    <x v="8"/>
    <s v="Main Upper Cover"/>
    <n v="54"/>
  </r>
  <r>
    <s v="LT062"/>
    <x v="11"/>
    <x v="1"/>
    <s v="Vent Cover"/>
    <n v="55"/>
  </r>
  <r>
    <s v="LT062"/>
    <x v="11"/>
    <x v="9"/>
    <s v="Rear Plate"/>
    <n v="34"/>
  </r>
  <r>
    <s v="LT062"/>
    <x v="11"/>
    <x v="3"/>
    <s v="Bezel"/>
    <n v="39"/>
  </r>
  <r>
    <s v="LT062"/>
    <x v="11"/>
    <x v="4"/>
    <s v="LH IR Cover"/>
    <n v="94"/>
  </r>
  <r>
    <s v="LT062"/>
    <x v="11"/>
    <x v="0"/>
    <s v="RH IR Cover"/>
    <n v="103"/>
  </r>
  <r>
    <s v="LT062"/>
    <x v="11"/>
    <x v="5"/>
    <s v="LH Lateral Belt"/>
    <n v="82"/>
  </r>
  <r>
    <s v="LT062"/>
    <x v="11"/>
    <x v="6"/>
    <s v="RH Lateral Belt"/>
    <n v="86"/>
  </r>
  <r>
    <s v="LT062"/>
    <x v="11"/>
    <x v="7"/>
    <s v="Rear Belt"/>
    <n v="40"/>
  </r>
  <r>
    <s v="LT063"/>
    <x v="13"/>
    <x v="2"/>
    <s v="Main Lower Cover"/>
    <n v="66"/>
  </r>
  <r>
    <s v="LT063"/>
    <x v="13"/>
    <x v="1"/>
    <s v="Vent Cover"/>
    <n v="41"/>
  </r>
  <r>
    <s v="LT063"/>
    <x v="13"/>
    <x v="9"/>
    <s v="Rear Plate"/>
    <n v="26"/>
  </r>
  <r>
    <s v="LT063"/>
    <x v="13"/>
    <x v="3"/>
    <s v="Bezel"/>
    <n v="25"/>
  </r>
  <r>
    <s v="LT063"/>
    <x v="13"/>
    <x v="4"/>
    <s v="LH IR Cover"/>
    <n v="136"/>
  </r>
  <r>
    <s v="LT063"/>
    <x v="13"/>
    <x v="0"/>
    <s v="RH IR Cover"/>
    <n v="108"/>
  </r>
  <r>
    <s v="LT063"/>
    <x v="13"/>
    <x v="5"/>
    <s v="LH Lateral Belt"/>
    <n v="50"/>
  </r>
  <r>
    <s v="LT063"/>
    <x v="13"/>
    <x v="6"/>
    <s v="RH Lateral Belt"/>
    <n v="58"/>
  </r>
  <r>
    <s v="LT063"/>
    <x v="13"/>
    <x v="7"/>
    <s v="Rear Belt"/>
    <n v="79"/>
  </r>
  <r>
    <s v="LT063"/>
    <x v="13"/>
    <x v="8"/>
    <s v="Main Upper Cover"/>
    <n v="72"/>
  </r>
  <r>
    <s v="LT064"/>
    <x v="14"/>
    <x v="2"/>
    <s v="Main Lower Cover"/>
    <n v="44"/>
  </r>
  <r>
    <s v="LT064"/>
    <x v="14"/>
    <x v="9"/>
    <s v="Rear Plate"/>
    <n v="35"/>
  </r>
  <r>
    <s v="LT064"/>
    <x v="14"/>
    <x v="3"/>
    <s v="Bezel"/>
    <n v="41"/>
  </r>
  <r>
    <s v="LT064"/>
    <x v="14"/>
    <x v="4"/>
    <s v="LH IR Cover"/>
    <n v="20"/>
  </r>
  <r>
    <s v="LT064"/>
    <x v="14"/>
    <x v="0"/>
    <s v="RH IR Cover"/>
    <n v="26"/>
  </r>
  <r>
    <s v="LT064"/>
    <x v="14"/>
    <x v="5"/>
    <s v="LH Lateral Belt"/>
    <n v="32"/>
  </r>
  <r>
    <s v="LT064"/>
    <x v="14"/>
    <x v="6"/>
    <s v="RH Lateral Belt"/>
    <n v="42"/>
  </r>
  <r>
    <s v="LT064"/>
    <x v="14"/>
    <x v="7"/>
    <s v="Rear Belt"/>
    <n v="35"/>
  </r>
  <r>
    <s v="LT064"/>
    <x v="14"/>
    <x v="8"/>
    <s v="Main Upper Cover"/>
    <n v="35"/>
  </r>
  <r>
    <s v="LT065"/>
    <x v="15"/>
    <x v="2"/>
    <s v="Main Lower Cover"/>
    <n v="33"/>
  </r>
  <r>
    <s v="LT065"/>
    <x v="16"/>
    <x v="1"/>
    <s v="Vent Cover"/>
    <n v="40"/>
  </r>
  <r>
    <s v="LT065"/>
    <x v="16"/>
    <x v="9"/>
    <s v="Rear Plate"/>
    <n v="24"/>
  </r>
  <r>
    <s v="LT065"/>
    <x v="16"/>
    <x v="3"/>
    <s v="Bezel"/>
    <n v="36"/>
  </r>
  <r>
    <s v="LT065"/>
    <x v="16"/>
    <x v="4"/>
    <s v="LH IR Cover"/>
    <n v="50"/>
  </r>
  <r>
    <s v="LT065"/>
    <x v="16"/>
    <x v="0"/>
    <s v="RH IR Cover"/>
    <n v="45"/>
  </r>
  <r>
    <s v="LT065"/>
    <x v="16"/>
    <x v="7"/>
    <s v="Rear Belt"/>
    <n v="39"/>
  </r>
  <r>
    <s v="LT065"/>
    <x v="15"/>
    <x v="8"/>
    <s v="Main Upper Cover"/>
    <n v="36"/>
  </r>
  <r>
    <s v="LT066"/>
    <x v="17"/>
    <x v="2"/>
    <s v="Main Lower Cover"/>
    <n v="66"/>
  </r>
  <r>
    <s v="LT066"/>
    <x v="17"/>
    <x v="1"/>
    <s v="Vent Cover"/>
    <n v="80"/>
  </r>
  <r>
    <s v="LT066"/>
    <x v="17"/>
    <x v="9"/>
    <s v="Rear Plate"/>
    <n v="13"/>
  </r>
  <r>
    <s v="LT066"/>
    <x v="17"/>
    <x v="3"/>
    <s v="Bezel"/>
    <n v="66"/>
  </r>
  <r>
    <s v="LT066"/>
    <x v="17"/>
    <x v="8"/>
    <s v="Main Upper Cover"/>
    <n v="36"/>
  </r>
  <r>
    <s v="LT067"/>
    <x v="18"/>
    <x v="2"/>
    <s v="Main Lower Cover"/>
    <n v="33"/>
  </r>
  <r>
    <s v="LT067"/>
    <x v="18"/>
    <x v="1"/>
    <s v="Vent Cover"/>
    <n v="102"/>
  </r>
  <r>
    <s v="LT067"/>
    <x v="18"/>
    <x v="3"/>
    <s v="Bezel"/>
    <n v="66"/>
  </r>
  <r>
    <s v="LT067"/>
    <x v="18"/>
    <x v="5"/>
    <s v="LH Lateral Belt"/>
    <n v="106"/>
  </r>
  <r>
    <s v="LT067"/>
    <x v="18"/>
    <x v="6"/>
    <s v="RH Lateral Belt"/>
    <n v="96"/>
  </r>
  <r>
    <s v="LT067"/>
    <x v="18"/>
    <x v="8"/>
    <s v="Main Upper Cover"/>
    <n v="36"/>
  </r>
  <r>
    <s v="LT068"/>
    <x v="19"/>
    <x v="2"/>
    <s v="Main Lower Cover"/>
    <n v="77"/>
  </r>
  <r>
    <s v="LT068"/>
    <x v="19"/>
    <x v="1"/>
    <s v="Vent Cover"/>
    <n v="60"/>
  </r>
  <r>
    <s v="LT068"/>
    <x v="19"/>
    <x v="9"/>
    <s v="Rear Plate"/>
    <n v="80"/>
  </r>
  <r>
    <s v="LT068"/>
    <x v="19"/>
    <x v="3"/>
    <s v="Bezel"/>
    <n v="66"/>
  </r>
  <r>
    <s v="LT068"/>
    <x v="19"/>
    <x v="4"/>
    <s v="LH IR Cover"/>
    <n v="72"/>
  </r>
  <r>
    <s v="LT068"/>
    <x v="19"/>
    <x v="0"/>
    <s v="RH IR Cover"/>
    <n v="73"/>
  </r>
  <r>
    <s v="LT068"/>
    <x v="19"/>
    <x v="5"/>
    <s v="LH Lateral Belt"/>
    <n v="72"/>
  </r>
  <r>
    <s v="LT068"/>
    <x v="19"/>
    <x v="6"/>
    <s v="RH Lateral Belt"/>
    <n v="76"/>
  </r>
  <r>
    <s v="LT068"/>
    <x v="19"/>
    <x v="7"/>
    <s v="Rear Belt"/>
    <n v="115"/>
  </r>
  <r>
    <s v="LT068"/>
    <x v="19"/>
    <x v="8"/>
    <s v="Main Upper Cover"/>
    <n v="54"/>
  </r>
  <r>
    <s v="LT069"/>
    <x v="20"/>
    <x v="2"/>
    <s v="Main Lower Cover"/>
    <n v="66"/>
  </r>
  <r>
    <s v="LT069"/>
    <x v="20"/>
    <x v="1"/>
    <s v="Vent Cover"/>
    <n v="61"/>
  </r>
  <r>
    <s v="LT069"/>
    <x v="20"/>
    <x v="9"/>
    <s v="Rear Plate"/>
    <n v="50"/>
  </r>
  <r>
    <s v="LT069"/>
    <x v="20"/>
    <x v="3"/>
    <s v="Bezel"/>
    <n v="66"/>
  </r>
  <r>
    <s v="LT069"/>
    <x v="20"/>
    <x v="4"/>
    <s v="LH IR Cover"/>
    <n v="66"/>
  </r>
  <r>
    <s v="LT069"/>
    <x v="20"/>
    <x v="0"/>
    <s v="RH IR Cover"/>
    <n v="66"/>
  </r>
  <r>
    <s v="LT069"/>
    <x v="20"/>
    <x v="5"/>
    <s v="LH Lateral Belt"/>
    <n v="60"/>
  </r>
  <r>
    <s v="LT069"/>
    <x v="20"/>
    <x v="6"/>
    <s v="RH Lateral Belt"/>
    <n v="66"/>
  </r>
  <r>
    <s v="LT069"/>
    <x v="20"/>
    <x v="7"/>
    <s v="Rear Belt"/>
    <n v="66"/>
  </r>
  <r>
    <s v="LT069"/>
    <x v="20"/>
    <x v="8"/>
    <s v="Main Upper Cover"/>
    <n v="67"/>
  </r>
  <r>
    <s v="LT070"/>
    <x v="21"/>
    <x v="2"/>
    <s v="Main Lower Cover"/>
    <n v="66"/>
  </r>
  <r>
    <s v="LT070"/>
    <x v="22"/>
    <x v="1"/>
    <s v="Vent Cover"/>
    <n v="20"/>
  </r>
  <r>
    <s v="LT070"/>
    <x v="22"/>
    <x v="9"/>
    <s v="Rear Plate"/>
    <n v="20"/>
  </r>
  <r>
    <s v="LT070"/>
    <x v="22"/>
    <x v="3"/>
    <s v="Bezel"/>
    <n v="51"/>
  </r>
  <r>
    <s v="LT070"/>
    <x v="22"/>
    <x v="4"/>
    <s v="LH IR Cover"/>
    <n v="66"/>
  </r>
  <r>
    <s v="LT070"/>
    <x v="22"/>
    <x v="0"/>
    <s v="RH IR Cover"/>
    <n v="66"/>
  </r>
  <r>
    <s v="LT070"/>
    <x v="22"/>
    <x v="5"/>
    <s v="LH Lateral Belt"/>
    <n v="66"/>
  </r>
  <r>
    <s v="LT070"/>
    <x v="22"/>
    <x v="6"/>
    <s v="RH Lateral Belt"/>
    <n v="66"/>
  </r>
  <r>
    <s v="LT070"/>
    <x v="22"/>
    <x v="7"/>
    <s v="Rear Belt"/>
    <n v="50"/>
  </r>
  <r>
    <s v="LT070"/>
    <x v="22"/>
    <x v="8"/>
    <s v="Main Upper Cover"/>
    <n v="68"/>
  </r>
  <r>
    <s v="LT071"/>
    <x v="23"/>
    <x v="2"/>
    <s v="Main Lower Cover"/>
    <n v="66"/>
  </r>
  <r>
    <s v="LT071"/>
    <x v="23"/>
    <x v="1"/>
    <s v="Vent Cover"/>
    <n v="60"/>
  </r>
  <r>
    <s v="LT071"/>
    <x v="23"/>
    <x v="9"/>
    <s v="Rear Plate"/>
    <n v="36"/>
  </r>
  <r>
    <s v="LT071"/>
    <x v="23"/>
    <x v="4"/>
    <s v="LH IR Cover"/>
    <n v="63"/>
  </r>
  <r>
    <s v="LT071"/>
    <x v="23"/>
    <x v="0"/>
    <s v="RH IR Cover"/>
    <n v="47"/>
  </r>
  <r>
    <s v="LT071"/>
    <x v="23"/>
    <x v="5"/>
    <s v="LH Lateral Belt"/>
    <n v="44"/>
  </r>
  <r>
    <s v="LT071"/>
    <x v="23"/>
    <x v="6"/>
    <s v="RH Lateral Belt"/>
    <n v="36"/>
  </r>
  <r>
    <s v="LT071"/>
    <x v="23"/>
    <x v="7"/>
    <s v="Rear Belt"/>
    <n v="26"/>
  </r>
  <r>
    <s v="LT072"/>
    <x v="24"/>
    <x v="2"/>
    <s v="Main Lower Cover"/>
    <n v="66"/>
  </r>
  <r>
    <s v="LT072"/>
    <x v="24"/>
    <x v="1"/>
    <s v="Vent Cover"/>
    <n v="80"/>
  </r>
  <r>
    <s v="LT072"/>
    <x v="24"/>
    <x v="3"/>
    <s v="Bezel"/>
    <n v="66"/>
  </r>
  <r>
    <s v="LT072"/>
    <x v="24"/>
    <x v="8"/>
    <s v="Main Upper Cover"/>
    <n v="32"/>
  </r>
  <r>
    <s v="LT073"/>
    <x v="25"/>
    <x v="2"/>
    <s v="Main Lower Cover"/>
    <n v="66"/>
  </r>
  <r>
    <s v="LT073"/>
    <x v="25"/>
    <x v="1"/>
    <s v="Vent Cover"/>
    <n v="35"/>
  </r>
  <r>
    <s v="LT073"/>
    <x v="25"/>
    <x v="3"/>
    <s v="Bezel"/>
    <n v="66"/>
  </r>
  <r>
    <s v="LT073"/>
    <x v="25"/>
    <x v="8"/>
    <s v="Main Upper Cover"/>
    <n v="72"/>
  </r>
  <r>
    <s v="LT074"/>
    <x v="26"/>
    <x v="2"/>
    <s v="Main Lower Cover"/>
    <n v="33"/>
  </r>
  <r>
    <s v="LT074"/>
    <x v="26"/>
    <x v="3"/>
    <s v="Bezel"/>
    <n v="132"/>
  </r>
  <r>
    <s v="LT074"/>
    <x v="26"/>
    <x v="8"/>
    <s v="Main Upper Cover"/>
    <n v="54"/>
  </r>
  <r>
    <s v="LT075"/>
    <x v="27"/>
    <x v="2"/>
    <s v="Main Lower Cover"/>
    <n v="55"/>
  </r>
  <r>
    <s v="LT075"/>
    <x v="27"/>
    <x v="1"/>
    <s v="Vent Cover"/>
    <n v="40"/>
  </r>
  <r>
    <s v="LT075"/>
    <x v="27"/>
    <x v="9"/>
    <s v="Rear Plate"/>
    <n v="84"/>
  </r>
  <r>
    <s v="LT075"/>
    <x v="27"/>
    <x v="3"/>
    <s v="Bezel"/>
    <n v="44"/>
  </r>
  <r>
    <s v="LT075"/>
    <x v="27"/>
    <x v="8"/>
    <s v="Main Upper Cover"/>
    <n v="36"/>
  </r>
  <r>
    <s v="LT076"/>
    <x v="28"/>
    <x v="2"/>
    <s v="Main Lower Cover"/>
    <n v="11"/>
  </r>
  <r>
    <s v="LT076"/>
    <x v="28"/>
    <x v="3"/>
    <s v="Bezel"/>
    <n v="17"/>
  </r>
  <r>
    <s v="LT076"/>
    <x v="28"/>
    <x v="5"/>
    <s v="LH Lateral Belt"/>
    <n v="22"/>
  </r>
  <r>
    <s v="LT076"/>
    <x v="28"/>
    <x v="6"/>
    <s v="RH Lateral Belt"/>
    <n v="24"/>
  </r>
  <r>
    <s v="LT076"/>
    <x v="28"/>
    <x v="1"/>
    <s v="Vent Cover"/>
    <n v="20"/>
  </r>
  <r>
    <s v="LT077"/>
    <x v="29"/>
    <x v="2"/>
    <s v="Main Lower Cover"/>
    <n v="33"/>
  </r>
  <r>
    <s v="LT077"/>
    <x v="29"/>
    <x v="1"/>
    <s v="Vent Cover"/>
    <n v="40"/>
  </r>
  <r>
    <s v="LT077"/>
    <x v="29"/>
    <x v="3"/>
    <s v="Bezel"/>
    <n v="66"/>
  </r>
  <r>
    <s v="LT077"/>
    <x v="29"/>
    <x v="4"/>
    <s v="LH IR Cover"/>
    <n v="71"/>
  </r>
  <r>
    <s v="LT077"/>
    <x v="29"/>
    <x v="0"/>
    <s v="RH IR Cover"/>
    <n v="79"/>
  </r>
  <r>
    <s v="LT077"/>
    <x v="29"/>
    <x v="5"/>
    <s v="LH Lateral Belt"/>
    <n v="38"/>
  </r>
  <r>
    <s v="LT077"/>
    <x v="29"/>
    <x v="6"/>
    <s v="RH Lateral Belt"/>
    <n v="36"/>
  </r>
  <r>
    <s v="LT077"/>
    <x v="29"/>
    <x v="7"/>
    <s v="Rear Belt"/>
    <n v="66"/>
  </r>
  <r>
    <s v="LT077"/>
    <x v="29"/>
    <x v="8"/>
    <s v="Main Upper Cover"/>
    <n v="35"/>
  </r>
  <r>
    <s v="LT078"/>
    <x v="30"/>
    <x v="10"/>
    <s v="RAW LH IR Cover"/>
    <n v="-480"/>
  </r>
  <r>
    <s v="LT078"/>
    <x v="30"/>
    <x v="10"/>
    <s v="RAW RH IR Cover"/>
    <n v="-480"/>
  </r>
  <r>
    <s v="LT079"/>
    <x v="31"/>
    <x v="10"/>
    <s v="Main Lower Cover"/>
    <n v="49"/>
  </r>
  <r>
    <s v="LT079"/>
    <x v="31"/>
    <x v="10"/>
    <s v="Vent Cover"/>
    <n v="21"/>
  </r>
  <r>
    <s v="LT079"/>
    <x v="31"/>
    <x v="10"/>
    <s v="Rear Plate"/>
    <n v="49"/>
  </r>
  <r>
    <s v="LT079"/>
    <x v="31"/>
    <x v="10"/>
    <s v="Bezel"/>
    <n v="66"/>
  </r>
  <r>
    <s v="LT079"/>
    <x v="31"/>
    <x v="10"/>
    <s v="LH Lateral Belt"/>
    <n v="94"/>
  </r>
  <r>
    <s v="LT079"/>
    <x v="31"/>
    <x v="10"/>
    <s v="RH Lateral Belt"/>
    <n v="94"/>
  </r>
  <r>
    <s v="LT079"/>
    <x v="31"/>
    <x v="10"/>
    <s v="Rear Belt"/>
    <n v="68"/>
  </r>
  <r>
    <s v="LT079"/>
    <x v="31"/>
    <x v="10"/>
    <s v="Main Upper Cover"/>
    <n v="49"/>
  </r>
  <r>
    <m/>
    <x v="32"/>
    <x v="10"/>
    <m/>
    <m/>
  </r>
  <r>
    <m/>
    <x v="32"/>
    <x v="1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03EF0-6D95-43FC-9485-DF37C7F6C7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I16" firstHeaderRow="1" firstDataRow="2" firstDataCol="1"/>
  <pivotFields count="5">
    <pivotField showAll="0"/>
    <pivotField axis="axisCol" numFmtId="14" showAll="0">
      <items count="3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12">
        <item x="2"/>
        <item x="1"/>
        <item x="8"/>
        <item x="3"/>
        <item x="4"/>
        <item x="5"/>
        <item x="7"/>
        <item x="9"/>
        <item x="0"/>
        <item x="6"/>
        <item x="10"/>
        <item t="default"/>
      </items>
    </pivotField>
    <pivotField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Sum of Qty Shipped" fld="4" baseField="0" baseItem="0"/>
  </dataFields>
  <formats count="3"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7005-6DCB-4583-8811-64AD9F1C0080}">
  <sheetPr codeName="Sheet1"/>
  <dimension ref="A1:J40"/>
  <sheetViews>
    <sheetView topLeftCell="A15" workbookViewId="0">
      <selection activeCell="O38" sqref="O38"/>
    </sheetView>
  </sheetViews>
  <sheetFormatPr defaultRowHeight="15"/>
  <cols>
    <col min="1" max="1" width="7.5703125" customWidth="1"/>
  </cols>
  <sheetData>
    <row r="1" spans="1:10" s="26" customFormat="1" ht="18" customHeight="1">
      <c r="A1" s="45" t="s">
        <v>51</v>
      </c>
      <c r="B1" s="46"/>
      <c r="C1" s="46"/>
      <c r="D1" s="46"/>
      <c r="E1" s="46"/>
      <c r="F1" s="41"/>
      <c r="G1" s="41"/>
      <c r="H1" s="41"/>
      <c r="I1" s="41"/>
      <c r="J1" s="41"/>
    </row>
    <row r="2" spans="1:10" s="26" customFormat="1" ht="15.75" customHeight="1">
      <c r="B2" s="40" t="s">
        <v>48</v>
      </c>
      <c r="C2" s="41" t="s">
        <v>50</v>
      </c>
      <c r="D2" s="41"/>
      <c r="E2" s="41"/>
      <c r="F2" s="41"/>
      <c r="G2" s="41"/>
      <c r="H2" s="41"/>
      <c r="I2" s="41"/>
      <c r="J2" s="41"/>
    </row>
    <row r="3" spans="1:10" s="26" customFormat="1" ht="15.75" customHeight="1">
      <c r="B3" s="42" t="s">
        <v>49</v>
      </c>
      <c r="C3" s="42"/>
      <c r="D3" s="41"/>
      <c r="E3" s="41"/>
      <c r="F3" s="41"/>
      <c r="G3" s="41"/>
      <c r="H3" s="41"/>
      <c r="I3" s="41"/>
      <c r="J3" s="41"/>
    </row>
    <row r="4" spans="1:10" s="26" customFormat="1">
      <c r="A4" s="26" t="s">
        <v>38</v>
      </c>
    </row>
    <row r="5" spans="1:10" s="26" customFormat="1">
      <c r="A5" s="26" t="s">
        <v>39</v>
      </c>
    </row>
    <row r="6" spans="1:10" s="26" customFormat="1">
      <c r="A6" s="26" t="s">
        <v>40</v>
      </c>
    </row>
    <row r="7" spans="1:10" s="26" customFormat="1">
      <c r="A7" s="26" t="s">
        <v>44</v>
      </c>
    </row>
    <row r="8" spans="1:10" s="26" customFormat="1">
      <c r="A8" s="26" t="s">
        <v>41</v>
      </c>
    </row>
    <row r="9" spans="1:10" s="26" customFormat="1">
      <c r="A9" s="26" t="s">
        <v>42</v>
      </c>
    </row>
    <row r="10" spans="1:10" s="26" customFormat="1">
      <c r="A10" s="26" t="s">
        <v>43</v>
      </c>
    </row>
    <row r="11" spans="1:10" s="26" customFormat="1">
      <c r="A11" s="26" t="s">
        <v>45</v>
      </c>
    </row>
    <row r="12" spans="1:10" s="26" customFormat="1">
      <c r="B12" s="39" t="s">
        <v>46</v>
      </c>
    </row>
    <row r="13" spans="1:10" s="26" customFormat="1">
      <c r="B13" s="39" t="s">
        <v>47</v>
      </c>
    </row>
    <row r="14" spans="1:10" s="26" customFormat="1">
      <c r="A14" s="26" t="s">
        <v>60</v>
      </c>
    </row>
    <row r="15" spans="1:10">
      <c r="B15" s="38"/>
    </row>
    <row r="16" spans="1:10">
      <c r="B16" s="38" t="s">
        <v>61</v>
      </c>
    </row>
    <row r="35" spans="1:5">
      <c r="A35" s="45" t="s">
        <v>52</v>
      </c>
      <c r="B35" s="45"/>
      <c r="C35" s="45"/>
      <c r="D35" s="45"/>
      <c r="E35" s="45"/>
    </row>
    <row r="36" spans="1:5">
      <c r="A36" t="s">
        <v>53</v>
      </c>
    </row>
    <row r="37" spans="1:5">
      <c r="A37" t="s">
        <v>54</v>
      </c>
    </row>
    <row r="38" spans="1:5">
      <c r="B38" s="38" t="s">
        <v>55</v>
      </c>
    </row>
    <row r="39" spans="1:5">
      <c r="B39" s="38" t="s">
        <v>56</v>
      </c>
    </row>
    <row r="40" spans="1:5">
      <c r="B40" s="38" t="s">
        <v>57</v>
      </c>
    </row>
  </sheetData>
  <pageMargins left="0.7" right="0.7" top="0.75" bottom="0.75" header="0.3" footer="0.3"/>
  <pageSetup orientation="portrait" r:id="rId1"/>
  <headerFooter>
    <oddFooter>&amp;L8.2.2.4.21 Laval Tracker Template &amp;RCreated:01/16/26TS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D227-21ED-4E57-9734-85BAB5045922}">
  <sheetPr codeName="Sheet3"/>
  <dimension ref="B1:AF218"/>
  <sheetViews>
    <sheetView tabSelected="1" zoomScaleNormal="110" workbookViewId="0">
      <pane ySplit="2" topLeftCell="A3" activePane="bottomLeft" state="frozen"/>
      <selection pane="bottomLeft" activeCell="H24" sqref="H24"/>
    </sheetView>
  </sheetViews>
  <sheetFormatPr defaultRowHeight="12.75"/>
  <cols>
    <col min="1" max="6" width="9.140625" style="7"/>
    <col min="7" max="32" width="6.5703125" style="7" bestFit="1" customWidth="1"/>
    <col min="33" max="16384" width="9.140625" style="7"/>
  </cols>
  <sheetData>
    <row r="1" spans="2:32" ht="18" customHeight="1">
      <c r="B1" s="35"/>
      <c r="C1" s="76" t="s">
        <v>145</v>
      </c>
      <c r="D1" s="35"/>
      <c r="E1" s="35"/>
      <c r="F1" s="77" t="s">
        <v>133</v>
      </c>
      <c r="G1" s="68">
        <f>SUM(G4:G18)</f>
        <v>0</v>
      </c>
      <c r="H1" s="68">
        <f>SUM(H4:H18)</f>
        <v>0</v>
      </c>
      <c r="I1" s="68">
        <f t="shared" ref="I1:AF1" si="0">SUM(I4:I18)</f>
        <v>0</v>
      </c>
      <c r="J1" s="68">
        <f t="shared" si="0"/>
        <v>0</v>
      </c>
      <c r="K1" s="68">
        <f t="shared" si="0"/>
        <v>0</v>
      </c>
      <c r="L1" s="68">
        <f t="shared" si="0"/>
        <v>0</v>
      </c>
      <c r="M1" s="68">
        <f t="shared" si="0"/>
        <v>0</v>
      </c>
      <c r="N1" s="68">
        <f t="shared" si="0"/>
        <v>0</v>
      </c>
      <c r="O1" s="68">
        <f t="shared" si="0"/>
        <v>0</v>
      </c>
      <c r="P1" s="68">
        <f t="shared" si="0"/>
        <v>0</v>
      </c>
      <c r="Q1" s="68">
        <f t="shared" si="0"/>
        <v>0</v>
      </c>
      <c r="R1" s="68">
        <f t="shared" si="0"/>
        <v>0</v>
      </c>
      <c r="S1" s="68">
        <f t="shared" si="0"/>
        <v>0</v>
      </c>
      <c r="T1" s="68">
        <f t="shared" si="0"/>
        <v>0</v>
      </c>
      <c r="U1" s="68">
        <f t="shared" si="0"/>
        <v>0</v>
      </c>
      <c r="V1" s="68">
        <f t="shared" si="0"/>
        <v>0</v>
      </c>
      <c r="W1" s="68">
        <f t="shared" si="0"/>
        <v>0</v>
      </c>
      <c r="X1" s="68">
        <f t="shared" si="0"/>
        <v>0</v>
      </c>
      <c r="Y1" s="68">
        <f t="shared" si="0"/>
        <v>0</v>
      </c>
      <c r="Z1" s="68">
        <f t="shared" si="0"/>
        <v>0</v>
      </c>
      <c r="AA1" s="68">
        <f t="shared" si="0"/>
        <v>0</v>
      </c>
      <c r="AB1" s="68">
        <f t="shared" si="0"/>
        <v>0</v>
      </c>
      <c r="AC1" s="68">
        <f t="shared" si="0"/>
        <v>0</v>
      </c>
      <c r="AD1" s="68">
        <f t="shared" si="0"/>
        <v>0</v>
      </c>
      <c r="AE1" s="68">
        <f t="shared" si="0"/>
        <v>0</v>
      </c>
      <c r="AF1" s="68">
        <f t="shared" si="0"/>
        <v>0</v>
      </c>
    </row>
    <row r="2" spans="2:32" ht="13.5" thickBot="1">
      <c r="B2" s="65"/>
      <c r="C2" s="65"/>
      <c r="D2" s="65"/>
      <c r="E2" s="65"/>
      <c r="F2" s="65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</row>
    <row r="3" spans="2:32" ht="35.25" customHeight="1" thickBot="1">
      <c r="B3" s="69"/>
      <c r="C3" s="69"/>
      <c r="D3" s="69"/>
      <c r="E3" s="81" t="s">
        <v>143</v>
      </c>
      <c r="F3" s="78" t="s">
        <v>144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</row>
    <row r="4" spans="2:32" ht="23.25" customHeight="1">
      <c r="B4" s="70">
        <v>99629</v>
      </c>
      <c r="C4" s="70" t="str">
        <f>VLOOKUP(B4,'Parts Legend'!$B:$D,2,FALSE)</f>
        <v xml:space="preserve">Main Lower Cover </v>
      </c>
      <c r="D4" s="70" t="str">
        <f>VLOOKUP(B4,'Parts Legend'!$B:$D,3,FALSE)</f>
        <v>White</v>
      </c>
      <c r="E4" s="79">
        <f>F4-VLOOKUP(B4,Shipping!$I$4:$L$18,4,FALSE)</f>
        <v>0</v>
      </c>
      <c r="F4" s="80">
        <f t="shared" ref="F4:F13" si="1">SUM(G4:CC4)</f>
        <v>0</v>
      </c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</row>
    <row r="5" spans="2:32" ht="23.25" customHeight="1">
      <c r="B5" s="70">
        <v>99630</v>
      </c>
      <c r="C5" s="70" t="str">
        <f>VLOOKUP(B5,'Parts Legend'!$B:$D,2,FALSE)</f>
        <v>Vent Cover</v>
      </c>
      <c r="D5" s="70" t="str">
        <f>VLOOKUP(B5,'Parts Legend'!$B:$D,3,FALSE)</f>
        <v xml:space="preserve">White </v>
      </c>
      <c r="E5" s="79">
        <f>F5-VLOOKUP(B5,Shipping!$I$4:$L$18,4,FALSE)</f>
        <v>0</v>
      </c>
      <c r="F5" s="80">
        <f t="shared" si="1"/>
        <v>0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</row>
    <row r="6" spans="2:32" ht="23.25" customHeight="1">
      <c r="B6" s="70">
        <v>99638</v>
      </c>
      <c r="C6" s="70" t="str">
        <f>VLOOKUP(B6,'Parts Legend'!$B:$D,2,FALSE)</f>
        <v>Rear Plate</v>
      </c>
      <c r="D6" s="70" t="str">
        <f>VLOOKUP(B6,'Parts Legend'!$B:$D,3,FALSE)</f>
        <v>White</v>
      </c>
      <c r="E6" s="79">
        <f>F6-VLOOKUP(B6,Shipping!$I$4:$L$18,4,FALSE)</f>
        <v>0</v>
      </c>
      <c r="F6" s="80">
        <f t="shared" si="1"/>
        <v>0</v>
      </c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</row>
    <row r="7" spans="2:32" ht="23.25" customHeight="1">
      <c r="B7" s="70">
        <v>99632</v>
      </c>
      <c r="C7" s="70" t="str">
        <f>VLOOKUP(B7,'Parts Legend'!$B:$D,2,FALSE)</f>
        <v>Bezel</v>
      </c>
      <c r="D7" s="70" t="str">
        <f>VLOOKUP(B7,'Parts Legend'!$B:$D,3,FALSE)</f>
        <v>Black</v>
      </c>
      <c r="E7" s="79">
        <f>F7-VLOOKUP(B7,Shipping!$I$4:$L$18,4,FALSE)</f>
        <v>0</v>
      </c>
      <c r="F7" s="80">
        <f t="shared" si="1"/>
        <v>0</v>
      </c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</row>
    <row r="8" spans="2:32" ht="23.25" customHeight="1">
      <c r="B8" s="70">
        <v>99633</v>
      </c>
      <c r="C8" s="70" t="str">
        <f>VLOOKUP(B8,'Parts Legend'!$B:$D,2,FALSE)</f>
        <v>LH IR Cover</v>
      </c>
      <c r="D8" s="70" t="str">
        <f>VLOOKUP(B8,'Parts Legend'!$B:$D,3,FALSE)</f>
        <v>Black</v>
      </c>
      <c r="E8" s="79">
        <f>F8-VLOOKUP(B8,Shipping!$I$4:$L$18,4,FALSE)</f>
        <v>0</v>
      </c>
      <c r="F8" s="80">
        <f t="shared" si="1"/>
        <v>0</v>
      </c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spans="2:32" ht="23.25" customHeight="1">
      <c r="B9" s="70">
        <v>99646</v>
      </c>
      <c r="C9" s="70" t="str">
        <f>VLOOKUP(B9,'Parts Legend'!$B:$D,2,FALSE)</f>
        <v>RH IR Cover</v>
      </c>
      <c r="D9" s="70" t="str">
        <f>VLOOKUP(B9,'Parts Legend'!$B:$D,3,FALSE)</f>
        <v>Black</v>
      </c>
      <c r="E9" s="79">
        <f>F9-VLOOKUP(B9,Shipping!$I$4:$L$18,4,FALSE)</f>
        <v>0</v>
      </c>
      <c r="F9" s="80">
        <f t="shared" si="1"/>
        <v>0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</row>
    <row r="10" spans="2:32" ht="23.25" customHeight="1">
      <c r="B10" s="70">
        <v>99635</v>
      </c>
      <c r="C10" s="70" t="str">
        <f>VLOOKUP(B10,'Parts Legend'!$B:$D,2,FALSE)</f>
        <v>LH Lateral Belt</v>
      </c>
      <c r="D10" s="70" t="str">
        <f>VLOOKUP(B10,'Parts Legend'!$B:$D,3,FALSE)</f>
        <v>Black</v>
      </c>
      <c r="E10" s="79">
        <f>F10-VLOOKUP(B10,Shipping!$I$4:$L$18,4,FALSE)</f>
        <v>0</v>
      </c>
      <c r="F10" s="80">
        <f t="shared" si="1"/>
        <v>0</v>
      </c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</row>
    <row r="11" spans="2:32" ht="23.25" customHeight="1">
      <c r="B11" s="70">
        <v>99944</v>
      </c>
      <c r="C11" s="70" t="str">
        <f>VLOOKUP(B11,'Parts Legend'!$B:$D,2,FALSE)</f>
        <v>RH Lateral Belt</v>
      </c>
      <c r="D11" s="70" t="str">
        <f>VLOOKUP(B11,'Parts Legend'!$B:$D,3,FALSE)</f>
        <v>Black</v>
      </c>
      <c r="E11" s="79">
        <f>F11-VLOOKUP(B11,Shipping!$I$4:$L$18,4,FALSE)</f>
        <v>0</v>
      </c>
      <c r="F11" s="80">
        <f t="shared" si="1"/>
        <v>0</v>
      </c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</row>
    <row r="12" spans="2:32" ht="23.25" customHeight="1">
      <c r="B12" s="70">
        <v>99636</v>
      </c>
      <c r="C12" s="70" t="str">
        <f>VLOOKUP(B12,'Parts Legend'!$B:$D,2,FALSE)</f>
        <v>Rear Belt</v>
      </c>
      <c r="D12" s="70" t="str">
        <f>VLOOKUP(B12,'Parts Legend'!$B:$D,3,FALSE)</f>
        <v>Black</v>
      </c>
      <c r="E12" s="79">
        <f>F12-VLOOKUP(B12,Shipping!$I$4:$L$18,4,FALSE)</f>
        <v>0</v>
      </c>
      <c r="F12" s="80">
        <f t="shared" si="1"/>
        <v>0</v>
      </c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</row>
    <row r="13" spans="2:32" ht="23.25" customHeight="1">
      <c r="B13" s="70">
        <v>99631</v>
      </c>
      <c r="C13" s="70" t="str">
        <f>VLOOKUP(B13,'Parts Legend'!$B:$D,2,FALSE)</f>
        <v xml:space="preserve">Main Upper Cover </v>
      </c>
      <c r="D13" s="70" t="str">
        <f>VLOOKUP(B13,'Parts Legend'!$B:$D,3,FALSE)</f>
        <v xml:space="preserve">White </v>
      </c>
      <c r="E13" s="79">
        <f>F13-VLOOKUP(B13,Shipping!$I$4:$L$18,4,FALSE)</f>
        <v>0</v>
      </c>
      <c r="F13" s="80">
        <f t="shared" si="1"/>
        <v>0</v>
      </c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</row>
    <row r="218" ht="6" customHeight="1"/>
  </sheetData>
  <pageMargins left="0.7" right="0.7" top="0.75" bottom="0.75" header="0.3" footer="0.3"/>
  <pageSetup orientation="portrait" verticalDpi="0" r:id="rId1"/>
  <headerFooter>
    <oddFooter>&amp;L8.2.2.4.21 Laval Tracker Template &amp;RCreated:01/16/26TS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7C53-10E1-4238-B459-277B0320BC5C}">
  <sheetPr codeName="Sheet4"/>
  <dimension ref="A1:DF1245"/>
  <sheetViews>
    <sheetView zoomScale="120" zoomScaleNormal="120" workbookViewId="0">
      <pane xSplit="11" topLeftCell="L1" activePane="topRight" state="frozen"/>
      <selection pane="topRight" activeCell="M4" sqref="M4"/>
    </sheetView>
  </sheetViews>
  <sheetFormatPr defaultRowHeight="12"/>
  <cols>
    <col min="1" max="1" width="11.85546875" style="35" hidden="1" customWidth="1"/>
    <col min="2" max="2" width="11.28515625" style="36" hidden="1" customWidth="1"/>
    <col min="3" max="3" width="9.5703125" style="35" hidden="1" customWidth="1"/>
    <col min="4" max="4" width="17.7109375" style="35" hidden="1" customWidth="1"/>
    <col min="5" max="5" width="10.42578125" style="35" hidden="1" customWidth="1"/>
    <col min="6" max="6" width="5.85546875" style="35" hidden="1" customWidth="1"/>
    <col min="7" max="7" width="8.85546875" style="35" hidden="1" customWidth="1"/>
    <col min="8" max="8" width="9.140625" style="35"/>
    <col min="9" max="9" width="7" style="35" customWidth="1"/>
    <col min="10" max="10" width="19.28515625" style="35" customWidth="1"/>
    <col min="11" max="12" width="6.5703125" style="35" customWidth="1"/>
    <col min="13" max="16" width="7.5703125" style="35" bestFit="1" customWidth="1"/>
    <col min="17" max="17" width="5.85546875" style="35" bestFit="1" customWidth="1"/>
    <col min="18" max="20" width="6.7109375" style="35" bestFit="1" customWidth="1"/>
    <col min="21" max="21" width="5.85546875" style="35" bestFit="1" customWidth="1"/>
    <col min="22" max="25" width="6.7109375" style="35" bestFit="1" customWidth="1"/>
    <col min="26" max="26" width="5.85546875" style="35" bestFit="1" customWidth="1"/>
    <col min="27" max="29" width="6.7109375" style="35" bestFit="1" customWidth="1"/>
    <col min="30" max="31" width="5.85546875" style="35" bestFit="1" customWidth="1"/>
    <col min="32" max="34" width="6.7109375" style="35" bestFit="1" customWidth="1"/>
    <col min="35" max="35" width="5.85546875" style="35" bestFit="1" customWidth="1"/>
    <col min="36" max="38" width="6.7109375" style="35" bestFit="1" customWidth="1"/>
    <col min="39" max="41" width="5.85546875" style="35" bestFit="1" customWidth="1"/>
    <col min="42" max="43" width="6.7109375" style="35" bestFit="1" customWidth="1"/>
    <col min="44" max="44" width="11.85546875" style="35" bestFit="1" customWidth="1"/>
    <col min="45" max="47" width="6.7109375" style="35" bestFit="1" customWidth="1"/>
    <col min="48" max="49" width="5.85546875" style="35" bestFit="1" customWidth="1"/>
    <col min="50" max="54" width="6.7109375" style="35" bestFit="1" customWidth="1"/>
    <col min="55" max="56" width="5.85546875" style="35" bestFit="1" customWidth="1"/>
    <col min="57" max="60" width="6.7109375" style="35" bestFit="1" customWidth="1"/>
    <col min="61" max="63" width="5.85546875" style="35" bestFit="1" customWidth="1"/>
    <col min="64" max="110" width="6.7109375" style="35" bestFit="1" customWidth="1"/>
    <col min="111" max="16384" width="9.140625" style="35"/>
  </cols>
  <sheetData>
    <row r="1" spans="1:110" ht="15.75">
      <c r="J1" s="76" t="s">
        <v>142</v>
      </c>
      <c r="L1" s="68" t="s">
        <v>133</v>
      </c>
      <c r="M1" s="68">
        <f t="shared" ref="M1:BQ1" si="0">SUM(M4:M19)</f>
        <v>0</v>
      </c>
      <c r="N1" s="68">
        <f t="shared" si="0"/>
        <v>0</v>
      </c>
      <c r="O1" s="68">
        <f t="shared" si="0"/>
        <v>0</v>
      </c>
      <c r="P1" s="68">
        <f t="shared" si="0"/>
        <v>0</v>
      </c>
      <c r="Q1" s="68">
        <f t="shared" si="0"/>
        <v>0</v>
      </c>
      <c r="R1" s="68">
        <f t="shared" si="0"/>
        <v>0</v>
      </c>
      <c r="S1" s="68">
        <f t="shared" si="0"/>
        <v>0</v>
      </c>
      <c r="T1" s="68">
        <f t="shared" si="0"/>
        <v>0</v>
      </c>
      <c r="U1" s="68">
        <f t="shared" si="0"/>
        <v>0</v>
      </c>
      <c r="V1" s="68">
        <f t="shared" si="0"/>
        <v>0</v>
      </c>
      <c r="W1" s="68">
        <f>SUM(W4:W19)</f>
        <v>0</v>
      </c>
      <c r="X1" s="68">
        <f t="shared" si="0"/>
        <v>0</v>
      </c>
      <c r="Y1" s="68">
        <f t="shared" si="0"/>
        <v>0</v>
      </c>
      <c r="Z1" s="68">
        <f t="shared" si="0"/>
        <v>0</v>
      </c>
      <c r="AA1" s="68">
        <f t="shared" si="0"/>
        <v>0</v>
      </c>
      <c r="AB1" s="68">
        <f t="shared" si="0"/>
        <v>0</v>
      </c>
      <c r="AC1" s="68">
        <f t="shared" si="0"/>
        <v>0</v>
      </c>
      <c r="AD1" s="68">
        <f t="shared" si="0"/>
        <v>0</v>
      </c>
      <c r="AE1" s="68">
        <f t="shared" si="0"/>
        <v>0</v>
      </c>
      <c r="AF1" s="68">
        <f t="shared" si="0"/>
        <v>0</v>
      </c>
      <c r="AG1" s="68">
        <f t="shared" si="0"/>
        <v>0</v>
      </c>
      <c r="AH1" s="68">
        <f t="shared" si="0"/>
        <v>0</v>
      </c>
      <c r="AI1" s="68">
        <f t="shared" si="0"/>
        <v>0</v>
      </c>
      <c r="AJ1" s="68">
        <f t="shared" si="0"/>
        <v>0</v>
      </c>
      <c r="AK1" s="68">
        <f t="shared" si="0"/>
        <v>0</v>
      </c>
      <c r="AL1" s="68">
        <f t="shared" si="0"/>
        <v>0</v>
      </c>
      <c r="AM1" s="68">
        <f t="shared" si="0"/>
        <v>0</v>
      </c>
      <c r="AN1" s="68">
        <f t="shared" si="0"/>
        <v>0</v>
      </c>
      <c r="AO1" s="68">
        <f t="shared" si="0"/>
        <v>0</v>
      </c>
      <c r="AP1" s="68">
        <f t="shared" si="0"/>
        <v>0</v>
      </c>
      <c r="AQ1" s="68">
        <f t="shared" si="0"/>
        <v>0</v>
      </c>
      <c r="AR1" s="68">
        <f>SUM(AR4:AR19)</f>
        <v>0</v>
      </c>
      <c r="AS1" s="68">
        <f t="shared" si="0"/>
        <v>0</v>
      </c>
      <c r="AT1" s="68">
        <f t="shared" si="0"/>
        <v>0</v>
      </c>
      <c r="AU1" s="68">
        <f t="shared" si="0"/>
        <v>0</v>
      </c>
      <c r="AV1" s="68">
        <f t="shared" si="0"/>
        <v>0</v>
      </c>
      <c r="AW1" s="68">
        <f t="shared" si="0"/>
        <v>0</v>
      </c>
      <c r="AX1" s="68">
        <f t="shared" si="0"/>
        <v>0</v>
      </c>
      <c r="AY1" s="68">
        <f t="shared" si="0"/>
        <v>0</v>
      </c>
      <c r="AZ1" s="68">
        <f t="shared" si="0"/>
        <v>0</v>
      </c>
      <c r="BA1" s="68">
        <f t="shared" si="0"/>
        <v>0</v>
      </c>
      <c r="BB1" s="68">
        <f t="shared" si="0"/>
        <v>0</v>
      </c>
      <c r="BC1" s="68">
        <f t="shared" si="0"/>
        <v>0</v>
      </c>
      <c r="BD1" s="68">
        <f t="shared" si="0"/>
        <v>0</v>
      </c>
      <c r="BE1" s="68">
        <f t="shared" si="0"/>
        <v>0</v>
      </c>
      <c r="BF1" s="68">
        <f t="shared" si="0"/>
        <v>0</v>
      </c>
      <c r="BG1" s="68">
        <f t="shared" si="0"/>
        <v>0</v>
      </c>
      <c r="BH1" s="68">
        <f t="shared" si="0"/>
        <v>0</v>
      </c>
      <c r="BI1" s="68">
        <f t="shared" si="0"/>
        <v>0</v>
      </c>
      <c r="BJ1" s="68">
        <f t="shared" si="0"/>
        <v>0</v>
      </c>
      <c r="BK1" s="68">
        <f>SUM(BK4:BK19)</f>
        <v>0</v>
      </c>
      <c r="BL1" s="68" t="e">
        <f t="shared" si="0"/>
        <v>#DIV/0!</v>
      </c>
      <c r="BM1" s="68" t="e">
        <f t="shared" si="0"/>
        <v>#DIV/0!</v>
      </c>
      <c r="BN1" s="68">
        <f t="shared" si="0"/>
        <v>0</v>
      </c>
      <c r="BO1" s="68" t="e">
        <f t="shared" si="0"/>
        <v>#DIV/0!</v>
      </c>
      <c r="BP1" s="68" t="e">
        <f t="shared" si="0"/>
        <v>#DIV/0!</v>
      </c>
      <c r="BQ1" s="68" t="e">
        <f t="shared" si="0"/>
        <v>#DIV/0!</v>
      </c>
      <c r="BR1" s="68">
        <f t="shared" ref="BR1" si="1">SUM(BR4:BR19)</f>
        <v>0</v>
      </c>
      <c r="BS1" s="68">
        <f t="shared" ref="BS1:DF1" si="2">SUM(BS4:BS19)</f>
        <v>0</v>
      </c>
      <c r="BT1" s="68">
        <f t="shared" si="2"/>
        <v>0</v>
      </c>
      <c r="BU1" s="68">
        <f t="shared" si="2"/>
        <v>0</v>
      </c>
      <c r="BV1" s="68">
        <f t="shared" si="2"/>
        <v>0</v>
      </c>
      <c r="BW1" s="68">
        <f t="shared" si="2"/>
        <v>0</v>
      </c>
      <c r="BX1" s="68">
        <f t="shared" si="2"/>
        <v>0</v>
      </c>
      <c r="BY1" s="68">
        <f t="shared" si="2"/>
        <v>0</v>
      </c>
      <c r="BZ1" s="68">
        <f t="shared" si="2"/>
        <v>0</v>
      </c>
      <c r="CA1" s="68">
        <f t="shared" si="2"/>
        <v>0</v>
      </c>
      <c r="CB1" s="68">
        <f t="shared" si="2"/>
        <v>0</v>
      </c>
      <c r="CC1" s="68">
        <f t="shared" si="2"/>
        <v>0</v>
      </c>
      <c r="CD1" s="68">
        <f t="shared" si="2"/>
        <v>0</v>
      </c>
      <c r="CE1" s="68">
        <f t="shared" si="2"/>
        <v>0</v>
      </c>
      <c r="CF1" s="68">
        <f t="shared" si="2"/>
        <v>0</v>
      </c>
      <c r="CG1" s="68">
        <f t="shared" si="2"/>
        <v>0</v>
      </c>
      <c r="CH1" s="68">
        <f t="shared" si="2"/>
        <v>0</v>
      </c>
      <c r="CI1" s="68">
        <f t="shared" si="2"/>
        <v>0</v>
      </c>
      <c r="CJ1" s="68">
        <f t="shared" si="2"/>
        <v>0</v>
      </c>
      <c r="CK1" s="68">
        <f t="shared" si="2"/>
        <v>0</v>
      </c>
      <c r="CL1" s="68">
        <f t="shared" si="2"/>
        <v>0</v>
      </c>
      <c r="CM1" s="68">
        <f t="shared" si="2"/>
        <v>0</v>
      </c>
      <c r="CN1" s="68">
        <f t="shared" si="2"/>
        <v>0</v>
      </c>
      <c r="CO1" s="68">
        <f t="shared" si="2"/>
        <v>0</v>
      </c>
      <c r="CP1" s="68">
        <f t="shared" si="2"/>
        <v>0</v>
      </c>
      <c r="CQ1" s="68">
        <f t="shared" si="2"/>
        <v>0</v>
      </c>
      <c r="CR1" s="68">
        <f t="shared" si="2"/>
        <v>0</v>
      </c>
      <c r="CS1" s="68">
        <f t="shared" si="2"/>
        <v>0</v>
      </c>
      <c r="CT1" s="68">
        <f t="shared" si="2"/>
        <v>0</v>
      </c>
      <c r="CU1" s="68">
        <f t="shared" si="2"/>
        <v>0</v>
      </c>
      <c r="CV1" s="68">
        <f t="shared" si="2"/>
        <v>0</v>
      </c>
      <c r="CW1" s="68">
        <f t="shared" si="2"/>
        <v>0</v>
      </c>
      <c r="CX1" s="68">
        <f t="shared" si="2"/>
        <v>0</v>
      </c>
      <c r="CY1" s="68">
        <f t="shared" si="2"/>
        <v>0</v>
      </c>
      <c r="CZ1" s="68">
        <f t="shared" si="2"/>
        <v>0</v>
      </c>
      <c r="DA1" s="68">
        <f t="shared" si="2"/>
        <v>0</v>
      </c>
      <c r="DB1" s="68">
        <f t="shared" si="2"/>
        <v>0</v>
      </c>
      <c r="DC1" s="68">
        <f t="shared" si="2"/>
        <v>0</v>
      </c>
      <c r="DD1" s="68">
        <f t="shared" si="2"/>
        <v>0</v>
      </c>
      <c r="DE1" s="68">
        <f t="shared" si="2"/>
        <v>0</v>
      </c>
      <c r="DF1" s="68">
        <f t="shared" si="2"/>
        <v>0</v>
      </c>
    </row>
    <row r="2" spans="1:110" s="7" customFormat="1" ht="13.5" thickBot="1">
      <c r="A2" s="7" t="s">
        <v>35</v>
      </c>
      <c r="B2" s="7" t="s">
        <v>2</v>
      </c>
      <c r="C2" s="64" t="s">
        <v>1</v>
      </c>
      <c r="D2" s="65" t="s">
        <v>0</v>
      </c>
      <c r="E2" s="65" t="s">
        <v>36</v>
      </c>
      <c r="F2" s="65" t="s">
        <v>37</v>
      </c>
      <c r="G2" s="65" t="s">
        <v>104</v>
      </c>
      <c r="H2" s="65"/>
      <c r="I2" s="65"/>
      <c r="J2" s="65"/>
      <c r="K2" s="65"/>
      <c r="L2" s="65">
        <f>SUM(L4:L14)</f>
        <v>0</v>
      </c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</row>
    <row r="3" spans="1:110" s="7" customFormat="1" ht="13.5" thickBot="1">
      <c r="C3" s="64"/>
      <c r="D3" s="66"/>
      <c r="E3" s="66"/>
      <c r="F3" s="66"/>
      <c r="G3" s="66"/>
      <c r="H3" s="66"/>
      <c r="I3" s="69"/>
      <c r="J3" s="69"/>
      <c r="K3" s="69"/>
      <c r="L3" s="71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</row>
    <row r="4" spans="1:110">
      <c r="A4" s="9" t="s">
        <v>27</v>
      </c>
      <c r="B4" s="37">
        <v>45643</v>
      </c>
      <c r="C4" s="9">
        <v>99646</v>
      </c>
      <c r="D4" s="9" t="s">
        <v>23</v>
      </c>
      <c r="E4" s="9">
        <v>20</v>
      </c>
      <c r="F4" s="9" t="s">
        <v>31</v>
      </c>
      <c r="G4" s="62">
        <f t="shared" ref="G4:G67" si="3">B4-WEEKDAY(B4,3)</f>
        <v>45642</v>
      </c>
      <c r="I4" s="70">
        <v>99629</v>
      </c>
      <c r="J4" s="70" t="str">
        <f>VLOOKUP(I4,'Parts Legend'!$B:$D,2,FALSE)</f>
        <v xml:space="preserve">Main Lower Cover </v>
      </c>
      <c r="K4" s="70" t="str">
        <f>VLOOKUP(I4,'Parts Legend'!$B:$D,3,FALSE)</f>
        <v>White</v>
      </c>
      <c r="L4" s="70">
        <f t="shared" ref="L4:L14" si="4">SUM(M4:DF4)</f>
        <v>0</v>
      </c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</row>
    <row r="5" spans="1:110">
      <c r="A5" s="9" t="s">
        <v>27</v>
      </c>
      <c r="B5" s="37">
        <v>45643</v>
      </c>
      <c r="C5" s="9">
        <v>99630</v>
      </c>
      <c r="D5" s="9" t="s">
        <v>19</v>
      </c>
      <c r="E5" s="9">
        <v>3</v>
      </c>
      <c r="F5" s="9" t="s">
        <v>31</v>
      </c>
      <c r="G5" s="62">
        <f t="shared" si="3"/>
        <v>45642</v>
      </c>
      <c r="I5" s="70">
        <v>99630</v>
      </c>
      <c r="J5" s="70" t="str">
        <f>VLOOKUP(I5,'Parts Legend'!$B:$D,2,FALSE)</f>
        <v>Vent Cover</v>
      </c>
      <c r="K5" s="70" t="str">
        <f>VLOOKUP(I5,'Parts Legend'!$B:$D,3,FALSE)</f>
        <v xml:space="preserve">White </v>
      </c>
      <c r="L5" s="70">
        <f t="shared" si="4"/>
        <v>0</v>
      </c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</row>
    <row r="6" spans="1:110">
      <c r="A6" s="9" t="s">
        <v>27</v>
      </c>
      <c r="B6" s="37">
        <v>45643</v>
      </c>
      <c r="C6" s="9">
        <v>99632</v>
      </c>
      <c r="D6" s="9" t="s">
        <v>21</v>
      </c>
      <c r="E6" s="9">
        <v>13</v>
      </c>
      <c r="F6" s="9" t="s">
        <v>31</v>
      </c>
      <c r="G6" s="62">
        <f>B6-WEEKDAY(B6,3)</f>
        <v>45642</v>
      </c>
      <c r="I6" s="70">
        <v>99638</v>
      </c>
      <c r="J6" s="70" t="str">
        <f>VLOOKUP(I6,'Parts Legend'!$B:$D,2,FALSE)</f>
        <v>Rear Plate</v>
      </c>
      <c r="K6" s="70" t="str">
        <f>VLOOKUP(I6,'Parts Legend'!$B:$D,3,FALSE)</f>
        <v>White</v>
      </c>
      <c r="L6" s="70">
        <f t="shared" si="4"/>
        <v>0</v>
      </c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</row>
    <row r="7" spans="1:110">
      <c r="A7" s="9" t="s">
        <v>27</v>
      </c>
      <c r="B7" s="37">
        <v>45643</v>
      </c>
      <c r="C7" s="9">
        <v>99629</v>
      </c>
      <c r="D7" s="9" t="s">
        <v>17</v>
      </c>
      <c r="E7" s="9">
        <v>1</v>
      </c>
      <c r="F7" s="9" t="s">
        <v>31</v>
      </c>
      <c r="G7" s="62">
        <f>B7-WEEKDAY(B7,3)</f>
        <v>45642</v>
      </c>
      <c r="I7" s="70">
        <v>99632</v>
      </c>
      <c r="J7" s="70" t="str">
        <f>VLOOKUP(I7,'Parts Legend'!$B:$D,2,FALSE)</f>
        <v>Bezel</v>
      </c>
      <c r="K7" s="70" t="str">
        <f>VLOOKUP(I7,'Parts Legend'!$B:$D,3,FALSE)</f>
        <v>Black</v>
      </c>
      <c r="L7" s="70">
        <f t="shared" si="4"/>
        <v>0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</row>
    <row r="8" spans="1:110">
      <c r="A8" s="9" t="s">
        <v>27</v>
      </c>
      <c r="B8" s="37">
        <v>45643</v>
      </c>
      <c r="C8" s="9">
        <v>99630</v>
      </c>
      <c r="D8" s="9" t="s">
        <v>19</v>
      </c>
      <c r="E8" s="9">
        <v>3</v>
      </c>
      <c r="F8" s="9" t="s">
        <v>31</v>
      </c>
      <c r="G8" s="62">
        <f t="shared" si="3"/>
        <v>45642</v>
      </c>
      <c r="I8" s="70">
        <v>99633</v>
      </c>
      <c r="J8" s="70" t="str">
        <f>VLOOKUP(I8,'Parts Legend'!$B:$D,2,FALSE)</f>
        <v>LH IR Cover</v>
      </c>
      <c r="K8" s="70" t="str">
        <f>VLOOKUP(I8,'Parts Legend'!$B:$D,3,FALSE)</f>
        <v>Black</v>
      </c>
      <c r="L8" s="70">
        <f t="shared" si="4"/>
        <v>0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</row>
    <row r="9" spans="1:110">
      <c r="A9" s="9" t="s">
        <v>27</v>
      </c>
      <c r="B9" s="37">
        <v>45638</v>
      </c>
      <c r="C9" s="9">
        <v>99629</v>
      </c>
      <c r="D9" s="9" t="s">
        <v>17</v>
      </c>
      <c r="E9" s="9">
        <v>36</v>
      </c>
      <c r="F9" s="9" t="s">
        <v>31</v>
      </c>
      <c r="G9" s="62">
        <f>B9-WEEKDAY(B9,3)</f>
        <v>45635</v>
      </c>
      <c r="I9" s="70">
        <v>99646</v>
      </c>
      <c r="J9" s="70" t="str">
        <f>VLOOKUP(I9,'Parts Legend'!$B:$D,2,FALSE)</f>
        <v>RH IR Cover</v>
      </c>
      <c r="K9" s="70" t="str">
        <f>VLOOKUP(I9,'Parts Legend'!$B:$D,3,FALSE)</f>
        <v>Black</v>
      </c>
      <c r="L9" s="70">
        <f t="shared" si="4"/>
        <v>0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</row>
    <row r="10" spans="1:110">
      <c r="A10" s="9" t="s">
        <v>27</v>
      </c>
      <c r="B10" s="37">
        <v>45643</v>
      </c>
      <c r="C10" s="9">
        <v>99630</v>
      </c>
      <c r="D10" s="9" t="s">
        <v>19</v>
      </c>
      <c r="E10" s="9">
        <v>2</v>
      </c>
      <c r="F10" s="9" t="s">
        <v>31</v>
      </c>
      <c r="G10" s="62">
        <f t="shared" si="3"/>
        <v>45642</v>
      </c>
      <c r="I10" s="70">
        <v>99635</v>
      </c>
      <c r="J10" s="70" t="str">
        <f>VLOOKUP(I10,'Parts Legend'!$B:$D,2,FALSE)</f>
        <v>LH Lateral Belt</v>
      </c>
      <c r="K10" s="70" t="str">
        <f>VLOOKUP(I10,'Parts Legend'!$B:$D,3,FALSE)</f>
        <v>Black</v>
      </c>
      <c r="L10" s="70">
        <f t="shared" si="4"/>
        <v>0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</row>
    <row r="11" spans="1:110">
      <c r="A11" s="9" t="s">
        <v>27</v>
      </c>
      <c r="B11" s="37">
        <v>45638</v>
      </c>
      <c r="C11" s="9">
        <v>99630</v>
      </c>
      <c r="D11" s="9" t="s">
        <v>19</v>
      </c>
      <c r="E11" s="9">
        <v>18</v>
      </c>
      <c r="F11" s="9" t="s">
        <v>31</v>
      </c>
      <c r="G11" s="62">
        <f>B11-WEEKDAY(B11,3)</f>
        <v>45635</v>
      </c>
      <c r="I11" s="70">
        <v>99944</v>
      </c>
      <c r="J11" s="70" t="str">
        <f>VLOOKUP(I11,'Parts Legend'!$B:$D,2,FALSE)</f>
        <v>RH Lateral Belt</v>
      </c>
      <c r="K11" s="70" t="str">
        <f>VLOOKUP(I11,'Parts Legend'!$B:$D,3,FALSE)</f>
        <v>Black</v>
      </c>
      <c r="L11" s="70">
        <f t="shared" si="4"/>
        <v>0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</row>
    <row r="12" spans="1:110">
      <c r="A12" s="9" t="s">
        <v>27</v>
      </c>
      <c r="B12" s="37">
        <v>45643</v>
      </c>
      <c r="C12" s="9">
        <v>99629</v>
      </c>
      <c r="D12" s="9" t="s">
        <v>17</v>
      </c>
      <c r="E12" s="9">
        <v>1</v>
      </c>
      <c r="F12" s="9" t="s">
        <v>31</v>
      </c>
      <c r="G12" s="62">
        <f t="shared" si="3"/>
        <v>45642</v>
      </c>
      <c r="I12" s="70">
        <v>99636</v>
      </c>
      <c r="J12" s="70" t="str">
        <f>VLOOKUP(I12,'Parts Legend'!$B:$D,2,FALSE)</f>
        <v>Rear Belt</v>
      </c>
      <c r="K12" s="70" t="str">
        <f>VLOOKUP(I12,'Parts Legend'!$B:$D,3,FALSE)</f>
        <v>Black</v>
      </c>
      <c r="L12" s="70">
        <f t="shared" si="4"/>
        <v>0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</row>
    <row r="13" spans="1:110">
      <c r="A13" s="9" t="s">
        <v>27</v>
      </c>
      <c r="B13" s="37">
        <v>45643</v>
      </c>
      <c r="C13" s="9">
        <v>99630</v>
      </c>
      <c r="D13" s="9" t="s">
        <v>19</v>
      </c>
      <c r="E13" s="9">
        <v>2</v>
      </c>
      <c r="F13" s="9" t="s">
        <v>31</v>
      </c>
      <c r="G13" s="62">
        <f>B13-WEEKDAY(B13,3)</f>
        <v>45642</v>
      </c>
      <c r="I13" s="70">
        <v>99631</v>
      </c>
      <c r="J13" s="70" t="str">
        <f>VLOOKUP(I13,'Parts Legend'!$B:$D,2,FALSE)</f>
        <v xml:space="preserve">Main Upper Cover </v>
      </c>
      <c r="K13" s="70" t="str">
        <f>VLOOKUP(I13,'Parts Legend'!$B:$D,3,FALSE)</f>
        <v xml:space="preserve">White </v>
      </c>
      <c r="L13" s="70">
        <f t="shared" si="4"/>
        <v>0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</row>
    <row r="14" spans="1:110">
      <c r="A14" s="9" t="s">
        <v>27</v>
      </c>
      <c r="B14" s="37">
        <v>45638</v>
      </c>
      <c r="C14" s="9">
        <v>99629</v>
      </c>
      <c r="D14" s="9" t="s">
        <v>17</v>
      </c>
      <c r="E14" s="9">
        <v>36</v>
      </c>
      <c r="F14" s="9" t="s">
        <v>31</v>
      </c>
      <c r="G14" s="62">
        <f t="shared" si="3"/>
        <v>45635</v>
      </c>
      <c r="I14" s="70" t="s">
        <v>118</v>
      </c>
      <c r="J14" s="70"/>
      <c r="K14" s="70"/>
      <c r="L14" s="70">
        <f t="shared" si="4"/>
        <v>0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</row>
    <row r="15" spans="1:110">
      <c r="A15" s="9" t="s">
        <v>27</v>
      </c>
      <c r="B15" s="37">
        <v>45638</v>
      </c>
      <c r="C15" s="9">
        <v>99629</v>
      </c>
      <c r="D15" s="9" t="s">
        <v>17</v>
      </c>
      <c r="E15" s="9">
        <v>36</v>
      </c>
      <c r="F15" s="9" t="s">
        <v>31</v>
      </c>
      <c r="G15" s="62">
        <f t="shared" si="3"/>
        <v>45635</v>
      </c>
    </row>
    <row r="16" spans="1:110">
      <c r="A16" s="9" t="s">
        <v>27</v>
      </c>
      <c r="B16" s="37">
        <v>45638</v>
      </c>
      <c r="C16" s="9">
        <v>99629</v>
      </c>
      <c r="D16" s="9" t="s">
        <v>17</v>
      </c>
      <c r="E16" s="9">
        <v>36</v>
      </c>
      <c r="F16" s="9" t="s">
        <v>31</v>
      </c>
      <c r="G16" s="62">
        <f t="shared" si="3"/>
        <v>45635</v>
      </c>
    </row>
    <row r="17" spans="1:70">
      <c r="A17" s="9" t="s">
        <v>27</v>
      </c>
      <c r="B17" s="37">
        <v>45638</v>
      </c>
      <c r="C17" s="9">
        <v>99629</v>
      </c>
      <c r="D17" s="9" t="s">
        <v>17</v>
      </c>
      <c r="E17" s="9">
        <v>36</v>
      </c>
      <c r="F17" s="9" t="s">
        <v>31</v>
      </c>
      <c r="G17" s="62">
        <f t="shared" si="3"/>
        <v>45635</v>
      </c>
    </row>
    <row r="18" spans="1:70">
      <c r="A18" s="9" t="s">
        <v>27</v>
      </c>
      <c r="B18" s="37">
        <v>45638</v>
      </c>
      <c r="C18" s="9">
        <v>99629</v>
      </c>
      <c r="D18" s="9" t="s">
        <v>17</v>
      </c>
      <c r="E18" s="9">
        <v>36</v>
      </c>
      <c r="F18" s="9" t="s">
        <v>31</v>
      </c>
      <c r="G18" s="62">
        <f t="shared" si="3"/>
        <v>45635</v>
      </c>
      <c r="BK18" s="57" t="s">
        <v>134</v>
      </c>
      <c r="BL18" s="35" t="e">
        <f>AVERAGE(BL4:BL6,BL13)</f>
        <v>#DIV/0!</v>
      </c>
      <c r="BM18" s="35" t="e">
        <f>AVERAGE(BM4:BM6,BM13)</f>
        <v>#DIV/0!</v>
      </c>
      <c r="BO18" s="35" t="e">
        <f>AVERAGE(BO4:BO6,BO13)</f>
        <v>#DIV/0!</v>
      </c>
      <c r="BP18" s="35" t="e">
        <f>AVERAGE(BP4:BP6,BP13)</f>
        <v>#DIV/0!</v>
      </c>
      <c r="BQ18" s="35" t="e">
        <f>AVERAGE(BQ4:BQ6,BQ13)</f>
        <v>#DIV/0!</v>
      </c>
    </row>
    <row r="19" spans="1:70">
      <c r="A19" s="9" t="s">
        <v>27</v>
      </c>
      <c r="B19" s="37">
        <v>45638</v>
      </c>
      <c r="C19" s="9">
        <v>99630</v>
      </c>
      <c r="D19" s="9" t="s">
        <v>19</v>
      </c>
      <c r="E19" s="9">
        <v>18</v>
      </c>
      <c r="F19" s="9" t="s">
        <v>31</v>
      </c>
      <c r="G19" s="62">
        <f t="shared" si="3"/>
        <v>45635</v>
      </c>
      <c r="BK19" s="57" t="s">
        <v>135</v>
      </c>
      <c r="BL19" s="35">
        <v>119</v>
      </c>
      <c r="BM19" s="35">
        <v>103</v>
      </c>
      <c r="BO19" s="35">
        <v>81</v>
      </c>
      <c r="BP19" s="35">
        <v>58</v>
      </c>
      <c r="BQ19" s="35">
        <v>43</v>
      </c>
    </row>
    <row r="20" spans="1:70">
      <c r="A20" s="9" t="s">
        <v>27</v>
      </c>
      <c r="B20" s="37">
        <v>45638</v>
      </c>
      <c r="C20" s="9">
        <v>99630</v>
      </c>
      <c r="D20" s="9" t="s">
        <v>19</v>
      </c>
      <c r="E20" s="9">
        <v>18</v>
      </c>
      <c r="F20" s="9" t="s">
        <v>31</v>
      </c>
      <c r="G20" s="62">
        <f t="shared" si="3"/>
        <v>45635</v>
      </c>
      <c r="BR20" s="35" t="s">
        <v>136</v>
      </c>
    </row>
    <row r="21" spans="1:70">
      <c r="A21" s="9" t="s">
        <v>27</v>
      </c>
      <c r="B21" s="37">
        <v>45638</v>
      </c>
      <c r="C21" s="9">
        <v>99629</v>
      </c>
      <c r="D21" s="9" t="s">
        <v>17</v>
      </c>
      <c r="E21" s="9">
        <v>36</v>
      </c>
      <c r="F21" s="9" t="s">
        <v>31</v>
      </c>
      <c r="G21" s="62">
        <f t="shared" si="3"/>
        <v>45635</v>
      </c>
      <c r="BR21" s="35" t="s">
        <v>137</v>
      </c>
    </row>
    <row r="22" spans="1:70">
      <c r="A22" s="9" t="s">
        <v>27</v>
      </c>
      <c r="B22" s="37">
        <v>45638</v>
      </c>
      <c r="C22" s="9">
        <v>99629</v>
      </c>
      <c r="D22" s="9" t="s">
        <v>17</v>
      </c>
      <c r="E22" s="9">
        <v>36</v>
      </c>
      <c r="F22" s="9" t="s">
        <v>31</v>
      </c>
      <c r="G22" s="62">
        <f t="shared" si="3"/>
        <v>45635</v>
      </c>
      <c r="BR22" s="35" t="s">
        <v>138</v>
      </c>
    </row>
    <row r="23" spans="1:70">
      <c r="A23" s="9" t="s">
        <v>27</v>
      </c>
      <c r="B23" s="37">
        <v>45638</v>
      </c>
      <c r="C23" s="9">
        <v>99629</v>
      </c>
      <c r="D23" s="9" t="s">
        <v>17</v>
      </c>
      <c r="E23" s="9">
        <v>36</v>
      </c>
      <c r="F23" s="9" t="s">
        <v>31</v>
      </c>
      <c r="G23" s="62">
        <f t="shared" si="3"/>
        <v>45635</v>
      </c>
      <c r="BR23" s="35" t="s">
        <v>139</v>
      </c>
    </row>
    <row r="24" spans="1:70">
      <c r="A24" s="9" t="s">
        <v>27</v>
      </c>
      <c r="B24" s="37">
        <v>45638</v>
      </c>
      <c r="C24" s="9">
        <v>99629</v>
      </c>
      <c r="D24" s="9" t="s">
        <v>17</v>
      </c>
      <c r="E24" s="9">
        <v>36</v>
      </c>
      <c r="F24" s="9" t="s">
        <v>31</v>
      </c>
      <c r="G24" s="62">
        <f t="shared" si="3"/>
        <v>45635</v>
      </c>
      <c r="BR24" s="35" t="s">
        <v>140</v>
      </c>
    </row>
    <row r="25" spans="1:70">
      <c r="A25" s="9" t="s">
        <v>70</v>
      </c>
      <c r="B25" s="37">
        <v>45643</v>
      </c>
      <c r="C25" s="35">
        <v>99629</v>
      </c>
      <c r="D25" s="35" t="s">
        <v>17</v>
      </c>
      <c r="E25" s="35">
        <v>33</v>
      </c>
      <c r="F25" s="9" t="s">
        <v>31</v>
      </c>
      <c r="G25" s="62">
        <f t="shared" si="3"/>
        <v>45642</v>
      </c>
      <c r="BR25" s="72" t="s">
        <v>141</v>
      </c>
    </row>
    <row r="26" spans="1:70">
      <c r="A26" s="9" t="s">
        <v>70</v>
      </c>
      <c r="B26" s="37">
        <v>45643</v>
      </c>
      <c r="C26" s="35">
        <v>99630</v>
      </c>
      <c r="D26" s="35" t="s">
        <v>19</v>
      </c>
      <c r="E26" s="35">
        <v>43</v>
      </c>
      <c r="F26" s="9" t="s">
        <v>31</v>
      </c>
      <c r="G26" s="62">
        <f t="shared" si="3"/>
        <v>45642</v>
      </c>
    </row>
    <row r="27" spans="1:70">
      <c r="A27" s="9" t="s">
        <v>70</v>
      </c>
      <c r="B27" s="37">
        <v>45643</v>
      </c>
      <c r="C27" s="35">
        <v>99632</v>
      </c>
      <c r="D27" s="35" t="s">
        <v>21</v>
      </c>
      <c r="E27" s="35">
        <v>48</v>
      </c>
      <c r="F27" s="9" t="s">
        <v>31</v>
      </c>
      <c r="G27" s="62">
        <f t="shared" si="3"/>
        <v>45642</v>
      </c>
    </row>
    <row r="28" spans="1:70">
      <c r="A28" s="9" t="s">
        <v>70</v>
      </c>
      <c r="B28" s="37">
        <v>45643</v>
      </c>
      <c r="C28" s="35">
        <v>99633</v>
      </c>
      <c r="D28" s="35" t="s">
        <v>22</v>
      </c>
      <c r="E28" s="35">
        <v>33</v>
      </c>
      <c r="F28" s="9" t="s">
        <v>31</v>
      </c>
      <c r="G28" s="62">
        <f t="shared" si="3"/>
        <v>45642</v>
      </c>
      <c r="BK28" s="57" t="s">
        <v>134</v>
      </c>
      <c r="BO28" s="35" t="e">
        <f>AVERAGE(BO4:BO6,BO13)</f>
        <v>#DIV/0!</v>
      </c>
      <c r="BP28" s="35" t="e">
        <f t="shared" ref="BP28:BQ28" si="5">AVERAGE(BP4:BP6,BP13)</f>
        <v>#DIV/0!</v>
      </c>
      <c r="BQ28" s="35" t="e">
        <f t="shared" si="5"/>
        <v>#DIV/0!</v>
      </c>
    </row>
    <row r="29" spans="1:70">
      <c r="A29" s="9" t="s">
        <v>70</v>
      </c>
      <c r="B29" s="37">
        <v>45643</v>
      </c>
      <c r="C29" s="35">
        <v>99646</v>
      </c>
      <c r="D29" s="35" t="s">
        <v>23</v>
      </c>
      <c r="E29" s="35">
        <v>49</v>
      </c>
      <c r="F29" s="9" t="s">
        <v>31</v>
      </c>
      <c r="G29" s="62">
        <f t="shared" si="3"/>
        <v>45642</v>
      </c>
      <c r="BK29" s="57" t="s">
        <v>135</v>
      </c>
      <c r="BO29" s="35">
        <v>81</v>
      </c>
      <c r="BP29" s="35">
        <v>58</v>
      </c>
      <c r="BQ29" s="35">
        <v>43</v>
      </c>
    </row>
    <row r="30" spans="1:70">
      <c r="A30" s="9" t="s">
        <v>70</v>
      </c>
      <c r="B30" s="37">
        <v>45643</v>
      </c>
      <c r="C30" s="35">
        <v>99635</v>
      </c>
      <c r="D30" s="35" t="s">
        <v>24</v>
      </c>
      <c r="E30" s="35">
        <v>50</v>
      </c>
      <c r="F30" s="9" t="s">
        <v>31</v>
      </c>
      <c r="G30" s="62">
        <f t="shared" si="3"/>
        <v>45642</v>
      </c>
      <c r="BR30" s="35" t="s">
        <v>136</v>
      </c>
    </row>
    <row r="31" spans="1:70">
      <c r="A31" s="9" t="s">
        <v>70</v>
      </c>
      <c r="B31" s="37">
        <v>45643</v>
      </c>
      <c r="C31" s="35">
        <v>99944</v>
      </c>
      <c r="D31" s="35" t="s">
        <v>25</v>
      </c>
      <c r="E31" s="35">
        <v>64</v>
      </c>
      <c r="F31" s="9" t="s">
        <v>31</v>
      </c>
      <c r="G31" s="62">
        <f t="shared" si="3"/>
        <v>45642</v>
      </c>
      <c r="BR31" s="35" t="s">
        <v>137</v>
      </c>
    </row>
    <row r="32" spans="1:70">
      <c r="A32" s="9" t="s">
        <v>70</v>
      </c>
      <c r="B32" s="37">
        <v>45643</v>
      </c>
      <c r="C32" s="35">
        <v>99636</v>
      </c>
      <c r="D32" s="35" t="s">
        <v>26</v>
      </c>
      <c r="E32" s="35">
        <v>70</v>
      </c>
      <c r="F32" s="9" t="s">
        <v>31</v>
      </c>
      <c r="G32" s="62">
        <f t="shared" si="3"/>
        <v>45642</v>
      </c>
      <c r="BR32" s="35" t="s">
        <v>138</v>
      </c>
    </row>
    <row r="33" spans="1:70">
      <c r="A33" s="9" t="s">
        <v>69</v>
      </c>
      <c r="B33" s="37">
        <v>45645</v>
      </c>
      <c r="C33" s="35">
        <v>99631</v>
      </c>
      <c r="D33" s="35" t="s">
        <v>18</v>
      </c>
      <c r="E33" s="35">
        <v>36</v>
      </c>
      <c r="F33" s="9" t="s">
        <v>31</v>
      </c>
      <c r="G33" s="62">
        <f t="shared" si="3"/>
        <v>45642</v>
      </c>
      <c r="BR33" s="35" t="s">
        <v>139</v>
      </c>
    </row>
    <row r="34" spans="1:70">
      <c r="A34" s="9" t="s">
        <v>68</v>
      </c>
      <c r="B34" s="37">
        <v>45650</v>
      </c>
      <c r="C34" s="9">
        <v>99629</v>
      </c>
      <c r="D34" s="9" t="s">
        <v>17</v>
      </c>
      <c r="E34" s="9">
        <v>11</v>
      </c>
      <c r="F34" s="9" t="s">
        <v>31</v>
      </c>
      <c r="G34" s="62">
        <f t="shared" si="3"/>
        <v>45649</v>
      </c>
      <c r="BR34" s="35" t="s">
        <v>140</v>
      </c>
    </row>
    <row r="35" spans="1:70">
      <c r="A35" s="9" t="s">
        <v>68</v>
      </c>
      <c r="B35" s="37">
        <v>45650</v>
      </c>
      <c r="C35" s="9">
        <v>99631</v>
      </c>
      <c r="D35" s="9" t="s">
        <v>18</v>
      </c>
      <c r="E35" s="9">
        <v>36</v>
      </c>
      <c r="F35" s="9" t="s">
        <v>31</v>
      </c>
      <c r="G35" s="62">
        <f t="shared" si="3"/>
        <v>45649</v>
      </c>
      <c r="BR35" s="72" t="s">
        <v>141</v>
      </c>
    </row>
    <row r="36" spans="1:70">
      <c r="A36" s="9" t="s">
        <v>68</v>
      </c>
      <c r="B36" s="37">
        <v>45650</v>
      </c>
      <c r="C36" s="9">
        <v>99638</v>
      </c>
      <c r="D36" s="9" t="s">
        <v>20</v>
      </c>
      <c r="E36" s="9">
        <v>137</v>
      </c>
      <c r="F36" s="9" t="s">
        <v>31</v>
      </c>
      <c r="G36" s="62">
        <f t="shared" si="3"/>
        <v>45649</v>
      </c>
    </row>
    <row r="37" spans="1:70">
      <c r="A37" s="9" t="s">
        <v>68</v>
      </c>
      <c r="B37" s="37">
        <v>45650</v>
      </c>
      <c r="C37" s="9">
        <v>99632</v>
      </c>
      <c r="D37" s="9" t="s">
        <v>21</v>
      </c>
      <c r="E37" s="9">
        <v>100</v>
      </c>
      <c r="F37" s="9" t="s">
        <v>31</v>
      </c>
      <c r="G37" s="62">
        <f t="shared" si="3"/>
        <v>45649</v>
      </c>
      <c r="BK37" s="57" t="s">
        <v>134</v>
      </c>
      <c r="BQ37" s="35" t="e">
        <f>AVERAGE(BQ4:BQ6,BQ13)</f>
        <v>#DIV/0!</v>
      </c>
    </row>
    <row r="38" spans="1:70">
      <c r="A38" s="9" t="s">
        <v>68</v>
      </c>
      <c r="B38" s="37">
        <v>45650</v>
      </c>
      <c r="C38" s="9">
        <v>99633</v>
      </c>
      <c r="D38" s="9" t="s">
        <v>22</v>
      </c>
      <c r="E38" s="9">
        <v>130</v>
      </c>
      <c r="F38" s="9" t="s">
        <v>31</v>
      </c>
      <c r="G38" s="62">
        <f t="shared" si="3"/>
        <v>45649</v>
      </c>
      <c r="BK38" s="57" t="s">
        <v>135</v>
      </c>
      <c r="BP38" s="35">
        <v>43</v>
      </c>
      <c r="BQ38" s="35">
        <v>23</v>
      </c>
    </row>
    <row r="39" spans="1:70">
      <c r="A39" s="9" t="s">
        <v>68</v>
      </c>
      <c r="B39" s="37">
        <v>45650</v>
      </c>
      <c r="C39" s="9">
        <v>99646</v>
      </c>
      <c r="D39" s="9" t="s">
        <v>23</v>
      </c>
      <c r="E39" s="9">
        <v>78</v>
      </c>
      <c r="F39" s="9" t="s">
        <v>31</v>
      </c>
      <c r="G39" s="62">
        <f t="shared" si="3"/>
        <v>45649</v>
      </c>
      <c r="BR39" s="35" t="s">
        <v>136</v>
      </c>
    </row>
    <row r="40" spans="1:70">
      <c r="A40" s="9" t="s">
        <v>68</v>
      </c>
      <c r="B40" s="37">
        <v>45650</v>
      </c>
      <c r="C40" s="9">
        <v>99636</v>
      </c>
      <c r="D40" s="9" t="s">
        <v>26</v>
      </c>
      <c r="E40" s="9">
        <v>37</v>
      </c>
      <c r="F40" s="9" t="s">
        <v>31</v>
      </c>
      <c r="G40" s="62">
        <f t="shared" si="3"/>
        <v>45649</v>
      </c>
      <c r="BR40" s="35" t="s">
        <v>137</v>
      </c>
    </row>
    <row r="41" spans="1:70">
      <c r="A41" s="9" t="s">
        <v>67</v>
      </c>
      <c r="B41" s="37">
        <v>45664</v>
      </c>
      <c r="C41" s="9">
        <v>99629</v>
      </c>
      <c r="D41" s="9" t="s">
        <v>17</v>
      </c>
      <c r="E41" s="9">
        <v>66</v>
      </c>
      <c r="F41" s="9" t="s">
        <v>31</v>
      </c>
      <c r="G41" s="62">
        <f t="shared" si="3"/>
        <v>45663</v>
      </c>
      <c r="BR41" s="35" t="s">
        <v>138</v>
      </c>
    </row>
    <row r="42" spans="1:70">
      <c r="A42" s="9" t="s">
        <v>67</v>
      </c>
      <c r="B42" s="37">
        <v>45664</v>
      </c>
      <c r="C42" s="9">
        <v>99631</v>
      </c>
      <c r="D42" s="9" t="s">
        <v>18</v>
      </c>
      <c r="E42" s="9">
        <v>72</v>
      </c>
      <c r="F42" s="9" t="s">
        <v>31</v>
      </c>
      <c r="G42" s="62">
        <f t="shared" si="3"/>
        <v>45663</v>
      </c>
      <c r="BR42" s="35" t="s">
        <v>139</v>
      </c>
    </row>
    <row r="43" spans="1:70">
      <c r="A43" s="9" t="s">
        <v>67</v>
      </c>
      <c r="B43" s="37">
        <v>45664</v>
      </c>
      <c r="C43" s="9">
        <v>99630</v>
      </c>
      <c r="D43" s="9" t="s">
        <v>19</v>
      </c>
      <c r="E43" s="9">
        <v>100</v>
      </c>
      <c r="F43" s="9" t="s">
        <v>31</v>
      </c>
      <c r="G43" s="62">
        <f t="shared" si="3"/>
        <v>45663</v>
      </c>
      <c r="BR43" s="35" t="s">
        <v>140</v>
      </c>
    </row>
    <row r="44" spans="1:70">
      <c r="A44" s="9" t="s">
        <v>67</v>
      </c>
      <c r="B44" s="37">
        <v>45664</v>
      </c>
      <c r="C44" s="9">
        <v>99638</v>
      </c>
      <c r="D44" s="9" t="s">
        <v>20</v>
      </c>
      <c r="E44" s="9">
        <v>62</v>
      </c>
      <c r="F44" s="9" t="s">
        <v>31</v>
      </c>
      <c r="G44" s="62">
        <f t="shared" si="3"/>
        <v>45663</v>
      </c>
      <c r="BR44" s="72" t="s">
        <v>141</v>
      </c>
    </row>
    <row r="45" spans="1:70">
      <c r="A45" s="9" t="s">
        <v>67</v>
      </c>
      <c r="B45" s="37">
        <v>45664</v>
      </c>
      <c r="C45" s="9">
        <v>99632</v>
      </c>
      <c r="D45" s="9" t="s">
        <v>21</v>
      </c>
      <c r="E45" s="9">
        <v>65</v>
      </c>
      <c r="F45" s="9" t="s">
        <v>31</v>
      </c>
      <c r="G45" s="62">
        <f t="shared" si="3"/>
        <v>45663</v>
      </c>
    </row>
    <row r="46" spans="1:70">
      <c r="A46" s="9" t="s">
        <v>67</v>
      </c>
      <c r="B46" s="37">
        <v>45664</v>
      </c>
      <c r="C46" s="9">
        <v>99633</v>
      </c>
      <c r="D46" s="9" t="s">
        <v>22</v>
      </c>
      <c r="E46" s="9">
        <v>102</v>
      </c>
      <c r="F46" s="9" t="s">
        <v>31</v>
      </c>
      <c r="G46" s="62">
        <f t="shared" si="3"/>
        <v>45663</v>
      </c>
    </row>
    <row r="47" spans="1:70">
      <c r="A47" s="9" t="s">
        <v>67</v>
      </c>
      <c r="B47" s="37">
        <v>45664</v>
      </c>
      <c r="C47" s="9">
        <v>99646</v>
      </c>
      <c r="D47" s="9" t="s">
        <v>23</v>
      </c>
      <c r="E47" s="9">
        <v>116</v>
      </c>
      <c r="F47" s="9" t="s">
        <v>31</v>
      </c>
      <c r="G47" s="62">
        <f t="shared" si="3"/>
        <v>45663</v>
      </c>
    </row>
    <row r="48" spans="1:70">
      <c r="A48" s="9" t="s">
        <v>67</v>
      </c>
      <c r="B48" s="37">
        <v>45664</v>
      </c>
      <c r="C48" s="9">
        <v>99635</v>
      </c>
      <c r="D48" s="9" t="s">
        <v>24</v>
      </c>
      <c r="E48" s="9">
        <v>100</v>
      </c>
      <c r="F48" s="9" t="s">
        <v>31</v>
      </c>
      <c r="G48" s="62">
        <f t="shared" si="3"/>
        <v>45663</v>
      </c>
    </row>
    <row r="49" spans="1:7">
      <c r="A49" s="9" t="s">
        <v>67</v>
      </c>
      <c r="B49" s="37">
        <v>45664</v>
      </c>
      <c r="C49" s="9">
        <v>99944</v>
      </c>
      <c r="D49" s="9" t="s">
        <v>25</v>
      </c>
      <c r="E49" s="9">
        <v>105</v>
      </c>
      <c r="F49" s="9" t="s">
        <v>31</v>
      </c>
      <c r="G49" s="62">
        <f t="shared" si="3"/>
        <v>45663</v>
      </c>
    </row>
    <row r="50" spans="1:7">
      <c r="A50" s="9" t="s">
        <v>67</v>
      </c>
      <c r="B50" s="37">
        <v>45664</v>
      </c>
      <c r="C50" s="9">
        <v>99636</v>
      </c>
      <c r="D50" s="9" t="s">
        <v>26</v>
      </c>
      <c r="E50" s="9">
        <v>84</v>
      </c>
      <c r="F50" s="9" t="s">
        <v>31</v>
      </c>
      <c r="G50" s="62">
        <f t="shared" si="3"/>
        <v>45663</v>
      </c>
    </row>
    <row r="51" spans="1:7">
      <c r="A51" s="9" t="s">
        <v>64</v>
      </c>
      <c r="B51" s="37">
        <v>45671</v>
      </c>
      <c r="C51" s="35">
        <v>99629</v>
      </c>
      <c r="D51" s="35" t="s">
        <v>65</v>
      </c>
      <c r="E51" s="35">
        <v>66</v>
      </c>
      <c r="F51" s="9" t="s">
        <v>31</v>
      </c>
      <c r="G51" s="62">
        <f t="shared" si="3"/>
        <v>45670</v>
      </c>
    </row>
    <row r="52" spans="1:7">
      <c r="A52" s="9" t="s">
        <v>64</v>
      </c>
      <c r="B52" s="37">
        <v>45671</v>
      </c>
      <c r="C52" s="35">
        <v>99630</v>
      </c>
      <c r="D52" s="35" t="s">
        <v>19</v>
      </c>
      <c r="E52" s="35">
        <v>60</v>
      </c>
      <c r="F52" s="9" t="s">
        <v>31</v>
      </c>
      <c r="G52" s="62">
        <f t="shared" si="3"/>
        <v>45670</v>
      </c>
    </row>
    <row r="53" spans="1:7">
      <c r="A53" s="9" t="s">
        <v>64</v>
      </c>
      <c r="B53" s="37">
        <v>45671</v>
      </c>
      <c r="C53" s="35">
        <v>99638</v>
      </c>
      <c r="D53" s="35" t="s">
        <v>20</v>
      </c>
      <c r="E53" s="35">
        <v>49</v>
      </c>
      <c r="F53" s="9" t="s">
        <v>31</v>
      </c>
      <c r="G53" s="62">
        <f t="shared" si="3"/>
        <v>45670</v>
      </c>
    </row>
    <row r="54" spans="1:7">
      <c r="A54" s="9" t="s">
        <v>64</v>
      </c>
      <c r="B54" s="37">
        <v>45671</v>
      </c>
      <c r="C54" s="35">
        <v>99632</v>
      </c>
      <c r="D54" s="35" t="s">
        <v>21</v>
      </c>
      <c r="E54" s="35">
        <v>26</v>
      </c>
      <c r="F54" s="9" t="s">
        <v>31</v>
      </c>
      <c r="G54" s="62">
        <f t="shared" si="3"/>
        <v>45670</v>
      </c>
    </row>
    <row r="55" spans="1:7">
      <c r="A55" s="9" t="s">
        <v>64</v>
      </c>
      <c r="B55" s="37">
        <v>45671</v>
      </c>
      <c r="C55" s="35">
        <v>99633</v>
      </c>
      <c r="D55" s="35" t="s">
        <v>22</v>
      </c>
      <c r="E55" s="35">
        <v>43</v>
      </c>
      <c r="F55" s="9" t="s">
        <v>31</v>
      </c>
      <c r="G55" s="62">
        <f t="shared" si="3"/>
        <v>45670</v>
      </c>
    </row>
    <row r="56" spans="1:7">
      <c r="A56" s="9" t="s">
        <v>64</v>
      </c>
      <c r="B56" s="37">
        <v>45671</v>
      </c>
      <c r="C56" s="35">
        <v>99646</v>
      </c>
      <c r="D56" s="35" t="s">
        <v>23</v>
      </c>
      <c r="E56" s="35">
        <v>54</v>
      </c>
      <c r="F56" s="9" t="s">
        <v>31</v>
      </c>
      <c r="G56" s="62">
        <f t="shared" si="3"/>
        <v>45670</v>
      </c>
    </row>
    <row r="57" spans="1:7">
      <c r="A57" s="9" t="s">
        <v>64</v>
      </c>
      <c r="B57" s="37">
        <v>45671</v>
      </c>
      <c r="C57" s="35">
        <v>99635</v>
      </c>
      <c r="D57" s="35" t="s">
        <v>24</v>
      </c>
      <c r="E57" s="35">
        <v>24</v>
      </c>
      <c r="F57" s="9" t="s">
        <v>31</v>
      </c>
      <c r="G57" s="62">
        <f t="shared" si="3"/>
        <v>45670</v>
      </c>
    </row>
    <row r="58" spans="1:7">
      <c r="A58" s="9" t="s">
        <v>64</v>
      </c>
      <c r="B58" s="37">
        <v>45671</v>
      </c>
      <c r="C58" s="35">
        <v>99944</v>
      </c>
      <c r="D58" s="35" t="s">
        <v>25</v>
      </c>
      <c r="E58" s="35">
        <v>29</v>
      </c>
      <c r="F58" s="9" t="s">
        <v>31</v>
      </c>
      <c r="G58" s="62">
        <f t="shared" si="3"/>
        <v>45670</v>
      </c>
    </row>
    <row r="59" spans="1:7">
      <c r="A59" s="9" t="s">
        <v>64</v>
      </c>
      <c r="B59" s="37">
        <v>45671</v>
      </c>
      <c r="C59" s="35">
        <v>99636</v>
      </c>
      <c r="D59" s="35" t="s">
        <v>26</v>
      </c>
      <c r="E59" s="35">
        <v>48</v>
      </c>
      <c r="F59" s="9" t="s">
        <v>31</v>
      </c>
      <c r="G59" s="62">
        <f t="shared" si="3"/>
        <v>45670</v>
      </c>
    </row>
    <row r="60" spans="1:7">
      <c r="A60" s="9" t="s">
        <v>64</v>
      </c>
      <c r="B60" s="37">
        <v>45671</v>
      </c>
      <c r="C60" s="35">
        <v>99631</v>
      </c>
      <c r="D60" s="35" t="s">
        <v>66</v>
      </c>
      <c r="E60" s="35">
        <v>54</v>
      </c>
      <c r="F60" s="9" t="s">
        <v>31</v>
      </c>
      <c r="G60" s="62">
        <f t="shared" si="3"/>
        <v>45670</v>
      </c>
    </row>
    <row r="61" spans="1:7">
      <c r="A61" s="9" t="s">
        <v>63</v>
      </c>
      <c r="B61" s="37">
        <v>45678</v>
      </c>
      <c r="C61" s="9">
        <v>99629</v>
      </c>
      <c r="D61" s="9" t="s">
        <v>17</v>
      </c>
      <c r="E61" s="9">
        <v>11</v>
      </c>
      <c r="F61" s="9" t="s">
        <v>31</v>
      </c>
      <c r="G61" s="62">
        <f t="shared" si="3"/>
        <v>45677</v>
      </c>
    </row>
    <row r="62" spans="1:7">
      <c r="A62" s="9" t="s">
        <v>63</v>
      </c>
      <c r="B62" s="37">
        <v>45678</v>
      </c>
      <c r="C62" s="9">
        <v>99630</v>
      </c>
      <c r="D62" s="9" t="s">
        <v>19</v>
      </c>
      <c r="E62" s="9">
        <v>38</v>
      </c>
      <c r="F62" s="9" t="s">
        <v>31</v>
      </c>
      <c r="G62" s="62">
        <f t="shared" si="3"/>
        <v>45677</v>
      </c>
    </row>
    <row r="63" spans="1:7">
      <c r="A63" s="9" t="s">
        <v>63</v>
      </c>
      <c r="B63" s="37">
        <v>45678</v>
      </c>
      <c r="C63" s="9">
        <v>99638</v>
      </c>
      <c r="D63" s="9" t="s">
        <v>20</v>
      </c>
      <c r="E63" s="9">
        <v>51</v>
      </c>
      <c r="F63" s="9" t="s">
        <v>31</v>
      </c>
      <c r="G63" s="62">
        <f t="shared" si="3"/>
        <v>45677</v>
      </c>
    </row>
    <row r="64" spans="1:7">
      <c r="A64" s="9" t="s">
        <v>63</v>
      </c>
      <c r="B64" s="37">
        <v>45678</v>
      </c>
      <c r="C64" s="9">
        <v>99632</v>
      </c>
      <c r="D64" s="9" t="s">
        <v>21</v>
      </c>
      <c r="E64" s="9">
        <v>43</v>
      </c>
      <c r="F64" s="9" t="s">
        <v>31</v>
      </c>
      <c r="G64" s="62">
        <f t="shared" si="3"/>
        <v>45677</v>
      </c>
    </row>
    <row r="65" spans="1:7">
      <c r="A65" s="9" t="s">
        <v>63</v>
      </c>
      <c r="B65" s="37">
        <v>45678</v>
      </c>
      <c r="C65" s="9">
        <v>99633</v>
      </c>
      <c r="D65" s="9" t="s">
        <v>22</v>
      </c>
      <c r="E65" s="9">
        <v>17</v>
      </c>
      <c r="F65" s="9" t="s">
        <v>31</v>
      </c>
      <c r="G65" s="62">
        <f t="shared" si="3"/>
        <v>45677</v>
      </c>
    </row>
    <row r="66" spans="1:7">
      <c r="A66" s="9" t="s">
        <v>63</v>
      </c>
      <c r="B66" s="37">
        <v>45678</v>
      </c>
      <c r="C66" s="9">
        <v>99646</v>
      </c>
      <c r="D66" s="9" t="s">
        <v>23</v>
      </c>
      <c r="E66" s="9">
        <v>18</v>
      </c>
      <c r="F66" s="9" t="s">
        <v>31</v>
      </c>
      <c r="G66" s="62">
        <f t="shared" si="3"/>
        <v>45677</v>
      </c>
    </row>
    <row r="67" spans="1:7">
      <c r="A67" s="9" t="s">
        <v>63</v>
      </c>
      <c r="B67" s="37">
        <v>45678</v>
      </c>
      <c r="C67" s="9">
        <v>99635</v>
      </c>
      <c r="D67" s="9" t="s">
        <v>24</v>
      </c>
      <c r="E67" s="9">
        <v>32</v>
      </c>
      <c r="F67" s="9" t="s">
        <v>31</v>
      </c>
      <c r="G67" s="62">
        <f t="shared" si="3"/>
        <v>45677</v>
      </c>
    </row>
    <row r="68" spans="1:7">
      <c r="A68" s="9" t="s">
        <v>63</v>
      </c>
      <c r="B68" s="37">
        <v>45678</v>
      </c>
      <c r="C68" s="9">
        <v>99944</v>
      </c>
      <c r="D68" s="9" t="s">
        <v>25</v>
      </c>
      <c r="E68" s="9">
        <v>38</v>
      </c>
      <c r="F68" s="9" t="s">
        <v>31</v>
      </c>
      <c r="G68" s="62">
        <f t="shared" ref="G68:G131" si="6">B68-WEEKDAY(B68,3)</f>
        <v>45677</v>
      </c>
    </row>
    <row r="69" spans="1:7">
      <c r="A69" s="9" t="s">
        <v>63</v>
      </c>
      <c r="B69" s="37">
        <v>45678</v>
      </c>
      <c r="C69" s="9">
        <v>99636</v>
      </c>
      <c r="D69" s="9" t="s">
        <v>26</v>
      </c>
      <c r="E69" s="9">
        <v>60</v>
      </c>
      <c r="F69" s="9" t="s">
        <v>31</v>
      </c>
      <c r="G69" s="62">
        <f t="shared" si="6"/>
        <v>45677</v>
      </c>
    </row>
    <row r="70" spans="1:7">
      <c r="A70" s="9" t="s">
        <v>63</v>
      </c>
      <c r="B70" s="37">
        <v>45678</v>
      </c>
      <c r="C70" s="9">
        <v>99631</v>
      </c>
      <c r="D70" s="9" t="s">
        <v>18</v>
      </c>
      <c r="E70" s="9">
        <v>62</v>
      </c>
      <c r="F70" s="9" t="s">
        <v>31</v>
      </c>
      <c r="G70" s="62">
        <f t="shared" si="6"/>
        <v>45677</v>
      </c>
    </row>
    <row r="71" spans="1:7">
      <c r="A71" s="9" t="s">
        <v>75</v>
      </c>
      <c r="B71" s="37">
        <v>45685</v>
      </c>
      <c r="C71" s="9">
        <v>99630</v>
      </c>
      <c r="D71" s="9" t="s">
        <v>19</v>
      </c>
      <c r="E71" s="9">
        <v>31</v>
      </c>
      <c r="F71" s="9" t="s">
        <v>62</v>
      </c>
      <c r="G71" s="62">
        <f t="shared" si="6"/>
        <v>45684</v>
      </c>
    </row>
    <row r="72" spans="1:7">
      <c r="A72" s="9" t="s">
        <v>75</v>
      </c>
      <c r="B72" s="37">
        <v>45685</v>
      </c>
      <c r="C72" s="9">
        <v>99632</v>
      </c>
      <c r="D72" s="9" t="s">
        <v>21</v>
      </c>
      <c r="E72" s="9">
        <v>75</v>
      </c>
      <c r="F72" s="9" t="s">
        <v>62</v>
      </c>
      <c r="G72" s="62">
        <f t="shared" si="6"/>
        <v>45684</v>
      </c>
    </row>
    <row r="73" spans="1:7">
      <c r="A73" s="9" t="s">
        <v>75</v>
      </c>
      <c r="B73" s="37">
        <v>45685</v>
      </c>
      <c r="C73" s="9">
        <v>99633</v>
      </c>
      <c r="D73" s="9" t="s">
        <v>22</v>
      </c>
      <c r="E73" s="9">
        <v>54</v>
      </c>
      <c r="F73" s="9" t="s">
        <v>62</v>
      </c>
      <c r="G73" s="62">
        <f t="shared" si="6"/>
        <v>45684</v>
      </c>
    </row>
    <row r="74" spans="1:7">
      <c r="A74" s="9" t="s">
        <v>75</v>
      </c>
      <c r="B74" s="37">
        <v>45685</v>
      </c>
      <c r="C74" s="9">
        <v>99635</v>
      </c>
      <c r="D74" s="9" t="s">
        <v>24</v>
      </c>
      <c r="E74" s="9">
        <v>66</v>
      </c>
      <c r="F74" s="9" t="s">
        <v>62</v>
      </c>
      <c r="G74" s="62">
        <f t="shared" si="6"/>
        <v>45684</v>
      </c>
    </row>
    <row r="75" spans="1:7">
      <c r="A75" s="9" t="s">
        <v>75</v>
      </c>
      <c r="B75" s="37">
        <v>45685</v>
      </c>
      <c r="C75" s="9">
        <v>99646</v>
      </c>
      <c r="D75" s="9" t="s">
        <v>23</v>
      </c>
      <c r="E75" s="9">
        <v>44</v>
      </c>
      <c r="F75" s="9" t="s">
        <v>62</v>
      </c>
      <c r="G75" s="62">
        <f t="shared" si="6"/>
        <v>45684</v>
      </c>
    </row>
    <row r="76" spans="1:7">
      <c r="A76" s="9" t="s">
        <v>75</v>
      </c>
      <c r="B76" s="37">
        <v>45685</v>
      </c>
      <c r="C76" s="9">
        <v>99944</v>
      </c>
      <c r="D76" s="9" t="s">
        <v>25</v>
      </c>
      <c r="E76" s="9">
        <v>44</v>
      </c>
      <c r="F76" s="9" t="s">
        <v>62</v>
      </c>
      <c r="G76" s="62">
        <f t="shared" si="6"/>
        <v>45684</v>
      </c>
    </row>
    <row r="77" spans="1:7">
      <c r="A77" s="9" t="s">
        <v>75</v>
      </c>
      <c r="B77" s="37">
        <v>45685</v>
      </c>
      <c r="C77" s="9">
        <v>99636</v>
      </c>
      <c r="D77" s="9" t="s">
        <v>26</v>
      </c>
      <c r="E77" s="9">
        <v>77</v>
      </c>
      <c r="F77" s="9" t="s">
        <v>62</v>
      </c>
      <c r="G77" s="62">
        <f t="shared" si="6"/>
        <v>45684</v>
      </c>
    </row>
    <row r="78" spans="1:7">
      <c r="A78" s="9" t="s">
        <v>75</v>
      </c>
      <c r="B78" s="37">
        <v>45685</v>
      </c>
      <c r="C78" s="9">
        <v>99631</v>
      </c>
      <c r="D78" s="9" t="s">
        <v>77</v>
      </c>
      <c r="E78" s="9">
        <v>46</v>
      </c>
      <c r="F78" s="9" t="s">
        <v>62</v>
      </c>
      <c r="G78" s="62">
        <f t="shared" si="6"/>
        <v>45684</v>
      </c>
    </row>
    <row r="79" spans="1:7">
      <c r="A79" s="9" t="s">
        <v>76</v>
      </c>
      <c r="B79" s="37">
        <v>45692</v>
      </c>
      <c r="C79" s="9">
        <v>99629</v>
      </c>
      <c r="D79" s="9" t="s">
        <v>65</v>
      </c>
      <c r="E79" s="9">
        <v>21</v>
      </c>
      <c r="F79" s="9" t="s">
        <v>62</v>
      </c>
      <c r="G79" s="62">
        <f t="shared" si="6"/>
        <v>45691</v>
      </c>
    </row>
    <row r="80" spans="1:7">
      <c r="A80" s="9" t="s">
        <v>76</v>
      </c>
      <c r="B80" s="37">
        <v>45692</v>
      </c>
      <c r="C80" s="9">
        <v>99638</v>
      </c>
      <c r="D80" s="9" t="s">
        <v>20</v>
      </c>
      <c r="E80" s="9">
        <v>33</v>
      </c>
      <c r="F80" s="9" t="s">
        <v>62</v>
      </c>
      <c r="G80" s="62">
        <f t="shared" si="6"/>
        <v>45691</v>
      </c>
    </row>
    <row r="81" spans="1:7">
      <c r="A81" s="9" t="s">
        <v>76</v>
      </c>
      <c r="B81" s="37">
        <v>45692</v>
      </c>
      <c r="C81" s="9">
        <v>99632</v>
      </c>
      <c r="D81" s="9" t="s">
        <v>21</v>
      </c>
      <c r="E81" s="9">
        <v>65</v>
      </c>
      <c r="F81" s="9" t="s">
        <v>62</v>
      </c>
      <c r="G81" s="62">
        <f t="shared" si="6"/>
        <v>45691</v>
      </c>
    </row>
    <row r="82" spans="1:7">
      <c r="A82" s="9" t="s">
        <v>76</v>
      </c>
      <c r="B82" s="37">
        <v>45692</v>
      </c>
      <c r="C82" s="9">
        <v>99635</v>
      </c>
      <c r="D82" s="9" t="s">
        <v>24</v>
      </c>
      <c r="E82" s="9">
        <v>46</v>
      </c>
      <c r="F82" s="9" t="s">
        <v>62</v>
      </c>
      <c r="G82" s="62">
        <f t="shared" si="6"/>
        <v>45691</v>
      </c>
    </row>
    <row r="83" spans="1:7">
      <c r="A83" s="9" t="s">
        <v>76</v>
      </c>
      <c r="B83" s="37">
        <v>45692</v>
      </c>
      <c r="C83" s="9">
        <v>99944</v>
      </c>
      <c r="D83" s="9" t="s">
        <v>25</v>
      </c>
      <c r="E83" s="9">
        <v>48</v>
      </c>
      <c r="F83" s="9" t="s">
        <v>62</v>
      </c>
      <c r="G83" s="62">
        <f t="shared" si="6"/>
        <v>45691</v>
      </c>
    </row>
    <row r="84" spans="1:7">
      <c r="A84" s="9" t="s">
        <v>76</v>
      </c>
      <c r="B84" s="37">
        <v>45692</v>
      </c>
      <c r="C84" s="9">
        <v>99636</v>
      </c>
      <c r="D84" s="9" t="s">
        <v>26</v>
      </c>
      <c r="E84" s="9">
        <v>36</v>
      </c>
      <c r="F84" s="9" t="s">
        <v>62</v>
      </c>
      <c r="G84" s="62">
        <f t="shared" si="6"/>
        <v>45691</v>
      </c>
    </row>
    <row r="85" spans="1:7">
      <c r="A85" s="9" t="s">
        <v>76</v>
      </c>
      <c r="B85" s="37">
        <v>45692</v>
      </c>
      <c r="C85" s="9">
        <v>99631</v>
      </c>
      <c r="D85" s="9" t="s">
        <v>66</v>
      </c>
      <c r="E85" s="9">
        <v>48</v>
      </c>
      <c r="F85" s="9" t="s">
        <v>62</v>
      </c>
      <c r="G85" s="62">
        <f t="shared" si="6"/>
        <v>45691</v>
      </c>
    </row>
    <row r="86" spans="1:7">
      <c r="A86" s="9" t="s">
        <v>78</v>
      </c>
      <c r="B86" s="37">
        <v>45699</v>
      </c>
      <c r="C86" s="9">
        <v>99630</v>
      </c>
      <c r="D86" s="9" t="s">
        <v>19</v>
      </c>
      <c r="E86" s="9">
        <v>72</v>
      </c>
      <c r="F86" s="9" t="s">
        <v>62</v>
      </c>
      <c r="G86" s="62">
        <f t="shared" si="6"/>
        <v>45698</v>
      </c>
    </row>
    <row r="87" spans="1:7">
      <c r="A87" s="9" t="s">
        <v>78</v>
      </c>
      <c r="B87" s="37">
        <v>45699</v>
      </c>
      <c r="C87" s="9">
        <v>99638</v>
      </c>
      <c r="D87" s="9" t="s">
        <v>20</v>
      </c>
      <c r="E87" s="9">
        <v>88</v>
      </c>
      <c r="F87" s="9" t="s">
        <v>62</v>
      </c>
      <c r="G87" s="62">
        <f t="shared" si="6"/>
        <v>45698</v>
      </c>
    </row>
    <row r="88" spans="1:7">
      <c r="A88" s="9" t="s">
        <v>78</v>
      </c>
      <c r="B88" s="37">
        <v>45699</v>
      </c>
      <c r="C88" s="9">
        <v>99632</v>
      </c>
      <c r="D88" s="9" t="s">
        <v>21</v>
      </c>
      <c r="E88" s="9">
        <v>9</v>
      </c>
      <c r="F88" s="9" t="s">
        <v>62</v>
      </c>
      <c r="G88" s="62">
        <f t="shared" si="6"/>
        <v>45698</v>
      </c>
    </row>
    <row r="89" spans="1:7">
      <c r="A89" s="9" t="s">
        <v>78</v>
      </c>
      <c r="B89" s="37">
        <v>45699</v>
      </c>
      <c r="C89" s="9">
        <v>99633</v>
      </c>
      <c r="D89" s="9" t="s">
        <v>22</v>
      </c>
      <c r="E89" s="9">
        <v>9</v>
      </c>
      <c r="F89" s="9" t="s">
        <v>62</v>
      </c>
      <c r="G89" s="62">
        <f t="shared" si="6"/>
        <v>45698</v>
      </c>
    </row>
    <row r="90" spans="1:7">
      <c r="A90" s="9" t="s">
        <v>78</v>
      </c>
      <c r="B90" s="37">
        <v>45699</v>
      </c>
      <c r="C90" s="9">
        <v>99646</v>
      </c>
      <c r="D90" s="9" t="s">
        <v>23</v>
      </c>
      <c r="E90" s="9">
        <v>18</v>
      </c>
      <c r="F90" s="9" t="s">
        <v>62</v>
      </c>
      <c r="G90" s="62">
        <f t="shared" si="6"/>
        <v>45698</v>
      </c>
    </row>
    <row r="91" spans="1:7">
      <c r="A91" s="9" t="s">
        <v>78</v>
      </c>
      <c r="B91" s="37">
        <v>45699</v>
      </c>
      <c r="C91" s="9">
        <v>99631</v>
      </c>
      <c r="D91" s="9" t="s">
        <v>66</v>
      </c>
      <c r="E91" s="9">
        <v>60</v>
      </c>
      <c r="F91" s="9" t="s">
        <v>62</v>
      </c>
      <c r="G91" s="62">
        <f t="shared" si="6"/>
        <v>45698</v>
      </c>
    </row>
    <row r="92" spans="1:7">
      <c r="A92" s="9" t="s">
        <v>81</v>
      </c>
      <c r="B92" s="37">
        <v>45708</v>
      </c>
      <c r="C92" s="9">
        <v>99629</v>
      </c>
      <c r="D92" s="9" t="s">
        <v>65</v>
      </c>
      <c r="E92" s="9">
        <v>55</v>
      </c>
      <c r="F92" s="9" t="s">
        <v>62</v>
      </c>
      <c r="G92" s="62">
        <f t="shared" si="6"/>
        <v>45705</v>
      </c>
    </row>
    <row r="93" spans="1:7">
      <c r="A93" s="9" t="s">
        <v>81</v>
      </c>
      <c r="B93" s="37">
        <v>45708</v>
      </c>
      <c r="C93" s="9">
        <v>99632</v>
      </c>
      <c r="D93" s="9" t="s">
        <v>21</v>
      </c>
      <c r="E93" s="9">
        <v>42</v>
      </c>
      <c r="F93" s="9" t="s">
        <v>62</v>
      </c>
      <c r="G93" s="62">
        <f t="shared" si="6"/>
        <v>45705</v>
      </c>
    </row>
    <row r="94" spans="1:7">
      <c r="A94" s="9" t="s">
        <v>82</v>
      </c>
      <c r="B94" s="37">
        <v>45713</v>
      </c>
      <c r="C94" s="9">
        <v>99629</v>
      </c>
      <c r="D94" s="9" t="s">
        <v>65</v>
      </c>
      <c r="E94" s="9">
        <v>66</v>
      </c>
      <c r="F94" s="9" t="s">
        <v>83</v>
      </c>
      <c r="G94" s="62">
        <f t="shared" si="6"/>
        <v>45712</v>
      </c>
    </row>
    <row r="95" spans="1:7">
      <c r="A95" s="9" t="s">
        <v>82</v>
      </c>
      <c r="B95" s="37">
        <v>45713</v>
      </c>
      <c r="C95" s="9">
        <v>99631</v>
      </c>
      <c r="D95" s="9" t="s">
        <v>66</v>
      </c>
      <c r="E95" s="9">
        <v>54</v>
      </c>
      <c r="F95" s="9" t="s">
        <v>83</v>
      </c>
      <c r="G95" s="62">
        <f t="shared" si="6"/>
        <v>45712</v>
      </c>
    </row>
    <row r="96" spans="1:7">
      <c r="A96" s="9" t="s">
        <v>82</v>
      </c>
      <c r="B96" s="37">
        <v>45713</v>
      </c>
      <c r="C96" s="9">
        <v>99630</v>
      </c>
      <c r="D96" s="9" t="s">
        <v>19</v>
      </c>
      <c r="E96" s="9">
        <v>55</v>
      </c>
      <c r="F96" s="9" t="s">
        <v>83</v>
      </c>
      <c r="G96" s="62">
        <f t="shared" si="6"/>
        <v>45712</v>
      </c>
    </row>
    <row r="97" spans="1:7">
      <c r="A97" s="9" t="s">
        <v>82</v>
      </c>
      <c r="B97" s="37">
        <v>45713</v>
      </c>
      <c r="C97" s="9">
        <v>99638</v>
      </c>
      <c r="D97" s="9" t="s">
        <v>20</v>
      </c>
      <c r="E97" s="9">
        <v>34</v>
      </c>
      <c r="F97" s="9" t="s">
        <v>83</v>
      </c>
      <c r="G97" s="62">
        <f t="shared" si="6"/>
        <v>45712</v>
      </c>
    </row>
    <row r="98" spans="1:7">
      <c r="A98" s="9" t="s">
        <v>82</v>
      </c>
      <c r="B98" s="37">
        <v>45713</v>
      </c>
      <c r="C98" s="9">
        <v>99632</v>
      </c>
      <c r="D98" s="9" t="s">
        <v>21</v>
      </c>
      <c r="E98" s="9">
        <v>39</v>
      </c>
      <c r="F98" s="9" t="s">
        <v>83</v>
      </c>
      <c r="G98" s="62">
        <f t="shared" si="6"/>
        <v>45712</v>
      </c>
    </row>
    <row r="99" spans="1:7">
      <c r="A99" s="9" t="s">
        <v>82</v>
      </c>
      <c r="B99" s="37">
        <v>45713</v>
      </c>
      <c r="C99" s="9">
        <v>99633</v>
      </c>
      <c r="D99" s="9" t="s">
        <v>22</v>
      </c>
      <c r="E99" s="9">
        <v>94</v>
      </c>
      <c r="F99" s="9" t="s">
        <v>83</v>
      </c>
      <c r="G99" s="62">
        <f t="shared" si="6"/>
        <v>45712</v>
      </c>
    </row>
    <row r="100" spans="1:7">
      <c r="A100" s="9" t="s">
        <v>82</v>
      </c>
      <c r="B100" s="37">
        <v>45713</v>
      </c>
      <c r="C100" s="9">
        <v>99646</v>
      </c>
      <c r="D100" s="9" t="s">
        <v>23</v>
      </c>
      <c r="E100" s="9">
        <v>103</v>
      </c>
      <c r="F100" s="9" t="s">
        <v>83</v>
      </c>
      <c r="G100" s="62">
        <f t="shared" si="6"/>
        <v>45712</v>
      </c>
    </row>
    <row r="101" spans="1:7">
      <c r="A101" s="9" t="s">
        <v>82</v>
      </c>
      <c r="B101" s="37">
        <v>45713</v>
      </c>
      <c r="C101" s="9">
        <v>99635</v>
      </c>
      <c r="D101" s="9" t="s">
        <v>24</v>
      </c>
      <c r="E101" s="9">
        <v>82</v>
      </c>
      <c r="F101" s="9" t="s">
        <v>83</v>
      </c>
      <c r="G101" s="62">
        <f t="shared" si="6"/>
        <v>45712</v>
      </c>
    </row>
    <row r="102" spans="1:7">
      <c r="A102" s="9" t="s">
        <v>82</v>
      </c>
      <c r="B102" s="37">
        <v>45713</v>
      </c>
      <c r="C102" s="9">
        <v>99944</v>
      </c>
      <c r="D102" s="9" t="s">
        <v>25</v>
      </c>
      <c r="E102" s="9">
        <v>86</v>
      </c>
      <c r="F102" s="9" t="s">
        <v>83</v>
      </c>
      <c r="G102" s="62">
        <f t="shared" si="6"/>
        <v>45712</v>
      </c>
    </row>
    <row r="103" spans="1:7">
      <c r="A103" s="9" t="s">
        <v>82</v>
      </c>
      <c r="B103" s="37">
        <v>45713</v>
      </c>
      <c r="C103" s="9">
        <v>99636</v>
      </c>
      <c r="D103" s="9" t="s">
        <v>26</v>
      </c>
      <c r="E103" s="9">
        <v>40</v>
      </c>
      <c r="F103" s="9" t="s">
        <v>83</v>
      </c>
      <c r="G103" s="62">
        <f t="shared" si="6"/>
        <v>45712</v>
      </c>
    </row>
    <row r="104" spans="1:7">
      <c r="A104" s="9" t="s">
        <v>79</v>
      </c>
      <c r="B104" s="37">
        <v>45706</v>
      </c>
      <c r="C104" s="9">
        <v>99629</v>
      </c>
      <c r="D104" s="9" t="s">
        <v>65</v>
      </c>
      <c r="E104" s="9">
        <v>11</v>
      </c>
      <c r="F104" s="9" t="s">
        <v>62</v>
      </c>
      <c r="G104" s="62">
        <f t="shared" si="6"/>
        <v>45705</v>
      </c>
    </row>
    <row r="105" spans="1:7">
      <c r="A105" s="9" t="s">
        <v>79</v>
      </c>
      <c r="B105" s="37">
        <v>45706</v>
      </c>
      <c r="C105" s="9">
        <v>99638</v>
      </c>
      <c r="D105" s="9" t="s">
        <v>80</v>
      </c>
      <c r="E105" s="9">
        <v>31</v>
      </c>
      <c r="F105" s="9" t="s">
        <v>62</v>
      </c>
      <c r="G105" s="62">
        <f t="shared" si="6"/>
        <v>45705</v>
      </c>
    </row>
    <row r="106" spans="1:7">
      <c r="A106" s="9" t="s">
        <v>79</v>
      </c>
      <c r="B106" s="37">
        <v>45706</v>
      </c>
      <c r="C106" s="9">
        <v>99632</v>
      </c>
      <c r="D106" s="9" t="s">
        <v>21</v>
      </c>
      <c r="E106" s="9">
        <v>26</v>
      </c>
      <c r="F106" s="9" t="s">
        <v>62</v>
      </c>
      <c r="G106" s="62">
        <f t="shared" si="6"/>
        <v>45705</v>
      </c>
    </row>
    <row r="107" spans="1:7">
      <c r="A107" s="9" t="s">
        <v>79</v>
      </c>
      <c r="B107" s="37">
        <v>45706</v>
      </c>
      <c r="C107" s="9">
        <v>99633</v>
      </c>
      <c r="D107" s="9" t="s">
        <v>22</v>
      </c>
      <c r="E107" s="9">
        <v>25</v>
      </c>
      <c r="F107" s="9" t="s">
        <v>62</v>
      </c>
      <c r="G107" s="62">
        <f t="shared" si="6"/>
        <v>45705</v>
      </c>
    </row>
    <row r="108" spans="1:7">
      <c r="A108" s="9" t="s">
        <v>79</v>
      </c>
      <c r="B108" s="37">
        <v>45706</v>
      </c>
      <c r="C108" s="9">
        <v>99646</v>
      </c>
      <c r="D108" s="9" t="s">
        <v>23</v>
      </c>
      <c r="E108" s="9">
        <v>21</v>
      </c>
      <c r="F108" s="9" t="s">
        <v>62</v>
      </c>
      <c r="G108" s="62">
        <f t="shared" si="6"/>
        <v>45705</v>
      </c>
    </row>
    <row r="109" spans="1:7">
      <c r="A109" s="9" t="s">
        <v>79</v>
      </c>
      <c r="B109" s="37">
        <v>45706</v>
      </c>
      <c r="C109" s="9">
        <v>99635</v>
      </c>
      <c r="D109" s="9" t="s">
        <v>24</v>
      </c>
      <c r="E109" s="9">
        <v>88</v>
      </c>
      <c r="F109" s="9" t="s">
        <v>62</v>
      </c>
      <c r="G109" s="62">
        <f t="shared" si="6"/>
        <v>45705</v>
      </c>
    </row>
    <row r="110" spans="1:7">
      <c r="A110" s="9" t="s">
        <v>79</v>
      </c>
      <c r="B110" s="37">
        <v>45706</v>
      </c>
      <c r="C110" s="9">
        <v>99944</v>
      </c>
      <c r="D110" s="9" t="s">
        <v>25</v>
      </c>
      <c r="E110" s="9">
        <v>82</v>
      </c>
      <c r="F110" s="9" t="s">
        <v>62</v>
      </c>
      <c r="G110" s="62">
        <f t="shared" si="6"/>
        <v>45705</v>
      </c>
    </row>
    <row r="111" spans="1:7">
      <c r="A111" s="9" t="s">
        <v>79</v>
      </c>
      <c r="B111" s="37">
        <v>45706</v>
      </c>
      <c r="C111" s="9">
        <v>99636</v>
      </c>
      <c r="D111" s="9" t="s">
        <v>26</v>
      </c>
      <c r="E111" s="9">
        <v>38</v>
      </c>
      <c r="F111" s="9" t="s">
        <v>62</v>
      </c>
      <c r="G111" s="62">
        <f t="shared" si="6"/>
        <v>45705</v>
      </c>
    </row>
    <row r="112" spans="1:7">
      <c r="A112" s="9" t="s">
        <v>79</v>
      </c>
      <c r="B112" s="37">
        <v>45706</v>
      </c>
      <c r="C112" s="9">
        <v>99631</v>
      </c>
      <c r="D112" s="9" t="s">
        <v>66</v>
      </c>
      <c r="E112" s="9">
        <v>54</v>
      </c>
      <c r="F112" s="9" t="s">
        <v>62</v>
      </c>
      <c r="G112" s="62">
        <f t="shared" si="6"/>
        <v>45705</v>
      </c>
    </row>
    <row r="113" spans="1:7">
      <c r="A113" s="55" t="s">
        <v>81</v>
      </c>
      <c r="B113" s="56">
        <v>45708</v>
      </c>
      <c r="C113" s="57">
        <v>99629</v>
      </c>
      <c r="D113" s="58" t="s">
        <v>65</v>
      </c>
      <c r="E113" s="57">
        <v>55</v>
      </c>
      <c r="F113" s="58" t="s">
        <v>62</v>
      </c>
      <c r="G113" s="62">
        <f t="shared" si="6"/>
        <v>45705</v>
      </c>
    </row>
    <row r="114" spans="1:7">
      <c r="A114" s="35" t="s">
        <v>81</v>
      </c>
      <c r="B114" s="36">
        <v>45708</v>
      </c>
      <c r="C114" s="35">
        <v>99632</v>
      </c>
      <c r="D114" s="35" t="s">
        <v>21</v>
      </c>
      <c r="E114" s="57">
        <v>42</v>
      </c>
      <c r="F114" s="35" t="s">
        <v>62</v>
      </c>
      <c r="G114" s="62">
        <f t="shared" si="6"/>
        <v>45705</v>
      </c>
    </row>
    <row r="115" spans="1:7">
      <c r="A115" s="35" t="s">
        <v>82</v>
      </c>
      <c r="B115" s="36">
        <v>45713</v>
      </c>
      <c r="C115" s="35">
        <v>99629</v>
      </c>
      <c r="D115" s="35" t="s">
        <v>65</v>
      </c>
      <c r="E115" s="57">
        <v>66</v>
      </c>
      <c r="F115" s="35" t="s">
        <v>62</v>
      </c>
      <c r="G115" s="62">
        <f t="shared" si="6"/>
        <v>45712</v>
      </c>
    </row>
    <row r="116" spans="1:7">
      <c r="A116" s="35" t="s">
        <v>82</v>
      </c>
      <c r="B116" s="36">
        <v>45713</v>
      </c>
      <c r="C116" s="35">
        <v>99631</v>
      </c>
      <c r="D116" s="35" t="s">
        <v>66</v>
      </c>
      <c r="E116" s="57">
        <v>54</v>
      </c>
      <c r="F116" s="35" t="s">
        <v>62</v>
      </c>
      <c r="G116" s="62">
        <f t="shared" si="6"/>
        <v>45712</v>
      </c>
    </row>
    <row r="117" spans="1:7">
      <c r="A117" s="35" t="s">
        <v>82</v>
      </c>
      <c r="B117" s="36">
        <v>45713</v>
      </c>
      <c r="C117" s="35">
        <v>99630</v>
      </c>
      <c r="D117" s="35" t="s">
        <v>19</v>
      </c>
      <c r="E117" s="57">
        <v>55</v>
      </c>
      <c r="F117" s="35" t="s">
        <v>62</v>
      </c>
      <c r="G117" s="62">
        <f t="shared" si="6"/>
        <v>45712</v>
      </c>
    </row>
    <row r="118" spans="1:7">
      <c r="A118" s="35" t="s">
        <v>82</v>
      </c>
      <c r="B118" s="36">
        <v>45713</v>
      </c>
      <c r="C118" s="35">
        <v>99638</v>
      </c>
      <c r="D118" s="35" t="s">
        <v>20</v>
      </c>
      <c r="E118" s="57">
        <v>34</v>
      </c>
      <c r="F118" s="35" t="s">
        <v>62</v>
      </c>
      <c r="G118" s="62">
        <f t="shared" si="6"/>
        <v>45712</v>
      </c>
    </row>
    <row r="119" spans="1:7">
      <c r="A119" s="35" t="s">
        <v>82</v>
      </c>
      <c r="B119" s="36">
        <v>45713</v>
      </c>
      <c r="C119" s="35">
        <v>99632</v>
      </c>
      <c r="D119" s="35" t="s">
        <v>21</v>
      </c>
      <c r="E119" s="57">
        <v>39</v>
      </c>
      <c r="F119" s="35" t="s">
        <v>62</v>
      </c>
      <c r="G119" s="62">
        <f t="shared" si="6"/>
        <v>45712</v>
      </c>
    </row>
    <row r="120" spans="1:7">
      <c r="A120" s="35" t="s">
        <v>82</v>
      </c>
      <c r="B120" s="36">
        <v>45713</v>
      </c>
      <c r="C120" s="35">
        <v>99633</v>
      </c>
      <c r="D120" s="35" t="s">
        <v>22</v>
      </c>
      <c r="E120" s="57">
        <v>94</v>
      </c>
      <c r="F120" s="35" t="s">
        <v>62</v>
      </c>
      <c r="G120" s="62">
        <f t="shared" si="6"/>
        <v>45712</v>
      </c>
    </row>
    <row r="121" spans="1:7">
      <c r="A121" s="35" t="s">
        <v>82</v>
      </c>
      <c r="B121" s="36">
        <v>45713</v>
      </c>
      <c r="C121" s="35">
        <v>99646</v>
      </c>
      <c r="D121" s="35" t="s">
        <v>23</v>
      </c>
      <c r="E121" s="57">
        <v>103</v>
      </c>
      <c r="F121" s="35" t="s">
        <v>62</v>
      </c>
      <c r="G121" s="62">
        <f t="shared" si="6"/>
        <v>45712</v>
      </c>
    </row>
    <row r="122" spans="1:7">
      <c r="A122" s="35" t="s">
        <v>82</v>
      </c>
      <c r="B122" s="36">
        <v>45713</v>
      </c>
      <c r="C122" s="35">
        <v>99635</v>
      </c>
      <c r="D122" s="35" t="s">
        <v>24</v>
      </c>
      <c r="E122" s="57">
        <v>82</v>
      </c>
      <c r="F122" s="35" t="s">
        <v>62</v>
      </c>
      <c r="G122" s="62">
        <f t="shared" si="6"/>
        <v>45712</v>
      </c>
    </row>
    <row r="123" spans="1:7">
      <c r="A123" s="35" t="s">
        <v>82</v>
      </c>
      <c r="B123" s="36">
        <v>45713</v>
      </c>
      <c r="C123" s="35">
        <v>99944</v>
      </c>
      <c r="D123" s="35" t="s">
        <v>25</v>
      </c>
      <c r="E123" s="57">
        <v>86</v>
      </c>
      <c r="F123" s="35" t="s">
        <v>62</v>
      </c>
      <c r="G123" s="62">
        <f t="shared" si="6"/>
        <v>45712</v>
      </c>
    </row>
    <row r="124" spans="1:7">
      <c r="A124" s="35" t="s">
        <v>82</v>
      </c>
      <c r="B124" s="36">
        <v>45713</v>
      </c>
      <c r="C124" s="35">
        <v>99636</v>
      </c>
      <c r="D124" s="35" t="s">
        <v>26</v>
      </c>
      <c r="E124" s="57">
        <v>40</v>
      </c>
      <c r="F124" s="35" t="s">
        <v>62</v>
      </c>
      <c r="G124" s="62">
        <f t="shared" si="6"/>
        <v>45712</v>
      </c>
    </row>
    <row r="125" spans="1:7">
      <c r="A125" s="35" t="s">
        <v>84</v>
      </c>
      <c r="B125" s="36">
        <v>45720</v>
      </c>
      <c r="C125" s="35">
        <v>99629</v>
      </c>
      <c r="D125" s="35" t="s">
        <v>65</v>
      </c>
      <c r="E125" s="57">
        <v>66</v>
      </c>
      <c r="F125" s="35" t="s">
        <v>62</v>
      </c>
      <c r="G125" s="62">
        <f t="shared" si="6"/>
        <v>45719</v>
      </c>
    </row>
    <row r="126" spans="1:7">
      <c r="A126" s="35" t="s">
        <v>84</v>
      </c>
      <c r="B126" s="36">
        <v>45720</v>
      </c>
      <c r="C126" s="35">
        <v>99630</v>
      </c>
      <c r="D126" s="35" t="s">
        <v>19</v>
      </c>
      <c r="E126" s="57">
        <v>41</v>
      </c>
      <c r="F126" s="35" t="s">
        <v>62</v>
      </c>
      <c r="G126" s="62">
        <f t="shared" si="6"/>
        <v>45719</v>
      </c>
    </row>
    <row r="127" spans="1:7">
      <c r="A127" s="35" t="s">
        <v>84</v>
      </c>
      <c r="B127" s="36">
        <v>45720</v>
      </c>
      <c r="C127" s="35">
        <v>99638</v>
      </c>
      <c r="D127" s="35" t="s">
        <v>20</v>
      </c>
      <c r="E127" s="57">
        <v>26</v>
      </c>
      <c r="F127" s="35" t="s">
        <v>62</v>
      </c>
      <c r="G127" s="62">
        <f t="shared" si="6"/>
        <v>45719</v>
      </c>
    </row>
    <row r="128" spans="1:7">
      <c r="A128" s="35" t="s">
        <v>84</v>
      </c>
      <c r="B128" s="36">
        <v>45720</v>
      </c>
      <c r="C128" s="35">
        <v>99632</v>
      </c>
      <c r="D128" s="35" t="s">
        <v>21</v>
      </c>
      <c r="E128" s="57">
        <v>25</v>
      </c>
      <c r="F128" s="35" t="s">
        <v>62</v>
      </c>
      <c r="G128" s="62">
        <f t="shared" si="6"/>
        <v>45719</v>
      </c>
    </row>
    <row r="129" spans="1:7">
      <c r="A129" s="35" t="s">
        <v>84</v>
      </c>
      <c r="B129" s="36">
        <v>45720</v>
      </c>
      <c r="C129" s="35">
        <v>99633</v>
      </c>
      <c r="D129" s="35" t="s">
        <v>22</v>
      </c>
      <c r="E129" s="57">
        <v>136</v>
      </c>
      <c r="F129" s="35" t="s">
        <v>62</v>
      </c>
      <c r="G129" s="62">
        <f t="shared" si="6"/>
        <v>45719</v>
      </c>
    </row>
    <row r="130" spans="1:7">
      <c r="A130" s="35" t="s">
        <v>84</v>
      </c>
      <c r="B130" s="36">
        <v>45720</v>
      </c>
      <c r="C130" s="35">
        <v>99646</v>
      </c>
      <c r="D130" s="35" t="s">
        <v>23</v>
      </c>
      <c r="E130" s="57">
        <v>108</v>
      </c>
      <c r="F130" s="35" t="s">
        <v>62</v>
      </c>
      <c r="G130" s="62">
        <f t="shared" si="6"/>
        <v>45719</v>
      </c>
    </row>
    <row r="131" spans="1:7">
      <c r="A131" s="35" t="s">
        <v>84</v>
      </c>
      <c r="B131" s="36">
        <v>45720</v>
      </c>
      <c r="C131" s="35">
        <v>99635</v>
      </c>
      <c r="D131" s="35" t="s">
        <v>24</v>
      </c>
      <c r="E131" s="57">
        <v>50</v>
      </c>
      <c r="F131" s="35" t="s">
        <v>62</v>
      </c>
      <c r="G131" s="62">
        <f t="shared" si="6"/>
        <v>45719</v>
      </c>
    </row>
    <row r="132" spans="1:7">
      <c r="A132" s="35" t="s">
        <v>84</v>
      </c>
      <c r="B132" s="36">
        <v>45720</v>
      </c>
      <c r="C132" s="35">
        <v>99944</v>
      </c>
      <c r="D132" s="35" t="s">
        <v>25</v>
      </c>
      <c r="E132" s="57">
        <v>58</v>
      </c>
      <c r="F132" s="35" t="s">
        <v>62</v>
      </c>
      <c r="G132" s="62">
        <f t="shared" ref="G132:G195" si="7">B132-WEEKDAY(B132,3)</f>
        <v>45719</v>
      </c>
    </row>
    <row r="133" spans="1:7">
      <c r="A133" s="35" t="s">
        <v>84</v>
      </c>
      <c r="B133" s="36">
        <v>45720</v>
      </c>
      <c r="C133" s="35">
        <v>99636</v>
      </c>
      <c r="D133" s="35" t="s">
        <v>26</v>
      </c>
      <c r="E133" s="57">
        <v>79</v>
      </c>
      <c r="F133" s="35" t="s">
        <v>62</v>
      </c>
      <c r="G133" s="62">
        <f t="shared" si="7"/>
        <v>45719</v>
      </c>
    </row>
    <row r="134" spans="1:7">
      <c r="A134" s="35" t="s">
        <v>84</v>
      </c>
      <c r="B134" s="36">
        <v>45720</v>
      </c>
      <c r="C134" s="35">
        <v>99631</v>
      </c>
      <c r="D134" s="35" t="s">
        <v>66</v>
      </c>
      <c r="E134" s="57">
        <v>72</v>
      </c>
      <c r="F134" s="35" t="s">
        <v>62</v>
      </c>
      <c r="G134" s="62">
        <f t="shared" si="7"/>
        <v>45719</v>
      </c>
    </row>
    <row r="135" spans="1:7">
      <c r="A135" s="35" t="s">
        <v>85</v>
      </c>
      <c r="B135" s="36">
        <v>45727</v>
      </c>
      <c r="C135" s="35">
        <v>99629</v>
      </c>
      <c r="D135" s="35" t="s">
        <v>65</v>
      </c>
      <c r="E135" s="57">
        <v>44</v>
      </c>
      <c r="F135" s="35" t="s">
        <v>62</v>
      </c>
      <c r="G135" s="62">
        <f t="shared" si="7"/>
        <v>45726</v>
      </c>
    </row>
    <row r="136" spans="1:7">
      <c r="A136" s="35" t="s">
        <v>85</v>
      </c>
      <c r="B136" s="36">
        <v>45727</v>
      </c>
      <c r="C136" s="35">
        <v>99638</v>
      </c>
      <c r="D136" s="35" t="s">
        <v>20</v>
      </c>
      <c r="E136" s="57">
        <v>35</v>
      </c>
      <c r="F136" s="35" t="s">
        <v>62</v>
      </c>
      <c r="G136" s="62">
        <f t="shared" si="7"/>
        <v>45726</v>
      </c>
    </row>
    <row r="137" spans="1:7">
      <c r="A137" s="35" t="s">
        <v>85</v>
      </c>
      <c r="B137" s="36">
        <v>45727</v>
      </c>
      <c r="C137" s="35">
        <v>99632</v>
      </c>
      <c r="D137" s="35" t="s">
        <v>21</v>
      </c>
      <c r="E137" s="57">
        <v>41</v>
      </c>
      <c r="F137" s="35" t="s">
        <v>62</v>
      </c>
      <c r="G137" s="62">
        <f t="shared" si="7"/>
        <v>45726</v>
      </c>
    </row>
    <row r="138" spans="1:7">
      <c r="A138" s="35" t="s">
        <v>85</v>
      </c>
      <c r="B138" s="36">
        <v>45727</v>
      </c>
      <c r="C138" s="35">
        <v>99633</v>
      </c>
      <c r="D138" s="35" t="s">
        <v>22</v>
      </c>
      <c r="E138" s="57">
        <v>20</v>
      </c>
      <c r="F138" s="35" t="s">
        <v>62</v>
      </c>
      <c r="G138" s="62">
        <f t="shared" si="7"/>
        <v>45726</v>
      </c>
    </row>
    <row r="139" spans="1:7">
      <c r="A139" s="35" t="s">
        <v>85</v>
      </c>
      <c r="B139" s="36">
        <v>45727</v>
      </c>
      <c r="C139" s="35">
        <v>99646</v>
      </c>
      <c r="D139" s="35" t="s">
        <v>23</v>
      </c>
      <c r="E139" s="57">
        <v>26</v>
      </c>
      <c r="F139" s="35" t="s">
        <v>62</v>
      </c>
      <c r="G139" s="62">
        <f t="shared" si="7"/>
        <v>45726</v>
      </c>
    </row>
    <row r="140" spans="1:7">
      <c r="A140" s="35" t="s">
        <v>85</v>
      </c>
      <c r="B140" s="36">
        <v>45727</v>
      </c>
      <c r="C140" s="35">
        <v>99635</v>
      </c>
      <c r="D140" s="35" t="s">
        <v>24</v>
      </c>
      <c r="E140" s="57">
        <v>32</v>
      </c>
      <c r="F140" s="35" t="s">
        <v>62</v>
      </c>
      <c r="G140" s="62">
        <f t="shared" si="7"/>
        <v>45726</v>
      </c>
    </row>
    <row r="141" spans="1:7">
      <c r="A141" s="35" t="s">
        <v>85</v>
      </c>
      <c r="B141" s="36">
        <v>45727</v>
      </c>
      <c r="C141" s="35">
        <v>99944</v>
      </c>
      <c r="D141" s="35" t="s">
        <v>25</v>
      </c>
      <c r="E141" s="57">
        <v>42</v>
      </c>
      <c r="F141" s="35" t="s">
        <v>62</v>
      </c>
      <c r="G141" s="62">
        <f t="shared" si="7"/>
        <v>45726</v>
      </c>
    </row>
    <row r="142" spans="1:7">
      <c r="A142" s="35" t="s">
        <v>85</v>
      </c>
      <c r="B142" s="36">
        <v>45727</v>
      </c>
      <c r="C142" s="35">
        <v>99636</v>
      </c>
      <c r="D142" s="35" t="s">
        <v>26</v>
      </c>
      <c r="E142" s="57">
        <v>35</v>
      </c>
      <c r="F142" s="35" t="s">
        <v>62</v>
      </c>
      <c r="G142" s="62">
        <f t="shared" si="7"/>
        <v>45726</v>
      </c>
    </row>
    <row r="143" spans="1:7">
      <c r="A143" s="35" t="s">
        <v>85</v>
      </c>
      <c r="B143" s="36">
        <v>45727</v>
      </c>
      <c r="C143" s="35">
        <v>99631</v>
      </c>
      <c r="D143" s="35" t="s">
        <v>66</v>
      </c>
      <c r="E143" s="57">
        <v>35</v>
      </c>
      <c r="F143" s="35" t="s">
        <v>62</v>
      </c>
      <c r="G143" s="62">
        <f t="shared" si="7"/>
        <v>45726</v>
      </c>
    </row>
    <row r="144" spans="1:7">
      <c r="A144" s="35" t="s">
        <v>86</v>
      </c>
      <c r="B144" s="36">
        <v>45734</v>
      </c>
      <c r="C144" s="35">
        <v>99629</v>
      </c>
      <c r="D144" s="35" t="s">
        <v>65</v>
      </c>
      <c r="E144" s="57">
        <v>33</v>
      </c>
      <c r="F144" s="35" t="s">
        <v>62</v>
      </c>
      <c r="G144" s="62">
        <f t="shared" si="7"/>
        <v>45733</v>
      </c>
    </row>
    <row r="145" spans="1:7">
      <c r="A145" s="35" t="s">
        <v>86</v>
      </c>
      <c r="B145" s="36">
        <v>45735</v>
      </c>
      <c r="C145" s="35">
        <v>99630</v>
      </c>
      <c r="D145" s="35" t="s">
        <v>19</v>
      </c>
      <c r="E145" s="57">
        <v>40</v>
      </c>
      <c r="F145" s="35" t="s">
        <v>62</v>
      </c>
      <c r="G145" s="62">
        <f t="shared" si="7"/>
        <v>45733</v>
      </c>
    </row>
    <row r="146" spans="1:7">
      <c r="A146" s="35" t="s">
        <v>86</v>
      </c>
      <c r="B146" s="36">
        <v>45735</v>
      </c>
      <c r="C146" s="35">
        <v>99638</v>
      </c>
      <c r="D146" s="35" t="s">
        <v>20</v>
      </c>
      <c r="E146" s="57">
        <v>24</v>
      </c>
      <c r="F146" s="35" t="s">
        <v>62</v>
      </c>
      <c r="G146" s="62">
        <f t="shared" si="7"/>
        <v>45733</v>
      </c>
    </row>
    <row r="147" spans="1:7">
      <c r="A147" s="35" t="s">
        <v>86</v>
      </c>
      <c r="B147" s="36">
        <v>45735</v>
      </c>
      <c r="C147" s="35">
        <v>99632</v>
      </c>
      <c r="D147" s="35" t="s">
        <v>21</v>
      </c>
      <c r="E147" s="57">
        <v>36</v>
      </c>
      <c r="F147" s="35" t="s">
        <v>62</v>
      </c>
      <c r="G147" s="62">
        <f t="shared" si="7"/>
        <v>45733</v>
      </c>
    </row>
    <row r="148" spans="1:7">
      <c r="A148" s="35" t="s">
        <v>86</v>
      </c>
      <c r="B148" s="36">
        <v>45735</v>
      </c>
      <c r="C148" s="35">
        <v>99633</v>
      </c>
      <c r="D148" s="35" t="s">
        <v>22</v>
      </c>
      <c r="E148" s="57">
        <v>50</v>
      </c>
      <c r="F148" s="35" t="s">
        <v>62</v>
      </c>
      <c r="G148" s="62">
        <f t="shared" si="7"/>
        <v>45733</v>
      </c>
    </row>
    <row r="149" spans="1:7">
      <c r="A149" s="35" t="s">
        <v>86</v>
      </c>
      <c r="B149" s="36">
        <v>45735</v>
      </c>
      <c r="C149" s="35">
        <v>99646</v>
      </c>
      <c r="D149" s="35" t="s">
        <v>23</v>
      </c>
      <c r="E149" s="57">
        <v>45</v>
      </c>
      <c r="F149" s="35" t="s">
        <v>62</v>
      </c>
      <c r="G149" s="62">
        <f t="shared" si="7"/>
        <v>45733</v>
      </c>
    </row>
    <row r="150" spans="1:7">
      <c r="A150" s="35" t="s">
        <v>86</v>
      </c>
      <c r="B150" s="36">
        <v>45735</v>
      </c>
      <c r="C150" s="35">
        <v>99636</v>
      </c>
      <c r="D150" s="35" t="s">
        <v>26</v>
      </c>
      <c r="E150" s="57">
        <v>39</v>
      </c>
      <c r="F150" s="35" t="s">
        <v>62</v>
      </c>
      <c r="G150" s="62">
        <f t="shared" si="7"/>
        <v>45733</v>
      </c>
    </row>
    <row r="151" spans="1:7">
      <c r="A151" s="35" t="s">
        <v>86</v>
      </c>
      <c r="B151" s="36">
        <v>45734</v>
      </c>
      <c r="C151" s="35">
        <v>99631</v>
      </c>
      <c r="D151" s="35" t="s">
        <v>66</v>
      </c>
      <c r="E151" s="57">
        <v>36</v>
      </c>
      <c r="F151" s="35" t="s">
        <v>62</v>
      </c>
      <c r="G151" s="62">
        <f t="shared" si="7"/>
        <v>45733</v>
      </c>
    </row>
    <row r="152" spans="1:7">
      <c r="A152" s="35" t="s">
        <v>87</v>
      </c>
      <c r="B152" s="36">
        <v>45741</v>
      </c>
      <c r="C152" s="35">
        <v>99629</v>
      </c>
      <c r="D152" s="35" t="s">
        <v>65</v>
      </c>
      <c r="E152" s="57">
        <v>66</v>
      </c>
      <c r="F152" s="35" t="s">
        <v>62</v>
      </c>
      <c r="G152" s="62">
        <f t="shared" si="7"/>
        <v>45740</v>
      </c>
    </row>
    <row r="153" spans="1:7">
      <c r="A153" s="35" t="s">
        <v>87</v>
      </c>
      <c r="B153" s="36">
        <v>45741</v>
      </c>
      <c r="C153" s="35">
        <v>99630</v>
      </c>
      <c r="D153" s="35" t="s">
        <v>19</v>
      </c>
      <c r="E153" s="57">
        <v>80</v>
      </c>
      <c r="F153" s="35" t="s">
        <v>62</v>
      </c>
      <c r="G153" s="62">
        <f t="shared" si="7"/>
        <v>45740</v>
      </c>
    </row>
    <row r="154" spans="1:7">
      <c r="A154" s="35" t="s">
        <v>87</v>
      </c>
      <c r="B154" s="36">
        <v>45741</v>
      </c>
      <c r="C154" s="35">
        <v>99638</v>
      </c>
      <c r="D154" s="35" t="s">
        <v>80</v>
      </c>
      <c r="E154" s="57">
        <v>13</v>
      </c>
      <c r="F154" s="35" t="s">
        <v>62</v>
      </c>
      <c r="G154" s="62">
        <f t="shared" si="7"/>
        <v>45740</v>
      </c>
    </row>
    <row r="155" spans="1:7">
      <c r="A155" s="35" t="s">
        <v>87</v>
      </c>
      <c r="B155" s="36">
        <v>45741</v>
      </c>
      <c r="C155" s="35">
        <v>99632</v>
      </c>
      <c r="D155" s="35" t="s">
        <v>21</v>
      </c>
      <c r="E155" s="57">
        <v>66</v>
      </c>
      <c r="F155" s="35" t="s">
        <v>62</v>
      </c>
      <c r="G155" s="62">
        <f t="shared" si="7"/>
        <v>45740</v>
      </c>
    </row>
    <row r="156" spans="1:7">
      <c r="A156" s="35" t="s">
        <v>87</v>
      </c>
      <c r="B156" s="36">
        <v>45741</v>
      </c>
      <c r="C156" s="35">
        <v>99631</v>
      </c>
      <c r="D156" s="35" t="s">
        <v>66</v>
      </c>
      <c r="E156" s="57">
        <v>36</v>
      </c>
      <c r="F156" s="35" t="s">
        <v>62</v>
      </c>
      <c r="G156" s="62">
        <f t="shared" si="7"/>
        <v>45740</v>
      </c>
    </row>
    <row r="157" spans="1:7">
      <c r="A157" s="35" t="s">
        <v>88</v>
      </c>
      <c r="B157" s="36">
        <v>45748</v>
      </c>
      <c r="C157" s="35">
        <v>99629</v>
      </c>
      <c r="D157" s="35" t="s">
        <v>65</v>
      </c>
      <c r="E157" s="57">
        <v>33</v>
      </c>
      <c r="F157" s="35" t="s">
        <v>62</v>
      </c>
      <c r="G157" s="62">
        <f t="shared" si="7"/>
        <v>45747</v>
      </c>
    </row>
    <row r="158" spans="1:7">
      <c r="A158" s="35" t="s">
        <v>88</v>
      </c>
      <c r="B158" s="36">
        <v>45748</v>
      </c>
      <c r="C158" s="35">
        <v>99630</v>
      </c>
      <c r="D158" s="35" t="s">
        <v>19</v>
      </c>
      <c r="E158" s="57">
        <v>102</v>
      </c>
      <c r="F158" s="35" t="s">
        <v>62</v>
      </c>
      <c r="G158" s="62">
        <f t="shared" si="7"/>
        <v>45747</v>
      </c>
    </row>
    <row r="159" spans="1:7">
      <c r="A159" s="35" t="s">
        <v>88</v>
      </c>
      <c r="B159" s="36">
        <v>45748</v>
      </c>
      <c r="C159" s="35">
        <v>99632</v>
      </c>
      <c r="D159" s="35" t="s">
        <v>21</v>
      </c>
      <c r="E159" s="57">
        <v>66</v>
      </c>
      <c r="F159" s="35" t="s">
        <v>62</v>
      </c>
      <c r="G159" s="62">
        <f t="shared" si="7"/>
        <v>45747</v>
      </c>
    </row>
    <row r="160" spans="1:7">
      <c r="A160" s="35" t="s">
        <v>88</v>
      </c>
      <c r="B160" s="36">
        <v>45748</v>
      </c>
      <c r="C160" s="35">
        <v>99635</v>
      </c>
      <c r="D160" s="35" t="s">
        <v>24</v>
      </c>
      <c r="E160" s="57">
        <v>106</v>
      </c>
      <c r="F160" s="35" t="s">
        <v>62</v>
      </c>
      <c r="G160" s="62">
        <f t="shared" si="7"/>
        <v>45747</v>
      </c>
    </row>
    <row r="161" spans="1:7">
      <c r="A161" s="35" t="s">
        <v>88</v>
      </c>
      <c r="B161" s="36">
        <v>45748</v>
      </c>
      <c r="C161" s="35">
        <v>99944</v>
      </c>
      <c r="D161" s="35" t="s">
        <v>25</v>
      </c>
      <c r="E161" s="57">
        <v>96</v>
      </c>
      <c r="F161" s="35" t="s">
        <v>62</v>
      </c>
      <c r="G161" s="62">
        <f t="shared" si="7"/>
        <v>45747</v>
      </c>
    </row>
    <row r="162" spans="1:7">
      <c r="A162" s="35" t="s">
        <v>88</v>
      </c>
      <c r="B162" s="36">
        <v>45748</v>
      </c>
      <c r="C162" s="35">
        <v>99631</v>
      </c>
      <c r="D162" s="35" t="s">
        <v>66</v>
      </c>
      <c r="E162" s="57">
        <v>36</v>
      </c>
      <c r="F162" s="35" t="s">
        <v>62</v>
      </c>
      <c r="G162" s="62">
        <f t="shared" si="7"/>
        <v>45747</v>
      </c>
    </row>
    <row r="163" spans="1:7">
      <c r="A163" s="35" t="s">
        <v>89</v>
      </c>
      <c r="B163" s="36">
        <v>45755</v>
      </c>
      <c r="C163" s="35">
        <v>99629</v>
      </c>
      <c r="D163" s="35" t="s">
        <v>65</v>
      </c>
      <c r="E163" s="57">
        <v>77</v>
      </c>
      <c r="F163" s="35" t="s">
        <v>62</v>
      </c>
      <c r="G163" s="62">
        <f t="shared" si="7"/>
        <v>45754</v>
      </c>
    </row>
    <row r="164" spans="1:7">
      <c r="A164" s="35" t="s">
        <v>89</v>
      </c>
      <c r="B164" s="36">
        <v>45755</v>
      </c>
      <c r="C164" s="35">
        <v>99630</v>
      </c>
      <c r="D164" s="35" t="s">
        <v>19</v>
      </c>
      <c r="E164" s="57">
        <v>60</v>
      </c>
      <c r="F164" s="35" t="s">
        <v>62</v>
      </c>
      <c r="G164" s="62">
        <f t="shared" si="7"/>
        <v>45754</v>
      </c>
    </row>
    <row r="165" spans="1:7">
      <c r="A165" s="35" t="s">
        <v>89</v>
      </c>
      <c r="B165" s="36">
        <v>45755</v>
      </c>
      <c r="C165" s="35">
        <v>99638</v>
      </c>
      <c r="D165" s="35" t="s">
        <v>20</v>
      </c>
      <c r="E165" s="57">
        <v>80</v>
      </c>
      <c r="F165" s="35" t="s">
        <v>62</v>
      </c>
      <c r="G165" s="62">
        <f t="shared" si="7"/>
        <v>45754</v>
      </c>
    </row>
    <row r="166" spans="1:7">
      <c r="A166" s="35" t="s">
        <v>89</v>
      </c>
      <c r="B166" s="36">
        <v>45755</v>
      </c>
      <c r="C166" s="35">
        <v>99632</v>
      </c>
      <c r="D166" s="35" t="s">
        <v>21</v>
      </c>
      <c r="E166" s="57">
        <v>66</v>
      </c>
      <c r="F166" s="35" t="s">
        <v>62</v>
      </c>
      <c r="G166" s="62">
        <f t="shared" si="7"/>
        <v>45754</v>
      </c>
    </row>
    <row r="167" spans="1:7">
      <c r="A167" s="35" t="s">
        <v>89</v>
      </c>
      <c r="B167" s="36">
        <v>45755</v>
      </c>
      <c r="C167" s="35">
        <v>99633</v>
      </c>
      <c r="D167" s="35" t="s">
        <v>22</v>
      </c>
      <c r="E167" s="57">
        <v>72</v>
      </c>
      <c r="F167" s="35" t="s">
        <v>62</v>
      </c>
      <c r="G167" s="62">
        <f t="shared" si="7"/>
        <v>45754</v>
      </c>
    </row>
    <row r="168" spans="1:7">
      <c r="A168" s="35" t="s">
        <v>89</v>
      </c>
      <c r="B168" s="36">
        <v>45755</v>
      </c>
      <c r="C168" s="35">
        <v>99646</v>
      </c>
      <c r="D168" s="35" t="s">
        <v>23</v>
      </c>
      <c r="E168" s="57">
        <v>73</v>
      </c>
      <c r="F168" s="35" t="s">
        <v>62</v>
      </c>
      <c r="G168" s="62">
        <f t="shared" si="7"/>
        <v>45754</v>
      </c>
    </row>
    <row r="169" spans="1:7">
      <c r="A169" s="35" t="s">
        <v>89</v>
      </c>
      <c r="B169" s="36">
        <v>45755</v>
      </c>
      <c r="C169" s="35">
        <v>99635</v>
      </c>
      <c r="D169" s="35" t="s">
        <v>24</v>
      </c>
      <c r="E169" s="57">
        <v>72</v>
      </c>
      <c r="F169" s="35" t="s">
        <v>62</v>
      </c>
      <c r="G169" s="62">
        <f t="shared" si="7"/>
        <v>45754</v>
      </c>
    </row>
    <row r="170" spans="1:7">
      <c r="A170" s="35" t="s">
        <v>89</v>
      </c>
      <c r="B170" s="36">
        <v>45755</v>
      </c>
      <c r="C170" s="35">
        <v>99944</v>
      </c>
      <c r="D170" s="35" t="s">
        <v>25</v>
      </c>
      <c r="E170" s="57">
        <v>76</v>
      </c>
      <c r="F170" s="35" t="s">
        <v>62</v>
      </c>
      <c r="G170" s="62">
        <f t="shared" si="7"/>
        <v>45754</v>
      </c>
    </row>
    <row r="171" spans="1:7">
      <c r="A171" s="35" t="s">
        <v>89</v>
      </c>
      <c r="B171" s="36">
        <v>45755</v>
      </c>
      <c r="C171" s="35">
        <v>99636</v>
      </c>
      <c r="D171" s="35" t="s">
        <v>26</v>
      </c>
      <c r="E171" s="57">
        <v>115</v>
      </c>
      <c r="F171" s="35" t="s">
        <v>62</v>
      </c>
      <c r="G171" s="62">
        <f t="shared" si="7"/>
        <v>45754</v>
      </c>
    </row>
    <row r="172" spans="1:7">
      <c r="A172" s="35" t="s">
        <v>89</v>
      </c>
      <c r="B172" s="36">
        <v>45755</v>
      </c>
      <c r="C172" s="35">
        <v>99631</v>
      </c>
      <c r="D172" s="35" t="s">
        <v>66</v>
      </c>
      <c r="E172" s="57">
        <v>54</v>
      </c>
      <c r="F172" s="35" t="s">
        <v>62</v>
      </c>
      <c r="G172" s="62">
        <f t="shared" si="7"/>
        <v>45754</v>
      </c>
    </row>
    <row r="173" spans="1:7">
      <c r="A173" s="35" t="s">
        <v>90</v>
      </c>
      <c r="B173" s="36">
        <v>45762</v>
      </c>
      <c r="C173" s="35">
        <v>99629</v>
      </c>
      <c r="D173" s="35" t="s">
        <v>65</v>
      </c>
      <c r="E173" s="57">
        <v>66</v>
      </c>
      <c r="F173" s="35" t="s">
        <v>62</v>
      </c>
      <c r="G173" s="62">
        <f t="shared" si="7"/>
        <v>45761</v>
      </c>
    </row>
    <row r="174" spans="1:7">
      <c r="A174" s="35" t="s">
        <v>90</v>
      </c>
      <c r="B174" s="36">
        <v>45762</v>
      </c>
      <c r="C174" s="35">
        <v>99630</v>
      </c>
      <c r="D174" s="35" t="s">
        <v>19</v>
      </c>
      <c r="E174" s="57">
        <v>61</v>
      </c>
      <c r="F174" s="35" t="s">
        <v>62</v>
      </c>
      <c r="G174" s="62">
        <f t="shared" si="7"/>
        <v>45761</v>
      </c>
    </row>
    <row r="175" spans="1:7">
      <c r="A175" s="35" t="s">
        <v>90</v>
      </c>
      <c r="B175" s="36">
        <v>45762</v>
      </c>
      <c r="C175" s="35">
        <v>99638</v>
      </c>
      <c r="D175" s="35" t="s">
        <v>20</v>
      </c>
      <c r="E175" s="57">
        <v>50</v>
      </c>
      <c r="F175" s="35" t="s">
        <v>62</v>
      </c>
      <c r="G175" s="62">
        <f t="shared" si="7"/>
        <v>45761</v>
      </c>
    </row>
    <row r="176" spans="1:7">
      <c r="A176" s="35" t="s">
        <v>90</v>
      </c>
      <c r="B176" s="36">
        <v>45762</v>
      </c>
      <c r="C176" s="35">
        <v>99632</v>
      </c>
      <c r="D176" s="35" t="s">
        <v>21</v>
      </c>
      <c r="E176" s="57">
        <v>66</v>
      </c>
      <c r="F176" s="35" t="s">
        <v>62</v>
      </c>
      <c r="G176" s="62">
        <f t="shared" si="7"/>
        <v>45761</v>
      </c>
    </row>
    <row r="177" spans="1:7">
      <c r="A177" s="35" t="s">
        <v>90</v>
      </c>
      <c r="B177" s="36">
        <v>45762</v>
      </c>
      <c r="C177" s="35">
        <v>99633</v>
      </c>
      <c r="D177" s="35" t="s">
        <v>22</v>
      </c>
      <c r="E177" s="57">
        <v>66</v>
      </c>
      <c r="F177" s="35" t="s">
        <v>62</v>
      </c>
      <c r="G177" s="62">
        <f t="shared" si="7"/>
        <v>45761</v>
      </c>
    </row>
    <row r="178" spans="1:7">
      <c r="A178" s="35" t="s">
        <v>90</v>
      </c>
      <c r="B178" s="36">
        <v>45762</v>
      </c>
      <c r="C178" s="35">
        <v>99646</v>
      </c>
      <c r="D178" s="35" t="s">
        <v>23</v>
      </c>
      <c r="E178" s="57">
        <v>66</v>
      </c>
      <c r="F178" s="35" t="s">
        <v>62</v>
      </c>
      <c r="G178" s="62">
        <f t="shared" si="7"/>
        <v>45761</v>
      </c>
    </row>
    <row r="179" spans="1:7">
      <c r="A179" s="35" t="s">
        <v>90</v>
      </c>
      <c r="B179" s="36">
        <v>45762</v>
      </c>
      <c r="C179" s="35">
        <v>99635</v>
      </c>
      <c r="D179" s="35" t="s">
        <v>24</v>
      </c>
      <c r="E179" s="57">
        <v>60</v>
      </c>
      <c r="F179" s="35" t="s">
        <v>62</v>
      </c>
      <c r="G179" s="62">
        <f t="shared" si="7"/>
        <v>45761</v>
      </c>
    </row>
    <row r="180" spans="1:7">
      <c r="A180" s="35" t="s">
        <v>90</v>
      </c>
      <c r="B180" s="36">
        <v>45762</v>
      </c>
      <c r="C180" s="35">
        <v>99944</v>
      </c>
      <c r="D180" s="35" t="s">
        <v>25</v>
      </c>
      <c r="E180" s="57">
        <v>66</v>
      </c>
      <c r="F180" s="35" t="s">
        <v>62</v>
      </c>
      <c r="G180" s="62">
        <f t="shared" si="7"/>
        <v>45761</v>
      </c>
    </row>
    <row r="181" spans="1:7">
      <c r="A181" s="35" t="s">
        <v>90</v>
      </c>
      <c r="B181" s="36">
        <v>45762</v>
      </c>
      <c r="C181" s="35">
        <v>99636</v>
      </c>
      <c r="D181" s="35" t="s">
        <v>26</v>
      </c>
      <c r="E181" s="57">
        <v>66</v>
      </c>
      <c r="F181" s="35" t="s">
        <v>62</v>
      </c>
      <c r="G181" s="62">
        <f t="shared" si="7"/>
        <v>45761</v>
      </c>
    </row>
    <row r="182" spans="1:7">
      <c r="A182" s="35" t="s">
        <v>90</v>
      </c>
      <c r="B182" s="36">
        <v>45762</v>
      </c>
      <c r="C182" s="35">
        <v>99631</v>
      </c>
      <c r="D182" s="35" t="s">
        <v>66</v>
      </c>
      <c r="E182" s="57">
        <v>67</v>
      </c>
      <c r="F182" s="35" t="s">
        <v>62</v>
      </c>
      <c r="G182" s="62">
        <f t="shared" si="7"/>
        <v>45761</v>
      </c>
    </row>
    <row r="183" spans="1:7">
      <c r="A183" s="35" t="s">
        <v>91</v>
      </c>
      <c r="B183" s="36">
        <v>45769</v>
      </c>
      <c r="C183" s="35">
        <v>99629</v>
      </c>
      <c r="D183" s="35" t="s">
        <v>65</v>
      </c>
      <c r="E183" s="57">
        <v>66</v>
      </c>
      <c r="F183" s="35" t="s">
        <v>62</v>
      </c>
      <c r="G183" s="62">
        <f t="shared" si="7"/>
        <v>45768</v>
      </c>
    </row>
    <row r="184" spans="1:7">
      <c r="A184" s="35" t="s">
        <v>91</v>
      </c>
      <c r="B184" s="36">
        <v>45404</v>
      </c>
      <c r="C184" s="35">
        <v>99630</v>
      </c>
      <c r="D184" s="35" t="s">
        <v>19</v>
      </c>
      <c r="E184" s="57">
        <v>20</v>
      </c>
      <c r="F184" s="35" t="s">
        <v>62</v>
      </c>
      <c r="G184" s="62">
        <f t="shared" si="7"/>
        <v>45404</v>
      </c>
    </row>
    <row r="185" spans="1:7">
      <c r="A185" s="35" t="s">
        <v>91</v>
      </c>
      <c r="B185" s="36">
        <v>45404</v>
      </c>
      <c r="C185" s="35">
        <v>99638</v>
      </c>
      <c r="D185" s="35" t="s">
        <v>20</v>
      </c>
      <c r="E185" s="57">
        <v>20</v>
      </c>
      <c r="F185" s="35" t="s">
        <v>62</v>
      </c>
      <c r="G185" s="62">
        <f t="shared" si="7"/>
        <v>45404</v>
      </c>
    </row>
    <row r="186" spans="1:7">
      <c r="A186" s="35" t="s">
        <v>91</v>
      </c>
      <c r="B186" s="36">
        <v>45404</v>
      </c>
      <c r="C186" s="35">
        <v>99632</v>
      </c>
      <c r="D186" s="35" t="s">
        <v>21</v>
      </c>
      <c r="E186" s="57">
        <v>51</v>
      </c>
      <c r="F186" s="35" t="s">
        <v>62</v>
      </c>
      <c r="G186" s="62">
        <f t="shared" si="7"/>
        <v>45404</v>
      </c>
    </row>
    <row r="187" spans="1:7">
      <c r="A187" s="35" t="s">
        <v>91</v>
      </c>
      <c r="B187" s="36">
        <v>45404</v>
      </c>
      <c r="C187" s="35">
        <v>99633</v>
      </c>
      <c r="D187" s="35" t="s">
        <v>22</v>
      </c>
      <c r="E187" s="57">
        <v>66</v>
      </c>
      <c r="F187" s="35" t="s">
        <v>62</v>
      </c>
      <c r="G187" s="62">
        <f t="shared" si="7"/>
        <v>45404</v>
      </c>
    </row>
    <row r="188" spans="1:7">
      <c r="A188" s="35" t="s">
        <v>91</v>
      </c>
      <c r="B188" s="36">
        <v>45404</v>
      </c>
      <c r="C188" s="35">
        <v>99646</v>
      </c>
      <c r="D188" s="35" t="s">
        <v>23</v>
      </c>
      <c r="E188" s="57">
        <v>66</v>
      </c>
      <c r="F188" s="35" t="s">
        <v>62</v>
      </c>
      <c r="G188" s="62">
        <f t="shared" si="7"/>
        <v>45404</v>
      </c>
    </row>
    <row r="189" spans="1:7">
      <c r="A189" s="35" t="s">
        <v>91</v>
      </c>
      <c r="B189" s="36">
        <v>45404</v>
      </c>
      <c r="C189" s="35">
        <v>99635</v>
      </c>
      <c r="D189" s="35" t="s">
        <v>24</v>
      </c>
      <c r="E189" s="57">
        <v>66</v>
      </c>
      <c r="F189" s="35" t="s">
        <v>62</v>
      </c>
      <c r="G189" s="62">
        <f t="shared" si="7"/>
        <v>45404</v>
      </c>
    </row>
    <row r="190" spans="1:7">
      <c r="A190" s="35" t="s">
        <v>91</v>
      </c>
      <c r="B190" s="36">
        <v>45404</v>
      </c>
      <c r="C190" s="35">
        <v>99944</v>
      </c>
      <c r="D190" s="35" t="s">
        <v>25</v>
      </c>
      <c r="E190" s="57">
        <v>66</v>
      </c>
      <c r="F190" s="35" t="s">
        <v>62</v>
      </c>
      <c r="G190" s="62">
        <f t="shared" si="7"/>
        <v>45404</v>
      </c>
    </row>
    <row r="191" spans="1:7">
      <c r="A191" s="35" t="s">
        <v>91</v>
      </c>
      <c r="B191" s="36">
        <v>45404</v>
      </c>
      <c r="C191" s="35">
        <v>99636</v>
      </c>
      <c r="D191" s="35" t="s">
        <v>26</v>
      </c>
      <c r="E191" s="57">
        <v>50</v>
      </c>
      <c r="F191" s="35" t="s">
        <v>62</v>
      </c>
      <c r="G191" s="62">
        <f t="shared" si="7"/>
        <v>45404</v>
      </c>
    </row>
    <row r="192" spans="1:7">
      <c r="A192" s="35" t="s">
        <v>91</v>
      </c>
      <c r="B192" s="36">
        <v>45404</v>
      </c>
      <c r="C192" s="35">
        <v>99631</v>
      </c>
      <c r="D192" s="35" t="s">
        <v>66</v>
      </c>
      <c r="E192" s="57">
        <v>68</v>
      </c>
      <c r="F192" s="35" t="s">
        <v>62</v>
      </c>
      <c r="G192" s="62">
        <f t="shared" si="7"/>
        <v>45404</v>
      </c>
    </row>
    <row r="193" spans="1:7">
      <c r="A193" s="35" t="s">
        <v>92</v>
      </c>
      <c r="B193" s="36">
        <v>45776</v>
      </c>
      <c r="C193" s="35">
        <v>99629</v>
      </c>
      <c r="D193" s="35" t="s">
        <v>65</v>
      </c>
      <c r="E193" s="57">
        <v>66</v>
      </c>
      <c r="F193" s="35" t="s">
        <v>62</v>
      </c>
      <c r="G193" s="62">
        <f t="shared" si="7"/>
        <v>45775</v>
      </c>
    </row>
    <row r="194" spans="1:7">
      <c r="A194" s="35" t="s">
        <v>92</v>
      </c>
      <c r="B194" s="36">
        <v>45776</v>
      </c>
      <c r="C194" s="35">
        <v>99630</v>
      </c>
      <c r="D194" s="35" t="s">
        <v>19</v>
      </c>
      <c r="E194" s="57">
        <v>60</v>
      </c>
      <c r="F194" s="35" t="s">
        <v>62</v>
      </c>
      <c r="G194" s="62">
        <f t="shared" si="7"/>
        <v>45775</v>
      </c>
    </row>
    <row r="195" spans="1:7">
      <c r="A195" s="35" t="s">
        <v>92</v>
      </c>
      <c r="B195" s="36">
        <v>45776</v>
      </c>
      <c r="C195" s="35">
        <v>99638</v>
      </c>
      <c r="D195" s="35" t="s">
        <v>20</v>
      </c>
      <c r="E195" s="57">
        <v>36</v>
      </c>
      <c r="F195" s="35" t="s">
        <v>62</v>
      </c>
      <c r="G195" s="62">
        <f t="shared" si="7"/>
        <v>45775</v>
      </c>
    </row>
    <row r="196" spans="1:7">
      <c r="A196" s="35" t="s">
        <v>92</v>
      </c>
      <c r="B196" s="36">
        <v>45776</v>
      </c>
      <c r="C196" s="35">
        <v>99633</v>
      </c>
      <c r="D196" s="35" t="s">
        <v>22</v>
      </c>
      <c r="E196" s="57">
        <v>63</v>
      </c>
      <c r="F196" s="35" t="s">
        <v>62</v>
      </c>
      <c r="G196" s="62">
        <f t="shared" ref="G196:G222" si="8">B196-WEEKDAY(B196,3)</f>
        <v>45775</v>
      </c>
    </row>
    <row r="197" spans="1:7">
      <c r="A197" s="35" t="s">
        <v>92</v>
      </c>
      <c r="B197" s="36">
        <v>45776</v>
      </c>
      <c r="C197" s="35">
        <v>99646</v>
      </c>
      <c r="D197" s="35" t="s">
        <v>23</v>
      </c>
      <c r="E197" s="57">
        <v>47</v>
      </c>
      <c r="F197" s="35" t="s">
        <v>62</v>
      </c>
      <c r="G197" s="62">
        <f t="shared" si="8"/>
        <v>45775</v>
      </c>
    </row>
    <row r="198" spans="1:7">
      <c r="A198" s="35" t="s">
        <v>92</v>
      </c>
      <c r="B198" s="36">
        <v>45776</v>
      </c>
      <c r="C198" s="35">
        <v>99635</v>
      </c>
      <c r="D198" s="35" t="s">
        <v>24</v>
      </c>
      <c r="E198" s="57">
        <v>44</v>
      </c>
      <c r="F198" s="35" t="s">
        <v>62</v>
      </c>
      <c r="G198" s="62">
        <f t="shared" si="8"/>
        <v>45775</v>
      </c>
    </row>
    <row r="199" spans="1:7">
      <c r="A199" s="35" t="s">
        <v>92</v>
      </c>
      <c r="B199" s="36">
        <v>45776</v>
      </c>
      <c r="C199" s="35">
        <v>99944</v>
      </c>
      <c r="D199" s="35" t="s">
        <v>25</v>
      </c>
      <c r="E199" s="57">
        <v>36</v>
      </c>
      <c r="F199" s="35" t="s">
        <v>62</v>
      </c>
      <c r="G199" s="62">
        <f t="shared" si="8"/>
        <v>45775</v>
      </c>
    </row>
    <row r="200" spans="1:7">
      <c r="A200" s="35" t="s">
        <v>92</v>
      </c>
      <c r="B200" s="36">
        <v>45776</v>
      </c>
      <c r="C200" s="35">
        <v>99636</v>
      </c>
      <c r="D200" s="35" t="s">
        <v>26</v>
      </c>
      <c r="E200" s="57">
        <v>26</v>
      </c>
      <c r="F200" s="35" t="s">
        <v>62</v>
      </c>
      <c r="G200" s="62">
        <f t="shared" si="8"/>
        <v>45775</v>
      </c>
    </row>
    <row r="201" spans="1:7">
      <c r="A201" s="35" t="s">
        <v>93</v>
      </c>
      <c r="B201" s="36">
        <v>45783</v>
      </c>
      <c r="C201" s="35">
        <v>99629</v>
      </c>
      <c r="D201" s="35" t="s">
        <v>65</v>
      </c>
      <c r="E201" s="57">
        <v>66</v>
      </c>
      <c r="F201" s="35" t="s">
        <v>62</v>
      </c>
      <c r="G201" s="62">
        <f t="shared" si="8"/>
        <v>45782</v>
      </c>
    </row>
    <row r="202" spans="1:7">
      <c r="A202" s="35" t="s">
        <v>93</v>
      </c>
      <c r="B202" s="36">
        <v>45783</v>
      </c>
      <c r="C202" s="35">
        <v>99630</v>
      </c>
      <c r="D202" s="35" t="s">
        <v>19</v>
      </c>
      <c r="E202" s="57">
        <v>80</v>
      </c>
      <c r="F202" s="35" t="s">
        <v>62</v>
      </c>
      <c r="G202" s="62">
        <f t="shared" si="8"/>
        <v>45782</v>
      </c>
    </row>
    <row r="203" spans="1:7">
      <c r="A203" s="35" t="s">
        <v>93</v>
      </c>
      <c r="B203" s="36">
        <v>45783</v>
      </c>
      <c r="C203" s="35">
        <v>99632</v>
      </c>
      <c r="D203" s="35" t="s">
        <v>21</v>
      </c>
      <c r="E203" s="57">
        <v>66</v>
      </c>
      <c r="F203" s="35" t="s">
        <v>62</v>
      </c>
      <c r="G203" s="62">
        <f t="shared" si="8"/>
        <v>45782</v>
      </c>
    </row>
    <row r="204" spans="1:7">
      <c r="A204" s="35" t="s">
        <v>93</v>
      </c>
      <c r="B204" s="36">
        <v>45783</v>
      </c>
      <c r="C204" s="35">
        <v>99631</v>
      </c>
      <c r="D204" s="35" t="s">
        <v>66</v>
      </c>
      <c r="E204" s="57">
        <v>32</v>
      </c>
      <c r="F204" s="35" t="s">
        <v>62</v>
      </c>
      <c r="G204" s="62">
        <f t="shared" si="8"/>
        <v>45782</v>
      </c>
    </row>
    <row r="205" spans="1:7">
      <c r="A205" s="35" t="s">
        <v>94</v>
      </c>
      <c r="B205" s="36">
        <v>45790</v>
      </c>
      <c r="C205" s="35">
        <v>99629</v>
      </c>
      <c r="D205" s="35" t="s">
        <v>65</v>
      </c>
      <c r="E205" s="57">
        <v>66</v>
      </c>
      <c r="F205" s="35" t="s">
        <v>62</v>
      </c>
      <c r="G205" s="62">
        <f t="shared" si="8"/>
        <v>45789</v>
      </c>
    </row>
    <row r="206" spans="1:7">
      <c r="A206" s="35" t="s">
        <v>94</v>
      </c>
      <c r="B206" s="36">
        <v>45790</v>
      </c>
      <c r="C206" s="35">
        <v>99630</v>
      </c>
      <c r="D206" s="35" t="s">
        <v>19</v>
      </c>
      <c r="E206" s="57">
        <v>35</v>
      </c>
      <c r="F206" s="35" t="s">
        <v>62</v>
      </c>
      <c r="G206" s="62">
        <f t="shared" si="8"/>
        <v>45789</v>
      </c>
    </row>
    <row r="207" spans="1:7">
      <c r="A207" s="35" t="s">
        <v>94</v>
      </c>
      <c r="B207" s="36">
        <v>45790</v>
      </c>
      <c r="C207" s="35">
        <v>99632</v>
      </c>
      <c r="D207" s="35" t="s">
        <v>21</v>
      </c>
      <c r="E207" s="57">
        <v>66</v>
      </c>
      <c r="F207" s="35" t="s">
        <v>62</v>
      </c>
      <c r="G207" s="62">
        <f t="shared" si="8"/>
        <v>45789</v>
      </c>
    </row>
    <row r="208" spans="1:7">
      <c r="A208" s="35" t="s">
        <v>94</v>
      </c>
      <c r="B208" s="36">
        <v>45790</v>
      </c>
      <c r="C208" s="35">
        <v>99631</v>
      </c>
      <c r="D208" s="35" t="s">
        <v>66</v>
      </c>
      <c r="E208" s="57">
        <v>72</v>
      </c>
      <c r="F208" s="35" t="s">
        <v>62</v>
      </c>
      <c r="G208" s="62">
        <f t="shared" si="8"/>
        <v>45789</v>
      </c>
    </row>
    <row r="209" spans="1:7">
      <c r="A209" s="35" t="s">
        <v>95</v>
      </c>
      <c r="B209" s="36">
        <v>45797</v>
      </c>
      <c r="C209" s="35">
        <v>99629</v>
      </c>
      <c r="D209" s="35" t="s">
        <v>65</v>
      </c>
      <c r="E209" s="57">
        <v>33</v>
      </c>
      <c r="F209" s="35" t="s">
        <v>62</v>
      </c>
      <c r="G209" s="62">
        <f t="shared" si="8"/>
        <v>45796</v>
      </c>
    </row>
    <row r="210" spans="1:7">
      <c r="A210" s="35" t="s">
        <v>95</v>
      </c>
      <c r="B210" s="36">
        <v>45797</v>
      </c>
      <c r="C210" s="35">
        <v>99632</v>
      </c>
      <c r="D210" s="35" t="s">
        <v>21</v>
      </c>
      <c r="E210" s="57">
        <v>132</v>
      </c>
      <c r="F210" s="35" t="s">
        <v>62</v>
      </c>
      <c r="G210" s="62">
        <f t="shared" si="8"/>
        <v>45796</v>
      </c>
    </row>
    <row r="211" spans="1:7">
      <c r="A211" s="35" t="s">
        <v>95</v>
      </c>
      <c r="B211" s="36">
        <v>45797</v>
      </c>
      <c r="C211" s="35">
        <v>99631</v>
      </c>
      <c r="D211" s="35" t="s">
        <v>66</v>
      </c>
      <c r="E211" s="57">
        <v>54</v>
      </c>
      <c r="F211" s="35" t="s">
        <v>62</v>
      </c>
      <c r="G211" s="62">
        <f t="shared" si="8"/>
        <v>45796</v>
      </c>
    </row>
    <row r="212" spans="1:7">
      <c r="A212" s="35" t="s">
        <v>96</v>
      </c>
      <c r="B212" s="36">
        <v>45804</v>
      </c>
      <c r="C212" s="35">
        <v>99629</v>
      </c>
      <c r="D212" s="35" t="s">
        <v>65</v>
      </c>
      <c r="E212" s="57">
        <v>55</v>
      </c>
      <c r="F212" s="35" t="s">
        <v>62</v>
      </c>
      <c r="G212" s="62">
        <f t="shared" si="8"/>
        <v>45803</v>
      </c>
    </row>
    <row r="213" spans="1:7">
      <c r="A213" s="35" t="s">
        <v>96</v>
      </c>
      <c r="B213" s="36">
        <v>45804</v>
      </c>
      <c r="C213" s="35">
        <v>99630</v>
      </c>
      <c r="D213" s="35" t="s">
        <v>19</v>
      </c>
      <c r="E213" s="57">
        <v>40</v>
      </c>
      <c r="F213" s="35" t="s">
        <v>62</v>
      </c>
      <c r="G213" s="62">
        <f t="shared" si="8"/>
        <v>45803</v>
      </c>
    </row>
    <row r="214" spans="1:7">
      <c r="A214" s="35" t="s">
        <v>96</v>
      </c>
      <c r="B214" s="36">
        <v>45804</v>
      </c>
      <c r="C214" s="35">
        <v>99638</v>
      </c>
      <c r="D214" s="35" t="s">
        <v>20</v>
      </c>
      <c r="E214" s="57">
        <v>84</v>
      </c>
      <c r="F214" s="35" t="s">
        <v>62</v>
      </c>
      <c r="G214" s="62">
        <f t="shared" si="8"/>
        <v>45803</v>
      </c>
    </row>
    <row r="215" spans="1:7">
      <c r="A215" s="35" t="s">
        <v>96</v>
      </c>
      <c r="B215" s="36">
        <v>45804</v>
      </c>
      <c r="C215" s="35">
        <v>99632</v>
      </c>
      <c r="D215" s="35" t="s">
        <v>21</v>
      </c>
      <c r="E215" s="57">
        <v>44</v>
      </c>
      <c r="F215" s="35" t="s">
        <v>62</v>
      </c>
      <c r="G215" s="62">
        <f t="shared" si="8"/>
        <v>45803</v>
      </c>
    </row>
    <row r="216" spans="1:7">
      <c r="A216" s="35" t="s">
        <v>96</v>
      </c>
      <c r="B216" s="36">
        <v>45804</v>
      </c>
      <c r="C216" s="35">
        <v>99631</v>
      </c>
      <c r="D216" s="35" t="s">
        <v>66</v>
      </c>
      <c r="E216" s="57">
        <v>36</v>
      </c>
      <c r="F216" s="35" t="s">
        <v>62</v>
      </c>
      <c r="G216" s="62">
        <f t="shared" si="8"/>
        <v>45803</v>
      </c>
    </row>
    <row r="217" spans="1:7">
      <c r="A217" s="35" t="s">
        <v>97</v>
      </c>
      <c r="B217" s="36">
        <v>45811</v>
      </c>
      <c r="C217" s="35">
        <v>99629</v>
      </c>
      <c r="D217" s="35" t="s">
        <v>65</v>
      </c>
      <c r="E217" s="57">
        <v>11</v>
      </c>
      <c r="F217" s="35" t="s">
        <v>83</v>
      </c>
      <c r="G217" s="62">
        <f t="shared" si="8"/>
        <v>45810</v>
      </c>
    </row>
    <row r="218" spans="1:7">
      <c r="A218" s="35" t="s">
        <v>97</v>
      </c>
      <c r="B218" s="36">
        <v>45811</v>
      </c>
      <c r="C218" s="35">
        <v>99632</v>
      </c>
      <c r="D218" s="35" t="s">
        <v>21</v>
      </c>
      <c r="E218" s="57">
        <v>17</v>
      </c>
      <c r="F218" s="35" t="s">
        <v>83</v>
      </c>
      <c r="G218" s="62">
        <f t="shared" si="8"/>
        <v>45810</v>
      </c>
    </row>
    <row r="219" spans="1:7">
      <c r="A219" s="35" t="s">
        <v>97</v>
      </c>
      <c r="B219" s="36">
        <v>45811</v>
      </c>
      <c r="C219" s="35">
        <v>99635</v>
      </c>
      <c r="D219" s="35" t="s">
        <v>24</v>
      </c>
      <c r="E219" s="57">
        <v>22</v>
      </c>
      <c r="F219" s="35" t="s">
        <v>83</v>
      </c>
      <c r="G219" s="62">
        <f t="shared" si="8"/>
        <v>45810</v>
      </c>
    </row>
    <row r="220" spans="1:7">
      <c r="A220" s="35" t="s">
        <v>97</v>
      </c>
      <c r="B220" s="36">
        <v>45811</v>
      </c>
      <c r="C220" s="35">
        <v>99944</v>
      </c>
      <c r="D220" s="35" t="s">
        <v>25</v>
      </c>
      <c r="E220" s="57">
        <v>24</v>
      </c>
      <c r="F220" s="35" t="s">
        <v>83</v>
      </c>
      <c r="G220" s="62">
        <f t="shared" si="8"/>
        <v>45810</v>
      </c>
    </row>
    <row r="221" spans="1:7">
      <c r="A221" s="35" t="s">
        <v>97</v>
      </c>
      <c r="B221" s="36">
        <v>45811</v>
      </c>
      <c r="C221" s="35">
        <v>99630</v>
      </c>
      <c r="D221" s="35" t="s">
        <v>19</v>
      </c>
      <c r="E221" s="57">
        <v>20</v>
      </c>
      <c r="F221" s="35" t="s">
        <v>83</v>
      </c>
      <c r="G221" s="62">
        <f t="shared" si="8"/>
        <v>45810</v>
      </c>
    </row>
    <row r="222" spans="1:7">
      <c r="A222" s="35" t="s">
        <v>98</v>
      </c>
      <c r="B222" s="36">
        <v>45813</v>
      </c>
      <c r="C222" s="35">
        <v>99629</v>
      </c>
      <c r="D222" s="35" t="s">
        <v>65</v>
      </c>
      <c r="E222" s="57">
        <v>33</v>
      </c>
      <c r="F222" s="35" t="s">
        <v>62</v>
      </c>
      <c r="G222" s="62">
        <f t="shared" si="8"/>
        <v>45810</v>
      </c>
    </row>
    <row r="223" spans="1:7">
      <c r="A223" s="35" t="s">
        <v>98</v>
      </c>
      <c r="B223" s="36">
        <v>45813</v>
      </c>
      <c r="C223" s="35">
        <v>99630</v>
      </c>
      <c r="D223" s="35" t="s">
        <v>19</v>
      </c>
      <c r="E223" s="57">
        <v>40</v>
      </c>
      <c r="F223" s="35" t="s">
        <v>62</v>
      </c>
      <c r="G223" s="62">
        <f>B223-WEEKDAY(B223,3)</f>
        <v>45810</v>
      </c>
    </row>
    <row r="224" spans="1:7">
      <c r="A224" s="35" t="s">
        <v>98</v>
      </c>
      <c r="B224" s="36">
        <v>45813</v>
      </c>
      <c r="C224" s="35">
        <v>99632</v>
      </c>
      <c r="D224" s="35" t="s">
        <v>21</v>
      </c>
      <c r="E224" s="57">
        <v>66</v>
      </c>
      <c r="F224" s="35" t="s">
        <v>62</v>
      </c>
      <c r="G224" s="62">
        <f t="shared" ref="G224:G321" si="9">B224-WEEKDAY(B224,3)</f>
        <v>45810</v>
      </c>
    </row>
    <row r="225" spans="1:7">
      <c r="A225" s="35" t="s">
        <v>98</v>
      </c>
      <c r="B225" s="36">
        <v>45813</v>
      </c>
      <c r="C225" s="35">
        <v>99633</v>
      </c>
      <c r="D225" s="35" t="s">
        <v>22</v>
      </c>
      <c r="E225" s="57">
        <v>71</v>
      </c>
      <c r="F225" s="35" t="s">
        <v>62</v>
      </c>
      <c r="G225" s="62">
        <f t="shared" si="9"/>
        <v>45810</v>
      </c>
    </row>
    <row r="226" spans="1:7">
      <c r="A226" s="35" t="s">
        <v>98</v>
      </c>
      <c r="B226" s="36">
        <v>45813</v>
      </c>
      <c r="C226" s="35">
        <v>99646</v>
      </c>
      <c r="D226" s="35" t="s">
        <v>23</v>
      </c>
      <c r="E226" s="57">
        <v>79</v>
      </c>
      <c r="F226" s="35" t="s">
        <v>62</v>
      </c>
      <c r="G226" s="62">
        <f t="shared" si="9"/>
        <v>45810</v>
      </c>
    </row>
    <row r="227" spans="1:7">
      <c r="A227" s="35" t="s">
        <v>98</v>
      </c>
      <c r="B227" s="36">
        <v>45813</v>
      </c>
      <c r="C227" s="35">
        <v>99635</v>
      </c>
      <c r="D227" s="35" t="s">
        <v>24</v>
      </c>
      <c r="E227" s="57">
        <v>38</v>
      </c>
      <c r="F227" s="35" t="s">
        <v>62</v>
      </c>
      <c r="G227" s="62">
        <f t="shared" si="9"/>
        <v>45810</v>
      </c>
    </row>
    <row r="228" spans="1:7">
      <c r="A228" s="35" t="s">
        <v>98</v>
      </c>
      <c r="B228" s="36">
        <v>45813</v>
      </c>
      <c r="C228" s="35">
        <v>99944</v>
      </c>
      <c r="D228" s="35" t="s">
        <v>25</v>
      </c>
      <c r="E228" s="57">
        <v>36</v>
      </c>
      <c r="F228" s="35" t="s">
        <v>62</v>
      </c>
      <c r="G228" s="62">
        <f t="shared" si="9"/>
        <v>45810</v>
      </c>
    </row>
    <row r="229" spans="1:7">
      <c r="A229" s="35" t="s">
        <v>98</v>
      </c>
      <c r="B229" s="36">
        <v>45813</v>
      </c>
      <c r="C229" s="35">
        <v>99636</v>
      </c>
      <c r="D229" s="35" t="s">
        <v>26</v>
      </c>
      <c r="E229" s="57">
        <v>66</v>
      </c>
      <c r="F229" s="35" t="s">
        <v>62</v>
      </c>
      <c r="G229" s="62">
        <f t="shared" si="9"/>
        <v>45810</v>
      </c>
    </row>
    <row r="230" spans="1:7">
      <c r="A230" s="35" t="s">
        <v>98</v>
      </c>
      <c r="B230" s="36">
        <v>45813</v>
      </c>
      <c r="C230" s="35">
        <v>99631</v>
      </c>
      <c r="D230" s="35" t="s">
        <v>66</v>
      </c>
      <c r="E230" s="57">
        <v>35</v>
      </c>
      <c r="F230" s="35" t="s">
        <v>62</v>
      </c>
      <c r="G230" s="62">
        <f t="shared" si="9"/>
        <v>45810</v>
      </c>
    </row>
    <row r="231" spans="1:7">
      <c r="A231" s="35" t="s">
        <v>100</v>
      </c>
      <c r="B231" s="36">
        <v>45817</v>
      </c>
      <c r="C231" s="35">
        <v>99633</v>
      </c>
      <c r="D231" s="35" t="s">
        <v>101</v>
      </c>
      <c r="E231" s="57">
        <v>-480</v>
      </c>
      <c r="F231" s="35" t="s">
        <v>62</v>
      </c>
      <c r="G231" s="62">
        <f t="shared" si="9"/>
        <v>45817</v>
      </c>
    </row>
    <row r="232" spans="1:7">
      <c r="A232" s="35" t="s">
        <v>100</v>
      </c>
      <c r="B232" s="36">
        <v>45817</v>
      </c>
      <c r="C232" s="35">
        <v>99646</v>
      </c>
      <c r="D232" s="35" t="s">
        <v>102</v>
      </c>
      <c r="E232" s="57">
        <v>-480</v>
      </c>
      <c r="F232" s="35" t="s">
        <v>62</v>
      </c>
      <c r="G232" s="62">
        <f t="shared" si="9"/>
        <v>45817</v>
      </c>
    </row>
    <row r="233" spans="1:7">
      <c r="A233" s="35" t="s">
        <v>99</v>
      </c>
      <c r="B233" s="36">
        <v>45818</v>
      </c>
      <c r="C233" s="35">
        <v>99629</v>
      </c>
      <c r="D233" s="35" t="s">
        <v>65</v>
      </c>
      <c r="E233" s="57">
        <v>49</v>
      </c>
      <c r="F233" s="35" t="s">
        <v>62</v>
      </c>
      <c r="G233" s="62">
        <f t="shared" si="9"/>
        <v>45817</v>
      </c>
    </row>
    <row r="234" spans="1:7">
      <c r="A234" s="35" t="s">
        <v>99</v>
      </c>
      <c r="B234" s="36">
        <v>45818</v>
      </c>
      <c r="C234" s="35">
        <v>99630</v>
      </c>
      <c r="D234" s="35" t="s">
        <v>19</v>
      </c>
      <c r="E234" s="57">
        <v>21</v>
      </c>
      <c r="F234" s="35" t="s">
        <v>62</v>
      </c>
      <c r="G234" s="62">
        <f t="shared" si="9"/>
        <v>45817</v>
      </c>
    </row>
    <row r="235" spans="1:7">
      <c r="A235" s="35" t="s">
        <v>99</v>
      </c>
      <c r="B235" s="36">
        <v>45818</v>
      </c>
      <c r="C235" s="35">
        <v>99638</v>
      </c>
      <c r="D235" s="35" t="s">
        <v>20</v>
      </c>
      <c r="E235" s="57">
        <v>49</v>
      </c>
      <c r="F235" s="35" t="s">
        <v>62</v>
      </c>
      <c r="G235" s="62">
        <f t="shared" si="9"/>
        <v>45817</v>
      </c>
    </row>
    <row r="236" spans="1:7">
      <c r="A236" s="35" t="s">
        <v>99</v>
      </c>
      <c r="B236" s="36">
        <v>45818</v>
      </c>
      <c r="C236" s="35">
        <v>99632</v>
      </c>
      <c r="D236" s="35" t="s">
        <v>21</v>
      </c>
      <c r="E236" s="57">
        <v>66</v>
      </c>
      <c r="F236" s="35" t="s">
        <v>62</v>
      </c>
      <c r="G236" s="62">
        <f t="shared" si="9"/>
        <v>45817</v>
      </c>
    </row>
    <row r="237" spans="1:7">
      <c r="A237" s="35" t="s">
        <v>99</v>
      </c>
      <c r="B237" s="36">
        <v>45818</v>
      </c>
      <c r="C237" s="35">
        <v>99635</v>
      </c>
      <c r="D237" s="35" t="s">
        <v>24</v>
      </c>
      <c r="E237" s="57">
        <v>94</v>
      </c>
      <c r="F237" s="35" t="s">
        <v>62</v>
      </c>
      <c r="G237" s="62">
        <f t="shared" si="9"/>
        <v>45817</v>
      </c>
    </row>
    <row r="238" spans="1:7">
      <c r="A238" s="35" t="s">
        <v>99</v>
      </c>
      <c r="B238" s="36">
        <v>45818</v>
      </c>
      <c r="C238" s="35">
        <v>99944</v>
      </c>
      <c r="D238" s="35" t="s">
        <v>25</v>
      </c>
      <c r="E238" s="57">
        <v>94</v>
      </c>
      <c r="F238" s="35" t="s">
        <v>62</v>
      </c>
      <c r="G238" s="62">
        <f t="shared" si="9"/>
        <v>45817</v>
      </c>
    </row>
    <row r="239" spans="1:7">
      <c r="A239" s="35" t="s">
        <v>99</v>
      </c>
      <c r="B239" s="36">
        <v>45818</v>
      </c>
      <c r="C239" s="35">
        <v>99636</v>
      </c>
      <c r="D239" s="35" t="s">
        <v>26</v>
      </c>
      <c r="E239" s="57">
        <v>68</v>
      </c>
      <c r="F239" s="35" t="s">
        <v>62</v>
      </c>
      <c r="G239" s="62">
        <f t="shared" si="9"/>
        <v>45817</v>
      </c>
    </row>
    <row r="240" spans="1:7">
      <c r="A240" s="35" t="s">
        <v>99</v>
      </c>
      <c r="B240" s="36">
        <v>45818</v>
      </c>
      <c r="C240" s="35">
        <v>99631</v>
      </c>
      <c r="D240" s="35" t="s">
        <v>66</v>
      </c>
      <c r="E240" s="57">
        <v>49</v>
      </c>
      <c r="F240" s="35" t="s">
        <v>62</v>
      </c>
      <c r="G240" s="62">
        <f t="shared" si="9"/>
        <v>45817</v>
      </c>
    </row>
    <row r="241" spans="1:7">
      <c r="A241" s="35" t="s">
        <v>106</v>
      </c>
      <c r="B241" s="36">
        <v>45825</v>
      </c>
      <c r="C241" s="35">
        <v>99631</v>
      </c>
      <c r="D241" s="35" t="s">
        <v>66</v>
      </c>
      <c r="E241" s="57">
        <v>-39</v>
      </c>
      <c r="F241" s="35" t="s">
        <v>62</v>
      </c>
      <c r="G241" s="62">
        <f t="shared" si="9"/>
        <v>45824</v>
      </c>
    </row>
    <row r="242" spans="1:7">
      <c r="A242" s="35" t="s">
        <v>106</v>
      </c>
      <c r="B242" s="36">
        <v>45825</v>
      </c>
      <c r="C242" s="35">
        <v>99629</v>
      </c>
      <c r="D242" s="35" t="s">
        <v>65</v>
      </c>
      <c r="E242" s="57">
        <v>-58</v>
      </c>
      <c r="F242" s="35" t="s">
        <v>62</v>
      </c>
      <c r="G242" s="62">
        <f t="shared" si="9"/>
        <v>45824</v>
      </c>
    </row>
    <row r="243" spans="1:7">
      <c r="A243" s="35" t="s">
        <v>106</v>
      </c>
      <c r="B243" s="36">
        <v>45825</v>
      </c>
      <c r="C243" s="35">
        <v>99632</v>
      </c>
      <c r="D243" s="35" t="s">
        <v>21</v>
      </c>
      <c r="E243" s="57">
        <v>-24</v>
      </c>
      <c r="F243" s="35" t="s">
        <v>62</v>
      </c>
      <c r="G243" s="62">
        <f t="shared" si="9"/>
        <v>45824</v>
      </c>
    </row>
    <row r="244" spans="1:7">
      <c r="A244" s="35" t="s">
        <v>105</v>
      </c>
      <c r="B244" s="36">
        <v>45825</v>
      </c>
      <c r="C244" s="35">
        <v>99629</v>
      </c>
      <c r="D244" s="35" t="s">
        <v>65</v>
      </c>
      <c r="E244" s="57">
        <v>11</v>
      </c>
      <c r="F244" s="35" t="s">
        <v>62</v>
      </c>
      <c r="G244" s="62">
        <f t="shared" si="9"/>
        <v>45824</v>
      </c>
    </row>
    <row r="245" spans="1:7">
      <c r="A245" s="35" t="s">
        <v>105</v>
      </c>
      <c r="B245" s="36">
        <v>45825</v>
      </c>
      <c r="C245" s="35">
        <v>99631</v>
      </c>
      <c r="D245" s="35" t="s">
        <v>66</v>
      </c>
      <c r="E245" s="57">
        <v>18</v>
      </c>
      <c r="F245" s="35" t="s">
        <v>62</v>
      </c>
      <c r="G245" s="62">
        <f t="shared" si="9"/>
        <v>45824</v>
      </c>
    </row>
    <row r="246" spans="1:7">
      <c r="A246" s="35" t="s">
        <v>105</v>
      </c>
      <c r="B246" s="36">
        <v>45825</v>
      </c>
      <c r="C246" s="35">
        <v>99633</v>
      </c>
      <c r="D246" s="35" t="s">
        <v>22</v>
      </c>
      <c r="E246" s="57">
        <v>1</v>
      </c>
      <c r="F246" s="35" t="s">
        <v>62</v>
      </c>
      <c r="G246" s="62">
        <f t="shared" si="9"/>
        <v>45824</v>
      </c>
    </row>
    <row r="247" spans="1:7">
      <c r="A247" s="35" t="s">
        <v>105</v>
      </c>
      <c r="B247" s="36">
        <v>45825</v>
      </c>
      <c r="C247" s="35">
        <v>99646</v>
      </c>
      <c r="D247" s="35" t="s">
        <v>23</v>
      </c>
      <c r="E247" s="57">
        <v>3</v>
      </c>
      <c r="F247" s="35" t="s">
        <v>62</v>
      </c>
      <c r="G247" s="62">
        <f t="shared" si="9"/>
        <v>45824</v>
      </c>
    </row>
    <row r="248" spans="1:7">
      <c r="A248" s="35" t="s">
        <v>107</v>
      </c>
      <c r="B248" s="36">
        <v>45827</v>
      </c>
      <c r="C248" s="35">
        <v>99629</v>
      </c>
      <c r="D248" s="35" t="s">
        <v>65</v>
      </c>
      <c r="E248" s="57">
        <v>33</v>
      </c>
      <c r="F248" s="35" t="s">
        <v>62</v>
      </c>
      <c r="G248" s="62">
        <f t="shared" si="9"/>
        <v>45824</v>
      </c>
    </row>
    <row r="249" spans="1:7">
      <c r="A249" s="35" t="s">
        <v>107</v>
      </c>
      <c r="B249" s="36">
        <v>45827</v>
      </c>
      <c r="C249" s="35">
        <v>99631</v>
      </c>
      <c r="D249" s="35" t="s">
        <v>66</v>
      </c>
      <c r="E249" s="57">
        <v>36</v>
      </c>
      <c r="F249" s="35" t="s">
        <v>62</v>
      </c>
      <c r="G249" s="62">
        <f t="shared" si="9"/>
        <v>45824</v>
      </c>
    </row>
    <row r="250" spans="1:7">
      <c r="A250" s="35" t="s">
        <v>107</v>
      </c>
      <c r="B250" s="36">
        <v>45827</v>
      </c>
      <c r="C250" s="35">
        <v>99630</v>
      </c>
      <c r="D250" s="35" t="s">
        <v>19</v>
      </c>
      <c r="E250" s="57">
        <v>40</v>
      </c>
      <c r="F250" s="35" t="s">
        <v>62</v>
      </c>
      <c r="G250" s="62">
        <f t="shared" si="9"/>
        <v>45824</v>
      </c>
    </row>
    <row r="251" spans="1:7">
      <c r="A251" s="35" t="s">
        <v>107</v>
      </c>
      <c r="B251" s="36">
        <v>45827</v>
      </c>
      <c r="C251" s="35">
        <v>99638</v>
      </c>
      <c r="D251" s="35" t="s">
        <v>20</v>
      </c>
      <c r="E251" s="57">
        <v>85</v>
      </c>
      <c r="F251" s="35" t="s">
        <v>62</v>
      </c>
      <c r="G251" s="62">
        <f t="shared" si="9"/>
        <v>45824</v>
      </c>
    </row>
    <row r="252" spans="1:7">
      <c r="A252" s="35" t="s">
        <v>107</v>
      </c>
      <c r="B252" s="36">
        <v>45827</v>
      </c>
      <c r="C252" s="35">
        <v>99632</v>
      </c>
      <c r="D252" s="35" t="s">
        <v>21</v>
      </c>
      <c r="E252" s="57">
        <v>42</v>
      </c>
      <c r="F252" s="35" t="s">
        <v>62</v>
      </c>
      <c r="G252" s="62">
        <f t="shared" si="9"/>
        <v>45824</v>
      </c>
    </row>
    <row r="253" spans="1:7">
      <c r="A253" s="35" t="s">
        <v>107</v>
      </c>
      <c r="B253" s="36">
        <v>45827</v>
      </c>
      <c r="C253" s="35">
        <v>99633</v>
      </c>
      <c r="D253" s="35" t="s">
        <v>22</v>
      </c>
      <c r="E253" s="57">
        <v>42</v>
      </c>
      <c r="F253" s="35" t="s">
        <v>62</v>
      </c>
      <c r="G253" s="62">
        <f t="shared" si="9"/>
        <v>45824</v>
      </c>
    </row>
    <row r="254" spans="1:7">
      <c r="A254" s="35" t="s">
        <v>107</v>
      </c>
      <c r="B254" s="36">
        <v>45827</v>
      </c>
      <c r="C254" s="35">
        <v>99646</v>
      </c>
      <c r="D254" s="35" t="s">
        <v>23</v>
      </c>
      <c r="E254" s="57">
        <v>40</v>
      </c>
      <c r="F254" s="35" t="s">
        <v>62</v>
      </c>
      <c r="G254" s="62">
        <f t="shared" si="9"/>
        <v>45824</v>
      </c>
    </row>
    <row r="255" spans="1:7">
      <c r="A255" s="35" t="s">
        <v>107</v>
      </c>
      <c r="B255" s="36">
        <v>45827</v>
      </c>
      <c r="C255" s="35">
        <v>99635</v>
      </c>
      <c r="D255" s="35" t="s">
        <v>24</v>
      </c>
      <c r="E255" s="57">
        <v>54</v>
      </c>
      <c r="F255" s="35" t="s">
        <v>62</v>
      </c>
      <c r="G255" s="62">
        <f t="shared" si="9"/>
        <v>45824</v>
      </c>
    </row>
    <row r="256" spans="1:7">
      <c r="A256" s="35" t="s">
        <v>107</v>
      </c>
      <c r="B256" s="36">
        <v>45827</v>
      </c>
      <c r="C256" s="35">
        <v>99944</v>
      </c>
      <c r="D256" s="35" t="s">
        <v>25</v>
      </c>
      <c r="E256" s="57">
        <v>50</v>
      </c>
      <c r="F256" s="35" t="s">
        <v>62</v>
      </c>
      <c r="G256" s="62">
        <f t="shared" si="9"/>
        <v>45824</v>
      </c>
    </row>
    <row r="257" spans="1:7">
      <c r="A257" s="35" t="s">
        <v>107</v>
      </c>
      <c r="B257" s="36">
        <v>45827</v>
      </c>
      <c r="C257" s="35">
        <v>99636</v>
      </c>
      <c r="D257" s="35" t="s">
        <v>26</v>
      </c>
      <c r="E257" s="57">
        <v>39</v>
      </c>
      <c r="F257" s="35" t="s">
        <v>62</v>
      </c>
      <c r="G257" s="62">
        <f t="shared" si="9"/>
        <v>45824</v>
      </c>
    </row>
    <row r="258" spans="1:7">
      <c r="A258" s="35" t="s">
        <v>109</v>
      </c>
      <c r="B258" s="36">
        <v>45833</v>
      </c>
      <c r="C258" s="35">
        <v>99631</v>
      </c>
      <c r="D258" s="35" t="s">
        <v>66</v>
      </c>
      <c r="E258" s="57">
        <v>3</v>
      </c>
      <c r="F258" s="35" t="s">
        <v>62</v>
      </c>
      <c r="G258" s="62">
        <f t="shared" si="9"/>
        <v>45831</v>
      </c>
    </row>
    <row r="259" spans="1:7">
      <c r="A259" s="35" t="s">
        <v>108</v>
      </c>
      <c r="B259" s="36">
        <v>45833</v>
      </c>
      <c r="C259" s="35">
        <v>99629</v>
      </c>
      <c r="D259" s="35" t="s">
        <v>65</v>
      </c>
      <c r="E259" s="57">
        <v>54</v>
      </c>
      <c r="F259" s="35" t="s">
        <v>62</v>
      </c>
      <c r="G259" s="62">
        <f t="shared" si="9"/>
        <v>45831</v>
      </c>
    </row>
    <row r="260" spans="1:7">
      <c r="A260" s="35" t="s">
        <v>108</v>
      </c>
      <c r="B260" s="36">
        <v>45833</v>
      </c>
      <c r="C260" s="35">
        <v>99630</v>
      </c>
      <c r="D260" s="35" t="s">
        <v>19</v>
      </c>
      <c r="E260" s="57">
        <v>12</v>
      </c>
      <c r="F260" s="35" t="s">
        <v>62</v>
      </c>
      <c r="G260" s="62">
        <f t="shared" si="9"/>
        <v>45831</v>
      </c>
    </row>
    <row r="261" spans="1:7">
      <c r="A261" s="35" t="s">
        <v>108</v>
      </c>
      <c r="B261" s="36">
        <v>45833</v>
      </c>
      <c r="C261" s="35">
        <v>99638</v>
      </c>
      <c r="D261" s="35" t="s">
        <v>20</v>
      </c>
      <c r="E261" s="57">
        <v>34</v>
      </c>
      <c r="F261" s="35" t="s">
        <v>62</v>
      </c>
      <c r="G261" s="62">
        <f t="shared" si="9"/>
        <v>45831</v>
      </c>
    </row>
    <row r="262" spans="1:7">
      <c r="A262" s="35" t="s">
        <v>108</v>
      </c>
      <c r="B262" s="36">
        <v>45833</v>
      </c>
      <c r="C262" s="35">
        <v>99632</v>
      </c>
      <c r="D262" s="35" t="s">
        <v>21</v>
      </c>
      <c r="E262" s="57">
        <v>39</v>
      </c>
      <c r="F262" s="35" t="s">
        <v>62</v>
      </c>
      <c r="G262" s="62">
        <f t="shared" si="9"/>
        <v>45831</v>
      </c>
    </row>
    <row r="263" spans="1:7">
      <c r="A263" s="35" t="s">
        <v>108</v>
      </c>
      <c r="B263" s="36">
        <v>45833</v>
      </c>
      <c r="C263" s="35">
        <v>99635</v>
      </c>
      <c r="D263" s="35" t="s">
        <v>24</v>
      </c>
      <c r="E263" s="57">
        <v>63</v>
      </c>
      <c r="F263" s="35" t="s">
        <v>62</v>
      </c>
      <c r="G263" s="62">
        <f t="shared" si="9"/>
        <v>45831</v>
      </c>
    </row>
    <row r="264" spans="1:7">
      <c r="A264" s="35" t="s">
        <v>108</v>
      </c>
      <c r="B264" s="36">
        <v>45833</v>
      </c>
      <c r="C264" s="35">
        <v>99944</v>
      </c>
      <c r="D264" s="35" t="s">
        <v>25</v>
      </c>
      <c r="E264" s="57">
        <v>46</v>
      </c>
      <c r="F264" s="35" t="s">
        <v>62</v>
      </c>
      <c r="G264" s="62">
        <f t="shared" si="9"/>
        <v>45831</v>
      </c>
    </row>
    <row r="265" spans="1:7">
      <c r="A265" s="35" t="s">
        <v>108</v>
      </c>
      <c r="B265" s="36">
        <v>45833</v>
      </c>
      <c r="C265" s="35">
        <v>99636</v>
      </c>
      <c r="D265" s="35" t="s">
        <v>26</v>
      </c>
      <c r="E265" s="57">
        <v>43</v>
      </c>
      <c r="F265" s="35" t="s">
        <v>62</v>
      </c>
      <c r="G265" s="62">
        <f t="shared" si="9"/>
        <v>45831</v>
      </c>
    </row>
    <row r="266" spans="1:7">
      <c r="A266" s="35" t="s">
        <v>108</v>
      </c>
      <c r="B266" s="36">
        <v>45833</v>
      </c>
      <c r="C266" s="35">
        <v>99631</v>
      </c>
      <c r="D266" s="35" t="s">
        <v>66</v>
      </c>
      <c r="E266" s="57">
        <v>36</v>
      </c>
      <c r="F266" s="35" t="s">
        <v>62</v>
      </c>
      <c r="G266" s="62">
        <f t="shared" si="9"/>
        <v>45831</v>
      </c>
    </row>
    <row r="267" spans="1:7">
      <c r="A267" s="35" t="s">
        <v>110</v>
      </c>
      <c r="B267" s="36">
        <v>45840</v>
      </c>
      <c r="C267" s="35">
        <v>99629</v>
      </c>
      <c r="D267" s="35" t="s">
        <v>65</v>
      </c>
      <c r="E267" s="57">
        <v>11</v>
      </c>
      <c r="F267" s="35" t="s">
        <v>62</v>
      </c>
      <c r="G267" s="62">
        <f t="shared" si="9"/>
        <v>45838</v>
      </c>
    </row>
    <row r="268" spans="1:7">
      <c r="A268" s="35" t="s">
        <v>110</v>
      </c>
      <c r="B268" s="36">
        <v>45840</v>
      </c>
      <c r="C268" s="35">
        <v>99631</v>
      </c>
      <c r="D268" s="35" t="s">
        <v>66</v>
      </c>
      <c r="E268" s="57">
        <v>33</v>
      </c>
      <c r="F268" s="35" t="s">
        <v>62</v>
      </c>
      <c r="G268" s="62">
        <f t="shared" si="9"/>
        <v>45838</v>
      </c>
    </row>
    <row r="269" spans="1:7">
      <c r="A269" s="35" t="s">
        <v>110</v>
      </c>
      <c r="B269" s="36">
        <v>45840</v>
      </c>
      <c r="C269" s="35">
        <v>99638</v>
      </c>
      <c r="D269" s="35" t="s">
        <v>20</v>
      </c>
      <c r="E269" s="57">
        <v>60</v>
      </c>
      <c r="F269" s="35" t="s">
        <v>62</v>
      </c>
      <c r="G269" s="62">
        <f t="shared" si="9"/>
        <v>45838</v>
      </c>
    </row>
    <row r="270" spans="1:7">
      <c r="A270" s="35" t="s">
        <v>110</v>
      </c>
      <c r="B270" s="36">
        <v>45840</v>
      </c>
      <c r="C270" s="35">
        <v>99633</v>
      </c>
      <c r="D270" s="35" t="s">
        <v>22</v>
      </c>
      <c r="E270" s="57">
        <v>72</v>
      </c>
      <c r="F270" s="35" t="s">
        <v>62</v>
      </c>
      <c r="G270" s="62">
        <f t="shared" si="9"/>
        <v>45838</v>
      </c>
    </row>
    <row r="271" spans="1:7">
      <c r="A271" s="35" t="s">
        <v>110</v>
      </c>
      <c r="B271" s="36">
        <v>45840</v>
      </c>
      <c r="C271" s="35">
        <v>99646</v>
      </c>
      <c r="D271" s="35" t="s">
        <v>23</v>
      </c>
      <c r="E271" s="57">
        <v>72</v>
      </c>
      <c r="F271" s="35" t="s">
        <v>62</v>
      </c>
      <c r="G271" s="62">
        <f t="shared" si="9"/>
        <v>45838</v>
      </c>
    </row>
    <row r="272" spans="1:7">
      <c r="A272" s="35" t="s">
        <v>110</v>
      </c>
      <c r="B272" s="36">
        <v>45840</v>
      </c>
      <c r="C272" s="35">
        <v>99636</v>
      </c>
      <c r="D272" s="35" t="s">
        <v>26</v>
      </c>
      <c r="E272" s="57">
        <v>37</v>
      </c>
      <c r="F272" s="35" t="s">
        <v>62</v>
      </c>
      <c r="G272" s="62">
        <f t="shared" si="9"/>
        <v>45838</v>
      </c>
    </row>
    <row r="273" spans="1:7">
      <c r="A273" s="35" t="s">
        <v>111</v>
      </c>
      <c r="B273" s="36">
        <v>45847</v>
      </c>
      <c r="C273" s="35">
        <v>99629</v>
      </c>
      <c r="D273" s="35" t="s">
        <v>65</v>
      </c>
      <c r="E273" s="57">
        <v>38</v>
      </c>
      <c r="F273" s="35" t="s">
        <v>62</v>
      </c>
      <c r="G273" s="62">
        <f t="shared" si="9"/>
        <v>45845</v>
      </c>
    </row>
    <row r="274" spans="1:7">
      <c r="A274" s="35" t="s">
        <v>111</v>
      </c>
      <c r="B274" s="36">
        <v>45847</v>
      </c>
      <c r="C274" s="35">
        <v>99630</v>
      </c>
      <c r="D274" s="35" t="s">
        <v>19</v>
      </c>
      <c r="E274" s="57">
        <v>48</v>
      </c>
      <c r="F274" s="35" t="s">
        <v>62</v>
      </c>
      <c r="G274" s="62">
        <f t="shared" si="9"/>
        <v>45845</v>
      </c>
    </row>
    <row r="275" spans="1:7">
      <c r="A275" s="35" t="s">
        <v>111</v>
      </c>
      <c r="B275" s="36">
        <v>45847</v>
      </c>
      <c r="C275" s="35">
        <v>99638</v>
      </c>
      <c r="D275" s="35" t="s">
        <v>20</v>
      </c>
      <c r="E275" s="57">
        <v>65</v>
      </c>
      <c r="F275" s="35" t="s">
        <v>62</v>
      </c>
      <c r="G275" s="62">
        <f t="shared" si="9"/>
        <v>45845</v>
      </c>
    </row>
    <row r="276" spans="1:7">
      <c r="A276" s="35" t="s">
        <v>111</v>
      </c>
      <c r="B276" s="36">
        <v>45847</v>
      </c>
      <c r="C276" s="35">
        <v>99632</v>
      </c>
      <c r="D276" s="35" t="s">
        <v>21</v>
      </c>
      <c r="E276" s="57">
        <v>41</v>
      </c>
      <c r="F276" s="35" t="s">
        <v>62</v>
      </c>
      <c r="G276" s="62">
        <f t="shared" si="9"/>
        <v>45845</v>
      </c>
    </row>
    <row r="277" spans="1:7">
      <c r="A277" s="35" t="s">
        <v>111</v>
      </c>
      <c r="B277" s="36">
        <v>45847</v>
      </c>
      <c r="C277" s="35">
        <v>99633</v>
      </c>
      <c r="D277" s="35" t="s">
        <v>22</v>
      </c>
      <c r="E277" s="57">
        <v>50</v>
      </c>
      <c r="F277" s="35" t="s">
        <v>62</v>
      </c>
      <c r="G277" s="62">
        <f t="shared" si="9"/>
        <v>45845</v>
      </c>
    </row>
    <row r="278" spans="1:7">
      <c r="A278" s="35" t="s">
        <v>111</v>
      </c>
      <c r="B278" s="36">
        <v>45847</v>
      </c>
      <c r="C278" s="35">
        <v>99646</v>
      </c>
      <c r="D278" s="35" t="s">
        <v>23</v>
      </c>
      <c r="E278" s="57">
        <v>37</v>
      </c>
      <c r="F278" s="35" t="s">
        <v>62</v>
      </c>
      <c r="G278" s="62">
        <f t="shared" si="9"/>
        <v>45845</v>
      </c>
    </row>
    <row r="279" spans="1:7">
      <c r="A279" s="35" t="s">
        <v>111</v>
      </c>
      <c r="B279" s="36">
        <v>45847</v>
      </c>
      <c r="C279" s="35">
        <v>99635</v>
      </c>
      <c r="D279" s="35" t="s">
        <v>24</v>
      </c>
      <c r="E279" s="57">
        <v>56</v>
      </c>
      <c r="F279" s="35" t="s">
        <v>62</v>
      </c>
      <c r="G279" s="62">
        <f t="shared" si="9"/>
        <v>45845</v>
      </c>
    </row>
    <row r="280" spans="1:7">
      <c r="A280" s="35" t="s">
        <v>111</v>
      </c>
      <c r="B280" s="36">
        <v>45847</v>
      </c>
      <c r="C280" s="35">
        <v>99944</v>
      </c>
      <c r="D280" s="35" t="s">
        <v>25</v>
      </c>
      <c r="E280" s="57">
        <v>56</v>
      </c>
      <c r="F280" s="35" t="s">
        <v>62</v>
      </c>
      <c r="G280" s="62">
        <f t="shared" si="9"/>
        <v>45845</v>
      </c>
    </row>
    <row r="281" spans="1:7">
      <c r="A281" s="35" t="s">
        <v>111</v>
      </c>
      <c r="B281" s="36">
        <v>45847</v>
      </c>
      <c r="C281" s="35">
        <v>99636</v>
      </c>
      <c r="D281" s="35" t="s">
        <v>26</v>
      </c>
      <c r="E281" s="57">
        <v>66</v>
      </c>
      <c r="F281" s="35" t="s">
        <v>62</v>
      </c>
      <c r="G281" s="62">
        <f t="shared" si="9"/>
        <v>45845</v>
      </c>
    </row>
    <row r="282" spans="1:7">
      <c r="A282" s="35" t="s">
        <v>111</v>
      </c>
      <c r="B282" s="36">
        <v>45847</v>
      </c>
      <c r="C282" s="35">
        <v>99631</v>
      </c>
      <c r="D282" s="35" t="s">
        <v>66</v>
      </c>
      <c r="E282" s="57">
        <v>26</v>
      </c>
      <c r="F282" s="35" t="s">
        <v>62</v>
      </c>
      <c r="G282" s="62">
        <f t="shared" si="9"/>
        <v>45845</v>
      </c>
    </row>
    <row r="283" spans="1:7">
      <c r="A283" s="35" t="s">
        <v>113</v>
      </c>
      <c r="B283" s="36">
        <v>45849</v>
      </c>
      <c r="C283" s="35">
        <v>99629</v>
      </c>
      <c r="D283" s="35" t="s">
        <v>65</v>
      </c>
      <c r="E283" s="57">
        <v>47</v>
      </c>
      <c r="F283" s="35" t="s">
        <v>62</v>
      </c>
      <c r="G283" s="62">
        <f t="shared" si="9"/>
        <v>45845</v>
      </c>
    </row>
    <row r="284" spans="1:7">
      <c r="A284" s="35" t="s">
        <v>113</v>
      </c>
      <c r="B284" s="36">
        <v>45849</v>
      </c>
      <c r="C284" s="35">
        <v>99633</v>
      </c>
      <c r="D284" s="35" t="s">
        <v>22</v>
      </c>
      <c r="E284" s="57">
        <v>28</v>
      </c>
      <c r="F284" s="35" t="s">
        <v>62</v>
      </c>
      <c r="G284" s="62">
        <f t="shared" si="9"/>
        <v>45845</v>
      </c>
    </row>
    <row r="285" spans="1:7">
      <c r="A285" s="35" t="s">
        <v>113</v>
      </c>
      <c r="B285" s="36">
        <v>45849</v>
      </c>
      <c r="C285" s="35">
        <v>99646</v>
      </c>
      <c r="D285" s="35" t="s">
        <v>23</v>
      </c>
      <c r="E285" s="57">
        <v>47</v>
      </c>
      <c r="F285" s="35" t="s">
        <v>62</v>
      </c>
      <c r="G285" s="62">
        <f t="shared" si="9"/>
        <v>45845</v>
      </c>
    </row>
    <row r="286" spans="1:7">
      <c r="A286" s="35" t="s">
        <v>113</v>
      </c>
      <c r="B286" s="36">
        <v>45849</v>
      </c>
      <c r="C286" s="35">
        <v>99631</v>
      </c>
      <c r="D286" s="35" t="s">
        <v>66</v>
      </c>
      <c r="E286" s="57">
        <v>43</v>
      </c>
      <c r="F286" s="35" t="s">
        <v>62</v>
      </c>
      <c r="G286" s="62">
        <f t="shared" si="9"/>
        <v>45845</v>
      </c>
    </row>
    <row r="287" spans="1:7">
      <c r="A287" s="35" t="s">
        <v>114</v>
      </c>
      <c r="B287" s="36">
        <v>45855</v>
      </c>
      <c r="C287" s="35">
        <v>99629</v>
      </c>
      <c r="D287" s="35" t="s">
        <v>65</v>
      </c>
      <c r="E287" s="57">
        <v>44</v>
      </c>
      <c r="F287" s="35" t="s">
        <v>62</v>
      </c>
      <c r="G287" s="62">
        <f t="shared" si="9"/>
        <v>45852</v>
      </c>
    </row>
    <row r="288" spans="1:7">
      <c r="A288" s="35" t="s">
        <v>114</v>
      </c>
      <c r="B288" s="36">
        <v>45855</v>
      </c>
      <c r="C288" s="35">
        <v>99630</v>
      </c>
      <c r="D288" s="35" t="s">
        <v>19</v>
      </c>
      <c r="E288" s="57">
        <v>80</v>
      </c>
      <c r="F288" s="35" t="s">
        <v>62</v>
      </c>
      <c r="G288" s="62">
        <f t="shared" si="9"/>
        <v>45852</v>
      </c>
    </row>
    <row r="289" spans="1:7">
      <c r="A289" s="35" t="s">
        <v>114</v>
      </c>
      <c r="B289" s="36">
        <v>45855</v>
      </c>
      <c r="C289" s="35">
        <v>99638</v>
      </c>
      <c r="D289" s="35" t="s">
        <v>20</v>
      </c>
      <c r="E289" s="57">
        <v>68</v>
      </c>
      <c r="F289" s="35" t="s">
        <v>62</v>
      </c>
      <c r="G289" s="62">
        <f t="shared" si="9"/>
        <v>45852</v>
      </c>
    </row>
    <row r="290" spans="1:7">
      <c r="A290" s="35" t="s">
        <v>114</v>
      </c>
      <c r="B290" s="36">
        <v>45855</v>
      </c>
      <c r="C290" s="35">
        <v>99632</v>
      </c>
      <c r="D290" s="35" t="s">
        <v>21</v>
      </c>
      <c r="E290" s="57">
        <v>66</v>
      </c>
      <c r="F290" s="35" t="s">
        <v>62</v>
      </c>
      <c r="G290" s="62">
        <f t="shared" si="9"/>
        <v>45852</v>
      </c>
    </row>
    <row r="291" spans="1:7">
      <c r="A291" s="35" t="s">
        <v>114</v>
      </c>
      <c r="B291" s="36">
        <v>45855</v>
      </c>
      <c r="C291" s="35">
        <v>99633</v>
      </c>
      <c r="D291" s="35" t="s">
        <v>22</v>
      </c>
      <c r="E291" s="57">
        <v>66</v>
      </c>
      <c r="F291" s="35" t="s">
        <v>62</v>
      </c>
      <c r="G291" s="62">
        <f t="shared" si="9"/>
        <v>45852</v>
      </c>
    </row>
    <row r="292" spans="1:7">
      <c r="A292" s="35" t="s">
        <v>114</v>
      </c>
      <c r="B292" s="36">
        <v>45855</v>
      </c>
      <c r="C292" s="35">
        <v>99646</v>
      </c>
      <c r="D292" s="35" t="s">
        <v>23</v>
      </c>
      <c r="E292" s="57">
        <v>32</v>
      </c>
      <c r="F292" s="35" t="s">
        <v>62</v>
      </c>
      <c r="G292" s="62">
        <f t="shared" si="9"/>
        <v>45852</v>
      </c>
    </row>
    <row r="293" spans="1:7">
      <c r="A293" s="35" t="s">
        <v>114</v>
      </c>
      <c r="B293" s="36">
        <v>45855</v>
      </c>
      <c r="C293" s="35">
        <v>99635</v>
      </c>
      <c r="D293" s="35" t="s">
        <v>24</v>
      </c>
      <c r="E293" s="57">
        <v>66</v>
      </c>
      <c r="F293" s="35" t="s">
        <v>62</v>
      </c>
      <c r="G293" s="62">
        <f t="shared" si="9"/>
        <v>45852</v>
      </c>
    </row>
    <row r="294" spans="1:7">
      <c r="A294" s="35" t="s">
        <v>114</v>
      </c>
      <c r="B294" s="36">
        <v>45855</v>
      </c>
      <c r="C294" s="35">
        <v>99944</v>
      </c>
      <c r="D294" s="35" t="s">
        <v>25</v>
      </c>
      <c r="E294" s="57">
        <v>66</v>
      </c>
      <c r="F294" s="35" t="s">
        <v>62</v>
      </c>
      <c r="G294" s="62">
        <f t="shared" si="9"/>
        <v>45852</v>
      </c>
    </row>
    <row r="295" spans="1:7">
      <c r="A295" s="35" t="s">
        <v>114</v>
      </c>
      <c r="B295" s="36">
        <v>45855</v>
      </c>
      <c r="C295" s="35">
        <v>99636</v>
      </c>
      <c r="D295" s="35" t="s">
        <v>26</v>
      </c>
      <c r="E295" s="57">
        <v>66</v>
      </c>
      <c r="F295" s="35" t="s">
        <v>62</v>
      </c>
      <c r="G295" s="62">
        <f t="shared" si="9"/>
        <v>45852</v>
      </c>
    </row>
    <row r="296" spans="1:7">
      <c r="A296" s="35" t="s">
        <v>114</v>
      </c>
      <c r="B296" s="36">
        <v>45855</v>
      </c>
      <c r="C296" s="35">
        <v>99631</v>
      </c>
      <c r="D296" s="35" t="s">
        <v>66</v>
      </c>
      <c r="E296" s="57">
        <v>60</v>
      </c>
      <c r="F296" s="35" t="s">
        <v>62</v>
      </c>
      <c r="G296" s="62">
        <f t="shared" si="9"/>
        <v>45852</v>
      </c>
    </row>
    <row r="297" spans="1:7">
      <c r="A297" s="35" t="s">
        <v>116</v>
      </c>
      <c r="B297" s="36">
        <v>45863</v>
      </c>
      <c r="C297" s="35">
        <v>99629</v>
      </c>
      <c r="D297" s="35" t="s">
        <v>65</v>
      </c>
      <c r="E297" s="57">
        <v>59</v>
      </c>
      <c r="F297" s="35" t="s">
        <v>62</v>
      </c>
      <c r="G297" s="62">
        <f t="shared" si="9"/>
        <v>45859</v>
      </c>
    </row>
    <row r="298" spans="1:7">
      <c r="A298" s="35" t="s">
        <v>116</v>
      </c>
      <c r="B298" s="36">
        <v>45863</v>
      </c>
      <c r="C298" s="35">
        <v>99630</v>
      </c>
      <c r="D298" s="35" t="s">
        <v>19</v>
      </c>
      <c r="E298" s="57">
        <v>66</v>
      </c>
      <c r="F298" s="35" t="s">
        <v>62</v>
      </c>
      <c r="G298" s="62">
        <f t="shared" si="9"/>
        <v>45859</v>
      </c>
    </row>
    <row r="299" spans="1:7">
      <c r="A299" s="35" t="s">
        <v>116</v>
      </c>
      <c r="B299" s="36">
        <v>45863</v>
      </c>
      <c r="C299" s="35">
        <v>99638</v>
      </c>
      <c r="D299" s="35" t="s">
        <v>20</v>
      </c>
      <c r="E299" s="57">
        <v>66</v>
      </c>
      <c r="F299" s="35" t="s">
        <v>62</v>
      </c>
      <c r="G299" s="62">
        <f t="shared" si="9"/>
        <v>45859</v>
      </c>
    </row>
    <row r="300" spans="1:7">
      <c r="A300" s="35" t="s">
        <v>116</v>
      </c>
      <c r="B300" s="36">
        <v>45863</v>
      </c>
      <c r="C300" s="35">
        <v>99632</v>
      </c>
      <c r="D300" s="35" t="s">
        <v>21</v>
      </c>
      <c r="E300" s="57">
        <v>66</v>
      </c>
      <c r="F300" s="35" t="s">
        <v>62</v>
      </c>
      <c r="G300" s="62">
        <f t="shared" si="9"/>
        <v>45859</v>
      </c>
    </row>
    <row r="301" spans="1:7">
      <c r="A301" s="35" t="s">
        <v>116</v>
      </c>
      <c r="B301" s="36">
        <v>45863</v>
      </c>
      <c r="C301" s="35">
        <v>99633</v>
      </c>
      <c r="D301" s="35" t="s">
        <v>22</v>
      </c>
      <c r="E301" s="57">
        <v>66</v>
      </c>
      <c r="F301" s="35" t="s">
        <v>62</v>
      </c>
      <c r="G301" s="62">
        <f t="shared" si="9"/>
        <v>45859</v>
      </c>
    </row>
    <row r="302" spans="1:7">
      <c r="A302" s="35" t="s">
        <v>116</v>
      </c>
      <c r="B302" s="36">
        <v>45863</v>
      </c>
      <c r="C302" s="35">
        <v>99646</v>
      </c>
      <c r="D302" s="35" t="s">
        <v>23</v>
      </c>
      <c r="E302" s="57">
        <v>66</v>
      </c>
      <c r="F302" s="35" t="s">
        <v>62</v>
      </c>
      <c r="G302" s="62">
        <f t="shared" si="9"/>
        <v>45859</v>
      </c>
    </row>
    <row r="303" spans="1:7">
      <c r="A303" s="35" t="s">
        <v>116</v>
      </c>
      <c r="B303" s="36">
        <v>45863</v>
      </c>
      <c r="C303" s="35">
        <v>99635</v>
      </c>
      <c r="D303" s="35" t="s">
        <v>24</v>
      </c>
      <c r="E303" s="57">
        <v>66</v>
      </c>
      <c r="F303" s="35" t="s">
        <v>62</v>
      </c>
      <c r="G303" s="62">
        <f t="shared" si="9"/>
        <v>45859</v>
      </c>
    </row>
    <row r="304" spans="1:7">
      <c r="A304" s="35" t="s">
        <v>116</v>
      </c>
      <c r="B304" s="36">
        <v>45863</v>
      </c>
      <c r="C304" s="35">
        <v>99944</v>
      </c>
      <c r="D304" s="35" t="s">
        <v>25</v>
      </c>
      <c r="E304" s="57">
        <v>66</v>
      </c>
      <c r="F304" s="35" t="s">
        <v>62</v>
      </c>
      <c r="G304" s="62">
        <f t="shared" si="9"/>
        <v>45859</v>
      </c>
    </row>
    <row r="305" spans="1:7">
      <c r="A305" s="35" t="s">
        <v>116</v>
      </c>
      <c r="B305" s="36">
        <v>45863</v>
      </c>
      <c r="C305" s="35">
        <v>99636</v>
      </c>
      <c r="D305" s="35" t="s">
        <v>26</v>
      </c>
      <c r="E305" s="57">
        <v>67</v>
      </c>
      <c r="F305" s="35" t="s">
        <v>62</v>
      </c>
      <c r="G305" s="62">
        <f t="shared" si="9"/>
        <v>45859</v>
      </c>
    </row>
    <row r="306" spans="1:7">
      <c r="A306" s="35" t="s">
        <v>116</v>
      </c>
      <c r="B306" s="36">
        <v>45863</v>
      </c>
      <c r="C306" s="35">
        <v>99631</v>
      </c>
      <c r="D306" s="35" t="s">
        <v>66</v>
      </c>
      <c r="E306" s="57">
        <v>53</v>
      </c>
      <c r="F306" s="35" t="s">
        <v>62</v>
      </c>
      <c r="G306" s="62">
        <f t="shared" si="9"/>
        <v>45859</v>
      </c>
    </row>
    <row r="307" spans="1:7">
      <c r="A307" s="35" t="s">
        <v>117</v>
      </c>
      <c r="B307" s="36">
        <v>45863</v>
      </c>
      <c r="C307" s="57" t="s">
        <v>118</v>
      </c>
      <c r="D307" s="35" t="s">
        <v>21</v>
      </c>
      <c r="E307" s="57">
        <v>-137</v>
      </c>
      <c r="F307" s="35" t="s">
        <v>62</v>
      </c>
      <c r="G307" s="62">
        <f t="shared" si="9"/>
        <v>45859</v>
      </c>
    </row>
    <row r="308" spans="1:7">
      <c r="A308" s="35" t="s">
        <v>115</v>
      </c>
      <c r="B308" s="36">
        <v>45863</v>
      </c>
      <c r="C308" s="35">
        <v>99632</v>
      </c>
      <c r="D308" s="35" t="s">
        <v>21</v>
      </c>
      <c r="E308" s="57">
        <v>10</v>
      </c>
      <c r="F308" s="35" t="s">
        <v>62</v>
      </c>
      <c r="G308" s="62">
        <f t="shared" si="9"/>
        <v>45859</v>
      </c>
    </row>
    <row r="309" spans="1:7">
      <c r="A309" s="35" t="s">
        <v>119</v>
      </c>
      <c r="B309" s="36">
        <v>45870</v>
      </c>
      <c r="C309" s="35">
        <v>99629</v>
      </c>
      <c r="D309" s="35" t="s">
        <v>65</v>
      </c>
      <c r="E309" s="57">
        <v>33</v>
      </c>
      <c r="F309" s="35" t="s">
        <v>62</v>
      </c>
      <c r="G309" s="62">
        <f t="shared" si="9"/>
        <v>45866</v>
      </c>
    </row>
    <row r="310" spans="1:7">
      <c r="A310" s="35" t="s">
        <v>119</v>
      </c>
      <c r="B310" s="36">
        <v>45870</v>
      </c>
      <c r="C310" s="35">
        <v>99630</v>
      </c>
      <c r="D310" s="35" t="s">
        <v>19</v>
      </c>
      <c r="E310" s="57">
        <v>40</v>
      </c>
      <c r="F310" s="35" t="s">
        <v>62</v>
      </c>
      <c r="G310" s="62">
        <f t="shared" si="9"/>
        <v>45866</v>
      </c>
    </row>
    <row r="311" spans="1:7">
      <c r="A311" s="35" t="s">
        <v>119</v>
      </c>
      <c r="B311" s="36">
        <v>45870</v>
      </c>
      <c r="C311" s="35">
        <v>99638</v>
      </c>
      <c r="D311" s="35" t="s">
        <v>20</v>
      </c>
      <c r="E311" s="57">
        <v>66</v>
      </c>
      <c r="F311" s="35" t="s">
        <v>62</v>
      </c>
      <c r="G311" s="62">
        <f t="shared" si="9"/>
        <v>45866</v>
      </c>
    </row>
    <row r="312" spans="1:7">
      <c r="A312" s="35" t="s">
        <v>119</v>
      </c>
      <c r="B312" s="36">
        <v>45870</v>
      </c>
      <c r="C312" s="35">
        <v>99632</v>
      </c>
      <c r="D312" s="35" t="s">
        <v>21</v>
      </c>
      <c r="E312" s="57">
        <v>17</v>
      </c>
      <c r="F312" s="35" t="s">
        <v>62</v>
      </c>
      <c r="G312" s="62">
        <f t="shared" si="9"/>
        <v>45866</v>
      </c>
    </row>
    <row r="313" spans="1:7">
      <c r="A313" s="35" t="s">
        <v>119</v>
      </c>
      <c r="B313" s="36">
        <v>45870</v>
      </c>
      <c r="C313" s="35">
        <v>99633</v>
      </c>
      <c r="D313" s="35" t="s">
        <v>22</v>
      </c>
      <c r="E313" s="57">
        <v>66</v>
      </c>
      <c r="F313" s="35" t="s">
        <v>62</v>
      </c>
      <c r="G313" s="62">
        <f t="shared" si="9"/>
        <v>45866</v>
      </c>
    </row>
    <row r="314" spans="1:7">
      <c r="A314" s="35" t="s">
        <v>119</v>
      </c>
      <c r="B314" s="36">
        <v>45870</v>
      </c>
      <c r="C314" s="35">
        <v>99646</v>
      </c>
      <c r="D314" s="35" t="s">
        <v>23</v>
      </c>
      <c r="E314" s="57">
        <v>66</v>
      </c>
      <c r="F314" s="35" t="s">
        <v>62</v>
      </c>
      <c r="G314" s="62">
        <f t="shared" si="9"/>
        <v>45866</v>
      </c>
    </row>
    <row r="315" spans="1:7">
      <c r="A315" s="35" t="s">
        <v>119</v>
      </c>
      <c r="B315" s="36">
        <v>45870</v>
      </c>
      <c r="C315" s="35">
        <v>99635</v>
      </c>
      <c r="D315" s="35" t="s">
        <v>24</v>
      </c>
      <c r="E315" s="57">
        <v>66</v>
      </c>
      <c r="F315" s="35" t="s">
        <v>62</v>
      </c>
      <c r="G315" s="62">
        <f t="shared" si="9"/>
        <v>45866</v>
      </c>
    </row>
    <row r="316" spans="1:7">
      <c r="A316" s="35" t="s">
        <v>119</v>
      </c>
      <c r="B316" s="36">
        <v>45870</v>
      </c>
      <c r="C316" s="35">
        <v>99944</v>
      </c>
      <c r="D316" s="35" t="s">
        <v>25</v>
      </c>
      <c r="E316" s="57">
        <v>66</v>
      </c>
      <c r="F316" s="35" t="s">
        <v>62</v>
      </c>
      <c r="G316" s="62">
        <f t="shared" si="9"/>
        <v>45866</v>
      </c>
    </row>
    <row r="317" spans="1:7">
      <c r="A317" s="35" t="s">
        <v>119</v>
      </c>
      <c r="B317" s="36">
        <v>45870</v>
      </c>
      <c r="C317" s="35">
        <v>99636</v>
      </c>
      <c r="D317" s="35" t="s">
        <v>26</v>
      </c>
      <c r="E317" s="57">
        <v>66</v>
      </c>
      <c r="F317" s="35" t="s">
        <v>62</v>
      </c>
      <c r="G317" s="62">
        <f t="shared" si="9"/>
        <v>45866</v>
      </c>
    </row>
    <row r="318" spans="1:7">
      <c r="A318" s="35" t="s">
        <v>119</v>
      </c>
      <c r="B318" s="36">
        <v>45870</v>
      </c>
      <c r="C318" s="35">
        <v>99631</v>
      </c>
      <c r="D318" s="35" t="s">
        <v>66</v>
      </c>
      <c r="E318" s="57">
        <v>22</v>
      </c>
      <c r="F318" s="35" t="s">
        <v>62</v>
      </c>
      <c r="G318" s="62">
        <f t="shared" si="9"/>
        <v>45866</v>
      </c>
    </row>
    <row r="319" spans="1:7">
      <c r="A319" s="35" t="s">
        <v>120</v>
      </c>
      <c r="B319" s="36">
        <v>45876</v>
      </c>
      <c r="C319" s="35">
        <v>99629</v>
      </c>
      <c r="D319" s="35" t="s">
        <v>65</v>
      </c>
      <c r="E319" s="57">
        <v>66</v>
      </c>
      <c r="F319" s="35" t="s">
        <v>62</v>
      </c>
      <c r="G319" s="62">
        <f t="shared" si="9"/>
        <v>45873</v>
      </c>
    </row>
    <row r="320" spans="1:7">
      <c r="A320" s="35" t="s">
        <v>120</v>
      </c>
      <c r="B320" s="36">
        <v>45876</v>
      </c>
      <c r="C320" s="35">
        <v>99630</v>
      </c>
      <c r="D320" s="35" t="s">
        <v>19</v>
      </c>
      <c r="E320" s="57">
        <v>38</v>
      </c>
      <c r="F320" s="35" t="s">
        <v>62</v>
      </c>
      <c r="G320" s="62">
        <f t="shared" si="9"/>
        <v>45873</v>
      </c>
    </row>
    <row r="321" spans="1:7">
      <c r="A321" s="35" t="s">
        <v>120</v>
      </c>
      <c r="B321" s="36">
        <v>45876</v>
      </c>
      <c r="C321" s="35">
        <v>99632</v>
      </c>
      <c r="D321" s="35" t="s">
        <v>21</v>
      </c>
      <c r="E321" s="57">
        <v>42</v>
      </c>
      <c r="F321" s="35" t="s">
        <v>62</v>
      </c>
      <c r="G321" s="62">
        <f t="shared" si="9"/>
        <v>45873</v>
      </c>
    </row>
    <row r="322" spans="1:7">
      <c r="A322" s="35" t="s">
        <v>120</v>
      </c>
      <c r="B322" s="36">
        <v>45876</v>
      </c>
      <c r="C322" s="35">
        <v>99633</v>
      </c>
      <c r="D322" s="35" t="s">
        <v>22</v>
      </c>
      <c r="E322" s="57">
        <v>66</v>
      </c>
      <c r="F322" s="35" t="s">
        <v>62</v>
      </c>
      <c r="G322" s="62">
        <f t="shared" ref="G322:G360" si="10">B322-WEEKDAY(B322,3)</f>
        <v>45873</v>
      </c>
    </row>
    <row r="323" spans="1:7">
      <c r="A323" s="35" t="s">
        <v>120</v>
      </c>
      <c r="B323" s="36">
        <v>45876</v>
      </c>
      <c r="C323" s="35">
        <v>99646</v>
      </c>
      <c r="D323" s="35" t="s">
        <v>23</v>
      </c>
      <c r="E323" s="57">
        <v>66</v>
      </c>
      <c r="F323" s="35" t="s">
        <v>62</v>
      </c>
      <c r="G323" s="62">
        <f t="shared" si="10"/>
        <v>45873</v>
      </c>
    </row>
    <row r="324" spans="1:7">
      <c r="A324" s="35" t="s">
        <v>120</v>
      </c>
      <c r="B324" s="36">
        <v>45876</v>
      </c>
      <c r="C324" s="35">
        <v>99635</v>
      </c>
      <c r="D324" s="35" t="s">
        <v>24</v>
      </c>
      <c r="E324" s="57">
        <v>52</v>
      </c>
      <c r="F324" s="35" t="s">
        <v>62</v>
      </c>
      <c r="G324" s="62">
        <f t="shared" si="10"/>
        <v>45873</v>
      </c>
    </row>
    <row r="325" spans="1:7">
      <c r="A325" s="35" t="s">
        <v>120</v>
      </c>
      <c r="B325" s="36">
        <v>45876</v>
      </c>
      <c r="C325" s="35">
        <v>99944</v>
      </c>
      <c r="D325" s="35" t="s">
        <v>25</v>
      </c>
      <c r="E325" s="57">
        <v>32</v>
      </c>
      <c r="F325" s="35" t="s">
        <v>62</v>
      </c>
      <c r="G325" s="62">
        <f t="shared" si="10"/>
        <v>45873</v>
      </c>
    </row>
    <row r="326" spans="1:7">
      <c r="A326" s="35" t="s">
        <v>120</v>
      </c>
      <c r="B326" s="36">
        <v>45876</v>
      </c>
      <c r="C326" s="35">
        <v>99636</v>
      </c>
      <c r="D326" s="35" t="s">
        <v>26</v>
      </c>
      <c r="E326" s="57">
        <v>31</v>
      </c>
      <c r="F326" s="35" t="s">
        <v>62</v>
      </c>
      <c r="G326" s="62">
        <f t="shared" si="10"/>
        <v>45873</v>
      </c>
    </row>
    <row r="327" spans="1:7">
      <c r="A327" s="35" t="s">
        <v>120</v>
      </c>
      <c r="B327" s="36">
        <v>45876</v>
      </c>
      <c r="C327" s="35">
        <v>99631</v>
      </c>
      <c r="D327" s="35" t="s">
        <v>66</v>
      </c>
      <c r="E327" s="57">
        <v>22</v>
      </c>
      <c r="F327" s="35" t="s">
        <v>62</v>
      </c>
      <c r="G327" s="62">
        <f t="shared" si="10"/>
        <v>45873</v>
      </c>
    </row>
    <row r="328" spans="1:7">
      <c r="A328" s="35" t="s">
        <v>121</v>
      </c>
      <c r="B328" s="36">
        <v>45883</v>
      </c>
      <c r="C328" s="35">
        <v>99629</v>
      </c>
      <c r="D328" s="35" t="s">
        <v>65</v>
      </c>
      <c r="E328" s="57">
        <v>32</v>
      </c>
      <c r="F328" s="35" t="s">
        <v>62</v>
      </c>
      <c r="G328" s="62">
        <f t="shared" si="10"/>
        <v>45880</v>
      </c>
    </row>
    <row r="329" spans="1:7">
      <c r="A329" s="35" t="s">
        <v>121</v>
      </c>
      <c r="B329" s="36">
        <v>45883</v>
      </c>
      <c r="C329" s="35">
        <v>99630</v>
      </c>
      <c r="D329" s="35" t="s">
        <v>19</v>
      </c>
      <c r="E329" s="57">
        <v>40</v>
      </c>
      <c r="F329" s="35" t="s">
        <v>62</v>
      </c>
      <c r="G329" s="62">
        <f t="shared" si="10"/>
        <v>45880</v>
      </c>
    </row>
    <row r="330" spans="1:7">
      <c r="A330" s="35" t="s">
        <v>121</v>
      </c>
      <c r="B330" s="36">
        <v>45883</v>
      </c>
      <c r="C330" s="35">
        <v>99631</v>
      </c>
      <c r="D330" s="35" t="s">
        <v>66</v>
      </c>
      <c r="E330" s="57">
        <v>29</v>
      </c>
      <c r="F330" s="35" t="s">
        <v>62</v>
      </c>
      <c r="G330" s="62">
        <f t="shared" si="10"/>
        <v>45880</v>
      </c>
    </row>
    <row r="331" spans="1:7">
      <c r="A331" s="35" t="s">
        <v>122</v>
      </c>
      <c r="B331" s="36">
        <v>45891</v>
      </c>
      <c r="C331" s="35">
        <v>99629</v>
      </c>
      <c r="D331" s="35" t="s">
        <v>65</v>
      </c>
      <c r="E331" s="57">
        <v>27</v>
      </c>
      <c r="F331" s="35" t="s">
        <v>62</v>
      </c>
      <c r="G331" s="62">
        <f t="shared" si="10"/>
        <v>45887</v>
      </c>
    </row>
    <row r="332" spans="1:7">
      <c r="A332" s="35" t="s">
        <v>122</v>
      </c>
      <c r="B332" s="36">
        <v>45891</v>
      </c>
      <c r="C332" s="35">
        <v>99632</v>
      </c>
      <c r="D332" s="35" t="s">
        <v>21</v>
      </c>
      <c r="E332" s="57">
        <v>29</v>
      </c>
      <c r="F332" s="35" t="s">
        <v>62</v>
      </c>
      <c r="G332" s="62">
        <f t="shared" si="10"/>
        <v>45887</v>
      </c>
    </row>
    <row r="333" spans="1:7">
      <c r="A333" s="35" t="s">
        <v>122</v>
      </c>
      <c r="B333" s="36">
        <v>45891</v>
      </c>
      <c r="C333" s="35">
        <v>99633</v>
      </c>
      <c r="D333" s="35" t="s">
        <v>22</v>
      </c>
      <c r="E333" s="57">
        <v>68</v>
      </c>
      <c r="F333" s="35" t="s">
        <v>62</v>
      </c>
      <c r="G333" s="62">
        <f t="shared" si="10"/>
        <v>45887</v>
      </c>
    </row>
    <row r="334" spans="1:7">
      <c r="A334" s="35" t="s">
        <v>122</v>
      </c>
      <c r="B334" s="36">
        <v>45891</v>
      </c>
      <c r="C334" s="35">
        <v>99646</v>
      </c>
      <c r="D334" s="35" t="s">
        <v>23</v>
      </c>
      <c r="E334" s="57">
        <v>53</v>
      </c>
      <c r="F334" s="35" t="s">
        <v>62</v>
      </c>
      <c r="G334" s="62">
        <f t="shared" si="10"/>
        <v>45887</v>
      </c>
    </row>
    <row r="335" spans="1:7">
      <c r="A335" s="35" t="s">
        <v>122</v>
      </c>
      <c r="B335" s="36">
        <v>45891</v>
      </c>
      <c r="C335" s="35">
        <v>99631</v>
      </c>
      <c r="D335" s="35" t="s">
        <v>66</v>
      </c>
      <c r="E335" s="57">
        <v>27</v>
      </c>
      <c r="F335" s="35" t="s">
        <v>62</v>
      </c>
      <c r="G335" s="62">
        <f t="shared" si="10"/>
        <v>45887</v>
      </c>
    </row>
    <row r="336" spans="1:7">
      <c r="A336" s="35" t="s">
        <v>123</v>
      </c>
      <c r="B336" s="36">
        <v>45895</v>
      </c>
      <c r="C336" s="35">
        <v>99631</v>
      </c>
      <c r="D336" s="35" t="s">
        <v>66</v>
      </c>
      <c r="E336" s="57">
        <v>30</v>
      </c>
      <c r="F336" s="35" t="s">
        <v>62</v>
      </c>
      <c r="G336" s="62">
        <f t="shared" si="10"/>
        <v>45894</v>
      </c>
    </row>
    <row r="337" spans="1:7">
      <c r="A337" s="35" t="s">
        <v>124</v>
      </c>
      <c r="B337" s="36">
        <v>45898</v>
      </c>
      <c r="C337" s="35">
        <v>99629</v>
      </c>
      <c r="D337" s="35" t="s">
        <v>65</v>
      </c>
      <c r="E337" s="57">
        <v>20</v>
      </c>
      <c r="F337" s="35" t="s">
        <v>62</v>
      </c>
      <c r="G337" s="62">
        <f t="shared" si="10"/>
        <v>45894</v>
      </c>
    </row>
    <row r="338" spans="1:7">
      <c r="A338" s="35" t="s">
        <v>124</v>
      </c>
      <c r="B338" s="36">
        <v>45898</v>
      </c>
      <c r="C338" s="35">
        <v>99630</v>
      </c>
      <c r="D338" s="35" t="s">
        <v>19</v>
      </c>
      <c r="E338" s="57">
        <v>44</v>
      </c>
      <c r="F338" s="35" t="s">
        <v>62</v>
      </c>
      <c r="G338" s="62">
        <f t="shared" si="10"/>
        <v>45894</v>
      </c>
    </row>
    <row r="339" spans="1:7">
      <c r="A339" s="35" t="s">
        <v>124</v>
      </c>
      <c r="B339" s="36">
        <v>45898</v>
      </c>
      <c r="C339" s="35">
        <v>99632</v>
      </c>
      <c r="D339" s="35" t="s">
        <v>21</v>
      </c>
      <c r="E339" s="57">
        <v>5</v>
      </c>
      <c r="F339" s="35" t="s">
        <v>62</v>
      </c>
      <c r="G339" s="62">
        <f t="shared" si="10"/>
        <v>45894</v>
      </c>
    </row>
    <row r="340" spans="1:7">
      <c r="A340" s="35" t="s">
        <v>124</v>
      </c>
      <c r="B340" s="36">
        <v>45898</v>
      </c>
      <c r="C340" s="35">
        <v>99633</v>
      </c>
      <c r="D340" s="35" t="s">
        <v>22</v>
      </c>
      <c r="E340" s="57">
        <v>66</v>
      </c>
      <c r="F340" s="35" t="s">
        <v>62</v>
      </c>
      <c r="G340" s="62">
        <f t="shared" si="10"/>
        <v>45894</v>
      </c>
    </row>
    <row r="341" spans="1:7">
      <c r="A341" s="35" t="s">
        <v>123</v>
      </c>
      <c r="B341" s="36">
        <v>45898</v>
      </c>
      <c r="C341" s="35">
        <v>99646</v>
      </c>
      <c r="D341" s="35" t="s">
        <v>23</v>
      </c>
      <c r="E341" s="57">
        <v>66</v>
      </c>
      <c r="F341" s="35" t="s">
        <v>62</v>
      </c>
      <c r="G341" s="62">
        <f t="shared" si="10"/>
        <v>45894</v>
      </c>
    </row>
    <row r="342" spans="1:7">
      <c r="A342" s="35" t="s">
        <v>124</v>
      </c>
      <c r="B342" s="36">
        <v>45898</v>
      </c>
      <c r="C342" s="35">
        <v>99635</v>
      </c>
      <c r="D342" s="35" t="s">
        <v>24</v>
      </c>
      <c r="E342" s="57">
        <v>27</v>
      </c>
      <c r="F342" s="35" t="s">
        <v>62</v>
      </c>
      <c r="G342" s="62">
        <f t="shared" si="10"/>
        <v>45894</v>
      </c>
    </row>
    <row r="343" spans="1:7">
      <c r="A343" s="35" t="s">
        <v>124</v>
      </c>
      <c r="B343" s="36">
        <v>45898</v>
      </c>
      <c r="C343" s="35">
        <v>99944</v>
      </c>
      <c r="D343" s="35" t="s">
        <v>25</v>
      </c>
      <c r="E343" s="57">
        <v>6</v>
      </c>
      <c r="F343" s="35" t="s">
        <v>62</v>
      </c>
      <c r="G343" s="62">
        <f t="shared" si="10"/>
        <v>45894</v>
      </c>
    </row>
    <row r="344" spans="1:7">
      <c r="A344" s="35" t="s">
        <v>125</v>
      </c>
      <c r="B344" s="36">
        <v>45903</v>
      </c>
      <c r="C344" s="35">
        <v>99629</v>
      </c>
      <c r="D344" s="35" t="s">
        <v>65</v>
      </c>
      <c r="E344" s="57">
        <v>48</v>
      </c>
      <c r="F344" s="35" t="s">
        <v>62</v>
      </c>
      <c r="G344" s="62">
        <f t="shared" si="10"/>
        <v>45901</v>
      </c>
    </row>
    <row r="345" spans="1:7">
      <c r="A345" s="35" t="s">
        <v>125</v>
      </c>
      <c r="B345" s="36">
        <v>45903</v>
      </c>
      <c r="C345" s="35">
        <v>99638</v>
      </c>
      <c r="D345" s="35" t="s">
        <v>20</v>
      </c>
      <c r="E345" s="57">
        <v>33</v>
      </c>
      <c r="F345" s="35" t="s">
        <v>62</v>
      </c>
      <c r="G345" s="62">
        <f t="shared" si="10"/>
        <v>45901</v>
      </c>
    </row>
    <row r="346" spans="1:7">
      <c r="A346" s="35" t="s">
        <v>125</v>
      </c>
      <c r="B346" s="36">
        <v>45903</v>
      </c>
      <c r="C346" s="35">
        <v>99632</v>
      </c>
      <c r="D346" s="35" t="s">
        <v>21</v>
      </c>
      <c r="E346" s="57">
        <v>20</v>
      </c>
      <c r="F346" s="35" t="s">
        <v>62</v>
      </c>
      <c r="G346" s="62">
        <f t="shared" si="10"/>
        <v>45901</v>
      </c>
    </row>
    <row r="347" spans="1:7">
      <c r="A347" s="35" t="s">
        <v>125</v>
      </c>
      <c r="B347" s="36">
        <v>45903</v>
      </c>
      <c r="C347" s="35">
        <v>99631</v>
      </c>
      <c r="D347" s="35" t="s">
        <v>66</v>
      </c>
      <c r="E347" s="57">
        <v>56</v>
      </c>
      <c r="F347" s="35" t="s">
        <v>62</v>
      </c>
      <c r="G347" s="62">
        <f t="shared" si="10"/>
        <v>45901</v>
      </c>
    </row>
    <row r="348" spans="1:7">
      <c r="A348" s="35" t="s">
        <v>126</v>
      </c>
      <c r="B348" s="36">
        <v>45904</v>
      </c>
      <c r="C348" s="35">
        <v>99632</v>
      </c>
      <c r="D348" s="35" t="s">
        <v>21</v>
      </c>
      <c r="E348" s="57">
        <v>33</v>
      </c>
      <c r="F348" s="35" t="s">
        <v>83</v>
      </c>
      <c r="G348" s="62">
        <f t="shared" si="10"/>
        <v>45901</v>
      </c>
    </row>
    <row r="349" spans="1:7">
      <c r="A349" s="35" t="s">
        <v>126</v>
      </c>
      <c r="B349" s="36">
        <v>45904</v>
      </c>
      <c r="C349" s="35">
        <v>99631</v>
      </c>
      <c r="D349" s="35" t="s">
        <v>66</v>
      </c>
      <c r="E349" s="57">
        <v>10</v>
      </c>
      <c r="F349" s="35" t="s">
        <v>83</v>
      </c>
      <c r="G349" s="62">
        <f t="shared" si="10"/>
        <v>45901</v>
      </c>
    </row>
    <row r="350" spans="1:7">
      <c r="A350" s="35" t="s">
        <v>127</v>
      </c>
      <c r="B350" s="36">
        <v>45905</v>
      </c>
      <c r="C350" s="35">
        <v>99632</v>
      </c>
      <c r="D350" s="35" t="s">
        <v>21</v>
      </c>
      <c r="E350" s="57">
        <v>8</v>
      </c>
      <c r="F350" s="35" t="s">
        <v>62</v>
      </c>
      <c r="G350" s="62">
        <f t="shared" si="10"/>
        <v>45901</v>
      </c>
    </row>
    <row r="351" spans="1:7">
      <c r="A351" s="35" t="s">
        <v>128</v>
      </c>
      <c r="B351" s="36">
        <v>45910</v>
      </c>
      <c r="C351" s="35">
        <v>99629</v>
      </c>
      <c r="D351" s="35" t="s">
        <v>65</v>
      </c>
      <c r="E351" s="57">
        <v>68</v>
      </c>
      <c r="F351" s="35" t="s">
        <v>62</v>
      </c>
      <c r="G351" s="62">
        <f t="shared" si="10"/>
        <v>45908</v>
      </c>
    </row>
    <row r="352" spans="1:7">
      <c r="A352" s="35" t="s">
        <v>128</v>
      </c>
      <c r="B352" s="36">
        <v>45910</v>
      </c>
      <c r="C352" s="35">
        <v>99630</v>
      </c>
      <c r="D352" s="35" t="s">
        <v>19</v>
      </c>
      <c r="E352" s="57">
        <v>68</v>
      </c>
      <c r="F352" s="35" t="s">
        <v>62</v>
      </c>
      <c r="G352" s="62">
        <f t="shared" si="10"/>
        <v>45908</v>
      </c>
    </row>
    <row r="353" spans="1:7">
      <c r="A353" s="35" t="s">
        <v>128</v>
      </c>
      <c r="B353" s="36">
        <v>45910</v>
      </c>
      <c r="C353" s="35">
        <v>99638</v>
      </c>
      <c r="D353" s="35" t="s">
        <v>20</v>
      </c>
      <c r="E353" s="57">
        <v>68</v>
      </c>
      <c r="F353" s="35" t="s">
        <v>62</v>
      </c>
      <c r="G353" s="62">
        <f t="shared" si="10"/>
        <v>45908</v>
      </c>
    </row>
    <row r="354" spans="1:7">
      <c r="A354" s="35" t="s">
        <v>128</v>
      </c>
      <c r="B354" s="36">
        <v>45910</v>
      </c>
      <c r="C354" s="35">
        <v>99632</v>
      </c>
      <c r="D354" s="35" t="s">
        <v>21</v>
      </c>
      <c r="E354" s="57">
        <v>67</v>
      </c>
      <c r="F354" s="35" t="s">
        <v>62</v>
      </c>
      <c r="G354" s="62">
        <f t="shared" si="10"/>
        <v>45908</v>
      </c>
    </row>
    <row r="355" spans="1:7">
      <c r="A355" s="35" t="s">
        <v>128</v>
      </c>
      <c r="B355" s="36">
        <v>45910</v>
      </c>
      <c r="C355" s="35">
        <v>99633</v>
      </c>
      <c r="D355" s="35" t="s">
        <v>22</v>
      </c>
      <c r="E355" s="57">
        <v>68</v>
      </c>
      <c r="F355" s="35" t="s">
        <v>62</v>
      </c>
      <c r="G355" s="62">
        <f t="shared" si="10"/>
        <v>45908</v>
      </c>
    </row>
    <row r="356" spans="1:7">
      <c r="A356" s="35" t="s">
        <v>128</v>
      </c>
      <c r="B356" s="36">
        <v>45910</v>
      </c>
      <c r="C356" s="35">
        <v>99646</v>
      </c>
      <c r="D356" s="35" t="s">
        <v>23</v>
      </c>
      <c r="E356" s="57">
        <v>68</v>
      </c>
      <c r="F356" s="35" t="s">
        <v>62</v>
      </c>
      <c r="G356" s="62">
        <f t="shared" si="10"/>
        <v>45908</v>
      </c>
    </row>
    <row r="357" spans="1:7">
      <c r="A357" s="35" t="s">
        <v>128</v>
      </c>
      <c r="B357" s="36">
        <v>45910</v>
      </c>
      <c r="C357" s="35">
        <v>99635</v>
      </c>
      <c r="D357" s="35" t="s">
        <v>24</v>
      </c>
      <c r="E357" s="57">
        <v>68</v>
      </c>
      <c r="F357" s="35" t="s">
        <v>62</v>
      </c>
      <c r="G357" s="62">
        <f t="shared" si="10"/>
        <v>45908</v>
      </c>
    </row>
    <row r="358" spans="1:7">
      <c r="A358" s="35" t="s">
        <v>128</v>
      </c>
      <c r="B358" s="36">
        <v>45910</v>
      </c>
      <c r="C358" s="35">
        <v>99944</v>
      </c>
      <c r="D358" s="35" t="s">
        <v>25</v>
      </c>
      <c r="E358" s="57">
        <v>68</v>
      </c>
      <c r="F358" s="35" t="s">
        <v>62</v>
      </c>
      <c r="G358" s="62">
        <f t="shared" si="10"/>
        <v>45908</v>
      </c>
    </row>
    <row r="359" spans="1:7">
      <c r="A359" s="35" t="s">
        <v>128</v>
      </c>
      <c r="B359" s="36">
        <v>45910</v>
      </c>
      <c r="C359" s="35">
        <v>99636</v>
      </c>
      <c r="D359" s="35" t="s">
        <v>26</v>
      </c>
      <c r="E359" s="57">
        <v>68</v>
      </c>
      <c r="F359" s="35" t="s">
        <v>62</v>
      </c>
      <c r="G359" s="62">
        <f t="shared" si="10"/>
        <v>45908</v>
      </c>
    </row>
    <row r="360" spans="1:7">
      <c r="A360" s="35" t="s">
        <v>128</v>
      </c>
      <c r="B360" s="36">
        <v>45910</v>
      </c>
      <c r="C360" s="35">
        <v>99631</v>
      </c>
      <c r="D360" s="35" t="str">
        <f>IFERROR(VLOOKUP(C360,'Parts Legend'!$B:$C,2,FALSE),"")</f>
        <v xml:space="preserve">Main Upper Cover </v>
      </c>
      <c r="E360" s="57">
        <v>72</v>
      </c>
      <c r="F360" s="35" t="s">
        <v>62</v>
      </c>
      <c r="G360" s="62">
        <f t="shared" si="10"/>
        <v>45908</v>
      </c>
    </row>
    <row r="361" spans="1:7">
      <c r="A361" s="35" t="s">
        <v>129</v>
      </c>
      <c r="B361" s="36">
        <v>45917</v>
      </c>
      <c r="C361" s="35">
        <v>99629</v>
      </c>
      <c r="D361" s="63" t="str">
        <f>IFERROR(VLOOKUP(C361,'Parts Legend'!$B:$C,2,FALSE),"")</f>
        <v xml:space="preserve">Main Lower Cover </v>
      </c>
      <c r="E361" s="57">
        <v>66</v>
      </c>
      <c r="F361" s="35" t="s">
        <v>62</v>
      </c>
      <c r="G361" s="62">
        <f>IF(B361="","",(B361-WEEKDAY(B361,3)))</f>
        <v>45915</v>
      </c>
    </row>
    <row r="362" spans="1:7">
      <c r="A362" s="35" t="s">
        <v>129</v>
      </c>
      <c r="B362" s="36">
        <v>45917</v>
      </c>
      <c r="C362" s="35">
        <v>99630</v>
      </c>
      <c r="D362" s="63" t="str">
        <f>IFERROR(VLOOKUP(C362,'Parts Legend'!$B:$C,2,FALSE),"")</f>
        <v>Vent Cover</v>
      </c>
      <c r="E362" s="57">
        <v>80</v>
      </c>
      <c r="F362" s="35" t="s">
        <v>62</v>
      </c>
      <c r="G362" s="62">
        <f t="shared" ref="G362:G423" si="11">IF(B362="","",(B362-WEEKDAY(B362,3)))</f>
        <v>45915</v>
      </c>
    </row>
    <row r="363" spans="1:7">
      <c r="A363" s="35" t="s">
        <v>129</v>
      </c>
      <c r="B363" s="36">
        <v>45917</v>
      </c>
      <c r="C363" s="35">
        <v>99638</v>
      </c>
      <c r="D363" s="63" t="str">
        <f>IFERROR(VLOOKUP(C363,'Parts Legend'!$B:$C,2,FALSE),"")</f>
        <v>Rear Plate</v>
      </c>
      <c r="E363" s="57">
        <v>68</v>
      </c>
      <c r="F363" s="35" t="s">
        <v>62</v>
      </c>
      <c r="G363" s="62">
        <f t="shared" si="11"/>
        <v>45915</v>
      </c>
    </row>
    <row r="364" spans="1:7">
      <c r="A364" s="35" t="s">
        <v>129</v>
      </c>
      <c r="B364" s="36">
        <v>45917</v>
      </c>
      <c r="C364" s="35">
        <v>99632</v>
      </c>
      <c r="D364" s="63" t="str">
        <f>IFERROR(VLOOKUP(C364,'Parts Legend'!$B:$C,2,FALSE),"")</f>
        <v>Bezel</v>
      </c>
      <c r="E364" s="57">
        <v>66</v>
      </c>
      <c r="F364" s="35" t="s">
        <v>62</v>
      </c>
      <c r="G364" s="62">
        <f t="shared" si="11"/>
        <v>45915</v>
      </c>
    </row>
    <row r="365" spans="1:7">
      <c r="A365" s="35" t="s">
        <v>129</v>
      </c>
      <c r="B365" s="36">
        <v>45917</v>
      </c>
      <c r="C365" s="35">
        <v>99633</v>
      </c>
      <c r="D365" s="63" t="str">
        <f>IFERROR(VLOOKUP(C365,'Parts Legend'!$B:$C,2,FALSE),"")</f>
        <v>LH IR Cover</v>
      </c>
      <c r="E365" s="57">
        <v>68</v>
      </c>
      <c r="F365" s="35" t="s">
        <v>62</v>
      </c>
      <c r="G365" s="62">
        <f t="shared" si="11"/>
        <v>45915</v>
      </c>
    </row>
    <row r="366" spans="1:7">
      <c r="A366" s="35" t="s">
        <v>129</v>
      </c>
      <c r="B366" s="36">
        <v>45917</v>
      </c>
      <c r="C366" s="35">
        <v>99646</v>
      </c>
      <c r="D366" s="63" t="str">
        <f>IFERROR(VLOOKUP(C366,'Parts Legend'!$B:$C,2,FALSE),"")</f>
        <v>RH IR Cover</v>
      </c>
      <c r="E366" s="57">
        <v>68</v>
      </c>
      <c r="F366" s="35" t="s">
        <v>62</v>
      </c>
      <c r="G366" s="62">
        <f t="shared" si="11"/>
        <v>45915</v>
      </c>
    </row>
    <row r="367" spans="1:7">
      <c r="A367" s="35" t="s">
        <v>129</v>
      </c>
      <c r="B367" s="36">
        <v>45917</v>
      </c>
      <c r="C367" s="35">
        <v>99635</v>
      </c>
      <c r="D367" s="63" t="str">
        <f>IFERROR(VLOOKUP(C367,'Parts Legend'!$B:$C,2,FALSE),"")</f>
        <v>LH Lateral Belt</v>
      </c>
      <c r="E367" s="57">
        <v>68</v>
      </c>
      <c r="F367" s="35" t="s">
        <v>62</v>
      </c>
      <c r="G367" s="62">
        <f t="shared" si="11"/>
        <v>45915</v>
      </c>
    </row>
    <row r="368" spans="1:7">
      <c r="A368" s="35" t="s">
        <v>129</v>
      </c>
      <c r="B368" s="36">
        <v>45917</v>
      </c>
      <c r="C368" s="35">
        <v>99944</v>
      </c>
      <c r="D368" s="63" t="str">
        <f>IFERROR(VLOOKUP(C368,'Parts Legend'!$B:$C,2,FALSE),"")</f>
        <v>RH Lateral Belt</v>
      </c>
      <c r="E368" s="57">
        <v>68</v>
      </c>
      <c r="F368" s="35" t="s">
        <v>62</v>
      </c>
      <c r="G368" s="62">
        <f t="shared" si="11"/>
        <v>45915</v>
      </c>
    </row>
    <row r="369" spans="1:7">
      <c r="A369" s="35" t="s">
        <v>129</v>
      </c>
      <c r="B369" s="36">
        <v>45917</v>
      </c>
      <c r="C369" s="35">
        <v>99636</v>
      </c>
      <c r="D369" s="63" t="str">
        <f>IFERROR(VLOOKUP(C369,'Parts Legend'!$B:$C,2,FALSE),"")</f>
        <v>Rear Belt</v>
      </c>
      <c r="E369" s="57">
        <v>68</v>
      </c>
      <c r="F369" s="35" t="s">
        <v>62</v>
      </c>
      <c r="G369" s="62">
        <f t="shared" si="11"/>
        <v>45915</v>
      </c>
    </row>
    <row r="370" spans="1:7">
      <c r="A370" s="35" t="s">
        <v>129</v>
      </c>
      <c r="B370" s="36">
        <v>45917</v>
      </c>
      <c r="C370" s="35">
        <v>99631</v>
      </c>
      <c r="D370" s="63" t="str">
        <f>IFERROR(VLOOKUP(C370,'Parts Legend'!$B:$C,2,FALSE),"")</f>
        <v xml:space="preserve">Main Upper Cover </v>
      </c>
      <c r="E370" s="57">
        <v>72</v>
      </c>
      <c r="F370" s="35" t="s">
        <v>62</v>
      </c>
      <c r="G370" s="62">
        <f t="shared" si="11"/>
        <v>45915</v>
      </c>
    </row>
    <row r="371" spans="1:7">
      <c r="A371" s="35" t="s">
        <v>130</v>
      </c>
      <c r="B371" s="36">
        <v>45922</v>
      </c>
      <c r="C371" s="35">
        <v>99632</v>
      </c>
      <c r="D371" s="63" t="str">
        <f>IFERROR(VLOOKUP(C371,'Parts Legend'!$B:$C,2,FALSE),"")</f>
        <v>Bezel</v>
      </c>
      <c r="E371" s="57">
        <v>1</v>
      </c>
      <c r="F371" s="35" t="s">
        <v>62</v>
      </c>
      <c r="G371" s="62">
        <f t="shared" si="11"/>
        <v>45922</v>
      </c>
    </row>
    <row r="372" spans="1:7">
      <c r="A372" s="35" t="s">
        <v>131</v>
      </c>
      <c r="B372" s="36">
        <v>45924</v>
      </c>
      <c r="C372" s="35">
        <v>99629</v>
      </c>
      <c r="D372" s="63" t="str">
        <f>IFERROR(VLOOKUP(C372,'Parts Legend'!$B:$C,2,FALSE),"")</f>
        <v xml:space="preserve">Main Lower Cover </v>
      </c>
      <c r="E372" s="57">
        <v>66</v>
      </c>
      <c r="F372" s="35" t="s">
        <v>62</v>
      </c>
      <c r="G372" s="62">
        <f t="shared" si="11"/>
        <v>45922</v>
      </c>
    </row>
    <row r="373" spans="1:7">
      <c r="A373" s="35" t="s">
        <v>131</v>
      </c>
      <c r="B373" s="36">
        <v>45924</v>
      </c>
      <c r="C373" s="35">
        <v>99630</v>
      </c>
      <c r="D373" s="63" t="str">
        <f>IFERROR(VLOOKUP(C373,'Parts Legend'!$B:$C,2,FALSE),"")</f>
        <v>Vent Cover</v>
      </c>
      <c r="E373" s="57">
        <v>60</v>
      </c>
      <c r="F373" s="35" t="s">
        <v>62</v>
      </c>
      <c r="G373" s="62">
        <f t="shared" si="11"/>
        <v>45922</v>
      </c>
    </row>
    <row r="374" spans="1:7">
      <c r="A374" s="35" t="s">
        <v>131</v>
      </c>
      <c r="B374" s="36">
        <v>45924</v>
      </c>
      <c r="C374" s="35">
        <v>99638</v>
      </c>
      <c r="D374" s="63" t="str">
        <f>IFERROR(VLOOKUP(C374,'Parts Legend'!$B:$C,2,FALSE),"")</f>
        <v>Rear Plate</v>
      </c>
      <c r="E374" s="57">
        <v>68</v>
      </c>
      <c r="F374" s="35" t="s">
        <v>62</v>
      </c>
      <c r="G374" s="62">
        <f t="shared" si="11"/>
        <v>45922</v>
      </c>
    </row>
    <row r="375" spans="1:7">
      <c r="A375" s="35" t="s">
        <v>131</v>
      </c>
      <c r="B375" s="36">
        <v>45924</v>
      </c>
      <c r="C375" s="35">
        <v>99632</v>
      </c>
      <c r="D375" s="63" t="str">
        <f>IFERROR(VLOOKUP(C375,'Parts Legend'!$B:$C,2,FALSE),"")</f>
        <v>Bezel</v>
      </c>
      <c r="E375" s="57">
        <v>66</v>
      </c>
      <c r="F375" s="35" t="s">
        <v>62</v>
      </c>
      <c r="G375" s="62">
        <f t="shared" si="11"/>
        <v>45922</v>
      </c>
    </row>
    <row r="376" spans="1:7">
      <c r="A376" s="35" t="s">
        <v>131</v>
      </c>
      <c r="B376" s="36">
        <v>45924</v>
      </c>
      <c r="C376" s="35">
        <v>99633</v>
      </c>
      <c r="D376" s="63" t="str">
        <f>IFERROR(VLOOKUP(C376,'Parts Legend'!$B:$C,2,FALSE),"")</f>
        <v>LH IR Cover</v>
      </c>
      <c r="E376" s="57">
        <v>68</v>
      </c>
      <c r="F376" s="35" t="s">
        <v>62</v>
      </c>
      <c r="G376" s="62">
        <f t="shared" si="11"/>
        <v>45922</v>
      </c>
    </row>
    <row r="377" spans="1:7">
      <c r="A377" s="35" t="s">
        <v>131</v>
      </c>
      <c r="B377" s="36">
        <v>45924</v>
      </c>
      <c r="C377" s="35">
        <v>99646</v>
      </c>
      <c r="D377" s="63" t="str">
        <f>IFERROR(VLOOKUP(C377,'Parts Legend'!$B:$C,2,FALSE),"")</f>
        <v>RH IR Cover</v>
      </c>
      <c r="E377" s="57">
        <v>68</v>
      </c>
      <c r="F377" s="35" t="s">
        <v>62</v>
      </c>
      <c r="G377" s="62">
        <f t="shared" si="11"/>
        <v>45922</v>
      </c>
    </row>
    <row r="378" spans="1:7">
      <c r="A378" s="35" t="s">
        <v>131</v>
      </c>
      <c r="B378" s="36">
        <v>45924</v>
      </c>
      <c r="C378" s="35">
        <v>99635</v>
      </c>
      <c r="D378" s="63" t="str">
        <f>IFERROR(VLOOKUP(C378,'Parts Legend'!$B:$C,2,FALSE),"")</f>
        <v>LH Lateral Belt</v>
      </c>
      <c r="E378" s="57">
        <v>68</v>
      </c>
      <c r="F378" s="35" t="s">
        <v>62</v>
      </c>
      <c r="G378" s="62">
        <f t="shared" si="11"/>
        <v>45922</v>
      </c>
    </row>
    <row r="379" spans="1:7">
      <c r="A379" s="35" t="s">
        <v>131</v>
      </c>
      <c r="B379" s="36">
        <v>45924</v>
      </c>
      <c r="C379" s="35">
        <v>99944</v>
      </c>
      <c r="D379" s="63" t="str">
        <f>IFERROR(VLOOKUP(C379,'Parts Legend'!$B:$C,2,FALSE),"")</f>
        <v>RH Lateral Belt</v>
      </c>
      <c r="E379" s="57">
        <v>68</v>
      </c>
      <c r="F379" s="35" t="s">
        <v>62</v>
      </c>
      <c r="G379" s="62">
        <f t="shared" si="11"/>
        <v>45922</v>
      </c>
    </row>
    <row r="380" spans="1:7">
      <c r="A380" s="35" t="s">
        <v>131</v>
      </c>
      <c r="B380" s="36">
        <v>45924</v>
      </c>
      <c r="C380" s="35">
        <v>99636</v>
      </c>
      <c r="D380" s="63" t="str">
        <f>IFERROR(VLOOKUP(C380,'Parts Legend'!$B:$C,2,FALSE),"")</f>
        <v>Rear Belt</v>
      </c>
      <c r="E380" s="57">
        <v>66</v>
      </c>
      <c r="F380" s="35" t="s">
        <v>62</v>
      </c>
      <c r="G380" s="62">
        <f t="shared" si="11"/>
        <v>45922</v>
      </c>
    </row>
    <row r="381" spans="1:7">
      <c r="A381" s="35" t="s">
        <v>131</v>
      </c>
      <c r="B381" s="36">
        <v>45924</v>
      </c>
      <c r="C381" s="35">
        <v>99631</v>
      </c>
      <c r="D381" s="63" t="str">
        <f>IFERROR(VLOOKUP(C381,'Parts Legend'!$B:$C,2,FALSE),"")</f>
        <v xml:space="preserve">Main Upper Cover </v>
      </c>
      <c r="E381" s="57">
        <v>72</v>
      </c>
      <c r="F381" s="35" t="s">
        <v>62</v>
      </c>
      <c r="G381" s="62">
        <f t="shared" si="11"/>
        <v>45922</v>
      </c>
    </row>
    <row r="382" spans="1:7">
      <c r="A382" s="35" t="s">
        <v>132</v>
      </c>
      <c r="B382" s="36">
        <v>45931</v>
      </c>
      <c r="C382" s="35">
        <v>99630</v>
      </c>
      <c r="D382" s="63" t="str">
        <f>IFERROR(VLOOKUP(C382,'Parts Legend'!$B:$C,2,FALSE),"")</f>
        <v>Vent Cover</v>
      </c>
      <c r="E382" s="57">
        <v>55</v>
      </c>
      <c r="F382" s="35" t="s">
        <v>62</v>
      </c>
      <c r="G382" s="62">
        <f t="shared" si="11"/>
        <v>45929</v>
      </c>
    </row>
    <row r="383" spans="1:7">
      <c r="A383" s="35" t="s">
        <v>132</v>
      </c>
      <c r="B383" s="36">
        <v>45931</v>
      </c>
      <c r="C383" s="35">
        <v>99638</v>
      </c>
      <c r="D383" s="63" t="str">
        <f>IFERROR(VLOOKUP(C383,'Parts Legend'!$B:$C,2,FALSE),"")</f>
        <v>Rear Plate</v>
      </c>
      <c r="E383" s="57">
        <v>66</v>
      </c>
      <c r="F383" s="35" t="s">
        <v>62</v>
      </c>
      <c r="G383" s="62">
        <f t="shared" si="11"/>
        <v>45929</v>
      </c>
    </row>
    <row r="384" spans="1:7">
      <c r="A384" s="35" t="s">
        <v>132</v>
      </c>
      <c r="B384" s="36">
        <v>45931</v>
      </c>
      <c r="C384" s="35">
        <v>99632</v>
      </c>
      <c r="D384" s="63" t="str">
        <f>IFERROR(VLOOKUP(C384,'Parts Legend'!$B:$C,2,FALSE),"")</f>
        <v>Bezel</v>
      </c>
      <c r="E384" s="57">
        <v>66</v>
      </c>
      <c r="F384" s="35" t="s">
        <v>62</v>
      </c>
      <c r="G384" s="62">
        <f t="shared" si="11"/>
        <v>45929</v>
      </c>
    </row>
    <row r="385" spans="1:7">
      <c r="A385" s="35" t="s">
        <v>132</v>
      </c>
      <c r="B385" s="36">
        <v>45931</v>
      </c>
      <c r="C385" s="35">
        <v>99633</v>
      </c>
      <c r="D385" s="63" t="str">
        <f>IFERROR(VLOOKUP(C385,'Parts Legend'!$B:$C,2,FALSE),"")</f>
        <v>LH IR Cover</v>
      </c>
      <c r="E385" s="57">
        <v>68</v>
      </c>
      <c r="F385" s="35" t="s">
        <v>62</v>
      </c>
      <c r="G385" s="62">
        <f t="shared" si="11"/>
        <v>45929</v>
      </c>
    </row>
    <row r="386" spans="1:7">
      <c r="A386" s="35" t="s">
        <v>132</v>
      </c>
      <c r="B386" s="36">
        <v>45931</v>
      </c>
      <c r="C386" s="35">
        <v>99646</v>
      </c>
      <c r="D386" s="63" t="str">
        <f>IFERROR(VLOOKUP(C386,'Parts Legend'!$B:$C,2,FALSE),"")</f>
        <v>RH IR Cover</v>
      </c>
      <c r="E386" s="57">
        <v>68</v>
      </c>
      <c r="F386" s="35" t="s">
        <v>62</v>
      </c>
      <c r="G386" s="62">
        <f t="shared" si="11"/>
        <v>45929</v>
      </c>
    </row>
    <row r="387" spans="1:7">
      <c r="A387" s="35" t="s">
        <v>132</v>
      </c>
      <c r="B387" s="36">
        <v>45931</v>
      </c>
      <c r="C387" s="35">
        <v>99635</v>
      </c>
      <c r="D387" s="63" t="str">
        <f>IFERROR(VLOOKUP(C387,'Parts Legend'!$B:$C,2,FALSE),"")</f>
        <v>LH Lateral Belt</v>
      </c>
      <c r="E387" s="57">
        <v>68</v>
      </c>
      <c r="F387" s="35" t="s">
        <v>62</v>
      </c>
      <c r="G387" s="62">
        <f t="shared" si="11"/>
        <v>45929</v>
      </c>
    </row>
    <row r="388" spans="1:7">
      <c r="A388" s="35" t="s">
        <v>132</v>
      </c>
      <c r="B388" s="36">
        <v>45931</v>
      </c>
      <c r="C388" s="35">
        <v>99944</v>
      </c>
      <c r="D388" s="63" t="str">
        <f>IFERROR(VLOOKUP(C388,'Parts Legend'!$B:$C,2,FALSE),"")</f>
        <v>RH Lateral Belt</v>
      </c>
      <c r="E388" s="57">
        <v>68</v>
      </c>
      <c r="F388" s="35" t="s">
        <v>62</v>
      </c>
      <c r="G388" s="62">
        <f t="shared" si="11"/>
        <v>45929</v>
      </c>
    </row>
    <row r="389" spans="1:7">
      <c r="A389" s="35" t="s">
        <v>132</v>
      </c>
      <c r="B389" s="36">
        <v>45931</v>
      </c>
      <c r="C389" s="35">
        <v>99636</v>
      </c>
      <c r="D389" s="63" t="str">
        <f>IFERROR(VLOOKUP(C389,'Parts Legend'!$B:$C,2,FALSE),"")</f>
        <v>Rear Belt</v>
      </c>
      <c r="E389" s="57">
        <v>68</v>
      </c>
      <c r="F389" s="35" t="s">
        <v>62</v>
      </c>
      <c r="G389" s="62">
        <f t="shared" si="11"/>
        <v>45929</v>
      </c>
    </row>
    <row r="390" spans="1:7">
      <c r="A390" s="35" t="s">
        <v>132</v>
      </c>
      <c r="B390" s="36">
        <v>45931</v>
      </c>
      <c r="C390" s="35">
        <v>99631</v>
      </c>
      <c r="D390" s="63" t="str">
        <f>IFERROR(VLOOKUP(C390,'Parts Legend'!$B:$C,2,FALSE),"")</f>
        <v xml:space="preserve">Main Upper Cover </v>
      </c>
      <c r="E390" s="57">
        <v>72</v>
      </c>
      <c r="F390" s="35" t="s">
        <v>62</v>
      </c>
      <c r="G390" s="62">
        <f t="shared" si="11"/>
        <v>45929</v>
      </c>
    </row>
    <row r="391" spans="1:7">
      <c r="A391" s="35" t="s">
        <v>132</v>
      </c>
      <c r="B391" s="36">
        <v>45931</v>
      </c>
      <c r="C391" s="35">
        <v>99629</v>
      </c>
      <c r="D391" s="63" t="str">
        <f>IFERROR(VLOOKUP(C391,'Parts Legend'!$B:$C,2,FALSE),"")</f>
        <v xml:space="preserve">Main Lower Cover </v>
      </c>
      <c r="E391" s="57">
        <v>41</v>
      </c>
      <c r="F391" s="35" t="s">
        <v>62</v>
      </c>
      <c r="G391" s="62">
        <f t="shared" si="11"/>
        <v>45929</v>
      </c>
    </row>
    <row r="392" spans="1:7">
      <c r="D392" s="63" t="str">
        <f>IFERROR(VLOOKUP(C392,'Parts Legend'!$B:$C,2,FALSE),"")</f>
        <v/>
      </c>
      <c r="E392" s="57"/>
      <c r="G392" s="62" t="str">
        <f t="shared" si="11"/>
        <v/>
      </c>
    </row>
    <row r="393" spans="1:7">
      <c r="D393" s="63" t="str">
        <f>IFERROR(VLOOKUP(C393,'Parts Legend'!$B:$C,2,FALSE),"")</f>
        <v/>
      </c>
      <c r="E393" s="57"/>
      <c r="G393" s="62" t="str">
        <f t="shared" si="11"/>
        <v/>
      </c>
    </row>
    <row r="394" spans="1:7">
      <c r="D394" s="63" t="str">
        <f>IFERROR(VLOOKUP(C394,'Parts Legend'!$B:$C,2,FALSE),"")</f>
        <v/>
      </c>
      <c r="E394" s="57"/>
      <c r="G394" s="62" t="str">
        <f t="shared" si="11"/>
        <v/>
      </c>
    </row>
    <row r="395" spans="1:7">
      <c r="D395" s="63" t="str">
        <f>IFERROR(VLOOKUP(C395,'Parts Legend'!$B:$C,2,FALSE),"")</f>
        <v/>
      </c>
      <c r="E395" s="57"/>
      <c r="G395" s="62" t="str">
        <f t="shared" si="11"/>
        <v/>
      </c>
    </row>
    <row r="396" spans="1:7">
      <c r="D396" s="63" t="str">
        <f>IFERROR(VLOOKUP(C396,'Parts Legend'!$B:$C,2,FALSE),"")</f>
        <v/>
      </c>
      <c r="E396" s="57"/>
      <c r="G396" s="62" t="str">
        <f t="shared" si="11"/>
        <v/>
      </c>
    </row>
    <row r="397" spans="1:7">
      <c r="D397" s="63" t="str">
        <f>IFERROR(VLOOKUP(C397,'Parts Legend'!$B:$C,2,FALSE),"")</f>
        <v/>
      </c>
      <c r="E397" s="57"/>
      <c r="G397" s="62" t="str">
        <f t="shared" si="11"/>
        <v/>
      </c>
    </row>
    <row r="398" spans="1:7">
      <c r="D398" s="63" t="str">
        <f>IFERROR(VLOOKUP(C398,'Parts Legend'!$B:$C,2,FALSE),"")</f>
        <v/>
      </c>
      <c r="E398" s="57"/>
      <c r="G398" s="62" t="str">
        <f t="shared" si="11"/>
        <v/>
      </c>
    </row>
    <row r="399" spans="1:7">
      <c r="D399" s="63" t="str">
        <f>IFERROR(VLOOKUP(C399,'Parts Legend'!$B:$C,2,FALSE),"")</f>
        <v/>
      </c>
      <c r="E399" s="57"/>
      <c r="G399" s="62" t="str">
        <f t="shared" si="11"/>
        <v/>
      </c>
    </row>
    <row r="400" spans="1:7">
      <c r="D400" s="63" t="str">
        <f>IFERROR(VLOOKUP(C400,'Parts Legend'!$B:$C,2,FALSE),"")</f>
        <v/>
      </c>
      <c r="E400" s="57"/>
      <c r="G400" s="62" t="str">
        <f t="shared" si="11"/>
        <v/>
      </c>
    </row>
    <row r="401" spans="4:7">
      <c r="D401" s="63" t="str">
        <f>IFERROR(VLOOKUP(C401,'Parts Legend'!$B:$C,2,FALSE),"")</f>
        <v/>
      </c>
      <c r="E401" s="57"/>
      <c r="G401" s="62" t="str">
        <f t="shared" si="11"/>
        <v/>
      </c>
    </row>
    <row r="402" spans="4:7">
      <c r="D402" s="63" t="str">
        <f>IFERROR(VLOOKUP(C402,'Parts Legend'!$B:$C,2,FALSE),"")</f>
        <v/>
      </c>
      <c r="E402" s="57"/>
      <c r="G402" s="62" t="str">
        <f t="shared" si="11"/>
        <v/>
      </c>
    </row>
    <row r="403" spans="4:7">
      <c r="D403" s="63" t="str">
        <f>IFERROR(VLOOKUP(C403,'Parts Legend'!$B:$C,2,FALSE),"")</f>
        <v/>
      </c>
      <c r="E403" s="57"/>
      <c r="G403" s="62" t="str">
        <f t="shared" si="11"/>
        <v/>
      </c>
    </row>
    <row r="404" spans="4:7">
      <c r="D404" s="63" t="str">
        <f>IFERROR(VLOOKUP(C404,'Parts Legend'!$B:$C,2,FALSE),"")</f>
        <v/>
      </c>
      <c r="E404" s="57"/>
      <c r="G404" s="62" t="str">
        <f t="shared" si="11"/>
        <v/>
      </c>
    </row>
    <row r="405" spans="4:7">
      <c r="D405" s="63" t="str">
        <f>IFERROR(VLOOKUP(C405,'Parts Legend'!$B:$C,2,FALSE),"")</f>
        <v/>
      </c>
      <c r="E405" s="57"/>
      <c r="G405" s="62" t="str">
        <f t="shared" si="11"/>
        <v/>
      </c>
    </row>
    <row r="406" spans="4:7">
      <c r="D406" s="63" t="str">
        <f>IFERROR(VLOOKUP(C406,'Parts Legend'!$B:$C,2,FALSE),"")</f>
        <v/>
      </c>
      <c r="E406" s="57"/>
      <c r="G406" s="62" t="str">
        <f t="shared" si="11"/>
        <v/>
      </c>
    </row>
    <row r="407" spans="4:7">
      <c r="D407" s="63" t="str">
        <f>IFERROR(VLOOKUP(C407,'Parts Legend'!$B:$C,2,FALSE),"")</f>
        <v/>
      </c>
      <c r="E407" s="57"/>
      <c r="G407" s="62" t="str">
        <f t="shared" si="11"/>
        <v/>
      </c>
    </row>
    <row r="408" spans="4:7">
      <c r="D408" s="63" t="str">
        <f>IFERROR(VLOOKUP(C408,'Parts Legend'!$B:$C,2,FALSE),"")</f>
        <v/>
      </c>
      <c r="E408" s="57"/>
      <c r="G408" s="62" t="str">
        <f t="shared" si="11"/>
        <v/>
      </c>
    </row>
    <row r="409" spans="4:7">
      <c r="D409" s="63" t="str">
        <f>IFERROR(VLOOKUP(C409,'Parts Legend'!$B:$C,2,FALSE),"")</f>
        <v/>
      </c>
      <c r="E409" s="57"/>
      <c r="G409" s="62" t="str">
        <f t="shared" si="11"/>
        <v/>
      </c>
    </row>
    <row r="410" spans="4:7">
      <c r="D410" s="63" t="str">
        <f>IFERROR(VLOOKUP(C410,'Parts Legend'!$B:$C,2,FALSE),"")</f>
        <v/>
      </c>
      <c r="E410" s="57"/>
      <c r="G410" s="62" t="str">
        <f t="shared" si="11"/>
        <v/>
      </c>
    </row>
    <row r="411" spans="4:7">
      <c r="D411" s="63" t="str">
        <f>IFERROR(VLOOKUP(C411,'Parts Legend'!$B:$C,2,FALSE),"")</f>
        <v/>
      </c>
      <c r="E411" s="57"/>
      <c r="G411" s="62" t="str">
        <f t="shared" si="11"/>
        <v/>
      </c>
    </row>
    <row r="412" spans="4:7">
      <c r="D412" s="63" t="str">
        <f>IFERROR(VLOOKUP(C412,'Parts Legend'!$B:$C,2,FALSE),"")</f>
        <v/>
      </c>
      <c r="E412" s="57"/>
      <c r="G412" s="62" t="str">
        <f t="shared" si="11"/>
        <v/>
      </c>
    </row>
    <row r="413" spans="4:7">
      <c r="D413" s="63" t="str">
        <f>IFERROR(VLOOKUP(C413,'Parts Legend'!$B:$C,2,FALSE),"")</f>
        <v/>
      </c>
      <c r="E413" s="57"/>
      <c r="G413" s="62" t="str">
        <f t="shared" si="11"/>
        <v/>
      </c>
    </row>
    <row r="414" spans="4:7">
      <c r="D414" s="63" t="str">
        <f>IFERROR(VLOOKUP(C414,'Parts Legend'!$B:$C,2,FALSE),"")</f>
        <v/>
      </c>
      <c r="E414" s="57"/>
      <c r="G414" s="62" t="str">
        <f t="shared" si="11"/>
        <v/>
      </c>
    </row>
    <row r="415" spans="4:7">
      <c r="D415" s="63" t="str">
        <f>IFERROR(VLOOKUP(C415,'Parts Legend'!$B:$C,2,FALSE),"")</f>
        <v/>
      </c>
      <c r="E415" s="57"/>
      <c r="G415" s="62" t="str">
        <f t="shared" si="11"/>
        <v/>
      </c>
    </row>
    <row r="416" spans="4:7">
      <c r="D416" s="63" t="str">
        <f>IFERROR(VLOOKUP(C416,'Parts Legend'!$B:$C,2,FALSE),"")</f>
        <v/>
      </c>
      <c r="E416" s="57"/>
      <c r="G416" s="62" t="str">
        <f t="shared" si="11"/>
        <v/>
      </c>
    </row>
    <row r="417" spans="4:7">
      <c r="D417" s="63" t="str">
        <f>IFERROR(VLOOKUP(C417,'Parts Legend'!$B:$C,2,FALSE),"")</f>
        <v/>
      </c>
      <c r="E417" s="57"/>
      <c r="G417" s="62" t="str">
        <f t="shared" si="11"/>
        <v/>
      </c>
    </row>
    <row r="418" spans="4:7">
      <c r="D418" s="63" t="str">
        <f>IFERROR(VLOOKUP(C418,'Parts Legend'!$B:$C,2,FALSE),"")</f>
        <v/>
      </c>
      <c r="E418" s="57"/>
      <c r="G418" s="62" t="str">
        <f t="shared" si="11"/>
        <v/>
      </c>
    </row>
    <row r="419" spans="4:7">
      <c r="D419" s="63" t="str">
        <f>IFERROR(VLOOKUP(C419,'Parts Legend'!$B:$C,2,FALSE),"")</f>
        <v/>
      </c>
      <c r="E419" s="57"/>
      <c r="G419" s="62" t="str">
        <f t="shared" si="11"/>
        <v/>
      </c>
    </row>
    <row r="420" spans="4:7">
      <c r="D420" s="63" t="str">
        <f>IFERROR(VLOOKUP(C420,'Parts Legend'!$B:$C,2,FALSE),"")</f>
        <v/>
      </c>
      <c r="E420" s="57"/>
      <c r="G420" s="62" t="str">
        <f t="shared" si="11"/>
        <v/>
      </c>
    </row>
    <row r="421" spans="4:7">
      <c r="D421" s="63" t="str">
        <f>IFERROR(VLOOKUP(C421,'Parts Legend'!$B:$C,2,FALSE),"")</f>
        <v/>
      </c>
      <c r="E421" s="57"/>
      <c r="G421" s="62" t="str">
        <f t="shared" si="11"/>
        <v/>
      </c>
    </row>
    <row r="422" spans="4:7">
      <c r="D422" s="63" t="str">
        <f>IFERROR(VLOOKUP(C422,'Parts Legend'!$B:$C,2,FALSE),"")</f>
        <v/>
      </c>
      <c r="E422" s="57"/>
      <c r="G422" s="62" t="str">
        <f t="shared" si="11"/>
        <v/>
      </c>
    </row>
    <row r="423" spans="4:7">
      <c r="D423" s="63" t="str">
        <f>IFERROR(VLOOKUP(C423,'Parts Legend'!$B:$C,2,FALSE),"")</f>
        <v/>
      </c>
      <c r="E423" s="57"/>
      <c r="G423" s="62" t="str">
        <f t="shared" si="11"/>
        <v/>
      </c>
    </row>
    <row r="424" spans="4:7">
      <c r="D424" s="63" t="str">
        <f>IFERROR(VLOOKUP(C424,'Parts Legend'!$B:$C,2,FALSE),"")</f>
        <v/>
      </c>
      <c r="E424" s="57"/>
      <c r="G424" s="62" t="str">
        <f t="shared" ref="G424:G487" si="12">IF(B424="","",(B424-WEEKDAY(B424,3)))</f>
        <v/>
      </c>
    </row>
    <row r="425" spans="4:7">
      <c r="D425" s="63" t="str">
        <f>IFERROR(VLOOKUP(C425,'Parts Legend'!$B:$C,2,FALSE),"")</f>
        <v/>
      </c>
      <c r="E425" s="57"/>
      <c r="G425" s="62" t="str">
        <f t="shared" si="12"/>
        <v/>
      </c>
    </row>
    <row r="426" spans="4:7">
      <c r="D426" s="63" t="str">
        <f>IFERROR(VLOOKUP(C426,'Parts Legend'!$B:$C,2,FALSE),"")</f>
        <v/>
      </c>
      <c r="E426" s="57"/>
      <c r="G426" s="62" t="str">
        <f t="shared" si="12"/>
        <v/>
      </c>
    </row>
    <row r="427" spans="4:7">
      <c r="D427" s="63" t="str">
        <f>IFERROR(VLOOKUP(C427,'Parts Legend'!$B:$C,2,FALSE),"")</f>
        <v/>
      </c>
      <c r="E427" s="57"/>
      <c r="G427" s="62" t="str">
        <f t="shared" si="12"/>
        <v/>
      </c>
    </row>
    <row r="428" spans="4:7">
      <c r="D428" s="63" t="str">
        <f>IFERROR(VLOOKUP(C428,'Parts Legend'!$B:$C,2,FALSE),"")</f>
        <v/>
      </c>
      <c r="E428" s="57"/>
      <c r="G428" s="62" t="str">
        <f t="shared" si="12"/>
        <v/>
      </c>
    </row>
    <row r="429" spans="4:7">
      <c r="D429" s="63" t="str">
        <f>IFERROR(VLOOKUP(C429,'Parts Legend'!$B:$C,2,FALSE),"")</f>
        <v/>
      </c>
      <c r="E429" s="57"/>
      <c r="G429" s="62" t="str">
        <f t="shared" si="12"/>
        <v/>
      </c>
    </row>
    <row r="430" spans="4:7">
      <c r="D430" s="63" t="str">
        <f>IFERROR(VLOOKUP(C430,'Parts Legend'!$B:$C,2,FALSE),"")</f>
        <v/>
      </c>
      <c r="E430" s="57"/>
      <c r="G430" s="62" t="str">
        <f t="shared" si="12"/>
        <v/>
      </c>
    </row>
    <row r="431" spans="4:7">
      <c r="D431" s="63" t="str">
        <f>IFERROR(VLOOKUP(C431,'Parts Legend'!$B:$C,2,FALSE),"")</f>
        <v/>
      </c>
      <c r="E431" s="57"/>
      <c r="G431" s="62" t="str">
        <f t="shared" si="12"/>
        <v/>
      </c>
    </row>
    <row r="432" spans="4:7">
      <c r="D432" s="63" t="str">
        <f>IFERROR(VLOOKUP(C432,'Parts Legend'!$B:$C,2,FALSE),"")</f>
        <v/>
      </c>
      <c r="E432" s="57"/>
      <c r="G432" s="62" t="str">
        <f t="shared" si="12"/>
        <v/>
      </c>
    </row>
    <row r="433" spans="4:7">
      <c r="D433" s="63" t="str">
        <f>IFERROR(VLOOKUP(C433,'Parts Legend'!$B:$C,2,FALSE),"")</f>
        <v/>
      </c>
      <c r="E433" s="57"/>
      <c r="G433" s="62" t="str">
        <f t="shared" si="12"/>
        <v/>
      </c>
    </row>
    <row r="434" spans="4:7">
      <c r="D434" s="63" t="str">
        <f>IFERROR(VLOOKUP(C434,'Parts Legend'!$B:$C,2,FALSE),"")</f>
        <v/>
      </c>
      <c r="E434" s="57"/>
      <c r="G434" s="62" t="str">
        <f t="shared" si="12"/>
        <v/>
      </c>
    </row>
    <row r="435" spans="4:7">
      <c r="D435" s="63" t="str">
        <f>IFERROR(VLOOKUP(C435,'Parts Legend'!$B:$C,2,FALSE),"")</f>
        <v/>
      </c>
      <c r="E435" s="57"/>
      <c r="G435" s="62" t="str">
        <f t="shared" si="12"/>
        <v/>
      </c>
    </row>
    <row r="436" spans="4:7">
      <c r="D436" s="63" t="str">
        <f>IFERROR(VLOOKUP(C436,'Parts Legend'!$B:$C,2,FALSE),"")</f>
        <v/>
      </c>
      <c r="E436" s="57"/>
      <c r="G436" s="62" t="str">
        <f t="shared" si="12"/>
        <v/>
      </c>
    </row>
    <row r="437" spans="4:7">
      <c r="D437" s="63" t="str">
        <f>IFERROR(VLOOKUP(C437,'Parts Legend'!$B:$C,2,FALSE),"")</f>
        <v/>
      </c>
      <c r="E437" s="57"/>
      <c r="G437" s="62" t="str">
        <f t="shared" si="12"/>
        <v/>
      </c>
    </row>
    <row r="438" spans="4:7">
      <c r="D438" s="63" t="str">
        <f>IFERROR(VLOOKUP(C438,'Parts Legend'!$B:$C,2,FALSE),"")</f>
        <v/>
      </c>
      <c r="E438" s="57"/>
      <c r="G438" s="62" t="str">
        <f t="shared" si="12"/>
        <v/>
      </c>
    </row>
    <row r="439" spans="4:7">
      <c r="D439" s="63" t="str">
        <f>IFERROR(VLOOKUP(C439,'Parts Legend'!$B:$C,2,FALSE),"")</f>
        <v/>
      </c>
      <c r="E439" s="57"/>
      <c r="G439" s="62" t="str">
        <f t="shared" si="12"/>
        <v/>
      </c>
    </row>
    <row r="440" spans="4:7">
      <c r="D440" s="63" t="str">
        <f>IFERROR(VLOOKUP(C440,'Parts Legend'!$B:$C,2,FALSE),"")</f>
        <v/>
      </c>
      <c r="E440" s="57"/>
      <c r="G440" s="62" t="str">
        <f t="shared" si="12"/>
        <v/>
      </c>
    </row>
    <row r="441" spans="4:7">
      <c r="D441" s="63" t="str">
        <f>IFERROR(VLOOKUP(C441,'Parts Legend'!$B:$C,2,FALSE),"")</f>
        <v/>
      </c>
      <c r="E441" s="57"/>
      <c r="G441" s="62" t="str">
        <f t="shared" si="12"/>
        <v/>
      </c>
    </row>
    <row r="442" spans="4:7">
      <c r="D442" s="63" t="str">
        <f>IFERROR(VLOOKUP(C442,'Parts Legend'!$B:$C,2,FALSE),"")</f>
        <v/>
      </c>
      <c r="E442" s="57"/>
      <c r="G442" s="62" t="str">
        <f t="shared" si="12"/>
        <v/>
      </c>
    </row>
    <row r="443" spans="4:7">
      <c r="D443" s="63" t="str">
        <f>IFERROR(VLOOKUP(C443,'Parts Legend'!$B:$C,2,FALSE),"")</f>
        <v/>
      </c>
      <c r="E443" s="57"/>
      <c r="G443" s="62" t="str">
        <f t="shared" si="12"/>
        <v/>
      </c>
    </row>
    <row r="444" spans="4:7">
      <c r="D444" s="63" t="str">
        <f>IFERROR(VLOOKUP(C444,'Parts Legend'!$B:$C,2,FALSE),"")</f>
        <v/>
      </c>
      <c r="E444" s="57"/>
      <c r="G444" s="62" t="str">
        <f t="shared" si="12"/>
        <v/>
      </c>
    </row>
    <row r="445" spans="4:7">
      <c r="D445" s="63" t="str">
        <f>IFERROR(VLOOKUP(C445,'Parts Legend'!$B:$C,2,FALSE),"")</f>
        <v/>
      </c>
      <c r="E445" s="57"/>
      <c r="G445" s="62" t="str">
        <f t="shared" si="12"/>
        <v/>
      </c>
    </row>
    <row r="446" spans="4:7">
      <c r="D446" s="63" t="str">
        <f>IFERROR(VLOOKUP(C446,'Parts Legend'!$B:$C,2,FALSE),"")</f>
        <v/>
      </c>
      <c r="E446" s="57"/>
      <c r="G446" s="62" t="str">
        <f t="shared" si="12"/>
        <v/>
      </c>
    </row>
    <row r="447" spans="4:7">
      <c r="D447" s="63" t="str">
        <f>IFERROR(VLOOKUP(C447,'Parts Legend'!$B:$C,2,FALSE),"")</f>
        <v/>
      </c>
      <c r="E447" s="57"/>
      <c r="G447" s="62" t="str">
        <f t="shared" si="12"/>
        <v/>
      </c>
    </row>
    <row r="448" spans="4:7">
      <c r="D448" s="63" t="str">
        <f>IFERROR(VLOOKUP(C448,'Parts Legend'!$B:$C,2,FALSE),"")</f>
        <v/>
      </c>
      <c r="E448" s="57"/>
      <c r="G448" s="62" t="str">
        <f t="shared" si="12"/>
        <v/>
      </c>
    </row>
    <row r="449" spans="4:7">
      <c r="D449" s="63" t="str">
        <f>IFERROR(VLOOKUP(C449,'Parts Legend'!$B:$C,2,FALSE),"")</f>
        <v/>
      </c>
      <c r="E449" s="57"/>
      <c r="G449" s="62" t="str">
        <f t="shared" si="12"/>
        <v/>
      </c>
    </row>
    <row r="450" spans="4:7">
      <c r="D450" s="63" t="str">
        <f>IFERROR(VLOOKUP(C450,'Parts Legend'!$B:$C,2,FALSE),"")</f>
        <v/>
      </c>
      <c r="E450" s="57"/>
      <c r="G450" s="62" t="str">
        <f t="shared" si="12"/>
        <v/>
      </c>
    </row>
    <row r="451" spans="4:7">
      <c r="D451" s="63" t="str">
        <f>IFERROR(VLOOKUP(C451,'Parts Legend'!$B:$C,2,FALSE),"")</f>
        <v/>
      </c>
      <c r="E451" s="57"/>
      <c r="G451" s="62" t="str">
        <f t="shared" si="12"/>
        <v/>
      </c>
    </row>
    <row r="452" spans="4:7">
      <c r="D452" s="63" t="str">
        <f>IFERROR(VLOOKUP(C452,'Parts Legend'!$B:$C,2,FALSE),"")</f>
        <v/>
      </c>
      <c r="E452" s="57"/>
      <c r="G452" s="62" t="str">
        <f t="shared" si="12"/>
        <v/>
      </c>
    </row>
    <row r="453" spans="4:7">
      <c r="D453" s="63" t="str">
        <f>IFERROR(VLOOKUP(C453,'Parts Legend'!$B:$C,2,FALSE),"")</f>
        <v/>
      </c>
      <c r="E453" s="57"/>
      <c r="G453" s="62" t="str">
        <f t="shared" si="12"/>
        <v/>
      </c>
    </row>
    <row r="454" spans="4:7">
      <c r="D454" s="63" t="str">
        <f>IFERROR(VLOOKUP(C454,'Parts Legend'!$B:$C,2,FALSE),"")</f>
        <v/>
      </c>
      <c r="E454" s="57"/>
      <c r="G454" s="62" t="str">
        <f t="shared" si="12"/>
        <v/>
      </c>
    </row>
    <row r="455" spans="4:7">
      <c r="D455" s="63" t="str">
        <f>IFERROR(VLOOKUP(C455,'Parts Legend'!$B:$C,2,FALSE),"")</f>
        <v/>
      </c>
      <c r="E455" s="57"/>
      <c r="G455" s="62" t="str">
        <f t="shared" si="12"/>
        <v/>
      </c>
    </row>
    <row r="456" spans="4:7">
      <c r="D456" s="63" t="str">
        <f>IFERROR(VLOOKUP(C456,'Parts Legend'!$B:$C,2,FALSE),"")</f>
        <v/>
      </c>
      <c r="E456" s="57"/>
      <c r="G456" s="62" t="str">
        <f t="shared" si="12"/>
        <v/>
      </c>
    </row>
    <row r="457" spans="4:7">
      <c r="D457" s="63" t="str">
        <f>IFERROR(VLOOKUP(C457,'Parts Legend'!$B:$C,2,FALSE),"")</f>
        <v/>
      </c>
      <c r="E457" s="57"/>
      <c r="G457" s="62" t="str">
        <f t="shared" si="12"/>
        <v/>
      </c>
    </row>
    <row r="458" spans="4:7">
      <c r="D458" s="63" t="str">
        <f>IFERROR(VLOOKUP(C458,'Parts Legend'!$B:$C,2,FALSE),"")</f>
        <v/>
      </c>
      <c r="E458" s="57"/>
      <c r="G458" s="62" t="str">
        <f t="shared" si="12"/>
        <v/>
      </c>
    </row>
    <row r="459" spans="4:7">
      <c r="D459" s="63" t="str">
        <f>IFERROR(VLOOKUP(C459,'Parts Legend'!$B:$C,2,FALSE),"")</f>
        <v/>
      </c>
      <c r="E459" s="57"/>
      <c r="G459" s="62" t="str">
        <f t="shared" si="12"/>
        <v/>
      </c>
    </row>
    <row r="460" spans="4:7">
      <c r="D460" s="63" t="str">
        <f>IFERROR(VLOOKUP(C460,'Parts Legend'!$B:$C,2,FALSE),"")</f>
        <v/>
      </c>
      <c r="E460" s="57"/>
      <c r="G460" s="62" t="str">
        <f t="shared" si="12"/>
        <v/>
      </c>
    </row>
    <row r="461" spans="4:7">
      <c r="D461" s="63" t="str">
        <f>IFERROR(VLOOKUP(C461,'Parts Legend'!$B:$C,2,FALSE),"")</f>
        <v/>
      </c>
      <c r="E461" s="57"/>
      <c r="G461" s="62" t="str">
        <f t="shared" si="12"/>
        <v/>
      </c>
    </row>
    <row r="462" spans="4:7">
      <c r="D462" s="63" t="str">
        <f>IFERROR(VLOOKUP(C462,'Parts Legend'!$B:$C,2,FALSE),"")</f>
        <v/>
      </c>
      <c r="E462" s="57"/>
      <c r="G462" s="62" t="str">
        <f t="shared" si="12"/>
        <v/>
      </c>
    </row>
    <row r="463" spans="4:7">
      <c r="D463" s="63" t="str">
        <f>IFERROR(VLOOKUP(C463,'Parts Legend'!$B:$C,2,FALSE),"")</f>
        <v/>
      </c>
      <c r="E463" s="57"/>
      <c r="G463" s="62" t="str">
        <f t="shared" si="12"/>
        <v/>
      </c>
    </row>
    <row r="464" spans="4:7">
      <c r="D464" s="63" t="str">
        <f>IFERROR(VLOOKUP(C464,'Parts Legend'!$B:$C,2,FALSE),"")</f>
        <v/>
      </c>
      <c r="E464" s="57"/>
      <c r="G464" s="62" t="str">
        <f t="shared" si="12"/>
        <v/>
      </c>
    </row>
    <row r="465" spans="4:7">
      <c r="D465" s="63" t="str">
        <f>IFERROR(VLOOKUP(C465,'Parts Legend'!$B:$C,2,FALSE),"")</f>
        <v/>
      </c>
      <c r="E465" s="57"/>
      <c r="G465" s="62" t="str">
        <f t="shared" si="12"/>
        <v/>
      </c>
    </row>
    <row r="466" spans="4:7">
      <c r="D466" s="63" t="str">
        <f>IFERROR(VLOOKUP(C466,'Parts Legend'!$B:$C,2,FALSE),"")</f>
        <v/>
      </c>
      <c r="E466" s="57"/>
      <c r="G466" s="62" t="str">
        <f t="shared" si="12"/>
        <v/>
      </c>
    </row>
    <row r="467" spans="4:7">
      <c r="D467" s="63" t="str">
        <f>IFERROR(VLOOKUP(C467,'Parts Legend'!$B:$C,2,FALSE),"")</f>
        <v/>
      </c>
      <c r="E467" s="57"/>
      <c r="G467" s="62" t="str">
        <f t="shared" si="12"/>
        <v/>
      </c>
    </row>
    <row r="468" spans="4:7">
      <c r="D468" s="63" t="str">
        <f>IFERROR(VLOOKUP(C468,'Parts Legend'!$B:$C,2,FALSE),"")</f>
        <v/>
      </c>
      <c r="E468" s="57"/>
      <c r="G468" s="62" t="str">
        <f t="shared" si="12"/>
        <v/>
      </c>
    </row>
    <row r="469" spans="4:7">
      <c r="D469" s="63" t="str">
        <f>IFERROR(VLOOKUP(C469,'Parts Legend'!$B:$C,2,FALSE),"")</f>
        <v/>
      </c>
      <c r="E469" s="57"/>
      <c r="G469" s="62" t="str">
        <f t="shared" si="12"/>
        <v/>
      </c>
    </row>
    <row r="470" spans="4:7">
      <c r="D470" s="63" t="str">
        <f>IFERROR(VLOOKUP(C470,'Parts Legend'!$B:$C,2,FALSE),"")</f>
        <v/>
      </c>
      <c r="E470" s="57"/>
      <c r="G470" s="62" t="str">
        <f t="shared" si="12"/>
        <v/>
      </c>
    </row>
    <row r="471" spans="4:7">
      <c r="D471" s="63" t="str">
        <f>IFERROR(VLOOKUP(C471,'Parts Legend'!$B:$C,2,FALSE),"")</f>
        <v/>
      </c>
      <c r="E471" s="57"/>
      <c r="G471" s="62" t="str">
        <f t="shared" si="12"/>
        <v/>
      </c>
    </row>
    <row r="472" spans="4:7">
      <c r="D472" s="63" t="str">
        <f>IFERROR(VLOOKUP(C472,'Parts Legend'!$B:$C,2,FALSE),"")</f>
        <v/>
      </c>
      <c r="E472" s="57"/>
      <c r="G472" s="62" t="str">
        <f t="shared" si="12"/>
        <v/>
      </c>
    </row>
    <row r="473" spans="4:7">
      <c r="D473" s="63" t="str">
        <f>IFERROR(VLOOKUP(C473,'Parts Legend'!$B:$C,2,FALSE),"")</f>
        <v/>
      </c>
      <c r="E473" s="57"/>
      <c r="G473" s="62" t="str">
        <f t="shared" si="12"/>
        <v/>
      </c>
    </row>
    <row r="474" spans="4:7">
      <c r="D474" s="63" t="str">
        <f>IFERROR(VLOOKUP(C474,'Parts Legend'!$B:$C,2,FALSE),"")</f>
        <v/>
      </c>
      <c r="E474" s="57"/>
      <c r="G474" s="62" t="str">
        <f t="shared" si="12"/>
        <v/>
      </c>
    </row>
    <row r="475" spans="4:7">
      <c r="D475" s="63" t="str">
        <f>IFERROR(VLOOKUP(C475,'Parts Legend'!$B:$C,2,FALSE),"")</f>
        <v/>
      </c>
      <c r="E475" s="57"/>
      <c r="G475" s="62" t="str">
        <f t="shared" si="12"/>
        <v/>
      </c>
    </row>
    <row r="476" spans="4:7">
      <c r="D476" s="63" t="str">
        <f>IFERROR(VLOOKUP(C476,'Parts Legend'!$B:$C,2,FALSE),"")</f>
        <v/>
      </c>
      <c r="E476" s="57"/>
      <c r="G476" s="62" t="str">
        <f t="shared" si="12"/>
        <v/>
      </c>
    </row>
    <row r="477" spans="4:7">
      <c r="D477" s="63" t="str">
        <f>IFERROR(VLOOKUP(C477,'Parts Legend'!$B:$C,2,FALSE),"")</f>
        <v/>
      </c>
      <c r="E477" s="57"/>
      <c r="G477" s="62" t="str">
        <f t="shared" si="12"/>
        <v/>
      </c>
    </row>
    <row r="478" spans="4:7">
      <c r="D478" s="63" t="str">
        <f>IFERROR(VLOOKUP(C478,'Parts Legend'!$B:$C,2,FALSE),"")</f>
        <v/>
      </c>
      <c r="E478" s="57"/>
      <c r="G478" s="62" t="str">
        <f t="shared" si="12"/>
        <v/>
      </c>
    </row>
    <row r="479" spans="4:7">
      <c r="D479" s="63" t="str">
        <f>IFERROR(VLOOKUP(C479,'Parts Legend'!$B:$C,2,FALSE),"")</f>
        <v/>
      </c>
      <c r="E479" s="57"/>
      <c r="G479" s="62" t="str">
        <f t="shared" si="12"/>
        <v/>
      </c>
    </row>
    <row r="480" spans="4:7">
      <c r="D480" s="63" t="str">
        <f>IFERROR(VLOOKUP(C480,'Parts Legend'!$B:$C,2,FALSE),"")</f>
        <v/>
      </c>
      <c r="E480" s="57"/>
      <c r="G480" s="62" t="str">
        <f t="shared" si="12"/>
        <v/>
      </c>
    </row>
    <row r="481" spans="4:7">
      <c r="D481" s="63" t="str">
        <f>IFERROR(VLOOKUP(C481,'Parts Legend'!$B:$C,2,FALSE),"")</f>
        <v/>
      </c>
      <c r="E481" s="57"/>
      <c r="G481" s="62" t="str">
        <f t="shared" si="12"/>
        <v/>
      </c>
    </row>
    <row r="482" spans="4:7">
      <c r="D482" s="63" t="str">
        <f>IFERROR(VLOOKUP(C482,'Parts Legend'!$B:$C,2,FALSE),"")</f>
        <v/>
      </c>
      <c r="E482" s="57"/>
      <c r="G482" s="62" t="str">
        <f t="shared" si="12"/>
        <v/>
      </c>
    </row>
    <row r="483" spans="4:7">
      <c r="D483" s="63" t="str">
        <f>IFERROR(VLOOKUP(C483,'Parts Legend'!$B:$C,2,FALSE),"")</f>
        <v/>
      </c>
      <c r="E483" s="57"/>
      <c r="G483" s="62" t="str">
        <f t="shared" si="12"/>
        <v/>
      </c>
    </row>
    <row r="484" spans="4:7">
      <c r="D484" s="63" t="str">
        <f>IFERROR(VLOOKUP(C484,'Parts Legend'!$B:$C,2,FALSE),"")</f>
        <v/>
      </c>
      <c r="E484" s="57"/>
      <c r="G484" s="62" t="str">
        <f t="shared" si="12"/>
        <v/>
      </c>
    </row>
    <row r="485" spans="4:7">
      <c r="D485" s="63" t="str">
        <f>IFERROR(VLOOKUP(C485,'Parts Legend'!$B:$C,2,FALSE),"")</f>
        <v/>
      </c>
      <c r="E485" s="57"/>
      <c r="G485" s="62" t="str">
        <f t="shared" si="12"/>
        <v/>
      </c>
    </row>
    <row r="486" spans="4:7">
      <c r="D486" s="63" t="str">
        <f>IFERROR(VLOOKUP(C486,'Parts Legend'!$B:$C,2,FALSE),"")</f>
        <v/>
      </c>
      <c r="E486" s="57"/>
      <c r="G486" s="62" t="str">
        <f t="shared" si="12"/>
        <v/>
      </c>
    </row>
    <row r="487" spans="4:7">
      <c r="D487" s="63" t="str">
        <f>IFERROR(VLOOKUP(C487,'Parts Legend'!$B:$C,2,FALSE),"")</f>
        <v/>
      </c>
      <c r="E487" s="57"/>
      <c r="G487" s="62" t="str">
        <f t="shared" si="12"/>
        <v/>
      </c>
    </row>
    <row r="488" spans="4:7">
      <c r="D488" s="63" t="str">
        <f>IFERROR(VLOOKUP(C488,'Parts Legend'!$B:$C,2,FALSE),"")</f>
        <v/>
      </c>
      <c r="E488" s="57"/>
      <c r="G488" s="62" t="str">
        <f t="shared" ref="G488:G551" si="13">IF(B488="","",(B488-WEEKDAY(B488,3)))</f>
        <v/>
      </c>
    </row>
    <row r="489" spans="4:7">
      <c r="D489" s="63" t="str">
        <f>IFERROR(VLOOKUP(C489,'Parts Legend'!$B:$C,2,FALSE),"")</f>
        <v/>
      </c>
      <c r="E489" s="57"/>
      <c r="G489" s="62" t="str">
        <f t="shared" si="13"/>
        <v/>
      </c>
    </row>
    <row r="490" spans="4:7">
      <c r="D490" s="63" t="str">
        <f>IFERROR(VLOOKUP(C490,'Parts Legend'!$B:$C,2,FALSE),"")</f>
        <v/>
      </c>
      <c r="E490" s="57"/>
      <c r="G490" s="62" t="str">
        <f t="shared" si="13"/>
        <v/>
      </c>
    </row>
    <row r="491" spans="4:7">
      <c r="D491" s="63" t="str">
        <f>IFERROR(VLOOKUP(C491,'Parts Legend'!$B:$C,2,FALSE),"")</f>
        <v/>
      </c>
      <c r="E491" s="57"/>
      <c r="G491" s="62" t="str">
        <f t="shared" si="13"/>
        <v/>
      </c>
    </row>
    <row r="492" spans="4:7">
      <c r="D492" s="63" t="str">
        <f>IFERROR(VLOOKUP(C492,'Parts Legend'!$B:$C,2,FALSE),"")</f>
        <v/>
      </c>
      <c r="E492" s="57"/>
      <c r="G492" s="62" t="str">
        <f t="shared" si="13"/>
        <v/>
      </c>
    </row>
    <row r="493" spans="4:7">
      <c r="D493" s="63" t="str">
        <f>IFERROR(VLOOKUP(C493,'Parts Legend'!$B:$C,2,FALSE),"")</f>
        <v/>
      </c>
      <c r="E493" s="57"/>
      <c r="G493" s="62" t="str">
        <f t="shared" si="13"/>
        <v/>
      </c>
    </row>
    <row r="494" spans="4:7">
      <c r="D494" s="63" t="str">
        <f>IFERROR(VLOOKUP(C494,'Parts Legend'!$B:$C,2,FALSE),"")</f>
        <v/>
      </c>
      <c r="E494" s="57"/>
      <c r="G494" s="62" t="str">
        <f t="shared" si="13"/>
        <v/>
      </c>
    </row>
    <row r="495" spans="4:7">
      <c r="D495" s="63" t="str">
        <f>IFERROR(VLOOKUP(C495,'Parts Legend'!$B:$C,2,FALSE),"")</f>
        <v/>
      </c>
      <c r="E495" s="57"/>
      <c r="G495" s="62" t="str">
        <f t="shared" si="13"/>
        <v/>
      </c>
    </row>
    <row r="496" spans="4:7">
      <c r="D496" s="63" t="str">
        <f>IFERROR(VLOOKUP(C496,'Parts Legend'!$B:$C,2,FALSE),"")</f>
        <v/>
      </c>
      <c r="E496" s="57"/>
      <c r="G496" s="62" t="str">
        <f t="shared" si="13"/>
        <v/>
      </c>
    </row>
    <row r="497" spans="4:7">
      <c r="D497" s="63" t="str">
        <f>IFERROR(VLOOKUP(C497,'Parts Legend'!$B:$C,2,FALSE),"")</f>
        <v/>
      </c>
      <c r="E497" s="57"/>
      <c r="G497" s="62" t="str">
        <f t="shared" si="13"/>
        <v/>
      </c>
    </row>
    <row r="498" spans="4:7">
      <c r="D498" s="63" t="str">
        <f>IFERROR(VLOOKUP(C498,'Parts Legend'!$B:$C,2,FALSE),"")</f>
        <v/>
      </c>
      <c r="E498" s="57"/>
      <c r="G498" s="62" t="str">
        <f t="shared" si="13"/>
        <v/>
      </c>
    </row>
    <row r="499" spans="4:7">
      <c r="D499" s="63" t="str">
        <f>IFERROR(VLOOKUP(C499,'Parts Legend'!$B:$C,2,FALSE),"")</f>
        <v/>
      </c>
      <c r="E499" s="57"/>
      <c r="G499" s="62" t="str">
        <f t="shared" si="13"/>
        <v/>
      </c>
    </row>
    <row r="500" spans="4:7">
      <c r="D500" s="63" t="str">
        <f>IFERROR(VLOOKUP(C500,'Parts Legend'!$B:$C,2,FALSE),"")</f>
        <v/>
      </c>
      <c r="E500" s="57"/>
      <c r="G500" s="62" t="str">
        <f t="shared" si="13"/>
        <v/>
      </c>
    </row>
    <row r="501" spans="4:7">
      <c r="D501" s="63" t="str">
        <f>IFERROR(VLOOKUP(C501,'Parts Legend'!$B:$C,2,FALSE),"")</f>
        <v/>
      </c>
      <c r="E501" s="57"/>
      <c r="G501" s="62" t="str">
        <f t="shared" si="13"/>
        <v/>
      </c>
    </row>
    <row r="502" spans="4:7">
      <c r="D502" s="63" t="str">
        <f>IFERROR(VLOOKUP(C502,'Parts Legend'!$B:$C,2,FALSE),"")</f>
        <v/>
      </c>
      <c r="E502" s="57"/>
      <c r="G502" s="62" t="str">
        <f t="shared" si="13"/>
        <v/>
      </c>
    </row>
    <row r="503" spans="4:7">
      <c r="D503" s="63" t="str">
        <f>IFERROR(VLOOKUP(C503,'Parts Legend'!$B:$C,2,FALSE),"")</f>
        <v/>
      </c>
      <c r="E503" s="57"/>
      <c r="G503" s="62" t="str">
        <f t="shared" si="13"/>
        <v/>
      </c>
    </row>
    <row r="504" spans="4:7">
      <c r="D504" s="63" t="str">
        <f>IFERROR(VLOOKUP(C504,'Parts Legend'!$B:$C,2,FALSE),"")</f>
        <v/>
      </c>
      <c r="E504" s="57"/>
      <c r="G504" s="62" t="str">
        <f t="shared" si="13"/>
        <v/>
      </c>
    </row>
    <row r="505" spans="4:7">
      <c r="D505" s="63" t="str">
        <f>IFERROR(VLOOKUP(C505,'Parts Legend'!$B:$C,2,FALSE),"")</f>
        <v/>
      </c>
      <c r="E505" s="57"/>
      <c r="G505" s="62" t="str">
        <f t="shared" si="13"/>
        <v/>
      </c>
    </row>
    <row r="506" spans="4:7">
      <c r="D506" s="63" t="str">
        <f>IFERROR(VLOOKUP(C506,'Parts Legend'!$B:$C,2,FALSE),"")</f>
        <v/>
      </c>
      <c r="E506" s="57"/>
      <c r="G506" s="62" t="str">
        <f t="shared" si="13"/>
        <v/>
      </c>
    </row>
    <row r="507" spans="4:7">
      <c r="D507" s="63" t="str">
        <f>IFERROR(VLOOKUP(C507,'Parts Legend'!$B:$C,2,FALSE),"")</f>
        <v/>
      </c>
      <c r="E507" s="57"/>
      <c r="G507" s="62" t="str">
        <f t="shared" si="13"/>
        <v/>
      </c>
    </row>
    <row r="508" spans="4:7">
      <c r="D508" s="63" t="str">
        <f>IFERROR(VLOOKUP(C508,'Parts Legend'!$B:$C,2,FALSE),"")</f>
        <v/>
      </c>
      <c r="E508" s="57"/>
      <c r="G508" s="62" t="str">
        <f t="shared" si="13"/>
        <v/>
      </c>
    </row>
    <row r="509" spans="4:7">
      <c r="D509" s="63" t="str">
        <f>IFERROR(VLOOKUP(C509,'Parts Legend'!$B:$C,2,FALSE),"")</f>
        <v/>
      </c>
      <c r="E509" s="57"/>
      <c r="G509" s="62" t="str">
        <f t="shared" si="13"/>
        <v/>
      </c>
    </row>
    <row r="510" spans="4:7">
      <c r="D510" s="63" t="str">
        <f>IFERROR(VLOOKUP(C510,'Parts Legend'!$B:$C,2,FALSE),"")</f>
        <v/>
      </c>
      <c r="E510" s="57"/>
      <c r="G510" s="62" t="str">
        <f t="shared" si="13"/>
        <v/>
      </c>
    </row>
    <row r="511" spans="4:7">
      <c r="D511" s="63" t="str">
        <f>IFERROR(VLOOKUP(C511,'Parts Legend'!$B:$C,2,FALSE),"")</f>
        <v/>
      </c>
      <c r="E511" s="57"/>
      <c r="G511" s="62" t="str">
        <f t="shared" si="13"/>
        <v/>
      </c>
    </row>
    <row r="512" spans="4:7">
      <c r="D512" s="63" t="str">
        <f>IFERROR(VLOOKUP(C512,'Parts Legend'!$B:$C,2,FALSE),"")</f>
        <v/>
      </c>
      <c r="E512" s="57"/>
      <c r="G512" s="62" t="str">
        <f t="shared" si="13"/>
        <v/>
      </c>
    </row>
    <row r="513" spans="4:7">
      <c r="D513" s="63" t="str">
        <f>IFERROR(VLOOKUP(C513,'Parts Legend'!$B:$C,2,FALSE),"")</f>
        <v/>
      </c>
      <c r="E513" s="57"/>
      <c r="G513" s="62" t="str">
        <f t="shared" si="13"/>
        <v/>
      </c>
    </row>
    <row r="514" spans="4:7">
      <c r="D514" s="63" t="str">
        <f>IFERROR(VLOOKUP(C514,'Parts Legend'!$B:$C,2,FALSE),"")</f>
        <v/>
      </c>
      <c r="E514" s="57"/>
      <c r="G514" s="62" t="str">
        <f t="shared" si="13"/>
        <v/>
      </c>
    </row>
    <row r="515" spans="4:7">
      <c r="D515" s="63" t="str">
        <f>IFERROR(VLOOKUP(C515,'Parts Legend'!$B:$C,2,FALSE),"")</f>
        <v/>
      </c>
      <c r="E515" s="57"/>
      <c r="G515" s="62" t="str">
        <f t="shared" si="13"/>
        <v/>
      </c>
    </row>
    <row r="516" spans="4:7">
      <c r="D516" s="63" t="str">
        <f>IFERROR(VLOOKUP(C516,'Parts Legend'!$B:$C,2,FALSE),"")</f>
        <v/>
      </c>
      <c r="E516" s="57"/>
      <c r="G516" s="62" t="str">
        <f t="shared" si="13"/>
        <v/>
      </c>
    </row>
    <row r="517" spans="4:7">
      <c r="D517" s="63" t="str">
        <f>IFERROR(VLOOKUP(C517,'Parts Legend'!$B:$C,2,FALSE),"")</f>
        <v/>
      </c>
      <c r="E517" s="57"/>
      <c r="G517" s="62" t="str">
        <f t="shared" si="13"/>
        <v/>
      </c>
    </row>
    <row r="518" spans="4:7">
      <c r="D518" s="63" t="str">
        <f>IFERROR(VLOOKUP(C518,'Parts Legend'!$B:$C,2,FALSE),"")</f>
        <v/>
      </c>
      <c r="E518" s="57"/>
      <c r="G518" s="62" t="str">
        <f t="shared" si="13"/>
        <v/>
      </c>
    </row>
    <row r="519" spans="4:7">
      <c r="D519" s="63" t="str">
        <f>IFERROR(VLOOKUP(C519,'Parts Legend'!$B:$C,2,FALSE),"")</f>
        <v/>
      </c>
      <c r="E519" s="57"/>
      <c r="G519" s="62" t="str">
        <f t="shared" si="13"/>
        <v/>
      </c>
    </row>
    <row r="520" spans="4:7">
      <c r="D520" s="63" t="str">
        <f>IFERROR(VLOOKUP(C520,'Parts Legend'!$B:$C,2,FALSE),"")</f>
        <v/>
      </c>
      <c r="E520" s="57"/>
      <c r="G520" s="62" t="str">
        <f t="shared" si="13"/>
        <v/>
      </c>
    </row>
    <row r="521" spans="4:7">
      <c r="D521" s="63" t="str">
        <f>IFERROR(VLOOKUP(C521,'Parts Legend'!$B:$C,2,FALSE),"")</f>
        <v/>
      </c>
      <c r="E521" s="57"/>
      <c r="G521" s="62" t="str">
        <f t="shared" si="13"/>
        <v/>
      </c>
    </row>
    <row r="522" spans="4:7">
      <c r="D522" s="63" t="str">
        <f>IFERROR(VLOOKUP(C522,'Parts Legend'!$B:$C,2,FALSE),"")</f>
        <v/>
      </c>
      <c r="E522" s="57"/>
      <c r="G522" s="62" t="str">
        <f t="shared" si="13"/>
        <v/>
      </c>
    </row>
    <row r="523" spans="4:7">
      <c r="D523" s="63" t="str">
        <f>IFERROR(VLOOKUP(C523,'Parts Legend'!$B:$C,2,FALSE),"")</f>
        <v/>
      </c>
      <c r="E523" s="57"/>
      <c r="G523" s="62" t="str">
        <f t="shared" si="13"/>
        <v/>
      </c>
    </row>
    <row r="524" spans="4:7">
      <c r="D524" s="63" t="str">
        <f>IFERROR(VLOOKUP(C524,'Parts Legend'!$B:$C,2,FALSE),"")</f>
        <v/>
      </c>
      <c r="E524" s="57"/>
      <c r="G524" s="62" t="str">
        <f t="shared" si="13"/>
        <v/>
      </c>
    </row>
    <row r="525" spans="4:7">
      <c r="D525" s="63" t="str">
        <f>IFERROR(VLOOKUP(C525,'Parts Legend'!$B:$C,2,FALSE),"")</f>
        <v/>
      </c>
      <c r="E525" s="57"/>
      <c r="G525" s="62" t="str">
        <f t="shared" si="13"/>
        <v/>
      </c>
    </row>
    <row r="526" spans="4:7">
      <c r="D526" s="63" t="str">
        <f>IFERROR(VLOOKUP(C526,'Parts Legend'!$B:$C,2,FALSE),"")</f>
        <v/>
      </c>
      <c r="E526" s="57"/>
      <c r="G526" s="62" t="str">
        <f t="shared" si="13"/>
        <v/>
      </c>
    </row>
    <row r="527" spans="4:7">
      <c r="D527" s="63" t="str">
        <f>IFERROR(VLOOKUP(C527,'Parts Legend'!$B:$C,2,FALSE),"")</f>
        <v/>
      </c>
      <c r="E527" s="57"/>
      <c r="G527" s="62" t="str">
        <f t="shared" si="13"/>
        <v/>
      </c>
    </row>
    <row r="528" spans="4:7">
      <c r="D528" s="63" t="str">
        <f>IFERROR(VLOOKUP(C528,'Parts Legend'!$B:$C,2,FALSE),"")</f>
        <v/>
      </c>
      <c r="E528" s="57"/>
      <c r="G528" s="62" t="str">
        <f t="shared" si="13"/>
        <v/>
      </c>
    </row>
    <row r="529" spans="4:7">
      <c r="D529" s="63" t="str">
        <f>IFERROR(VLOOKUP(C529,'Parts Legend'!$B:$C,2,FALSE),"")</f>
        <v/>
      </c>
      <c r="E529" s="57"/>
      <c r="G529" s="62" t="str">
        <f t="shared" si="13"/>
        <v/>
      </c>
    </row>
    <row r="530" spans="4:7">
      <c r="D530" s="63" t="str">
        <f>IFERROR(VLOOKUP(C530,'Parts Legend'!$B:$C,2,FALSE),"")</f>
        <v/>
      </c>
      <c r="E530" s="57"/>
      <c r="G530" s="62" t="str">
        <f t="shared" si="13"/>
        <v/>
      </c>
    </row>
    <row r="531" spans="4:7">
      <c r="D531" s="63" t="str">
        <f>IFERROR(VLOOKUP(C531,'Parts Legend'!$B:$C,2,FALSE),"")</f>
        <v/>
      </c>
      <c r="E531" s="57"/>
      <c r="G531" s="62" t="str">
        <f t="shared" si="13"/>
        <v/>
      </c>
    </row>
    <row r="532" spans="4:7">
      <c r="D532" s="63" t="str">
        <f>IFERROR(VLOOKUP(C532,'Parts Legend'!$B:$C,2,FALSE),"")</f>
        <v/>
      </c>
      <c r="E532" s="57"/>
      <c r="G532" s="62" t="str">
        <f t="shared" si="13"/>
        <v/>
      </c>
    </row>
    <row r="533" spans="4:7">
      <c r="D533" s="63" t="str">
        <f>IFERROR(VLOOKUP(C533,'Parts Legend'!$B:$C,2,FALSE),"")</f>
        <v/>
      </c>
      <c r="E533" s="57"/>
      <c r="G533" s="62" t="str">
        <f t="shared" si="13"/>
        <v/>
      </c>
    </row>
    <row r="534" spans="4:7">
      <c r="D534" s="63" t="str">
        <f>IFERROR(VLOOKUP(C534,'Parts Legend'!$B:$C,2,FALSE),"")</f>
        <v/>
      </c>
      <c r="E534" s="57"/>
      <c r="G534" s="62" t="str">
        <f t="shared" si="13"/>
        <v/>
      </c>
    </row>
    <row r="535" spans="4:7">
      <c r="D535" s="63" t="str">
        <f>IFERROR(VLOOKUP(C535,'Parts Legend'!$B:$C,2,FALSE),"")</f>
        <v/>
      </c>
      <c r="E535" s="57"/>
      <c r="G535" s="62" t="str">
        <f t="shared" si="13"/>
        <v/>
      </c>
    </row>
    <row r="536" spans="4:7">
      <c r="D536" s="63" t="str">
        <f>IFERROR(VLOOKUP(C536,'Parts Legend'!$B:$C,2,FALSE),"")</f>
        <v/>
      </c>
      <c r="E536" s="57"/>
      <c r="G536" s="62" t="str">
        <f t="shared" si="13"/>
        <v/>
      </c>
    </row>
    <row r="537" spans="4:7">
      <c r="D537" s="63" t="str">
        <f>IFERROR(VLOOKUP(C537,'Parts Legend'!$B:$C,2,FALSE),"")</f>
        <v/>
      </c>
      <c r="E537" s="57"/>
      <c r="G537" s="62" t="str">
        <f t="shared" si="13"/>
        <v/>
      </c>
    </row>
    <row r="538" spans="4:7">
      <c r="D538" s="63" t="str">
        <f>IFERROR(VLOOKUP(C538,'Parts Legend'!$B:$C,2,FALSE),"")</f>
        <v/>
      </c>
      <c r="E538" s="57"/>
      <c r="G538" s="62" t="str">
        <f t="shared" si="13"/>
        <v/>
      </c>
    </row>
    <row r="539" spans="4:7">
      <c r="D539" s="63" t="str">
        <f>IFERROR(VLOOKUP(C539,'Parts Legend'!$B:$C,2,FALSE),"")</f>
        <v/>
      </c>
      <c r="E539" s="57"/>
      <c r="G539" s="62" t="str">
        <f t="shared" si="13"/>
        <v/>
      </c>
    </row>
    <row r="540" spans="4:7">
      <c r="D540" s="63" t="str">
        <f>IFERROR(VLOOKUP(C540,'Parts Legend'!$B:$C,2,FALSE),"")</f>
        <v/>
      </c>
      <c r="E540" s="57"/>
      <c r="G540" s="62" t="str">
        <f t="shared" si="13"/>
        <v/>
      </c>
    </row>
    <row r="541" spans="4:7">
      <c r="D541" s="63" t="str">
        <f>IFERROR(VLOOKUP(C541,'Parts Legend'!$B:$C,2,FALSE),"")</f>
        <v/>
      </c>
      <c r="E541" s="57"/>
      <c r="G541" s="62" t="str">
        <f t="shared" si="13"/>
        <v/>
      </c>
    </row>
    <row r="542" spans="4:7">
      <c r="D542" s="63" t="str">
        <f>IFERROR(VLOOKUP(C542,'Parts Legend'!$B:$C,2,FALSE),"")</f>
        <v/>
      </c>
      <c r="E542" s="57"/>
      <c r="G542" s="62" t="str">
        <f t="shared" si="13"/>
        <v/>
      </c>
    </row>
    <row r="543" spans="4:7">
      <c r="D543" s="63" t="str">
        <f>IFERROR(VLOOKUP(C543,'Parts Legend'!$B:$C,2,FALSE),"")</f>
        <v/>
      </c>
      <c r="E543" s="57"/>
      <c r="G543" s="62" t="str">
        <f t="shared" si="13"/>
        <v/>
      </c>
    </row>
    <row r="544" spans="4:7">
      <c r="D544" s="63" t="str">
        <f>IFERROR(VLOOKUP(C544,'Parts Legend'!$B:$C,2,FALSE),"")</f>
        <v/>
      </c>
      <c r="E544" s="57"/>
      <c r="G544" s="62" t="str">
        <f t="shared" si="13"/>
        <v/>
      </c>
    </row>
    <row r="545" spans="4:7">
      <c r="D545" s="63" t="str">
        <f>IFERROR(VLOOKUP(C545,'Parts Legend'!$B:$C,2,FALSE),"")</f>
        <v/>
      </c>
      <c r="E545" s="57"/>
      <c r="G545" s="62" t="str">
        <f t="shared" si="13"/>
        <v/>
      </c>
    </row>
    <row r="546" spans="4:7">
      <c r="D546" s="63" t="str">
        <f>IFERROR(VLOOKUP(C546,'Parts Legend'!$B:$C,2,FALSE),"")</f>
        <v/>
      </c>
      <c r="E546" s="57"/>
      <c r="G546" s="62" t="str">
        <f t="shared" si="13"/>
        <v/>
      </c>
    </row>
    <row r="547" spans="4:7">
      <c r="D547" s="63" t="str">
        <f>IFERROR(VLOOKUP(C547,'Parts Legend'!$B:$C,2,FALSE),"")</f>
        <v/>
      </c>
      <c r="E547" s="57"/>
      <c r="G547" s="62" t="str">
        <f t="shared" si="13"/>
        <v/>
      </c>
    </row>
    <row r="548" spans="4:7">
      <c r="D548" s="63" t="str">
        <f>IFERROR(VLOOKUP(C548,'Parts Legend'!$B:$C,2,FALSE),"")</f>
        <v/>
      </c>
      <c r="E548" s="57"/>
      <c r="G548" s="62" t="str">
        <f t="shared" si="13"/>
        <v/>
      </c>
    </row>
    <row r="549" spans="4:7">
      <c r="D549" s="63" t="str">
        <f>IFERROR(VLOOKUP(C549,'Parts Legend'!$B:$C,2,FALSE),"")</f>
        <v/>
      </c>
      <c r="E549" s="57"/>
      <c r="G549" s="62" t="str">
        <f t="shared" si="13"/>
        <v/>
      </c>
    </row>
    <row r="550" spans="4:7">
      <c r="D550" s="63" t="str">
        <f>IFERROR(VLOOKUP(C550,'Parts Legend'!$B:$C,2,FALSE),"")</f>
        <v/>
      </c>
      <c r="E550" s="57"/>
      <c r="G550" s="62" t="str">
        <f t="shared" si="13"/>
        <v/>
      </c>
    </row>
    <row r="551" spans="4:7">
      <c r="D551" s="63" t="str">
        <f>IFERROR(VLOOKUP(C551,'Parts Legend'!$B:$C,2,FALSE),"")</f>
        <v/>
      </c>
      <c r="E551" s="57"/>
      <c r="G551" s="62" t="str">
        <f t="shared" si="13"/>
        <v/>
      </c>
    </row>
    <row r="552" spans="4:7">
      <c r="D552" s="63" t="str">
        <f>IFERROR(VLOOKUP(C552,'Parts Legend'!$B:$C,2,FALSE),"")</f>
        <v/>
      </c>
      <c r="E552" s="57"/>
      <c r="G552" s="62" t="str">
        <f t="shared" ref="G552:G615" si="14">IF(B552="","",(B552-WEEKDAY(B552,3)))</f>
        <v/>
      </c>
    </row>
    <row r="553" spans="4:7">
      <c r="D553" s="63" t="str">
        <f>IFERROR(VLOOKUP(C553,'Parts Legend'!$B:$C,2,FALSE),"")</f>
        <v/>
      </c>
      <c r="E553" s="57"/>
      <c r="G553" s="62" t="str">
        <f t="shared" si="14"/>
        <v/>
      </c>
    </row>
    <row r="554" spans="4:7">
      <c r="D554" s="63" t="str">
        <f>IFERROR(VLOOKUP(C554,'Parts Legend'!$B:$C,2,FALSE),"")</f>
        <v/>
      </c>
      <c r="E554" s="57"/>
      <c r="G554" s="62" t="str">
        <f t="shared" si="14"/>
        <v/>
      </c>
    </row>
    <row r="555" spans="4:7">
      <c r="D555" s="63" t="str">
        <f>IFERROR(VLOOKUP(C555,'Parts Legend'!$B:$C,2,FALSE),"")</f>
        <v/>
      </c>
      <c r="E555" s="57"/>
      <c r="G555" s="62" t="str">
        <f t="shared" si="14"/>
        <v/>
      </c>
    </row>
    <row r="556" spans="4:7">
      <c r="D556" s="63" t="str">
        <f>IFERROR(VLOOKUP(C556,'Parts Legend'!$B:$C,2,FALSE),"")</f>
        <v/>
      </c>
      <c r="E556" s="57"/>
      <c r="G556" s="62" t="str">
        <f t="shared" si="14"/>
        <v/>
      </c>
    </row>
    <row r="557" spans="4:7">
      <c r="D557" s="63" t="str">
        <f>IFERROR(VLOOKUP(C557,'Parts Legend'!$B:$C,2,FALSE),"")</f>
        <v/>
      </c>
      <c r="E557" s="57"/>
      <c r="G557" s="62" t="str">
        <f t="shared" si="14"/>
        <v/>
      </c>
    </row>
    <row r="558" spans="4:7">
      <c r="D558" s="63" t="str">
        <f>IFERROR(VLOOKUP(C558,'Parts Legend'!$B:$C,2,FALSE),"")</f>
        <v/>
      </c>
      <c r="E558" s="57"/>
      <c r="G558" s="62" t="str">
        <f t="shared" si="14"/>
        <v/>
      </c>
    </row>
    <row r="559" spans="4:7">
      <c r="D559" s="63" t="str">
        <f>IFERROR(VLOOKUP(C559,'Parts Legend'!$B:$C,2,FALSE),"")</f>
        <v/>
      </c>
      <c r="E559" s="57"/>
      <c r="G559" s="62" t="str">
        <f t="shared" si="14"/>
        <v/>
      </c>
    </row>
    <row r="560" spans="4:7">
      <c r="D560" s="63" t="str">
        <f>IFERROR(VLOOKUP(C560,'Parts Legend'!$B:$C,2,FALSE),"")</f>
        <v/>
      </c>
      <c r="E560" s="57"/>
      <c r="G560" s="62" t="str">
        <f t="shared" si="14"/>
        <v/>
      </c>
    </row>
    <row r="561" spans="4:7">
      <c r="D561" s="63" t="str">
        <f>IFERROR(VLOOKUP(C561,'Parts Legend'!$B:$C,2,FALSE),"")</f>
        <v/>
      </c>
      <c r="E561" s="57"/>
      <c r="G561" s="62" t="str">
        <f t="shared" si="14"/>
        <v/>
      </c>
    </row>
    <row r="562" spans="4:7">
      <c r="D562" s="63" t="str">
        <f>IFERROR(VLOOKUP(C562,'Parts Legend'!$B:$C,2,FALSE),"")</f>
        <v/>
      </c>
      <c r="E562" s="57"/>
      <c r="G562" s="62" t="str">
        <f t="shared" si="14"/>
        <v/>
      </c>
    </row>
    <row r="563" spans="4:7">
      <c r="D563" s="63" t="str">
        <f>IFERROR(VLOOKUP(C563,'Parts Legend'!$B:$C,2,FALSE),"")</f>
        <v/>
      </c>
      <c r="E563" s="57"/>
      <c r="G563" s="62" t="str">
        <f t="shared" si="14"/>
        <v/>
      </c>
    </row>
    <row r="564" spans="4:7">
      <c r="D564" s="63" t="str">
        <f>IFERROR(VLOOKUP(C564,'Parts Legend'!$B:$C,2,FALSE),"")</f>
        <v/>
      </c>
      <c r="E564" s="57"/>
      <c r="G564" s="62" t="str">
        <f t="shared" si="14"/>
        <v/>
      </c>
    </row>
    <row r="565" spans="4:7">
      <c r="D565" s="63" t="str">
        <f>IFERROR(VLOOKUP(C565,'Parts Legend'!$B:$C,2,FALSE),"")</f>
        <v/>
      </c>
      <c r="E565" s="57"/>
      <c r="G565" s="62" t="str">
        <f t="shared" si="14"/>
        <v/>
      </c>
    </row>
    <row r="566" spans="4:7">
      <c r="D566" s="63" t="str">
        <f>IFERROR(VLOOKUP(C566,'Parts Legend'!$B:$C,2,FALSE),"")</f>
        <v/>
      </c>
      <c r="E566" s="57"/>
      <c r="G566" s="62" t="str">
        <f t="shared" si="14"/>
        <v/>
      </c>
    </row>
    <row r="567" spans="4:7">
      <c r="D567" s="63" t="str">
        <f>IFERROR(VLOOKUP(C567,'Parts Legend'!$B:$C,2,FALSE),"")</f>
        <v/>
      </c>
      <c r="E567" s="57"/>
      <c r="G567" s="62" t="str">
        <f t="shared" si="14"/>
        <v/>
      </c>
    </row>
    <row r="568" spans="4:7">
      <c r="D568" s="63" t="str">
        <f>IFERROR(VLOOKUP(C568,'Parts Legend'!$B:$C,2,FALSE),"")</f>
        <v/>
      </c>
      <c r="E568" s="57"/>
      <c r="G568" s="62" t="str">
        <f t="shared" si="14"/>
        <v/>
      </c>
    </row>
    <row r="569" spans="4:7">
      <c r="D569" s="63" t="str">
        <f>IFERROR(VLOOKUP(C569,'Parts Legend'!$B:$C,2,FALSE),"")</f>
        <v/>
      </c>
      <c r="E569" s="57"/>
      <c r="G569" s="62" t="str">
        <f t="shared" si="14"/>
        <v/>
      </c>
    </row>
    <row r="570" spans="4:7">
      <c r="D570" s="63" t="str">
        <f>IFERROR(VLOOKUP(C570,'Parts Legend'!$B:$C,2,FALSE),"")</f>
        <v/>
      </c>
      <c r="E570" s="57"/>
      <c r="G570" s="62" t="str">
        <f t="shared" si="14"/>
        <v/>
      </c>
    </row>
    <row r="571" spans="4:7">
      <c r="D571" s="63" t="str">
        <f>IFERROR(VLOOKUP(C571,'Parts Legend'!$B:$C,2,FALSE),"")</f>
        <v/>
      </c>
      <c r="E571" s="57"/>
      <c r="G571" s="62" t="str">
        <f t="shared" si="14"/>
        <v/>
      </c>
    </row>
    <row r="572" spans="4:7">
      <c r="D572" s="63" t="str">
        <f>IFERROR(VLOOKUP(C572,'Parts Legend'!$B:$C,2,FALSE),"")</f>
        <v/>
      </c>
      <c r="E572" s="57"/>
      <c r="G572" s="62" t="str">
        <f t="shared" si="14"/>
        <v/>
      </c>
    </row>
    <row r="573" spans="4:7">
      <c r="D573" s="63" t="str">
        <f>IFERROR(VLOOKUP(C573,'Parts Legend'!$B:$C,2,FALSE),"")</f>
        <v/>
      </c>
      <c r="E573" s="57"/>
      <c r="G573" s="62" t="str">
        <f t="shared" si="14"/>
        <v/>
      </c>
    </row>
    <row r="574" spans="4:7">
      <c r="D574" s="63" t="str">
        <f>IFERROR(VLOOKUP(C574,'Parts Legend'!$B:$C,2,FALSE),"")</f>
        <v/>
      </c>
      <c r="E574" s="57"/>
      <c r="G574" s="62" t="str">
        <f t="shared" si="14"/>
        <v/>
      </c>
    </row>
    <row r="575" spans="4:7">
      <c r="D575" s="63" t="str">
        <f>IFERROR(VLOOKUP(C575,'Parts Legend'!$B:$C,2,FALSE),"")</f>
        <v/>
      </c>
      <c r="E575" s="57"/>
      <c r="G575" s="62" t="str">
        <f t="shared" si="14"/>
        <v/>
      </c>
    </row>
    <row r="576" spans="4:7">
      <c r="D576" s="63" t="str">
        <f>IFERROR(VLOOKUP(C576,'Parts Legend'!$B:$C,2,FALSE),"")</f>
        <v/>
      </c>
      <c r="E576" s="57"/>
      <c r="G576" s="62" t="str">
        <f t="shared" si="14"/>
        <v/>
      </c>
    </row>
    <row r="577" spans="4:7">
      <c r="D577" s="63" t="str">
        <f>IFERROR(VLOOKUP(C577,'Parts Legend'!$B:$C,2,FALSE),"")</f>
        <v/>
      </c>
      <c r="E577" s="57"/>
      <c r="G577" s="62" t="str">
        <f t="shared" si="14"/>
        <v/>
      </c>
    </row>
    <row r="578" spans="4:7">
      <c r="D578" s="63" t="str">
        <f>IFERROR(VLOOKUP(C578,'Parts Legend'!$B:$C,2,FALSE),"")</f>
        <v/>
      </c>
      <c r="E578" s="57"/>
      <c r="G578" s="62" t="str">
        <f t="shared" si="14"/>
        <v/>
      </c>
    </row>
    <row r="579" spans="4:7">
      <c r="D579" s="63" t="str">
        <f>IFERROR(VLOOKUP(C579,'Parts Legend'!$B:$C,2,FALSE),"")</f>
        <v/>
      </c>
      <c r="E579" s="57"/>
      <c r="G579" s="62" t="str">
        <f t="shared" si="14"/>
        <v/>
      </c>
    </row>
    <row r="580" spans="4:7">
      <c r="D580" s="63" t="str">
        <f>IFERROR(VLOOKUP(C580,'Parts Legend'!$B:$C,2,FALSE),"")</f>
        <v/>
      </c>
      <c r="E580" s="57"/>
      <c r="G580" s="62" t="str">
        <f t="shared" si="14"/>
        <v/>
      </c>
    </row>
    <row r="581" spans="4:7">
      <c r="D581" s="63" t="str">
        <f>IFERROR(VLOOKUP(C581,'Parts Legend'!$B:$C,2,FALSE),"")</f>
        <v/>
      </c>
      <c r="E581" s="57"/>
      <c r="G581" s="62" t="str">
        <f t="shared" si="14"/>
        <v/>
      </c>
    </row>
    <row r="582" spans="4:7">
      <c r="D582" s="63" t="str">
        <f>IFERROR(VLOOKUP(C582,'Parts Legend'!$B:$C,2,FALSE),"")</f>
        <v/>
      </c>
      <c r="E582" s="57"/>
      <c r="G582" s="62" t="str">
        <f t="shared" si="14"/>
        <v/>
      </c>
    </row>
    <row r="583" spans="4:7">
      <c r="D583" s="63" t="str">
        <f>IFERROR(VLOOKUP(C583,'Parts Legend'!$B:$C,2,FALSE),"")</f>
        <v/>
      </c>
      <c r="E583" s="57"/>
      <c r="G583" s="62" t="str">
        <f t="shared" si="14"/>
        <v/>
      </c>
    </row>
    <row r="584" spans="4:7">
      <c r="D584" s="63" t="str">
        <f>IFERROR(VLOOKUP(C584,'Parts Legend'!$B:$C,2,FALSE),"")</f>
        <v/>
      </c>
      <c r="E584" s="57"/>
      <c r="G584" s="62" t="str">
        <f t="shared" si="14"/>
        <v/>
      </c>
    </row>
    <row r="585" spans="4:7">
      <c r="D585" s="63" t="str">
        <f>IFERROR(VLOOKUP(C585,'Parts Legend'!$B:$C,2,FALSE),"")</f>
        <v/>
      </c>
      <c r="E585" s="57"/>
      <c r="G585" s="62" t="str">
        <f t="shared" si="14"/>
        <v/>
      </c>
    </row>
    <row r="586" spans="4:7">
      <c r="D586" s="63" t="str">
        <f>IFERROR(VLOOKUP(C586,'Parts Legend'!$B:$C,2,FALSE),"")</f>
        <v/>
      </c>
      <c r="E586" s="57"/>
      <c r="G586" s="62" t="str">
        <f t="shared" si="14"/>
        <v/>
      </c>
    </row>
    <row r="587" spans="4:7">
      <c r="D587" s="63" t="str">
        <f>IFERROR(VLOOKUP(C587,'Parts Legend'!$B:$C,2,FALSE),"")</f>
        <v/>
      </c>
      <c r="E587" s="57"/>
      <c r="G587" s="62" t="str">
        <f t="shared" si="14"/>
        <v/>
      </c>
    </row>
    <row r="588" spans="4:7">
      <c r="D588" s="63" t="str">
        <f>IFERROR(VLOOKUP(C588,'Parts Legend'!$B:$C,2,FALSE),"")</f>
        <v/>
      </c>
      <c r="E588" s="57"/>
      <c r="G588" s="62" t="str">
        <f t="shared" si="14"/>
        <v/>
      </c>
    </row>
    <row r="589" spans="4:7">
      <c r="D589" s="63" t="str">
        <f>IFERROR(VLOOKUP(C589,'Parts Legend'!$B:$C,2,FALSE),"")</f>
        <v/>
      </c>
      <c r="E589" s="57"/>
      <c r="G589" s="62" t="str">
        <f t="shared" si="14"/>
        <v/>
      </c>
    </row>
    <row r="590" spans="4:7">
      <c r="D590" s="63" t="str">
        <f>IFERROR(VLOOKUP(C590,'Parts Legend'!$B:$C,2,FALSE),"")</f>
        <v/>
      </c>
      <c r="E590" s="57"/>
      <c r="G590" s="62" t="str">
        <f t="shared" si="14"/>
        <v/>
      </c>
    </row>
    <row r="591" spans="4:7">
      <c r="D591" s="63" t="str">
        <f>IFERROR(VLOOKUP(C591,'Parts Legend'!$B:$C,2,FALSE),"")</f>
        <v/>
      </c>
      <c r="E591" s="57"/>
      <c r="G591" s="62" t="str">
        <f t="shared" si="14"/>
        <v/>
      </c>
    </row>
    <row r="592" spans="4:7">
      <c r="D592" s="63" t="str">
        <f>IFERROR(VLOOKUP(C592,'Parts Legend'!$B:$C,2,FALSE),"")</f>
        <v/>
      </c>
      <c r="E592" s="57"/>
      <c r="G592" s="62" t="str">
        <f t="shared" si="14"/>
        <v/>
      </c>
    </row>
    <row r="593" spans="4:7">
      <c r="D593" s="63" t="str">
        <f>IFERROR(VLOOKUP(C593,'Parts Legend'!$B:$C,2,FALSE),"")</f>
        <v/>
      </c>
      <c r="E593" s="57"/>
      <c r="G593" s="62" t="str">
        <f t="shared" si="14"/>
        <v/>
      </c>
    </row>
    <row r="594" spans="4:7">
      <c r="D594" s="63" t="str">
        <f>IFERROR(VLOOKUP(C594,'Parts Legend'!$B:$C,2,FALSE),"")</f>
        <v/>
      </c>
      <c r="E594" s="57"/>
      <c r="G594" s="62" t="str">
        <f t="shared" si="14"/>
        <v/>
      </c>
    </row>
    <row r="595" spans="4:7">
      <c r="D595" s="63" t="str">
        <f>IFERROR(VLOOKUP(C595,'Parts Legend'!$B:$C,2,FALSE),"")</f>
        <v/>
      </c>
      <c r="E595" s="57"/>
      <c r="G595" s="62" t="str">
        <f t="shared" si="14"/>
        <v/>
      </c>
    </row>
    <row r="596" spans="4:7">
      <c r="D596" s="63" t="str">
        <f>IFERROR(VLOOKUP(C596,'Parts Legend'!$B:$C,2,FALSE),"")</f>
        <v/>
      </c>
      <c r="E596" s="57"/>
      <c r="G596" s="62" t="str">
        <f t="shared" si="14"/>
        <v/>
      </c>
    </row>
    <row r="597" spans="4:7">
      <c r="D597" s="63" t="str">
        <f>IFERROR(VLOOKUP(C597,'Parts Legend'!$B:$C,2,FALSE),"")</f>
        <v/>
      </c>
      <c r="E597" s="57"/>
      <c r="G597" s="62" t="str">
        <f t="shared" si="14"/>
        <v/>
      </c>
    </row>
    <row r="598" spans="4:7">
      <c r="D598" s="63" t="str">
        <f>IFERROR(VLOOKUP(C598,'Parts Legend'!$B:$C,2,FALSE),"")</f>
        <v/>
      </c>
      <c r="E598" s="57"/>
      <c r="G598" s="62" t="str">
        <f t="shared" si="14"/>
        <v/>
      </c>
    </row>
    <row r="599" spans="4:7">
      <c r="D599" s="63" t="str">
        <f>IFERROR(VLOOKUP(C599,'Parts Legend'!$B:$C,2,FALSE),"")</f>
        <v/>
      </c>
      <c r="E599" s="57"/>
      <c r="G599" s="62" t="str">
        <f t="shared" si="14"/>
        <v/>
      </c>
    </row>
    <row r="600" spans="4:7">
      <c r="D600" s="63" t="str">
        <f>IFERROR(VLOOKUP(C600,'Parts Legend'!$B:$C,2,FALSE),"")</f>
        <v/>
      </c>
      <c r="E600" s="57"/>
      <c r="G600" s="62" t="str">
        <f t="shared" si="14"/>
        <v/>
      </c>
    </row>
    <row r="601" spans="4:7">
      <c r="D601" s="63" t="str">
        <f>IFERROR(VLOOKUP(C601,'Parts Legend'!$B:$C,2,FALSE),"")</f>
        <v/>
      </c>
      <c r="E601" s="57"/>
      <c r="G601" s="62" t="str">
        <f t="shared" si="14"/>
        <v/>
      </c>
    </row>
    <row r="602" spans="4:7">
      <c r="D602" s="63" t="str">
        <f>IFERROR(VLOOKUP(C602,'Parts Legend'!$B:$C,2,FALSE),"")</f>
        <v/>
      </c>
      <c r="E602" s="57"/>
      <c r="G602" s="62" t="str">
        <f t="shared" si="14"/>
        <v/>
      </c>
    </row>
    <row r="603" spans="4:7">
      <c r="D603" s="63" t="str">
        <f>IFERROR(VLOOKUP(C603,'Parts Legend'!$B:$C,2,FALSE),"")</f>
        <v/>
      </c>
      <c r="E603" s="57"/>
      <c r="G603" s="62" t="str">
        <f t="shared" si="14"/>
        <v/>
      </c>
    </row>
    <row r="604" spans="4:7">
      <c r="D604" s="63" t="str">
        <f>IFERROR(VLOOKUP(C604,'Parts Legend'!$B:$C,2,FALSE),"")</f>
        <v/>
      </c>
      <c r="E604" s="57"/>
      <c r="G604" s="62" t="str">
        <f t="shared" si="14"/>
        <v/>
      </c>
    </row>
    <row r="605" spans="4:7">
      <c r="D605" s="63" t="str">
        <f>IFERROR(VLOOKUP(C605,'Parts Legend'!$B:$C,2,FALSE),"")</f>
        <v/>
      </c>
      <c r="E605" s="57"/>
      <c r="G605" s="62" t="str">
        <f t="shared" si="14"/>
        <v/>
      </c>
    </row>
    <row r="606" spans="4:7">
      <c r="D606" s="63" t="str">
        <f>IFERROR(VLOOKUP(C606,'Parts Legend'!$B:$C,2,FALSE),"")</f>
        <v/>
      </c>
      <c r="E606" s="57"/>
      <c r="G606" s="62" t="str">
        <f t="shared" si="14"/>
        <v/>
      </c>
    </row>
    <row r="607" spans="4:7">
      <c r="D607" s="63" t="str">
        <f>IFERROR(VLOOKUP(C607,'Parts Legend'!$B:$C,2,FALSE),"")</f>
        <v/>
      </c>
      <c r="E607" s="57"/>
      <c r="G607" s="62" t="str">
        <f t="shared" si="14"/>
        <v/>
      </c>
    </row>
    <row r="608" spans="4:7">
      <c r="D608" s="63" t="str">
        <f>IFERROR(VLOOKUP(C608,'Parts Legend'!$B:$C,2,FALSE),"")</f>
        <v/>
      </c>
      <c r="E608" s="57"/>
      <c r="G608" s="62" t="str">
        <f t="shared" si="14"/>
        <v/>
      </c>
    </row>
    <row r="609" spans="4:7">
      <c r="D609" s="63" t="str">
        <f>IFERROR(VLOOKUP(C609,'Parts Legend'!$B:$C,2,FALSE),"")</f>
        <v/>
      </c>
      <c r="E609" s="57"/>
      <c r="G609" s="62" t="str">
        <f t="shared" si="14"/>
        <v/>
      </c>
    </row>
    <row r="610" spans="4:7">
      <c r="D610" s="63" t="str">
        <f>IFERROR(VLOOKUP(C610,'Parts Legend'!$B:$C,2,FALSE),"")</f>
        <v/>
      </c>
      <c r="E610" s="57"/>
      <c r="G610" s="62" t="str">
        <f t="shared" si="14"/>
        <v/>
      </c>
    </row>
    <row r="611" spans="4:7">
      <c r="D611" s="63" t="str">
        <f>IFERROR(VLOOKUP(C611,'Parts Legend'!$B:$C,2,FALSE),"")</f>
        <v/>
      </c>
      <c r="E611" s="57"/>
      <c r="G611" s="62" t="str">
        <f t="shared" si="14"/>
        <v/>
      </c>
    </row>
    <row r="612" spans="4:7">
      <c r="D612" s="63" t="str">
        <f>IFERROR(VLOOKUP(C612,'Parts Legend'!$B:$C,2,FALSE),"")</f>
        <v/>
      </c>
      <c r="E612" s="57"/>
      <c r="G612" s="62" t="str">
        <f t="shared" si="14"/>
        <v/>
      </c>
    </row>
    <row r="613" spans="4:7">
      <c r="D613" s="63" t="str">
        <f>IFERROR(VLOOKUP(C613,'Parts Legend'!$B:$C,2,FALSE),"")</f>
        <v/>
      </c>
      <c r="E613" s="57"/>
      <c r="G613" s="62" t="str">
        <f t="shared" si="14"/>
        <v/>
      </c>
    </row>
    <row r="614" spans="4:7">
      <c r="D614" s="63" t="str">
        <f>IFERROR(VLOOKUP(C614,'Parts Legend'!$B:$C,2,FALSE),"")</f>
        <v/>
      </c>
      <c r="E614" s="57"/>
      <c r="G614" s="62" t="str">
        <f t="shared" si="14"/>
        <v/>
      </c>
    </row>
    <row r="615" spans="4:7">
      <c r="D615" s="63" t="str">
        <f>IFERROR(VLOOKUP(C615,'Parts Legend'!$B:$C,2,FALSE),"")</f>
        <v/>
      </c>
      <c r="E615" s="57"/>
      <c r="G615" s="62" t="str">
        <f t="shared" si="14"/>
        <v/>
      </c>
    </row>
    <row r="616" spans="4:7">
      <c r="D616" s="63" t="str">
        <f>IFERROR(VLOOKUP(C616,'Parts Legend'!$B:$C,2,FALSE),"")</f>
        <v/>
      </c>
      <c r="E616" s="57"/>
      <c r="G616" s="62" t="str">
        <f t="shared" ref="G616:G679" si="15">IF(B616="","",(B616-WEEKDAY(B616,3)))</f>
        <v/>
      </c>
    </row>
    <row r="617" spans="4:7">
      <c r="D617" s="63" t="str">
        <f>IFERROR(VLOOKUP(C617,'Parts Legend'!$B:$C,2,FALSE),"")</f>
        <v/>
      </c>
      <c r="E617" s="57"/>
      <c r="G617" s="62" t="str">
        <f t="shared" si="15"/>
        <v/>
      </c>
    </row>
    <row r="618" spans="4:7">
      <c r="D618" s="63" t="str">
        <f>IFERROR(VLOOKUP(C618,'Parts Legend'!$B:$C,2,FALSE),"")</f>
        <v/>
      </c>
      <c r="E618" s="57"/>
      <c r="G618" s="62" t="str">
        <f t="shared" si="15"/>
        <v/>
      </c>
    </row>
    <row r="619" spans="4:7">
      <c r="D619" s="63" t="str">
        <f>IFERROR(VLOOKUP(C619,'Parts Legend'!$B:$C,2,FALSE),"")</f>
        <v/>
      </c>
      <c r="E619" s="57"/>
      <c r="G619" s="62" t="str">
        <f t="shared" si="15"/>
        <v/>
      </c>
    </row>
    <row r="620" spans="4:7">
      <c r="D620" s="63" t="str">
        <f>IFERROR(VLOOKUP(C620,'Parts Legend'!$B:$C,2,FALSE),"")</f>
        <v/>
      </c>
      <c r="E620" s="57"/>
      <c r="G620" s="62" t="str">
        <f t="shared" si="15"/>
        <v/>
      </c>
    </row>
    <row r="621" spans="4:7">
      <c r="D621" s="63" t="str">
        <f>IFERROR(VLOOKUP(C621,'Parts Legend'!$B:$C,2,FALSE),"")</f>
        <v/>
      </c>
      <c r="E621" s="57"/>
      <c r="G621" s="62" t="str">
        <f t="shared" si="15"/>
        <v/>
      </c>
    </row>
    <row r="622" spans="4:7">
      <c r="D622" s="63" t="str">
        <f>IFERROR(VLOOKUP(C622,'Parts Legend'!$B:$C,2,FALSE),"")</f>
        <v/>
      </c>
      <c r="E622" s="57"/>
      <c r="G622" s="62" t="str">
        <f t="shared" si="15"/>
        <v/>
      </c>
    </row>
    <row r="623" spans="4:7">
      <c r="D623" s="63" t="str">
        <f>IFERROR(VLOOKUP(C623,'Parts Legend'!$B:$C,2,FALSE),"")</f>
        <v/>
      </c>
      <c r="E623" s="57"/>
      <c r="G623" s="62" t="str">
        <f t="shared" si="15"/>
        <v/>
      </c>
    </row>
    <row r="624" spans="4:7">
      <c r="D624" s="63" t="str">
        <f>IFERROR(VLOOKUP(C624,'Parts Legend'!$B:$C,2,FALSE),"")</f>
        <v/>
      </c>
      <c r="E624" s="57"/>
      <c r="G624" s="62" t="str">
        <f t="shared" si="15"/>
        <v/>
      </c>
    </row>
    <row r="625" spans="4:7">
      <c r="D625" s="63" t="str">
        <f>IFERROR(VLOOKUP(C625,'Parts Legend'!$B:$C,2,FALSE),"")</f>
        <v/>
      </c>
      <c r="E625" s="57"/>
      <c r="G625" s="62" t="str">
        <f t="shared" si="15"/>
        <v/>
      </c>
    </row>
    <row r="626" spans="4:7">
      <c r="D626" s="63" t="str">
        <f>IFERROR(VLOOKUP(C626,'Parts Legend'!$B:$C,2,FALSE),"")</f>
        <v/>
      </c>
      <c r="E626" s="57"/>
      <c r="G626" s="62" t="str">
        <f t="shared" si="15"/>
        <v/>
      </c>
    </row>
    <row r="627" spans="4:7">
      <c r="D627" s="63" t="str">
        <f>IFERROR(VLOOKUP(C627,'Parts Legend'!$B:$C,2,FALSE),"")</f>
        <v/>
      </c>
      <c r="E627" s="57"/>
      <c r="G627" s="62" t="str">
        <f t="shared" si="15"/>
        <v/>
      </c>
    </row>
    <row r="628" spans="4:7">
      <c r="D628" s="63" t="str">
        <f>IFERROR(VLOOKUP(C628,'Parts Legend'!$B:$C,2,FALSE),"")</f>
        <v/>
      </c>
      <c r="E628" s="57"/>
      <c r="G628" s="62" t="str">
        <f t="shared" si="15"/>
        <v/>
      </c>
    </row>
    <row r="629" spans="4:7">
      <c r="D629" s="63" t="str">
        <f>IFERROR(VLOOKUP(C629,'Parts Legend'!$B:$C,2,FALSE),"")</f>
        <v/>
      </c>
      <c r="E629" s="57"/>
      <c r="G629" s="62" t="str">
        <f t="shared" si="15"/>
        <v/>
      </c>
    </row>
    <row r="630" spans="4:7">
      <c r="D630" s="63" t="str">
        <f>IFERROR(VLOOKUP(C630,'Parts Legend'!$B:$C,2,FALSE),"")</f>
        <v/>
      </c>
      <c r="E630" s="57"/>
      <c r="G630" s="62" t="str">
        <f t="shared" si="15"/>
        <v/>
      </c>
    </row>
    <row r="631" spans="4:7">
      <c r="D631" s="63" t="str">
        <f>IFERROR(VLOOKUP(C631,'Parts Legend'!$B:$C,2,FALSE),"")</f>
        <v/>
      </c>
      <c r="E631" s="57"/>
      <c r="G631" s="62" t="str">
        <f t="shared" si="15"/>
        <v/>
      </c>
    </row>
    <row r="632" spans="4:7">
      <c r="D632" s="63" t="str">
        <f>IFERROR(VLOOKUP(C632,'Parts Legend'!$B:$C,2,FALSE),"")</f>
        <v/>
      </c>
      <c r="E632" s="57"/>
      <c r="G632" s="62" t="str">
        <f t="shared" si="15"/>
        <v/>
      </c>
    </row>
    <row r="633" spans="4:7">
      <c r="D633" s="63" t="str">
        <f>IFERROR(VLOOKUP(C633,'Parts Legend'!$B:$C,2,FALSE),"")</f>
        <v/>
      </c>
      <c r="E633" s="57"/>
      <c r="G633" s="62" t="str">
        <f t="shared" si="15"/>
        <v/>
      </c>
    </row>
    <row r="634" spans="4:7">
      <c r="D634" s="63" t="str">
        <f>IFERROR(VLOOKUP(C634,'Parts Legend'!$B:$C,2,FALSE),"")</f>
        <v/>
      </c>
      <c r="E634" s="57"/>
      <c r="G634" s="62" t="str">
        <f t="shared" si="15"/>
        <v/>
      </c>
    </row>
    <row r="635" spans="4:7">
      <c r="D635" s="63" t="str">
        <f>IFERROR(VLOOKUP(C635,'Parts Legend'!$B:$C,2,FALSE),"")</f>
        <v/>
      </c>
      <c r="E635" s="57"/>
      <c r="G635" s="62" t="str">
        <f t="shared" si="15"/>
        <v/>
      </c>
    </row>
    <row r="636" spans="4:7">
      <c r="D636" s="63" t="str">
        <f>IFERROR(VLOOKUP(C636,'Parts Legend'!$B:$C,2,FALSE),"")</f>
        <v/>
      </c>
      <c r="E636" s="57"/>
      <c r="G636" s="62" t="str">
        <f t="shared" si="15"/>
        <v/>
      </c>
    </row>
    <row r="637" spans="4:7">
      <c r="D637" s="63" t="str">
        <f>IFERROR(VLOOKUP(C637,'Parts Legend'!$B:$C,2,FALSE),"")</f>
        <v/>
      </c>
      <c r="E637" s="57"/>
      <c r="G637" s="62" t="str">
        <f t="shared" si="15"/>
        <v/>
      </c>
    </row>
    <row r="638" spans="4:7">
      <c r="D638" s="63" t="str">
        <f>IFERROR(VLOOKUP(C638,'Parts Legend'!$B:$C,2,FALSE),"")</f>
        <v/>
      </c>
      <c r="E638" s="57"/>
      <c r="G638" s="62" t="str">
        <f t="shared" si="15"/>
        <v/>
      </c>
    </row>
    <row r="639" spans="4:7">
      <c r="D639" s="63" t="str">
        <f>IFERROR(VLOOKUP(C639,'Parts Legend'!$B:$C,2,FALSE),"")</f>
        <v/>
      </c>
      <c r="E639" s="57"/>
      <c r="G639" s="62" t="str">
        <f t="shared" si="15"/>
        <v/>
      </c>
    </row>
    <row r="640" spans="4:7">
      <c r="D640" s="63" t="str">
        <f>IFERROR(VLOOKUP(C640,'Parts Legend'!$B:$C,2,FALSE),"")</f>
        <v/>
      </c>
      <c r="E640" s="57"/>
      <c r="G640" s="62" t="str">
        <f t="shared" si="15"/>
        <v/>
      </c>
    </row>
    <row r="641" spans="4:7">
      <c r="D641" s="63" t="str">
        <f>IFERROR(VLOOKUP(C641,'Parts Legend'!$B:$C,2,FALSE),"")</f>
        <v/>
      </c>
      <c r="E641" s="57"/>
      <c r="G641" s="62" t="str">
        <f t="shared" si="15"/>
        <v/>
      </c>
    </row>
    <row r="642" spans="4:7">
      <c r="D642" s="63" t="str">
        <f>IFERROR(VLOOKUP(C642,'Parts Legend'!$B:$C,2,FALSE),"")</f>
        <v/>
      </c>
      <c r="E642" s="57"/>
      <c r="G642" s="62" t="str">
        <f t="shared" si="15"/>
        <v/>
      </c>
    </row>
    <row r="643" spans="4:7">
      <c r="D643" s="63" t="str">
        <f>IFERROR(VLOOKUP(C643,'Parts Legend'!$B:$C,2,FALSE),"")</f>
        <v/>
      </c>
      <c r="E643" s="57"/>
      <c r="G643" s="62" t="str">
        <f t="shared" si="15"/>
        <v/>
      </c>
    </row>
    <row r="644" spans="4:7">
      <c r="D644" s="63" t="str">
        <f>IFERROR(VLOOKUP(C644,'Parts Legend'!$B:$C,2,FALSE),"")</f>
        <v/>
      </c>
      <c r="E644" s="57"/>
      <c r="G644" s="62" t="str">
        <f t="shared" si="15"/>
        <v/>
      </c>
    </row>
    <row r="645" spans="4:7">
      <c r="D645" s="63" t="str">
        <f>IFERROR(VLOOKUP(C645,'Parts Legend'!$B:$C,2,FALSE),"")</f>
        <v/>
      </c>
      <c r="E645" s="57"/>
      <c r="G645" s="62" t="str">
        <f t="shared" si="15"/>
        <v/>
      </c>
    </row>
    <row r="646" spans="4:7">
      <c r="D646" s="63" t="str">
        <f>IFERROR(VLOOKUP(C646,'Parts Legend'!$B:$C,2,FALSE),"")</f>
        <v/>
      </c>
      <c r="E646" s="57"/>
      <c r="G646" s="62" t="str">
        <f t="shared" si="15"/>
        <v/>
      </c>
    </row>
    <row r="647" spans="4:7">
      <c r="D647" s="63" t="str">
        <f>IFERROR(VLOOKUP(C647,'Parts Legend'!$B:$C,2,FALSE),"")</f>
        <v/>
      </c>
      <c r="E647" s="57"/>
      <c r="G647" s="62" t="str">
        <f t="shared" si="15"/>
        <v/>
      </c>
    </row>
    <row r="648" spans="4:7">
      <c r="D648" s="63" t="str">
        <f>IFERROR(VLOOKUP(C648,'Parts Legend'!$B:$C,2,FALSE),"")</f>
        <v/>
      </c>
      <c r="E648" s="57"/>
      <c r="G648" s="62" t="str">
        <f t="shared" si="15"/>
        <v/>
      </c>
    </row>
    <row r="649" spans="4:7">
      <c r="D649" s="63" t="str">
        <f>IFERROR(VLOOKUP(C649,'Parts Legend'!$B:$C,2,FALSE),"")</f>
        <v/>
      </c>
      <c r="E649" s="57"/>
      <c r="G649" s="62" t="str">
        <f t="shared" si="15"/>
        <v/>
      </c>
    </row>
    <row r="650" spans="4:7">
      <c r="D650" s="63" t="str">
        <f>IFERROR(VLOOKUP(C650,'Parts Legend'!$B:$C,2,FALSE),"")</f>
        <v/>
      </c>
      <c r="E650" s="57"/>
      <c r="G650" s="62" t="str">
        <f t="shared" si="15"/>
        <v/>
      </c>
    </row>
    <row r="651" spans="4:7">
      <c r="D651" s="63" t="str">
        <f>IFERROR(VLOOKUP(C651,'Parts Legend'!$B:$C,2,FALSE),"")</f>
        <v/>
      </c>
      <c r="E651" s="57"/>
      <c r="G651" s="62" t="str">
        <f t="shared" si="15"/>
        <v/>
      </c>
    </row>
    <row r="652" spans="4:7">
      <c r="D652" s="63" t="str">
        <f>IFERROR(VLOOKUP(C652,'Parts Legend'!$B:$C,2,FALSE),"")</f>
        <v/>
      </c>
      <c r="E652" s="57"/>
      <c r="G652" s="62" t="str">
        <f t="shared" si="15"/>
        <v/>
      </c>
    </row>
    <row r="653" spans="4:7">
      <c r="D653" s="63" t="str">
        <f>IFERROR(VLOOKUP(C653,'Parts Legend'!$B:$C,2,FALSE),"")</f>
        <v/>
      </c>
      <c r="E653" s="57"/>
      <c r="G653" s="62" t="str">
        <f t="shared" si="15"/>
        <v/>
      </c>
    </row>
    <row r="654" spans="4:7">
      <c r="D654" s="63" t="str">
        <f>IFERROR(VLOOKUP(C654,'Parts Legend'!$B:$C,2,FALSE),"")</f>
        <v/>
      </c>
      <c r="E654" s="57"/>
      <c r="G654" s="62" t="str">
        <f t="shared" si="15"/>
        <v/>
      </c>
    </row>
    <row r="655" spans="4:7">
      <c r="D655" s="63" t="str">
        <f>IFERROR(VLOOKUP(C655,'Parts Legend'!$B:$C,2,FALSE),"")</f>
        <v/>
      </c>
      <c r="E655" s="57"/>
      <c r="G655" s="62" t="str">
        <f t="shared" si="15"/>
        <v/>
      </c>
    </row>
    <row r="656" spans="4:7">
      <c r="D656" s="63" t="str">
        <f>IFERROR(VLOOKUP(C656,'Parts Legend'!$B:$C,2,FALSE),"")</f>
        <v/>
      </c>
      <c r="E656" s="57"/>
      <c r="G656" s="62" t="str">
        <f t="shared" si="15"/>
        <v/>
      </c>
    </row>
    <row r="657" spans="4:7">
      <c r="D657" s="63" t="str">
        <f>IFERROR(VLOOKUP(C657,'Parts Legend'!$B:$C,2,FALSE),"")</f>
        <v/>
      </c>
      <c r="E657" s="57"/>
      <c r="G657" s="62" t="str">
        <f t="shared" si="15"/>
        <v/>
      </c>
    </row>
    <row r="658" spans="4:7">
      <c r="D658" s="63" t="str">
        <f>IFERROR(VLOOKUP(C658,'Parts Legend'!$B:$C,2,FALSE),"")</f>
        <v/>
      </c>
      <c r="E658" s="57"/>
      <c r="G658" s="62" t="str">
        <f t="shared" si="15"/>
        <v/>
      </c>
    </row>
    <row r="659" spans="4:7">
      <c r="D659" s="63" t="str">
        <f>IFERROR(VLOOKUP(C659,'Parts Legend'!$B:$C,2,FALSE),"")</f>
        <v/>
      </c>
      <c r="E659" s="57"/>
      <c r="G659" s="62" t="str">
        <f t="shared" si="15"/>
        <v/>
      </c>
    </row>
    <row r="660" spans="4:7">
      <c r="D660" s="63" t="str">
        <f>IFERROR(VLOOKUP(C660,'Parts Legend'!$B:$C,2,FALSE),"")</f>
        <v/>
      </c>
      <c r="E660" s="57"/>
      <c r="G660" s="62" t="str">
        <f t="shared" si="15"/>
        <v/>
      </c>
    </row>
    <row r="661" spans="4:7">
      <c r="D661" s="63" t="str">
        <f>IFERROR(VLOOKUP(C661,'Parts Legend'!$B:$C,2,FALSE),"")</f>
        <v/>
      </c>
      <c r="E661" s="57"/>
      <c r="G661" s="62" t="str">
        <f t="shared" si="15"/>
        <v/>
      </c>
    </row>
    <row r="662" spans="4:7">
      <c r="D662" s="63" t="str">
        <f>IFERROR(VLOOKUP(C662,'Parts Legend'!$B:$C,2,FALSE),"")</f>
        <v/>
      </c>
      <c r="E662" s="57"/>
      <c r="G662" s="62" t="str">
        <f t="shared" si="15"/>
        <v/>
      </c>
    </row>
    <row r="663" spans="4:7">
      <c r="D663" s="63" t="str">
        <f>IFERROR(VLOOKUP(C663,'Parts Legend'!$B:$C,2,FALSE),"")</f>
        <v/>
      </c>
      <c r="E663" s="57"/>
      <c r="G663" s="62" t="str">
        <f t="shared" si="15"/>
        <v/>
      </c>
    </row>
    <row r="664" spans="4:7">
      <c r="D664" s="63" t="str">
        <f>IFERROR(VLOOKUP(C664,'Parts Legend'!$B:$C,2,FALSE),"")</f>
        <v/>
      </c>
      <c r="E664" s="57"/>
      <c r="G664" s="62" t="str">
        <f t="shared" si="15"/>
        <v/>
      </c>
    </row>
    <row r="665" spans="4:7">
      <c r="D665" s="63" t="str">
        <f>IFERROR(VLOOKUP(C665,'Parts Legend'!$B:$C,2,FALSE),"")</f>
        <v/>
      </c>
      <c r="E665" s="57"/>
      <c r="G665" s="62" t="str">
        <f t="shared" si="15"/>
        <v/>
      </c>
    </row>
    <row r="666" spans="4:7">
      <c r="D666" s="63" t="str">
        <f>IFERROR(VLOOKUP(C666,'Parts Legend'!$B:$C,2,FALSE),"")</f>
        <v/>
      </c>
      <c r="E666" s="57"/>
      <c r="G666" s="62" t="str">
        <f t="shared" si="15"/>
        <v/>
      </c>
    </row>
    <row r="667" spans="4:7">
      <c r="D667" s="63" t="str">
        <f>IFERROR(VLOOKUP(C667,'Parts Legend'!$B:$C,2,FALSE),"")</f>
        <v/>
      </c>
      <c r="E667" s="57"/>
      <c r="G667" s="62" t="str">
        <f t="shared" si="15"/>
        <v/>
      </c>
    </row>
    <row r="668" spans="4:7">
      <c r="D668" s="63" t="str">
        <f>IFERROR(VLOOKUP(C668,'Parts Legend'!$B:$C,2,FALSE),"")</f>
        <v/>
      </c>
      <c r="E668" s="57"/>
      <c r="G668" s="62" t="str">
        <f t="shared" si="15"/>
        <v/>
      </c>
    </row>
    <row r="669" spans="4:7">
      <c r="D669" s="63" t="str">
        <f>IFERROR(VLOOKUP(C669,'Parts Legend'!$B:$C,2,FALSE),"")</f>
        <v/>
      </c>
      <c r="E669" s="57"/>
      <c r="G669" s="62" t="str">
        <f t="shared" si="15"/>
        <v/>
      </c>
    </row>
    <row r="670" spans="4:7">
      <c r="D670" s="63" t="str">
        <f>IFERROR(VLOOKUP(C670,'Parts Legend'!$B:$C,2,FALSE),"")</f>
        <v/>
      </c>
      <c r="E670" s="57"/>
      <c r="G670" s="62" t="str">
        <f t="shared" si="15"/>
        <v/>
      </c>
    </row>
    <row r="671" spans="4:7">
      <c r="D671" s="63" t="str">
        <f>IFERROR(VLOOKUP(C671,'Parts Legend'!$B:$C,2,FALSE),"")</f>
        <v/>
      </c>
      <c r="E671" s="57"/>
      <c r="G671" s="62" t="str">
        <f t="shared" si="15"/>
        <v/>
      </c>
    </row>
    <row r="672" spans="4:7">
      <c r="D672" s="63" t="str">
        <f>IFERROR(VLOOKUP(C672,'Parts Legend'!$B:$C,2,FALSE),"")</f>
        <v/>
      </c>
      <c r="E672" s="57"/>
      <c r="G672" s="62" t="str">
        <f t="shared" si="15"/>
        <v/>
      </c>
    </row>
    <row r="673" spans="4:7">
      <c r="D673" s="63" t="str">
        <f>IFERROR(VLOOKUP(C673,'Parts Legend'!$B:$C,2,FALSE),"")</f>
        <v/>
      </c>
      <c r="E673" s="57"/>
      <c r="G673" s="62" t="str">
        <f t="shared" si="15"/>
        <v/>
      </c>
    </row>
    <row r="674" spans="4:7">
      <c r="D674" s="63" t="str">
        <f>IFERROR(VLOOKUP(C674,'Parts Legend'!$B:$C,2,FALSE),"")</f>
        <v/>
      </c>
      <c r="E674" s="57"/>
      <c r="G674" s="62" t="str">
        <f t="shared" si="15"/>
        <v/>
      </c>
    </row>
    <row r="675" spans="4:7">
      <c r="D675" s="63" t="str">
        <f>IFERROR(VLOOKUP(C675,'Parts Legend'!$B:$C,2,FALSE),"")</f>
        <v/>
      </c>
      <c r="E675" s="57"/>
      <c r="G675" s="62" t="str">
        <f t="shared" si="15"/>
        <v/>
      </c>
    </row>
    <row r="676" spans="4:7">
      <c r="D676" s="63" t="str">
        <f>IFERROR(VLOOKUP(C676,'Parts Legend'!$B:$C,2,FALSE),"")</f>
        <v/>
      </c>
      <c r="E676" s="57"/>
      <c r="G676" s="62" t="str">
        <f t="shared" si="15"/>
        <v/>
      </c>
    </row>
    <row r="677" spans="4:7">
      <c r="D677" s="63" t="str">
        <f>IFERROR(VLOOKUP(C677,'Parts Legend'!$B:$C,2,FALSE),"")</f>
        <v/>
      </c>
      <c r="E677" s="57"/>
      <c r="G677" s="62" t="str">
        <f t="shared" si="15"/>
        <v/>
      </c>
    </row>
    <row r="678" spans="4:7">
      <c r="D678" s="63" t="str">
        <f>IFERROR(VLOOKUP(C678,'Parts Legend'!$B:$C,2,FALSE),"")</f>
        <v/>
      </c>
      <c r="E678" s="57"/>
      <c r="G678" s="62" t="str">
        <f t="shared" si="15"/>
        <v/>
      </c>
    </row>
    <row r="679" spans="4:7">
      <c r="D679" s="63" t="str">
        <f>IFERROR(VLOOKUP(C679,'Parts Legend'!$B:$C,2,FALSE),"")</f>
        <v/>
      </c>
      <c r="E679" s="57"/>
      <c r="G679" s="62" t="str">
        <f t="shared" si="15"/>
        <v/>
      </c>
    </row>
    <row r="680" spans="4:7">
      <c r="D680" s="63" t="str">
        <f>IFERROR(VLOOKUP(C680,'Parts Legend'!$B:$C,2,FALSE),"")</f>
        <v/>
      </c>
      <c r="E680" s="57"/>
      <c r="G680" s="62" t="str">
        <f t="shared" ref="G680:G743" si="16">IF(B680="","",(B680-WEEKDAY(B680,3)))</f>
        <v/>
      </c>
    </row>
    <row r="681" spans="4:7">
      <c r="D681" s="63" t="str">
        <f>IFERROR(VLOOKUP(C681,'Parts Legend'!$B:$C,2,FALSE),"")</f>
        <v/>
      </c>
      <c r="E681" s="57"/>
      <c r="G681" s="62" t="str">
        <f t="shared" si="16"/>
        <v/>
      </c>
    </row>
    <row r="682" spans="4:7">
      <c r="D682" s="63" t="str">
        <f>IFERROR(VLOOKUP(C682,'Parts Legend'!$B:$C,2,FALSE),"")</f>
        <v/>
      </c>
      <c r="E682" s="57"/>
      <c r="G682" s="62" t="str">
        <f t="shared" si="16"/>
        <v/>
      </c>
    </row>
    <row r="683" spans="4:7">
      <c r="D683" s="63" t="str">
        <f>IFERROR(VLOOKUP(C683,'Parts Legend'!$B:$C,2,FALSE),"")</f>
        <v/>
      </c>
      <c r="E683" s="57"/>
      <c r="G683" s="62" t="str">
        <f t="shared" si="16"/>
        <v/>
      </c>
    </row>
    <row r="684" spans="4:7">
      <c r="D684" s="63" t="str">
        <f>IFERROR(VLOOKUP(C684,'Parts Legend'!$B:$C,2,FALSE),"")</f>
        <v/>
      </c>
      <c r="E684" s="57"/>
      <c r="G684" s="62" t="str">
        <f t="shared" si="16"/>
        <v/>
      </c>
    </row>
    <row r="685" spans="4:7">
      <c r="D685" s="63" t="str">
        <f>IFERROR(VLOOKUP(C685,'Parts Legend'!$B:$C,2,FALSE),"")</f>
        <v/>
      </c>
      <c r="E685" s="57"/>
      <c r="G685" s="62" t="str">
        <f t="shared" si="16"/>
        <v/>
      </c>
    </row>
    <row r="686" spans="4:7">
      <c r="D686" s="63" t="str">
        <f>IFERROR(VLOOKUP(C686,'Parts Legend'!$B:$C,2,FALSE),"")</f>
        <v/>
      </c>
      <c r="E686" s="57"/>
      <c r="G686" s="62" t="str">
        <f t="shared" si="16"/>
        <v/>
      </c>
    </row>
    <row r="687" spans="4:7">
      <c r="D687" s="63" t="str">
        <f>IFERROR(VLOOKUP(C687,'Parts Legend'!$B:$C,2,FALSE),"")</f>
        <v/>
      </c>
      <c r="E687" s="57"/>
      <c r="G687" s="62" t="str">
        <f t="shared" si="16"/>
        <v/>
      </c>
    </row>
    <row r="688" spans="4:7">
      <c r="D688" s="63" t="str">
        <f>IFERROR(VLOOKUP(C688,'Parts Legend'!$B:$C,2,FALSE),"")</f>
        <v/>
      </c>
      <c r="E688" s="57"/>
      <c r="G688" s="62" t="str">
        <f t="shared" si="16"/>
        <v/>
      </c>
    </row>
    <row r="689" spans="4:7">
      <c r="D689" s="63" t="str">
        <f>IFERROR(VLOOKUP(C689,'Parts Legend'!$B:$C,2,FALSE),"")</f>
        <v/>
      </c>
      <c r="E689" s="57"/>
      <c r="G689" s="62" t="str">
        <f t="shared" si="16"/>
        <v/>
      </c>
    </row>
    <row r="690" spans="4:7">
      <c r="D690" s="63" t="str">
        <f>IFERROR(VLOOKUP(C690,'Parts Legend'!$B:$C,2,FALSE),"")</f>
        <v/>
      </c>
      <c r="E690" s="57"/>
      <c r="G690" s="62" t="str">
        <f t="shared" si="16"/>
        <v/>
      </c>
    </row>
    <row r="691" spans="4:7">
      <c r="D691" s="63" t="str">
        <f>IFERROR(VLOOKUP(C691,'Parts Legend'!$B:$C,2,FALSE),"")</f>
        <v/>
      </c>
      <c r="E691" s="57"/>
      <c r="G691" s="62" t="str">
        <f t="shared" si="16"/>
        <v/>
      </c>
    </row>
    <row r="692" spans="4:7">
      <c r="D692" s="63" t="str">
        <f>IFERROR(VLOOKUP(C692,'Parts Legend'!$B:$C,2,FALSE),"")</f>
        <v/>
      </c>
      <c r="E692" s="57"/>
      <c r="G692" s="62" t="str">
        <f t="shared" si="16"/>
        <v/>
      </c>
    </row>
    <row r="693" spans="4:7">
      <c r="D693" s="63" t="str">
        <f>IFERROR(VLOOKUP(C693,'Parts Legend'!$B:$C,2,FALSE),"")</f>
        <v/>
      </c>
      <c r="E693" s="57"/>
      <c r="G693" s="62" t="str">
        <f t="shared" si="16"/>
        <v/>
      </c>
    </row>
    <row r="694" spans="4:7">
      <c r="D694" s="63" t="str">
        <f>IFERROR(VLOOKUP(C694,'Parts Legend'!$B:$C,2,FALSE),"")</f>
        <v/>
      </c>
      <c r="E694" s="57"/>
      <c r="G694" s="62" t="str">
        <f t="shared" si="16"/>
        <v/>
      </c>
    </row>
    <row r="695" spans="4:7">
      <c r="D695" s="63" t="str">
        <f>IFERROR(VLOOKUP(C695,'Parts Legend'!$B:$C,2,FALSE),"")</f>
        <v/>
      </c>
      <c r="E695" s="57"/>
      <c r="G695" s="62" t="str">
        <f t="shared" si="16"/>
        <v/>
      </c>
    </row>
    <row r="696" spans="4:7">
      <c r="D696" s="63" t="str">
        <f>IFERROR(VLOOKUP(C696,'Parts Legend'!$B:$C,2,FALSE),"")</f>
        <v/>
      </c>
      <c r="E696" s="57"/>
      <c r="G696" s="62" t="str">
        <f t="shared" si="16"/>
        <v/>
      </c>
    </row>
    <row r="697" spans="4:7">
      <c r="D697" s="63" t="str">
        <f>IFERROR(VLOOKUP(C697,'Parts Legend'!$B:$C,2,FALSE),"")</f>
        <v/>
      </c>
      <c r="E697" s="57"/>
      <c r="G697" s="62" t="str">
        <f t="shared" si="16"/>
        <v/>
      </c>
    </row>
    <row r="698" spans="4:7">
      <c r="D698" s="63" t="str">
        <f>IFERROR(VLOOKUP(C698,'Parts Legend'!$B:$C,2,FALSE),"")</f>
        <v/>
      </c>
      <c r="E698" s="57"/>
      <c r="G698" s="62" t="str">
        <f t="shared" si="16"/>
        <v/>
      </c>
    </row>
    <row r="699" spans="4:7">
      <c r="D699" s="63" t="str">
        <f>IFERROR(VLOOKUP(C699,'Parts Legend'!$B:$C,2,FALSE),"")</f>
        <v/>
      </c>
      <c r="E699" s="57"/>
      <c r="G699" s="62" t="str">
        <f t="shared" si="16"/>
        <v/>
      </c>
    </row>
    <row r="700" spans="4:7">
      <c r="D700" s="63" t="str">
        <f>IFERROR(VLOOKUP(C700,'Parts Legend'!$B:$C,2,FALSE),"")</f>
        <v/>
      </c>
      <c r="E700" s="57"/>
      <c r="G700" s="62" t="str">
        <f t="shared" si="16"/>
        <v/>
      </c>
    </row>
    <row r="701" spans="4:7">
      <c r="D701" s="63" t="str">
        <f>IFERROR(VLOOKUP(C701,'Parts Legend'!$B:$C,2,FALSE),"")</f>
        <v/>
      </c>
      <c r="E701" s="57"/>
      <c r="G701" s="62" t="str">
        <f t="shared" si="16"/>
        <v/>
      </c>
    </row>
    <row r="702" spans="4:7">
      <c r="D702" s="63" t="str">
        <f>IFERROR(VLOOKUP(C702,'Parts Legend'!$B:$C,2,FALSE),"")</f>
        <v/>
      </c>
      <c r="E702" s="57"/>
      <c r="G702" s="62" t="str">
        <f t="shared" si="16"/>
        <v/>
      </c>
    </row>
    <row r="703" spans="4:7">
      <c r="D703" s="63" t="str">
        <f>IFERROR(VLOOKUP(C703,'Parts Legend'!$B:$C,2,FALSE),"")</f>
        <v/>
      </c>
      <c r="E703" s="57"/>
      <c r="G703" s="62" t="str">
        <f t="shared" si="16"/>
        <v/>
      </c>
    </row>
    <row r="704" spans="4:7">
      <c r="D704" s="63" t="str">
        <f>IFERROR(VLOOKUP(C704,'Parts Legend'!$B:$C,2,FALSE),"")</f>
        <v/>
      </c>
      <c r="E704" s="57"/>
      <c r="G704" s="62" t="str">
        <f t="shared" si="16"/>
        <v/>
      </c>
    </row>
    <row r="705" spans="4:7">
      <c r="D705" s="63" t="str">
        <f>IFERROR(VLOOKUP(C705,'Parts Legend'!$B:$C,2,FALSE),"")</f>
        <v/>
      </c>
      <c r="E705" s="57"/>
      <c r="G705" s="62" t="str">
        <f t="shared" si="16"/>
        <v/>
      </c>
    </row>
    <row r="706" spans="4:7">
      <c r="D706" s="63" t="str">
        <f>IFERROR(VLOOKUP(C706,'Parts Legend'!$B:$C,2,FALSE),"")</f>
        <v/>
      </c>
      <c r="E706" s="57"/>
      <c r="G706" s="62" t="str">
        <f t="shared" si="16"/>
        <v/>
      </c>
    </row>
    <row r="707" spans="4:7">
      <c r="D707" s="63" t="str">
        <f>IFERROR(VLOOKUP(C707,'Parts Legend'!$B:$C,2,FALSE),"")</f>
        <v/>
      </c>
      <c r="E707" s="57"/>
      <c r="G707" s="62" t="str">
        <f t="shared" si="16"/>
        <v/>
      </c>
    </row>
    <row r="708" spans="4:7">
      <c r="D708" s="63" t="str">
        <f>IFERROR(VLOOKUP(C708,'Parts Legend'!$B:$C,2,FALSE),"")</f>
        <v/>
      </c>
      <c r="E708" s="57"/>
      <c r="G708" s="62" t="str">
        <f t="shared" si="16"/>
        <v/>
      </c>
    </row>
    <row r="709" spans="4:7">
      <c r="D709" s="63" t="str">
        <f>IFERROR(VLOOKUP(C709,'Parts Legend'!$B:$C,2,FALSE),"")</f>
        <v/>
      </c>
      <c r="E709" s="57"/>
      <c r="G709" s="62" t="str">
        <f t="shared" si="16"/>
        <v/>
      </c>
    </row>
    <row r="710" spans="4:7">
      <c r="D710" s="63" t="str">
        <f>IFERROR(VLOOKUP(C710,'Parts Legend'!$B:$C,2,FALSE),"")</f>
        <v/>
      </c>
      <c r="E710" s="57"/>
      <c r="G710" s="62" t="str">
        <f t="shared" si="16"/>
        <v/>
      </c>
    </row>
    <row r="711" spans="4:7">
      <c r="D711" s="63" t="str">
        <f>IFERROR(VLOOKUP(C711,'Parts Legend'!$B:$C,2,FALSE),"")</f>
        <v/>
      </c>
      <c r="E711" s="57"/>
      <c r="G711" s="62" t="str">
        <f t="shared" si="16"/>
        <v/>
      </c>
    </row>
    <row r="712" spans="4:7">
      <c r="D712" s="63" t="str">
        <f>IFERROR(VLOOKUP(C712,'Parts Legend'!$B:$C,2,FALSE),"")</f>
        <v/>
      </c>
      <c r="E712" s="57"/>
      <c r="G712" s="62" t="str">
        <f t="shared" si="16"/>
        <v/>
      </c>
    </row>
    <row r="713" spans="4:7">
      <c r="D713" s="63" t="str">
        <f>IFERROR(VLOOKUP(C713,'Parts Legend'!$B:$C,2,FALSE),"")</f>
        <v/>
      </c>
      <c r="E713" s="57"/>
      <c r="G713" s="62" t="str">
        <f t="shared" si="16"/>
        <v/>
      </c>
    </row>
    <row r="714" spans="4:7">
      <c r="D714" s="63" t="str">
        <f>IFERROR(VLOOKUP(C714,'Parts Legend'!$B:$C,2,FALSE),"")</f>
        <v/>
      </c>
      <c r="E714" s="57"/>
      <c r="G714" s="62" t="str">
        <f t="shared" si="16"/>
        <v/>
      </c>
    </row>
    <row r="715" spans="4:7">
      <c r="D715" s="63" t="str">
        <f>IFERROR(VLOOKUP(C715,'Parts Legend'!$B:$C,2,FALSE),"")</f>
        <v/>
      </c>
      <c r="E715" s="57"/>
      <c r="G715" s="62" t="str">
        <f t="shared" si="16"/>
        <v/>
      </c>
    </row>
    <row r="716" spans="4:7">
      <c r="D716" s="63" t="str">
        <f>IFERROR(VLOOKUP(C716,'Parts Legend'!$B:$C,2,FALSE),"")</f>
        <v/>
      </c>
      <c r="E716" s="57"/>
      <c r="G716" s="62" t="str">
        <f t="shared" si="16"/>
        <v/>
      </c>
    </row>
    <row r="717" spans="4:7">
      <c r="D717" s="63" t="str">
        <f>IFERROR(VLOOKUP(C717,'Parts Legend'!$B:$C,2,FALSE),"")</f>
        <v/>
      </c>
      <c r="E717" s="57"/>
      <c r="G717" s="62" t="str">
        <f t="shared" si="16"/>
        <v/>
      </c>
    </row>
    <row r="718" spans="4:7">
      <c r="D718" s="63" t="str">
        <f>IFERROR(VLOOKUP(C718,'Parts Legend'!$B:$C,2,FALSE),"")</f>
        <v/>
      </c>
      <c r="E718" s="57"/>
      <c r="G718" s="62" t="str">
        <f t="shared" si="16"/>
        <v/>
      </c>
    </row>
    <row r="719" spans="4:7">
      <c r="D719" s="63" t="str">
        <f>IFERROR(VLOOKUP(C719,'Parts Legend'!$B:$C,2,FALSE),"")</f>
        <v/>
      </c>
      <c r="E719" s="57"/>
      <c r="G719" s="62" t="str">
        <f t="shared" si="16"/>
        <v/>
      </c>
    </row>
    <row r="720" spans="4:7">
      <c r="D720" s="63" t="str">
        <f>IFERROR(VLOOKUP(C720,'Parts Legend'!$B:$C,2,FALSE),"")</f>
        <v/>
      </c>
      <c r="E720" s="57"/>
      <c r="G720" s="62" t="str">
        <f t="shared" si="16"/>
        <v/>
      </c>
    </row>
    <row r="721" spans="4:7">
      <c r="D721" s="63" t="str">
        <f>IFERROR(VLOOKUP(C721,'Parts Legend'!$B:$C,2,FALSE),"")</f>
        <v/>
      </c>
      <c r="E721" s="57"/>
      <c r="G721" s="62" t="str">
        <f t="shared" si="16"/>
        <v/>
      </c>
    </row>
    <row r="722" spans="4:7">
      <c r="D722" s="63" t="str">
        <f>IFERROR(VLOOKUP(C722,'Parts Legend'!$B:$C,2,FALSE),"")</f>
        <v/>
      </c>
      <c r="E722" s="57"/>
      <c r="G722" s="62" t="str">
        <f t="shared" si="16"/>
        <v/>
      </c>
    </row>
    <row r="723" spans="4:7">
      <c r="D723" s="63" t="str">
        <f>IFERROR(VLOOKUP(C723,'Parts Legend'!$B:$C,2,FALSE),"")</f>
        <v/>
      </c>
      <c r="E723" s="57"/>
      <c r="G723" s="62" t="str">
        <f t="shared" si="16"/>
        <v/>
      </c>
    </row>
    <row r="724" spans="4:7">
      <c r="D724" s="63" t="str">
        <f>IFERROR(VLOOKUP(C724,'Parts Legend'!$B:$C,2,FALSE),"")</f>
        <v/>
      </c>
      <c r="E724" s="57"/>
      <c r="G724" s="62" t="str">
        <f t="shared" si="16"/>
        <v/>
      </c>
    </row>
    <row r="725" spans="4:7">
      <c r="D725" s="63" t="str">
        <f>IFERROR(VLOOKUP(C725,'Parts Legend'!$B:$C,2,FALSE),"")</f>
        <v/>
      </c>
      <c r="E725" s="57"/>
      <c r="G725" s="62" t="str">
        <f t="shared" si="16"/>
        <v/>
      </c>
    </row>
    <row r="726" spans="4:7">
      <c r="D726" s="63" t="str">
        <f>IFERROR(VLOOKUP(C726,'Parts Legend'!$B:$C,2,FALSE),"")</f>
        <v/>
      </c>
      <c r="E726" s="57"/>
      <c r="G726" s="62" t="str">
        <f t="shared" si="16"/>
        <v/>
      </c>
    </row>
    <row r="727" spans="4:7">
      <c r="D727" s="63" t="str">
        <f>IFERROR(VLOOKUP(C727,'Parts Legend'!$B:$C,2,FALSE),"")</f>
        <v/>
      </c>
      <c r="E727" s="57"/>
      <c r="G727" s="62" t="str">
        <f t="shared" si="16"/>
        <v/>
      </c>
    </row>
    <row r="728" spans="4:7">
      <c r="D728" s="63" t="str">
        <f>IFERROR(VLOOKUP(C728,'Parts Legend'!$B:$C,2,FALSE),"")</f>
        <v/>
      </c>
      <c r="E728" s="57"/>
      <c r="G728" s="62" t="str">
        <f t="shared" si="16"/>
        <v/>
      </c>
    </row>
    <row r="729" spans="4:7">
      <c r="D729" s="63" t="str">
        <f>IFERROR(VLOOKUP(C729,'Parts Legend'!$B:$C,2,FALSE),"")</f>
        <v/>
      </c>
      <c r="E729" s="57"/>
      <c r="G729" s="62" t="str">
        <f t="shared" si="16"/>
        <v/>
      </c>
    </row>
    <row r="730" spans="4:7">
      <c r="D730" s="63" t="str">
        <f>IFERROR(VLOOKUP(C730,'Parts Legend'!$B:$C,2,FALSE),"")</f>
        <v/>
      </c>
      <c r="E730" s="57"/>
      <c r="G730" s="62" t="str">
        <f t="shared" si="16"/>
        <v/>
      </c>
    </row>
    <row r="731" spans="4:7">
      <c r="D731" s="63" t="str">
        <f>IFERROR(VLOOKUP(C731,'Parts Legend'!$B:$C,2,FALSE),"")</f>
        <v/>
      </c>
      <c r="E731" s="57"/>
      <c r="G731" s="62" t="str">
        <f t="shared" si="16"/>
        <v/>
      </c>
    </row>
    <row r="732" spans="4:7">
      <c r="D732" s="63" t="str">
        <f>IFERROR(VLOOKUP(C732,'Parts Legend'!$B:$C,2,FALSE),"")</f>
        <v/>
      </c>
      <c r="E732" s="57"/>
      <c r="G732" s="62" t="str">
        <f t="shared" si="16"/>
        <v/>
      </c>
    </row>
    <row r="733" spans="4:7">
      <c r="D733" s="63" t="str">
        <f>IFERROR(VLOOKUP(C733,'Parts Legend'!$B:$C,2,FALSE),"")</f>
        <v/>
      </c>
      <c r="E733" s="57"/>
      <c r="G733" s="62" t="str">
        <f t="shared" si="16"/>
        <v/>
      </c>
    </row>
    <row r="734" spans="4:7">
      <c r="D734" s="63" t="str">
        <f>IFERROR(VLOOKUP(C734,'Parts Legend'!$B:$C,2,FALSE),"")</f>
        <v/>
      </c>
      <c r="E734" s="57"/>
      <c r="G734" s="62" t="str">
        <f t="shared" si="16"/>
        <v/>
      </c>
    </row>
    <row r="735" spans="4:7">
      <c r="D735" s="63" t="str">
        <f>IFERROR(VLOOKUP(C735,'Parts Legend'!$B:$C,2,FALSE),"")</f>
        <v/>
      </c>
      <c r="E735" s="57"/>
      <c r="G735" s="62" t="str">
        <f t="shared" si="16"/>
        <v/>
      </c>
    </row>
    <row r="736" spans="4:7">
      <c r="D736" s="63" t="str">
        <f>IFERROR(VLOOKUP(C736,'Parts Legend'!$B:$C,2,FALSE),"")</f>
        <v/>
      </c>
      <c r="E736" s="57"/>
      <c r="G736" s="62" t="str">
        <f t="shared" si="16"/>
        <v/>
      </c>
    </row>
    <row r="737" spans="4:7">
      <c r="D737" s="63" t="str">
        <f>IFERROR(VLOOKUP(C737,'Parts Legend'!$B:$C,2,FALSE),"")</f>
        <v/>
      </c>
      <c r="E737" s="57"/>
      <c r="G737" s="62" t="str">
        <f t="shared" si="16"/>
        <v/>
      </c>
    </row>
    <row r="738" spans="4:7">
      <c r="D738" s="63" t="str">
        <f>IFERROR(VLOOKUP(C738,'Parts Legend'!$B:$C,2,FALSE),"")</f>
        <v/>
      </c>
      <c r="E738" s="57"/>
      <c r="G738" s="62" t="str">
        <f t="shared" si="16"/>
        <v/>
      </c>
    </row>
    <row r="739" spans="4:7">
      <c r="D739" s="63" t="str">
        <f>IFERROR(VLOOKUP(C739,'Parts Legend'!$B:$C,2,FALSE),"")</f>
        <v/>
      </c>
      <c r="E739" s="57"/>
      <c r="G739" s="62" t="str">
        <f t="shared" si="16"/>
        <v/>
      </c>
    </row>
    <row r="740" spans="4:7">
      <c r="D740" s="63" t="str">
        <f>IFERROR(VLOOKUP(C740,'Parts Legend'!$B:$C,2,FALSE),"")</f>
        <v/>
      </c>
      <c r="E740" s="57"/>
      <c r="G740" s="62" t="str">
        <f t="shared" si="16"/>
        <v/>
      </c>
    </row>
    <row r="741" spans="4:7">
      <c r="D741" s="63" t="str">
        <f>IFERROR(VLOOKUP(C741,'Parts Legend'!$B:$C,2,FALSE),"")</f>
        <v/>
      </c>
      <c r="E741" s="57"/>
      <c r="G741" s="62" t="str">
        <f t="shared" si="16"/>
        <v/>
      </c>
    </row>
    <row r="742" spans="4:7">
      <c r="D742" s="63" t="str">
        <f>IFERROR(VLOOKUP(C742,'Parts Legend'!$B:$C,2,FALSE),"")</f>
        <v/>
      </c>
      <c r="E742" s="57"/>
      <c r="G742" s="62" t="str">
        <f t="shared" si="16"/>
        <v/>
      </c>
    </row>
    <row r="743" spans="4:7">
      <c r="D743" s="63" t="str">
        <f>IFERROR(VLOOKUP(C743,'Parts Legend'!$B:$C,2,FALSE),"")</f>
        <v/>
      </c>
      <c r="E743" s="57"/>
      <c r="G743" s="62" t="str">
        <f t="shared" si="16"/>
        <v/>
      </c>
    </row>
    <row r="744" spans="4:7">
      <c r="D744" s="63" t="str">
        <f>IFERROR(VLOOKUP(C744,'Parts Legend'!$B:$C,2,FALSE),"")</f>
        <v/>
      </c>
      <c r="E744" s="57"/>
      <c r="G744" s="62" t="str">
        <f t="shared" ref="G744:G807" si="17">IF(B744="","",(B744-WEEKDAY(B744,3)))</f>
        <v/>
      </c>
    </row>
    <row r="745" spans="4:7">
      <c r="D745" s="63" t="str">
        <f>IFERROR(VLOOKUP(C745,'Parts Legend'!$B:$C,2,FALSE),"")</f>
        <v/>
      </c>
      <c r="E745" s="57"/>
      <c r="G745" s="62" t="str">
        <f t="shared" si="17"/>
        <v/>
      </c>
    </row>
    <row r="746" spans="4:7">
      <c r="D746" s="63" t="str">
        <f>IFERROR(VLOOKUP(C746,'Parts Legend'!$B:$C,2,FALSE),"")</f>
        <v/>
      </c>
      <c r="E746" s="57"/>
      <c r="G746" s="62" t="str">
        <f t="shared" si="17"/>
        <v/>
      </c>
    </row>
    <row r="747" spans="4:7">
      <c r="D747" s="63" t="str">
        <f>IFERROR(VLOOKUP(C747,'Parts Legend'!$B:$C,2,FALSE),"")</f>
        <v/>
      </c>
      <c r="E747" s="57"/>
      <c r="G747" s="62" t="str">
        <f t="shared" si="17"/>
        <v/>
      </c>
    </row>
    <row r="748" spans="4:7">
      <c r="D748" s="63" t="str">
        <f>IFERROR(VLOOKUP(C748,'Parts Legend'!$B:$C,2,FALSE),"")</f>
        <v/>
      </c>
      <c r="E748" s="57"/>
      <c r="G748" s="62" t="str">
        <f t="shared" si="17"/>
        <v/>
      </c>
    </row>
    <row r="749" spans="4:7">
      <c r="D749" s="63" t="str">
        <f>IFERROR(VLOOKUP(C749,'Parts Legend'!$B:$C,2,FALSE),"")</f>
        <v/>
      </c>
      <c r="E749" s="57"/>
      <c r="G749" s="62" t="str">
        <f t="shared" si="17"/>
        <v/>
      </c>
    </row>
    <row r="750" spans="4:7">
      <c r="D750" s="63" t="str">
        <f>IFERROR(VLOOKUP(C750,'Parts Legend'!$B:$C,2,FALSE),"")</f>
        <v/>
      </c>
      <c r="E750" s="57"/>
      <c r="G750" s="62" t="str">
        <f t="shared" si="17"/>
        <v/>
      </c>
    </row>
    <row r="751" spans="4:7">
      <c r="D751" s="63" t="str">
        <f>IFERROR(VLOOKUP(C751,'Parts Legend'!$B:$C,2,FALSE),"")</f>
        <v/>
      </c>
      <c r="E751" s="57"/>
      <c r="G751" s="62" t="str">
        <f t="shared" si="17"/>
        <v/>
      </c>
    </row>
    <row r="752" spans="4:7">
      <c r="D752" s="63" t="str">
        <f>IFERROR(VLOOKUP(C752,'Parts Legend'!$B:$C,2,FALSE),"")</f>
        <v/>
      </c>
      <c r="E752" s="57"/>
      <c r="G752" s="62" t="str">
        <f t="shared" si="17"/>
        <v/>
      </c>
    </row>
    <row r="753" spans="4:7">
      <c r="D753" s="63" t="str">
        <f>IFERROR(VLOOKUP(C753,'Parts Legend'!$B:$C,2,FALSE),"")</f>
        <v/>
      </c>
      <c r="E753" s="57"/>
      <c r="G753" s="62" t="str">
        <f t="shared" si="17"/>
        <v/>
      </c>
    </row>
    <row r="754" spans="4:7">
      <c r="D754" s="63" t="str">
        <f>IFERROR(VLOOKUP(C754,'Parts Legend'!$B:$C,2,FALSE),"")</f>
        <v/>
      </c>
      <c r="E754" s="57"/>
      <c r="G754" s="62" t="str">
        <f t="shared" si="17"/>
        <v/>
      </c>
    </row>
    <row r="755" spans="4:7">
      <c r="D755" s="63" t="str">
        <f>IFERROR(VLOOKUP(C755,'Parts Legend'!$B:$C,2,FALSE),"")</f>
        <v/>
      </c>
      <c r="E755" s="57"/>
      <c r="G755" s="62" t="str">
        <f t="shared" si="17"/>
        <v/>
      </c>
    </row>
    <row r="756" spans="4:7">
      <c r="D756" s="63" t="str">
        <f>IFERROR(VLOOKUP(C756,'Parts Legend'!$B:$C,2,FALSE),"")</f>
        <v/>
      </c>
      <c r="E756" s="57"/>
      <c r="G756" s="62" t="str">
        <f t="shared" si="17"/>
        <v/>
      </c>
    </row>
    <row r="757" spans="4:7">
      <c r="D757" s="63" t="str">
        <f>IFERROR(VLOOKUP(C757,'Parts Legend'!$B:$C,2,FALSE),"")</f>
        <v/>
      </c>
      <c r="E757" s="57"/>
      <c r="G757" s="62" t="str">
        <f t="shared" si="17"/>
        <v/>
      </c>
    </row>
    <row r="758" spans="4:7">
      <c r="D758" s="63" t="str">
        <f>IFERROR(VLOOKUP(C758,'Parts Legend'!$B:$C,2,FALSE),"")</f>
        <v/>
      </c>
      <c r="E758" s="57"/>
      <c r="G758" s="62" t="str">
        <f t="shared" si="17"/>
        <v/>
      </c>
    </row>
    <row r="759" spans="4:7">
      <c r="D759" s="63" t="str">
        <f>IFERROR(VLOOKUP(C759,'Parts Legend'!$B:$C,2,FALSE),"")</f>
        <v/>
      </c>
      <c r="E759" s="57"/>
      <c r="G759" s="62" t="str">
        <f t="shared" si="17"/>
        <v/>
      </c>
    </row>
    <row r="760" spans="4:7">
      <c r="D760" s="63" t="str">
        <f>IFERROR(VLOOKUP(C760,'Parts Legend'!$B:$C,2,FALSE),"")</f>
        <v/>
      </c>
      <c r="E760" s="57"/>
      <c r="G760" s="62" t="str">
        <f t="shared" si="17"/>
        <v/>
      </c>
    </row>
    <row r="761" spans="4:7">
      <c r="D761" s="63" t="str">
        <f>IFERROR(VLOOKUP(C761,'Parts Legend'!$B:$C,2,FALSE),"")</f>
        <v/>
      </c>
      <c r="E761" s="57"/>
      <c r="G761" s="62" t="str">
        <f t="shared" si="17"/>
        <v/>
      </c>
    </row>
    <row r="762" spans="4:7">
      <c r="D762" s="63" t="str">
        <f>IFERROR(VLOOKUP(C762,'Parts Legend'!$B:$C,2,FALSE),"")</f>
        <v/>
      </c>
      <c r="E762" s="57"/>
      <c r="G762" s="62" t="str">
        <f t="shared" si="17"/>
        <v/>
      </c>
    </row>
    <row r="763" spans="4:7">
      <c r="D763" s="63" t="str">
        <f>IFERROR(VLOOKUP(C763,'Parts Legend'!$B:$C,2,FALSE),"")</f>
        <v/>
      </c>
      <c r="E763" s="57"/>
      <c r="G763" s="62" t="str">
        <f t="shared" si="17"/>
        <v/>
      </c>
    </row>
    <row r="764" spans="4:7">
      <c r="D764" s="63" t="str">
        <f>IFERROR(VLOOKUP(C764,'Parts Legend'!$B:$C,2,FALSE),"")</f>
        <v/>
      </c>
      <c r="E764" s="57"/>
      <c r="G764" s="62" t="str">
        <f t="shared" si="17"/>
        <v/>
      </c>
    </row>
    <row r="765" spans="4:7">
      <c r="D765" s="63" t="str">
        <f>IFERROR(VLOOKUP(C765,'Parts Legend'!$B:$C,2,FALSE),"")</f>
        <v/>
      </c>
      <c r="E765" s="57"/>
      <c r="G765" s="62" t="str">
        <f t="shared" si="17"/>
        <v/>
      </c>
    </row>
    <row r="766" spans="4:7">
      <c r="D766" s="63" t="str">
        <f>IFERROR(VLOOKUP(C766,'Parts Legend'!$B:$C,2,FALSE),"")</f>
        <v/>
      </c>
      <c r="E766" s="57"/>
      <c r="G766" s="62" t="str">
        <f t="shared" si="17"/>
        <v/>
      </c>
    </row>
    <row r="767" spans="4:7">
      <c r="D767" s="63" t="str">
        <f>IFERROR(VLOOKUP(C767,'Parts Legend'!$B:$C,2,FALSE),"")</f>
        <v/>
      </c>
      <c r="E767" s="57"/>
      <c r="G767" s="62" t="str">
        <f t="shared" si="17"/>
        <v/>
      </c>
    </row>
    <row r="768" spans="4:7">
      <c r="D768" s="63" t="str">
        <f>IFERROR(VLOOKUP(C768,'Parts Legend'!$B:$C,2,FALSE),"")</f>
        <v/>
      </c>
      <c r="E768" s="57"/>
      <c r="G768" s="62" t="str">
        <f t="shared" si="17"/>
        <v/>
      </c>
    </row>
    <row r="769" spans="4:7">
      <c r="D769" s="63" t="str">
        <f>IFERROR(VLOOKUP(C769,'Parts Legend'!$B:$C,2,FALSE),"")</f>
        <v/>
      </c>
      <c r="E769" s="57"/>
      <c r="G769" s="62" t="str">
        <f t="shared" si="17"/>
        <v/>
      </c>
    </row>
    <row r="770" spans="4:7">
      <c r="D770" s="63" t="str">
        <f>IFERROR(VLOOKUP(C770,'Parts Legend'!$B:$C,2,FALSE),"")</f>
        <v/>
      </c>
      <c r="E770" s="57"/>
      <c r="G770" s="62" t="str">
        <f t="shared" si="17"/>
        <v/>
      </c>
    </row>
    <row r="771" spans="4:7">
      <c r="D771" s="63" t="str">
        <f>IFERROR(VLOOKUP(C771,'Parts Legend'!$B:$C,2,FALSE),"")</f>
        <v/>
      </c>
      <c r="E771" s="57"/>
      <c r="G771" s="62" t="str">
        <f t="shared" si="17"/>
        <v/>
      </c>
    </row>
    <row r="772" spans="4:7">
      <c r="D772" s="63" t="str">
        <f>IFERROR(VLOOKUP(C772,'Parts Legend'!$B:$C,2,FALSE),"")</f>
        <v/>
      </c>
      <c r="E772" s="57"/>
      <c r="G772" s="62" t="str">
        <f t="shared" si="17"/>
        <v/>
      </c>
    </row>
    <row r="773" spans="4:7">
      <c r="D773" s="63" t="str">
        <f>IFERROR(VLOOKUP(C773,'Parts Legend'!$B:$C,2,FALSE),"")</f>
        <v/>
      </c>
      <c r="E773" s="57"/>
      <c r="G773" s="62" t="str">
        <f t="shared" si="17"/>
        <v/>
      </c>
    </row>
    <row r="774" spans="4:7">
      <c r="D774" s="63" t="str">
        <f>IFERROR(VLOOKUP(C774,'Parts Legend'!$B:$C,2,FALSE),"")</f>
        <v/>
      </c>
      <c r="E774" s="57"/>
      <c r="G774" s="62" t="str">
        <f t="shared" si="17"/>
        <v/>
      </c>
    </row>
    <row r="775" spans="4:7">
      <c r="D775" s="63" t="str">
        <f>IFERROR(VLOOKUP(C775,'Parts Legend'!$B:$C,2,FALSE),"")</f>
        <v/>
      </c>
      <c r="E775" s="57"/>
      <c r="G775" s="62" t="str">
        <f t="shared" si="17"/>
        <v/>
      </c>
    </row>
    <row r="776" spans="4:7">
      <c r="D776" s="63" t="str">
        <f>IFERROR(VLOOKUP(C776,'Parts Legend'!$B:$C,2,FALSE),"")</f>
        <v/>
      </c>
      <c r="E776" s="57"/>
      <c r="G776" s="62" t="str">
        <f t="shared" si="17"/>
        <v/>
      </c>
    </row>
    <row r="777" spans="4:7">
      <c r="D777" s="63" t="str">
        <f>IFERROR(VLOOKUP(C777,'Parts Legend'!$B:$C,2,FALSE),"")</f>
        <v/>
      </c>
      <c r="E777" s="57"/>
      <c r="G777" s="62" t="str">
        <f t="shared" si="17"/>
        <v/>
      </c>
    </row>
    <row r="778" spans="4:7">
      <c r="D778" s="63" t="str">
        <f>IFERROR(VLOOKUP(C778,'Parts Legend'!$B:$C,2,FALSE),"")</f>
        <v/>
      </c>
      <c r="E778" s="57"/>
      <c r="G778" s="62" t="str">
        <f t="shared" si="17"/>
        <v/>
      </c>
    </row>
    <row r="779" spans="4:7">
      <c r="D779" s="63" t="str">
        <f>IFERROR(VLOOKUP(C779,'Parts Legend'!$B:$C,2,FALSE),"")</f>
        <v/>
      </c>
      <c r="E779" s="57"/>
      <c r="G779" s="62" t="str">
        <f t="shared" si="17"/>
        <v/>
      </c>
    </row>
    <row r="780" spans="4:7">
      <c r="D780" s="63" t="str">
        <f>IFERROR(VLOOKUP(C780,'Parts Legend'!$B:$C,2,FALSE),"")</f>
        <v/>
      </c>
      <c r="E780" s="57"/>
      <c r="G780" s="62" t="str">
        <f t="shared" si="17"/>
        <v/>
      </c>
    </row>
    <row r="781" spans="4:7">
      <c r="D781" s="63" t="str">
        <f>IFERROR(VLOOKUP(C781,'Parts Legend'!$B:$C,2,FALSE),"")</f>
        <v/>
      </c>
      <c r="E781" s="57"/>
      <c r="G781" s="62" t="str">
        <f t="shared" si="17"/>
        <v/>
      </c>
    </row>
    <row r="782" spans="4:7">
      <c r="D782" s="63" t="str">
        <f>IFERROR(VLOOKUP(C782,'Parts Legend'!$B:$C,2,FALSE),"")</f>
        <v/>
      </c>
      <c r="E782" s="57"/>
      <c r="G782" s="62" t="str">
        <f t="shared" si="17"/>
        <v/>
      </c>
    </row>
    <row r="783" spans="4:7">
      <c r="D783" s="63" t="str">
        <f>IFERROR(VLOOKUP(C783,'Parts Legend'!$B:$C,2,FALSE),"")</f>
        <v/>
      </c>
      <c r="E783" s="57"/>
      <c r="G783" s="62" t="str">
        <f t="shared" si="17"/>
        <v/>
      </c>
    </row>
    <row r="784" spans="4:7">
      <c r="D784" s="63" t="str">
        <f>IFERROR(VLOOKUP(C784,'Parts Legend'!$B:$C,2,FALSE),"")</f>
        <v/>
      </c>
      <c r="E784" s="57"/>
      <c r="G784" s="62" t="str">
        <f t="shared" si="17"/>
        <v/>
      </c>
    </row>
    <row r="785" spans="4:7">
      <c r="D785" s="63" t="str">
        <f>IFERROR(VLOOKUP(C785,'Parts Legend'!$B:$C,2,FALSE),"")</f>
        <v/>
      </c>
      <c r="E785" s="57"/>
      <c r="G785" s="62" t="str">
        <f t="shared" si="17"/>
        <v/>
      </c>
    </row>
    <row r="786" spans="4:7">
      <c r="D786" s="63" t="str">
        <f>IFERROR(VLOOKUP(C786,'Parts Legend'!$B:$C,2,FALSE),"")</f>
        <v/>
      </c>
      <c r="E786" s="57"/>
      <c r="G786" s="62" t="str">
        <f t="shared" si="17"/>
        <v/>
      </c>
    </row>
    <row r="787" spans="4:7">
      <c r="D787" s="63" t="str">
        <f>IFERROR(VLOOKUP(C787,'Parts Legend'!$B:$C,2,FALSE),"")</f>
        <v/>
      </c>
      <c r="E787" s="57"/>
      <c r="G787" s="62" t="str">
        <f t="shared" si="17"/>
        <v/>
      </c>
    </row>
    <row r="788" spans="4:7">
      <c r="D788" s="63" t="str">
        <f>IFERROR(VLOOKUP(C788,'Parts Legend'!$B:$C,2,FALSE),"")</f>
        <v/>
      </c>
      <c r="E788" s="57"/>
      <c r="G788" s="62" t="str">
        <f t="shared" si="17"/>
        <v/>
      </c>
    </row>
    <row r="789" spans="4:7">
      <c r="D789" s="63" t="str">
        <f>IFERROR(VLOOKUP(C789,'Parts Legend'!$B:$C,2,FALSE),"")</f>
        <v/>
      </c>
      <c r="E789" s="57"/>
      <c r="G789" s="62" t="str">
        <f t="shared" si="17"/>
        <v/>
      </c>
    </row>
    <row r="790" spans="4:7">
      <c r="D790" s="63" t="str">
        <f>IFERROR(VLOOKUP(C790,'Parts Legend'!$B:$C,2,FALSE),"")</f>
        <v/>
      </c>
      <c r="E790" s="57"/>
      <c r="G790" s="62" t="str">
        <f t="shared" si="17"/>
        <v/>
      </c>
    </row>
    <row r="791" spans="4:7">
      <c r="D791" s="63" t="str">
        <f>IFERROR(VLOOKUP(C791,'Parts Legend'!$B:$C,2,FALSE),"")</f>
        <v/>
      </c>
      <c r="E791" s="57"/>
      <c r="G791" s="62" t="str">
        <f t="shared" si="17"/>
        <v/>
      </c>
    </row>
    <row r="792" spans="4:7">
      <c r="D792" s="63" t="str">
        <f>IFERROR(VLOOKUP(C792,'Parts Legend'!$B:$C,2,FALSE),"")</f>
        <v/>
      </c>
      <c r="E792" s="57"/>
      <c r="G792" s="62" t="str">
        <f t="shared" si="17"/>
        <v/>
      </c>
    </row>
    <row r="793" spans="4:7">
      <c r="D793" s="63" t="str">
        <f>IFERROR(VLOOKUP(C793,'Parts Legend'!$B:$C,2,FALSE),"")</f>
        <v/>
      </c>
      <c r="E793" s="57"/>
      <c r="G793" s="62" t="str">
        <f t="shared" si="17"/>
        <v/>
      </c>
    </row>
    <row r="794" spans="4:7">
      <c r="D794" s="63" t="str">
        <f>IFERROR(VLOOKUP(C794,'Parts Legend'!$B:$C,2,FALSE),"")</f>
        <v/>
      </c>
      <c r="E794" s="57"/>
      <c r="G794" s="62" t="str">
        <f t="shared" si="17"/>
        <v/>
      </c>
    </row>
    <row r="795" spans="4:7">
      <c r="D795" s="63" t="str">
        <f>IFERROR(VLOOKUP(C795,'Parts Legend'!$B:$C,2,FALSE),"")</f>
        <v/>
      </c>
      <c r="E795" s="57"/>
      <c r="G795" s="62" t="str">
        <f t="shared" si="17"/>
        <v/>
      </c>
    </row>
    <row r="796" spans="4:7">
      <c r="D796" s="63" t="str">
        <f>IFERROR(VLOOKUP(C796,'Parts Legend'!$B:$C,2,FALSE),"")</f>
        <v/>
      </c>
      <c r="E796" s="57"/>
      <c r="G796" s="62" t="str">
        <f t="shared" si="17"/>
        <v/>
      </c>
    </row>
    <row r="797" spans="4:7">
      <c r="D797" s="63" t="str">
        <f>IFERROR(VLOOKUP(C797,'Parts Legend'!$B:$C,2,FALSE),"")</f>
        <v/>
      </c>
      <c r="E797" s="57"/>
      <c r="G797" s="62" t="str">
        <f t="shared" si="17"/>
        <v/>
      </c>
    </row>
    <row r="798" spans="4:7">
      <c r="D798" s="63" t="str">
        <f>IFERROR(VLOOKUP(C798,'Parts Legend'!$B:$C,2,FALSE),"")</f>
        <v/>
      </c>
      <c r="E798" s="57"/>
      <c r="G798" s="62" t="str">
        <f t="shared" si="17"/>
        <v/>
      </c>
    </row>
    <row r="799" spans="4:7">
      <c r="D799" s="63" t="str">
        <f>IFERROR(VLOOKUP(C799,'Parts Legend'!$B:$C,2,FALSE),"")</f>
        <v/>
      </c>
      <c r="E799" s="57"/>
      <c r="G799" s="62" t="str">
        <f t="shared" si="17"/>
        <v/>
      </c>
    </row>
    <row r="800" spans="4:7">
      <c r="D800" s="63" t="str">
        <f>IFERROR(VLOOKUP(C800,'Parts Legend'!$B:$C,2,FALSE),"")</f>
        <v/>
      </c>
      <c r="E800" s="57"/>
      <c r="G800" s="62" t="str">
        <f t="shared" si="17"/>
        <v/>
      </c>
    </row>
    <row r="801" spans="4:7">
      <c r="D801" s="63" t="str">
        <f>IFERROR(VLOOKUP(C801,'Parts Legend'!$B:$C,2,FALSE),"")</f>
        <v/>
      </c>
      <c r="E801" s="57"/>
      <c r="G801" s="62" t="str">
        <f t="shared" si="17"/>
        <v/>
      </c>
    </row>
    <row r="802" spans="4:7">
      <c r="D802" s="63" t="str">
        <f>IFERROR(VLOOKUP(C802,'Parts Legend'!$B:$C,2,FALSE),"")</f>
        <v/>
      </c>
      <c r="E802" s="57"/>
      <c r="G802" s="62" t="str">
        <f t="shared" si="17"/>
        <v/>
      </c>
    </row>
    <row r="803" spans="4:7">
      <c r="D803" s="63" t="str">
        <f>IFERROR(VLOOKUP(C803,'Parts Legend'!$B:$C,2,FALSE),"")</f>
        <v/>
      </c>
      <c r="E803" s="57"/>
      <c r="G803" s="62" t="str">
        <f t="shared" si="17"/>
        <v/>
      </c>
    </row>
    <row r="804" spans="4:7">
      <c r="D804" s="63" t="str">
        <f>IFERROR(VLOOKUP(C804,'Parts Legend'!$B:$C,2,FALSE),"")</f>
        <v/>
      </c>
      <c r="E804" s="57"/>
      <c r="G804" s="62" t="str">
        <f t="shared" si="17"/>
        <v/>
      </c>
    </row>
    <row r="805" spans="4:7">
      <c r="D805" s="63" t="str">
        <f>IFERROR(VLOOKUP(C805,'Parts Legend'!$B:$C,2,FALSE),"")</f>
        <v/>
      </c>
      <c r="E805" s="57"/>
      <c r="G805" s="62" t="str">
        <f t="shared" si="17"/>
        <v/>
      </c>
    </row>
    <row r="806" spans="4:7">
      <c r="D806" s="63" t="str">
        <f>IFERROR(VLOOKUP(C806,'Parts Legend'!$B:$C,2,FALSE),"")</f>
        <v/>
      </c>
      <c r="E806" s="57"/>
      <c r="G806" s="62" t="str">
        <f t="shared" si="17"/>
        <v/>
      </c>
    </row>
    <row r="807" spans="4:7">
      <c r="D807" s="63" t="str">
        <f>IFERROR(VLOOKUP(C807,'Parts Legend'!$B:$C,2,FALSE),"")</f>
        <v/>
      </c>
      <c r="E807" s="57"/>
      <c r="G807" s="62" t="str">
        <f t="shared" si="17"/>
        <v/>
      </c>
    </row>
    <row r="808" spans="4:7">
      <c r="D808" s="63" t="str">
        <f>IFERROR(VLOOKUP(C808,'Parts Legend'!$B:$C,2,FALSE),"")</f>
        <v/>
      </c>
      <c r="E808" s="57"/>
      <c r="G808" s="62" t="str">
        <f t="shared" ref="G808:G871" si="18">IF(B808="","",(B808-WEEKDAY(B808,3)))</f>
        <v/>
      </c>
    </row>
    <row r="809" spans="4:7">
      <c r="D809" s="63" t="str">
        <f>IFERROR(VLOOKUP(C809,'Parts Legend'!$B:$C,2,FALSE),"")</f>
        <v/>
      </c>
      <c r="E809" s="57"/>
      <c r="G809" s="62" t="str">
        <f t="shared" si="18"/>
        <v/>
      </c>
    </row>
    <row r="810" spans="4:7">
      <c r="D810" s="63" t="str">
        <f>IFERROR(VLOOKUP(C810,'Parts Legend'!$B:$C,2,FALSE),"")</f>
        <v/>
      </c>
      <c r="E810" s="57"/>
      <c r="G810" s="62" t="str">
        <f t="shared" si="18"/>
        <v/>
      </c>
    </row>
    <row r="811" spans="4:7">
      <c r="D811" s="63" t="str">
        <f>IFERROR(VLOOKUP(C811,'Parts Legend'!$B:$C,2,FALSE),"")</f>
        <v/>
      </c>
      <c r="E811" s="57"/>
      <c r="G811" s="62" t="str">
        <f t="shared" si="18"/>
        <v/>
      </c>
    </row>
    <row r="812" spans="4:7">
      <c r="D812" s="63" t="str">
        <f>IFERROR(VLOOKUP(C812,'Parts Legend'!$B:$C,2,FALSE),"")</f>
        <v/>
      </c>
      <c r="E812" s="57"/>
      <c r="G812" s="62" t="str">
        <f t="shared" si="18"/>
        <v/>
      </c>
    </row>
    <row r="813" spans="4:7">
      <c r="D813" s="63" t="str">
        <f>IFERROR(VLOOKUP(C813,'Parts Legend'!$B:$C,2,FALSE),"")</f>
        <v/>
      </c>
      <c r="E813" s="57"/>
      <c r="G813" s="62" t="str">
        <f t="shared" si="18"/>
        <v/>
      </c>
    </row>
    <row r="814" spans="4:7">
      <c r="D814" s="63" t="str">
        <f>IFERROR(VLOOKUP(C814,'Parts Legend'!$B:$C,2,FALSE),"")</f>
        <v/>
      </c>
      <c r="E814" s="57"/>
      <c r="G814" s="62" t="str">
        <f t="shared" si="18"/>
        <v/>
      </c>
    </row>
    <row r="815" spans="4:7">
      <c r="D815" s="63" t="str">
        <f>IFERROR(VLOOKUP(C815,'Parts Legend'!$B:$C,2,FALSE),"")</f>
        <v/>
      </c>
      <c r="E815" s="57"/>
      <c r="G815" s="62" t="str">
        <f t="shared" si="18"/>
        <v/>
      </c>
    </row>
    <row r="816" spans="4:7">
      <c r="D816" s="63" t="str">
        <f>IFERROR(VLOOKUP(C816,'Parts Legend'!$B:$C,2,FALSE),"")</f>
        <v/>
      </c>
      <c r="E816" s="57"/>
      <c r="G816" s="62" t="str">
        <f t="shared" si="18"/>
        <v/>
      </c>
    </row>
    <row r="817" spans="4:7">
      <c r="D817" s="63" t="str">
        <f>IFERROR(VLOOKUP(C817,'Parts Legend'!$B:$C,2,FALSE),"")</f>
        <v/>
      </c>
      <c r="E817" s="57"/>
      <c r="G817" s="62" t="str">
        <f t="shared" si="18"/>
        <v/>
      </c>
    </row>
    <row r="818" spans="4:7">
      <c r="D818" s="63" t="str">
        <f>IFERROR(VLOOKUP(C818,'Parts Legend'!$B:$C,2,FALSE),"")</f>
        <v/>
      </c>
      <c r="E818" s="57"/>
      <c r="G818" s="62" t="str">
        <f t="shared" si="18"/>
        <v/>
      </c>
    </row>
    <row r="819" spans="4:7">
      <c r="D819" s="63" t="str">
        <f>IFERROR(VLOOKUP(C819,'Parts Legend'!$B:$C,2,FALSE),"")</f>
        <v/>
      </c>
      <c r="E819" s="57"/>
      <c r="G819" s="62" t="str">
        <f t="shared" si="18"/>
        <v/>
      </c>
    </row>
    <row r="820" spans="4:7">
      <c r="D820" s="63" t="str">
        <f>IFERROR(VLOOKUP(C820,'Parts Legend'!$B:$C,2,FALSE),"")</f>
        <v/>
      </c>
      <c r="E820" s="57"/>
      <c r="G820" s="62" t="str">
        <f t="shared" si="18"/>
        <v/>
      </c>
    </row>
    <row r="821" spans="4:7">
      <c r="D821" s="63" t="str">
        <f>IFERROR(VLOOKUP(C821,'Parts Legend'!$B:$C,2,FALSE),"")</f>
        <v/>
      </c>
      <c r="E821" s="57"/>
      <c r="G821" s="62" t="str">
        <f t="shared" si="18"/>
        <v/>
      </c>
    </row>
    <row r="822" spans="4:7">
      <c r="D822" s="63" t="str">
        <f>IFERROR(VLOOKUP(C822,'Parts Legend'!$B:$C,2,FALSE),"")</f>
        <v/>
      </c>
      <c r="E822" s="57"/>
      <c r="G822" s="62" t="str">
        <f t="shared" si="18"/>
        <v/>
      </c>
    </row>
    <row r="823" spans="4:7">
      <c r="D823" s="63" t="str">
        <f>IFERROR(VLOOKUP(C823,'Parts Legend'!$B:$C,2,FALSE),"")</f>
        <v/>
      </c>
      <c r="E823" s="57"/>
      <c r="G823" s="62" t="str">
        <f t="shared" si="18"/>
        <v/>
      </c>
    </row>
    <row r="824" spans="4:7">
      <c r="D824" s="63" t="str">
        <f>IFERROR(VLOOKUP(C824,'Parts Legend'!$B:$C,2,FALSE),"")</f>
        <v/>
      </c>
      <c r="E824" s="57"/>
      <c r="G824" s="62" t="str">
        <f t="shared" si="18"/>
        <v/>
      </c>
    </row>
    <row r="825" spans="4:7">
      <c r="D825" s="63" t="str">
        <f>IFERROR(VLOOKUP(C825,'Parts Legend'!$B:$C,2,FALSE),"")</f>
        <v/>
      </c>
      <c r="E825" s="57"/>
      <c r="G825" s="62" t="str">
        <f t="shared" si="18"/>
        <v/>
      </c>
    </row>
    <row r="826" spans="4:7">
      <c r="D826" s="63" t="str">
        <f>IFERROR(VLOOKUP(C826,'Parts Legend'!$B:$C,2,FALSE),"")</f>
        <v/>
      </c>
      <c r="E826" s="57"/>
      <c r="G826" s="62" t="str">
        <f t="shared" si="18"/>
        <v/>
      </c>
    </row>
    <row r="827" spans="4:7">
      <c r="D827" s="63" t="str">
        <f>IFERROR(VLOOKUP(C827,'Parts Legend'!$B:$C,2,FALSE),"")</f>
        <v/>
      </c>
      <c r="E827" s="57"/>
      <c r="G827" s="62" t="str">
        <f t="shared" si="18"/>
        <v/>
      </c>
    </row>
    <row r="828" spans="4:7">
      <c r="D828" s="63" t="str">
        <f>IFERROR(VLOOKUP(C828,'Parts Legend'!$B:$C,2,FALSE),"")</f>
        <v/>
      </c>
      <c r="E828" s="57"/>
      <c r="G828" s="62" t="str">
        <f t="shared" si="18"/>
        <v/>
      </c>
    </row>
    <row r="829" spans="4:7">
      <c r="D829" s="63" t="str">
        <f>IFERROR(VLOOKUP(C829,'Parts Legend'!$B:$C,2,FALSE),"")</f>
        <v/>
      </c>
      <c r="E829" s="57"/>
      <c r="G829" s="62" t="str">
        <f t="shared" si="18"/>
        <v/>
      </c>
    </row>
    <row r="830" spans="4:7">
      <c r="D830" s="63" t="str">
        <f>IFERROR(VLOOKUP(C830,'Parts Legend'!$B:$C,2,FALSE),"")</f>
        <v/>
      </c>
      <c r="E830" s="57"/>
      <c r="G830" s="62" t="str">
        <f t="shared" si="18"/>
        <v/>
      </c>
    </row>
    <row r="831" spans="4:7">
      <c r="D831" s="63" t="str">
        <f>IFERROR(VLOOKUP(C831,'Parts Legend'!$B:$C,2,FALSE),"")</f>
        <v/>
      </c>
      <c r="E831" s="57"/>
      <c r="G831" s="62" t="str">
        <f t="shared" si="18"/>
        <v/>
      </c>
    </row>
    <row r="832" spans="4:7">
      <c r="D832" s="63" t="str">
        <f>IFERROR(VLOOKUP(C832,'Parts Legend'!$B:$C,2,FALSE),"")</f>
        <v/>
      </c>
      <c r="E832" s="57"/>
      <c r="G832" s="62" t="str">
        <f t="shared" si="18"/>
        <v/>
      </c>
    </row>
    <row r="833" spans="4:7">
      <c r="D833" s="63" t="str">
        <f>IFERROR(VLOOKUP(C833,'Parts Legend'!$B:$C,2,FALSE),"")</f>
        <v/>
      </c>
      <c r="E833" s="57"/>
      <c r="G833" s="62" t="str">
        <f t="shared" si="18"/>
        <v/>
      </c>
    </row>
    <row r="834" spans="4:7">
      <c r="D834" s="63" t="str">
        <f>IFERROR(VLOOKUP(C834,'Parts Legend'!$B:$C,2,FALSE),"")</f>
        <v/>
      </c>
      <c r="E834" s="57"/>
      <c r="G834" s="62" t="str">
        <f t="shared" si="18"/>
        <v/>
      </c>
    </row>
    <row r="835" spans="4:7">
      <c r="D835" s="63" t="str">
        <f>IFERROR(VLOOKUP(C835,'Parts Legend'!$B:$C,2,FALSE),"")</f>
        <v/>
      </c>
      <c r="E835" s="57"/>
      <c r="G835" s="62" t="str">
        <f t="shared" si="18"/>
        <v/>
      </c>
    </row>
    <row r="836" spans="4:7">
      <c r="D836" s="63" t="str">
        <f>IFERROR(VLOOKUP(C836,'Parts Legend'!$B:$C,2,FALSE),"")</f>
        <v/>
      </c>
      <c r="E836" s="57"/>
      <c r="G836" s="62" t="str">
        <f t="shared" si="18"/>
        <v/>
      </c>
    </row>
    <row r="837" spans="4:7">
      <c r="D837" s="63" t="str">
        <f>IFERROR(VLOOKUP(C837,'Parts Legend'!$B:$C,2,FALSE),"")</f>
        <v/>
      </c>
      <c r="E837" s="57"/>
      <c r="G837" s="62" t="str">
        <f t="shared" si="18"/>
        <v/>
      </c>
    </row>
    <row r="838" spans="4:7">
      <c r="D838" s="63" t="str">
        <f>IFERROR(VLOOKUP(C838,'Parts Legend'!$B:$C,2,FALSE),"")</f>
        <v/>
      </c>
      <c r="E838" s="57"/>
      <c r="G838" s="62" t="str">
        <f t="shared" si="18"/>
        <v/>
      </c>
    </row>
    <row r="839" spans="4:7">
      <c r="D839" s="63" t="str">
        <f>IFERROR(VLOOKUP(C839,'Parts Legend'!$B:$C,2,FALSE),"")</f>
        <v/>
      </c>
      <c r="E839" s="57"/>
      <c r="G839" s="62" t="str">
        <f t="shared" si="18"/>
        <v/>
      </c>
    </row>
    <row r="840" spans="4:7">
      <c r="D840" s="63" t="str">
        <f>IFERROR(VLOOKUP(C840,'Parts Legend'!$B:$C,2,FALSE),"")</f>
        <v/>
      </c>
      <c r="E840" s="57"/>
      <c r="G840" s="62" t="str">
        <f t="shared" si="18"/>
        <v/>
      </c>
    </row>
    <row r="841" spans="4:7">
      <c r="D841" s="63" t="str">
        <f>IFERROR(VLOOKUP(C841,'Parts Legend'!$B:$C,2,FALSE),"")</f>
        <v/>
      </c>
      <c r="E841" s="57"/>
      <c r="G841" s="62" t="str">
        <f t="shared" si="18"/>
        <v/>
      </c>
    </row>
    <row r="842" spans="4:7">
      <c r="D842" s="63" t="str">
        <f>IFERROR(VLOOKUP(C842,'Parts Legend'!$B:$C,2,FALSE),"")</f>
        <v/>
      </c>
      <c r="E842" s="57"/>
      <c r="G842" s="62" t="str">
        <f t="shared" si="18"/>
        <v/>
      </c>
    </row>
    <row r="843" spans="4:7">
      <c r="D843" s="63" t="str">
        <f>IFERROR(VLOOKUP(C843,'Parts Legend'!$B:$C,2,FALSE),"")</f>
        <v/>
      </c>
      <c r="E843" s="57"/>
      <c r="G843" s="62" t="str">
        <f t="shared" si="18"/>
        <v/>
      </c>
    </row>
    <row r="844" spans="4:7">
      <c r="D844" s="63" t="str">
        <f>IFERROR(VLOOKUP(C844,'Parts Legend'!$B:$C,2,FALSE),"")</f>
        <v/>
      </c>
      <c r="E844" s="57"/>
      <c r="G844" s="62" t="str">
        <f t="shared" si="18"/>
        <v/>
      </c>
    </row>
    <row r="845" spans="4:7">
      <c r="D845" s="63" t="str">
        <f>IFERROR(VLOOKUP(C845,'Parts Legend'!$B:$C,2,FALSE),"")</f>
        <v/>
      </c>
      <c r="E845" s="57"/>
      <c r="G845" s="62" t="str">
        <f t="shared" si="18"/>
        <v/>
      </c>
    </row>
    <row r="846" spans="4:7">
      <c r="D846" s="63" t="str">
        <f>IFERROR(VLOOKUP(C846,'Parts Legend'!$B:$C,2,FALSE),"")</f>
        <v/>
      </c>
      <c r="E846" s="57"/>
      <c r="G846" s="62" t="str">
        <f t="shared" si="18"/>
        <v/>
      </c>
    </row>
    <row r="847" spans="4:7">
      <c r="D847" s="63" t="str">
        <f>IFERROR(VLOOKUP(C847,'Parts Legend'!$B:$C,2,FALSE),"")</f>
        <v/>
      </c>
      <c r="E847" s="57"/>
      <c r="G847" s="62" t="str">
        <f t="shared" si="18"/>
        <v/>
      </c>
    </row>
    <row r="848" spans="4:7">
      <c r="D848" s="63" t="str">
        <f>IFERROR(VLOOKUP(C848,'Parts Legend'!$B:$C,2,FALSE),"")</f>
        <v/>
      </c>
      <c r="E848" s="57"/>
      <c r="G848" s="62" t="str">
        <f t="shared" si="18"/>
        <v/>
      </c>
    </row>
    <row r="849" spans="4:7">
      <c r="D849" s="63" t="str">
        <f>IFERROR(VLOOKUP(C849,'Parts Legend'!$B:$C,2,FALSE),"")</f>
        <v/>
      </c>
      <c r="E849" s="57"/>
      <c r="G849" s="62" t="str">
        <f t="shared" si="18"/>
        <v/>
      </c>
    </row>
    <row r="850" spans="4:7">
      <c r="D850" s="63" t="str">
        <f>IFERROR(VLOOKUP(C850,'Parts Legend'!$B:$C,2,FALSE),"")</f>
        <v/>
      </c>
      <c r="E850" s="57"/>
      <c r="G850" s="62" t="str">
        <f t="shared" si="18"/>
        <v/>
      </c>
    </row>
    <row r="851" spans="4:7">
      <c r="D851" s="63" t="str">
        <f>IFERROR(VLOOKUP(C851,'Parts Legend'!$B:$C,2,FALSE),"")</f>
        <v/>
      </c>
      <c r="E851" s="57"/>
      <c r="G851" s="62" t="str">
        <f t="shared" si="18"/>
        <v/>
      </c>
    </row>
    <row r="852" spans="4:7">
      <c r="D852" s="63" t="str">
        <f>IFERROR(VLOOKUP(C852,'Parts Legend'!$B:$C,2,FALSE),"")</f>
        <v/>
      </c>
      <c r="E852" s="57"/>
      <c r="G852" s="62" t="str">
        <f t="shared" si="18"/>
        <v/>
      </c>
    </row>
    <row r="853" spans="4:7">
      <c r="D853" s="63" t="str">
        <f>IFERROR(VLOOKUP(C853,'Parts Legend'!$B:$C,2,FALSE),"")</f>
        <v/>
      </c>
      <c r="E853" s="57"/>
      <c r="G853" s="62" t="str">
        <f t="shared" si="18"/>
        <v/>
      </c>
    </row>
    <row r="854" spans="4:7">
      <c r="D854" s="63" t="str">
        <f>IFERROR(VLOOKUP(C854,'Parts Legend'!$B:$C,2,FALSE),"")</f>
        <v/>
      </c>
      <c r="E854" s="57"/>
      <c r="G854" s="62" t="str">
        <f t="shared" si="18"/>
        <v/>
      </c>
    </row>
    <row r="855" spans="4:7">
      <c r="D855" s="63" t="str">
        <f>IFERROR(VLOOKUP(C855,'Parts Legend'!$B:$C,2,FALSE),"")</f>
        <v/>
      </c>
      <c r="E855" s="57"/>
      <c r="G855" s="62" t="str">
        <f t="shared" si="18"/>
        <v/>
      </c>
    </row>
    <row r="856" spans="4:7">
      <c r="D856" s="63" t="str">
        <f>IFERROR(VLOOKUP(C856,'Parts Legend'!$B:$C,2,FALSE),"")</f>
        <v/>
      </c>
      <c r="E856" s="57"/>
      <c r="G856" s="62" t="str">
        <f t="shared" si="18"/>
        <v/>
      </c>
    </row>
    <row r="857" spans="4:7">
      <c r="D857" s="63" t="str">
        <f>IFERROR(VLOOKUP(C857,'Parts Legend'!$B:$C,2,FALSE),"")</f>
        <v/>
      </c>
      <c r="E857" s="57"/>
      <c r="G857" s="62" t="str">
        <f t="shared" si="18"/>
        <v/>
      </c>
    </row>
    <row r="858" spans="4:7">
      <c r="D858" s="63" t="str">
        <f>IFERROR(VLOOKUP(C858,'Parts Legend'!$B:$C,2,FALSE),"")</f>
        <v/>
      </c>
      <c r="E858" s="57"/>
      <c r="G858" s="62" t="str">
        <f t="shared" si="18"/>
        <v/>
      </c>
    </row>
    <row r="859" spans="4:7">
      <c r="D859" s="63" t="str">
        <f>IFERROR(VLOOKUP(C859,'Parts Legend'!$B:$C,2,FALSE),"")</f>
        <v/>
      </c>
      <c r="E859" s="57"/>
      <c r="G859" s="62" t="str">
        <f t="shared" si="18"/>
        <v/>
      </c>
    </row>
    <row r="860" spans="4:7">
      <c r="D860" s="63" t="str">
        <f>IFERROR(VLOOKUP(C860,'Parts Legend'!$B:$C,2,FALSE),"")</f>
        <v/>
      </c>
      <c r="E860" s="57"/>
      <c r="G860" s="62" t="str">
        <f t="shared" si="18"/>
        <v/>
      </c>
    </row>
    <row r="861" spans="4:7">
      <c r="D861" s="63" t="str">
        <f>IFERROR(VLOOKUP(C861,'Parts Legend'!$B:$C,2,FALSE),"")</f>
        <v/>
      </c>
      <c r="E861" s="57"/>
      <c r="G861" s="62" t="str">
        <f t="shared" si="18"/>
        <v/>
      </c>
    </row>
    <row r="862" spans="4:7">
      <c r="D862" s="63" t="str">
        <f>IFERROR(VLOOKUP(C862,'Parts Legend'!$B:$C,2,FALSE),"")</f>
        <v/>
      </c>
      <c r="E862" s="57"/>
      <c r="G862" s="62" t="str">
        <f t="shared" si="18"/>
        <v/>
      </c>
    </row>
    <row r="863" spans="4:7">
      <c r="D863" s="63" t="str">
        <f>IFERROR(VLOOKUP(C863,'Parts Legend'!$B:$C,2,FALSE),"")</f>
        <v/>
      </c>
      <c r="E863" s="57"/>
      <c r="G863" s="62" t="str">
        <f t="shared" si="18"/>
        <v/>
      </c>
    </row>
    <row r="864" spans="4:7">
      <c r="D864" s="63" t="str">
        <f>IFERROR(VLOOKUP(C864,'Parts Legend'!$B:$C,2,FALSE),"")</f>
        <v/>
      </c>
      <c r="E864" s="57"/>
      <c r="G864" s="62" t="str">
        <f t="shared" si="18"/>
        <v/>
      </c>
    </row>
    <row r="865" spans="4:7">
      <c r="D865" s="63" t="str">
        <f>IFERROR(VLOOKUP(C865,'Parts Legend'!$B:$C,2,FALSE),"")</f>
        <v/>
      </c>
      <c r="E865" s="57"/>
      <c r="G865" s="62" t="str">
        <f t="shared" si="18"/>
        <v/>
      </c>
    </row>
    <row r="866" spans="4:7">
      <c r="D866" s="63" t="str">
        <f>IFERROR(VLOOKUP(C866,'Parts Legend'!$B:$C,2,FALSE),"")</f>
        <v/>
      </c>
      <c r="E866" s="57"/>
      <c r="G866" s="62" t="str">
        <f t="shared" si="18"/>
        <v/>
      </c>
    </row>
    <row r="867" spans="4:7">
      <c r="D867" s="63" t="str">
        <f>IFERROR(VLOOKUP(C867,'Parts Legend'!$B:$C,2,FALSE),"")</f>
        <v/>
      </c>
      <c r="E867" s="57"/>
      <c r="G867" s="62" t="str">
        <f t="shared" si="18"/>
        <v/>
      </c>
    </row>
    <row r="868" spans="4:7">
      <c r="D868" s="63" t="str">
        <f>IFERROR(VLOOKUP(C868,'Parts Legend'!$B:$C,2,FALSE),"")</f>
        <v/>
      </c>
      <c r="E868" s="57"/>
      <c r="G868" s="62" t="str">
        <f t="shared" si="18"/>
        <v/>
      </c>
    </row>
    <row r="869" spans="4:7">
      <c r="D869" s="63" t="str">
        <f>IFERROR(VLOOKUP(C869,'Parts Legend'!$B:$C,2,FALSE),"")</f>
        <v/>
      </c>
      <c r="E869" s="57"/>
      <c r="G869" s="62" t="str">
        <f t="shared" si="18"/>
        <v/>
      </c>
    </row>
    <row r="870" spans="4:7">
      <c r="D870" s="63" t="str">
        <f>IFERROR(VLOOKUP(C870,'Parts Legend'!$B:$C,2,FALSE),"")</f>
        <v/>
      </c>
      <c r="E870" s="57"/>
      <c r="G870" s="62" t="str">
        <f t="shared" si="18"/>
        <v/>
      </c>
    </row>
    <row r="871" spans="4:7">
      <c r="D871" s="63" t="str">
        <f>IFERROR(VLOOKUP(C871,'Parts Legend'!$B:$C,2,FALSE),"")</f>
        <v/>
      </c>
      <c r="E871" s="57"/>
      <c r="G871" s="62" t="str">
        <f t="shared" si="18"/>
        <v/>
      </c>
    </row>
    <row r="872" spans="4:7">
      <c r="D872" s="63" t="str">
        <f>IFERROR(VLOOKUP(C872,'Parts Legend'!$B:$C,2,FALSE),"")</f>
        <v/>
      </c>
      <c r="E872" s="57"/>
      <c r="G872" s="62" t="str">
        <f t="shared" ref="G872:G935" si="19">IF(B872="","",(B872-WEEKDAY(B872,3)))</f>
        <v/>
      </c>
    </row>
    <row r="873" spans="4:7">
      <c r="D873" s="63" t="str">
        <f>IFERROR(VLOOKUP(C873,'Parts Legend'!$B:$C,2,FALSE),"")</f>
        <v/>
      </c>
      <c r="E873" s="57"/>
      <c r="G873" s="62" t="str">
        <f t="shared" si="19"/>
        <v/>
      </c>
    </row>
    <row r="874" spans="4:7">
      <c r="D874" s="63" t="str">
        <f>IFERROR(VLOOKUP(C874,'Parts Legend'!$B:$C,2,FALSE),"")</f>
        <v/>
      </c>
      <c r="E874" s="57"/>
      <c r="G874" s="62" t="str">
        <f t="shared" si="19"/>
        <v/>
      </c>
    </row>
    <row r="875" spans="4:7">
      <c r="D875" s="63" t="str">
        <f>IFERROR(VLOOKUP(C875,'Parts Legend'!$B:$C,2,FALSE),"")</f>
        <v/>
      </c>
      <c r="E875" s="57"/>
      <c r="G875" s="62" t="str">
        <f t="shared" si="19"/>
        <v/>
      </c>
    </row>
    <row r="876" spans="4:7">
      <c r="D876" s="63" t="str">
        <f>IFERROR(VLOOKUP(C876,'Parts Legend'!$B:$C,2,FALSE),"")</f>
        <v/>
      </c>
      <c r="E876" s="57"/>
      <c r="G876" s="62" t="str">
        <f t="shared" si="19"/>
        <v/>
      </c>
    </row>
    <row r="877" spans="4:7">
      <c r="D877" s="63" t="str">
        <f>IFERROR(VLOOKUP(C877,'Parts Legend'!$B:$C,2,FALSE),"")</f>
        <v/>
      </c>
      <c r="E877" s="57"/>
      <c r="G877" s="62" t="str">
        <f t="shared" si="19"/>
        <v/>
      </c>
    </row>
    <row r="878" spans="4:7">
      <c r="D878" s="63" t="str">
        <f>IFERROR(VLOOKUP(C878,'Parts Legend'!$B:$C,2,FALSE),"")</f>
        <v/>
      </c>
      <c r="E878" s="57"/>
      <c r="G878" s="62" t="str">
        <f t="shared" si="19"/>
        <v/>
      </c>
    </row>
    <row r="879" spans="4:7">
      <c r="D879" s="63" t="str">
        <f>IFERROR(VLOOKUP(C879,'Parts Legend'!$B:$C,2,FALSE),"")</f>
        <v/>
      </c>
      <c r="E879" s="57"/>
      <c r="G879" s="62" t="str">
        <f t="shared" si="19"/>
        <v/>
      </c>
    </row>
    <row r="880" spans="4:7">
      <c r="D880" s="63" t="str">
        <f>IFERROR(VLOOKUP(C880,'Parts Legend'!$B:$C,2,FALSE),"")</f>
        <v/>
      </c>
      <c r="E880" s="57"/>
      <c r="G880" s="62" t="str">
        <f t="shared" si="19"/>
        <v/>
      </c>
    </row>
    <row r="881" spans="4:7">
      <c r="D881" s="63" t="str">
        <f>IFERROR(VLOOKUP(C881,'Parts Legend'!$B:$C,2,FALSE),"")</f>
        <v/>
      </c>
      <c r="E881" s="57"/>
      <c r="G881" s="62" t="str">
        <f t="shared" si="19"/>
        <v/>
      </c>
    </row>
    <row r="882" spans="4:7">
      <c r="D882" s="63" t="str">
        <f>IFERROR(VLOOKUP(C882,'Parts Legend'!$B:$C,2,FALSE),"")</f>
        <v/>
      </c>
      <c r="E882" s="57"/>
      <c r="G882" s="62" t="str">
        <f t="shared" si="19"/>
        <v/>
      </c>
    </row>
    <row r="883" spans="4:7">
      <c r="D883" s="63" t="str">
        <f>IFERROR(VLOOKUP(C883,'Parts Legend'!$B:$C,2,FALSE),"")</f>
        <v/>
      </c>
      <c r="E883" s="57"/>
      <c r="G883" s="62" t="str">
        <f t="shared" si="19"/>
        <v/>
      </c>
    </row>
    <row r="884" spans="4:7">
      <c r="D884" s="63" t="str">
        <f>IFERROR(VLOOKUP(C884,'Parts Legend'!$B:$C,2,FALSE),"")</f>
        <v/>
      </c>
      <c r="E884" s="57"/>
      <c r="G884" s="62" t="str">
        <f t="shared" si="19"/>
        <v/>
      </c>
    </row>
    <row r="885" spans="4:7">
      <c r="D885" s="63" t="str">
        <f>IFERROR(VLOOKUP(C885,'Parts Legend'!$B:$C,2,FALSE),"")</f>
        <v/>
      </c>
      <c r="E885" s="57"/>
      <c r="G885" s="62" t="str">
        <f t="shared" si="19"/>
        <v/>
      </c>
    </row>
    <row r="886" spans="4:7">
      <c r="D886" s="63" t="str">
        <f>IFERROR(VLOOKUP(C886,'Parts Legend'!$B:$C,2,FALSE),"")</f>
        <v/>
      </c>
      <c r="E886" s="57"/>
      <c r="G886" s="62" t="str">
        <f t="shared" si="19"/>
        <v/>
      </c>
    </row>
    <row r="887" spans="4:7">
      <c r="D887" s="63" t="str">
        <f>IFERROR(VLOOKUP(C887,'Parts Legend'!$B:$C,2,FALSE),"")</f>
        <v/>
      </c>
      <c r="E887" s="57"/>
      <c r="G887" s="62" t="str">
        <f t="shared" si="19"/>
        <v/>
      </c>
    </row>
    <row r="888" spans="4:7">
      <c r="D888" s="63" t="str">
        <f>IFERROR(VLOOKUP(C888,'Parts Legend'!$B:$C,2,FALSE),"")</f>
        <v/>
      </c>
      <c r="E888" s="57"/>
      <c r="G888" s="62" t="str">
        <f t="shared" si="19"/>
        <v/>
      </c>
    </row>
    <row r="889" spans="4:7">
      <c r="D889" s="63" t="str">
        <f>IFERROR(VLOOKUP(C889,'Parts Legend'!$B:$C,2,FALSE),"")</f>
        <v/>
      </c>
      <c r="E889" s="57"/>
      <c r="G889" s="62" t="str">
        <f t="shared" si="19"/>
        <v/>
      </c>
    </row>
    <row r="890" spans="4:7">
      <c r="D890" s="63" t="str">
        <f>IFERROR(VLOOKUP(C890,'Parts Legend'!$B:$C,2,FALSE),"")</f>
        <v/>
      </c>
      <c r="E890" s="57"/>
      <c r="G890" s="62" t="str">
        <f t="shared" si="19"/>
        <v/>
      </c>
    </row>
    <row r="891" spans="4:7">
      <c r="D891" s="63" t="str">
        <f>IFERROR(VLOOKUP(C891,'Parts Legend'!$B:$C,2,FALSE),"")</f>
        <v/>
      </c>
      <c r="E891" s="57"/>
      <c r="G891" s="62" t="str">
        <f t="shared" si="19"/>
        <v/>
      </c>
    </row>
    <row r="892" spans="4:7">
      <c r="D892" s="63" t="str">
        <f>IFERROR(VLOOKUP(C892,'Parts Legend'!$B:$C,2,FALSE),"")</f>
        <v/>
      </c>
      <c r="E892" s="57"/>
      <c r="G892" s="62" t="str">
        <f t="shared" si="19"/>
        <v/>
      </c>
    </row>
    <row r="893" spans="4:7">
      <c r="D893" s="63" t="str">
        <f>IFERROR(VLOOKUP(C893,'Parts Legend'!$B:$C,2,FALSE),"")</f>
        <v/>
      </c>
      <c r="E893" s="57"/>
      <c r="G893" s="62" t="str">
        <f t="shared" si="19"/>
        <v/>
      </c>
    </row>
    <row r="894" spans="4:7">
      <c r="D894" s="63" t="str">
        <f>IFERROR(VLOOKUP(C894,'Parts Legend'!$B:$C,2,FALSE),"")</f>
        <v/>
      </c>
      <c r="E894" s="57"/>
      <c r="G894" s="62" t="str">
        <f t="shared" si="19"/>
        <v/>
      </c>
    </row>
    <row r="895" spans="4:7">
      <c r="D895" s="63" t="str">
        <f>IFERROR(VLOOKUP(C895,'Parts Legend'!$B:$C,2,FALSE),"")</f>
        <v/>
      </c>
      <c r="E895" s="57"/>
      <c r="G895" s="62" t="str">
        <f t="shared" si="19"/>
        <v/>
      </c>
    </row>
    <row r="896" spans="4:7">
      <c r="D896" s="63" t="str">
        <f>IFERROR(VLOOKUP(C896,'Parts Legend'!$B:$C,2,FALSE),"")</f>
        <v/>
      </c>
      <c r="E896" s="57"/>
      <c r="G896" s="62" t="str">
        <f t="shared" si="19"/>
        <v/>
      </c>
    </row>
    <row r="897" spans="4:7">
      <c r="D897" s="63" t="str">
        <f>IFERROR(VLOOKUP(C897,'Parts Legend'!$B:$C,2,FALSE),"")</f>
        <v/>
      </c>
      <c r="E897" s="57"/>
      <c r="G897" s="62" t="str">
        <f t="shared" si="19"/>
        <v/>
      </c>
    </row>
    <row r="898" spans="4:7">
      <c r="D898" s="63" t="str">
        <f>IFERROR(VLOOKUP(C898,'Parts Legend'!$B:$C,2,FALSE),"")</f>
        <v/>
      </c>
      <c r="E898" s="57"/>
      <c r="G898" s="62" t="str">
        <f t="shared" si="19"/>
        <v/>
      </c>
    </row>
    <row r="899" spans="4:7">
      <c r="D899" s="63" t="str">
        <f>IFERROR(VLOOKUP(C899,'Parts Legend'!$B:$C,2,FALSE),"")</f>
        <v/>
      </c>
      <c r="E899" s="57"/>
      <c r="G899" s="62" t="str">
        <f t="shared" si="19"/>
        <v/>
      </c>
    </row>
    <row r="900" spans="4:7">
      <c r="D900" s="63" t="str">
        <f>IFERROR(VLOOKUP(C900,'Parts Legend'!$B:$C,2,FALSE),"")</f>
        <v/>
      </c>
      <c r="E900" s="57"/>
      <c r="G900" s="62" t="str">
        <f t="shared" si="19"/>
        <v/>
      </c>
    </row>
    <row r="901" spans="4:7">
      <c r="D901" s="63" t="str">
        <f>IFERROR(VLOOKUP(C901,'Parts Legend'!$B:$C,2,FALSE),"")</f>
        <v/>
      </c>
      <c r="E901" s="57"/>
      <c r="G901" s="62" t="str">
        <f t="shared" si="19"/>
        <v/>
      </c>
    </row>
    <row r="902" spans="4:7">
      <c r="D902" s="63" t="str">
        <f>IFERROR(VLOOKUP(C902,'Parts Legend'!$B:$C,2,FALSE),"")</f>
        <v/>
      </c>
      <c r="E902" s="57"/>
      <c r="G902" s="62" t="str">
        <f t="shared" si="19"/>
        <v/>
      </c>
    </row>
    <row r="903" spans="4:7">
      <c r="D903" s="63" t="str">
        <f>IFERROR(VLOOKUP(C903,'Parts Legend'!$B:$C,2,FALSE),"")</f>
        <v/>
      </c>
      <c r="E903" s="57"/>
      <c r="G903" s="62" t="str">
        <f t="shared" si="19"/>
        <v/>
      </c>
    </row>
    <row r="904" spans="4:7">
      <c r="D904" s="63" t="str">
        <f>IFERROR(VLOOKUP(C904,'Parts Legend'!$B:$C,2,FALSE),"")</f>
        <v/>
      </c>
      <c r="E904" s="57"/>
      <c r="G904" s="62" t="str">
        <f t="shared" si="19"/>
        <v/>
      </c>
    </row>
    <row r="905" spans="4:7">
      <c r="D905" s="63" t="str">
        <f>IFERROR(VLOOKUP(C905,'Parts Legend'!$B:$C,2,FALSE),"")</f>
        <v/>
      </c>
      <c r="E905" s="57"/>
      <c r="G905" s="62" t="str">
        <f t="shared" si="19"/>
        <v/>
      </c>
    </row>
    <row r="906" spans="4:7">
      <c r="D906" s="63" t="str">
        <f>IFERROR(VLOOKUP(C906,'Parts Legend'!$B:$C,2,FALSE),"")</f>
        <v/>
      </c>
      <c r="E906" s="57"/>
      <c r="G906" s="62" t="str">
        <f t="shared" si="19"/>
        <v/>
      </c>
    </row>
    <row r="907" spans="4:7">
      <c r="D907" s="63" t="str">
        <f>IFERROR(VLOOKUP(C907,'Parts Legend'!$B:$C,2,FALSE),"")</f>
        <v/>
      </c>
      <c r="E907" s="57"/>
      <c r="G907" s="62" t="str">
        <f t="shared" si="19"/>
        <v/>
      </c>
    </row>
    <row r="908" spans="4:7">
      <c r="D908" s="63" t="str">
        <f>IFERROR(VLOOKUP(C908,'Parts Legend'!$B:$C,2,FALSE),"")</f>
        <v/>
      </c>
      <c r="E908" s="57"/>
      <c r="G908" s="62" t="str">
        <f t="shared" si="19"/>
        <v/>
      </c>
    </row>
    <row r="909" spans="4:7">
      <c r="D909" s="63" t="str">
        <f>IFERROR(VLOOKUP(C909,'Parts Legend'!$B:$C,2,FALSE),"")</f>
        <v/>
      </c>
      <c r="E909" s="57"/>
      <c r="G909" s="62" t="str">
        <f t="shared" si="19"/>
        <v/>
      </c>
    </row>
    <row r="910" spans="4:7">
      <c r="D910" s="63" t="str">
        <f>IFERROR(VLOOKUP(C910,'Parts Legend'!$B:$C,2,FALSE),"")</f>
        <v/>
      </c>
      <c r="E910" s="57"/>
      <c r="G910" s="62" t="str">
        <f t="shared" si="19"/>
        <v/>
      </c>
    </row>
    <row r="911" spans="4:7">
      <c r="D911" s="63" t="str">
        <f>IFERROR(VLOOKUP(C911,'Parts Legend'!$B:$C,2,FALSE),"")</f>
        <v/>
      </c>
      <c r="E911" s="57"/>
      <c r="G911" s="62" t="str">
        <f t="shared" si="19"/>
        <v/>
      </c>
    </row>
    <row r="912" spans="4:7">
      <c r="D912" s="63" t="str">
        <f>IFERROR(VLOOKUP(C912,'Parts Legend'!$B:$C,2,FALSE),"")</f>
        <v/>
      </c>
      <c r="E912" s="57"/>
      <c r="G912" s="62" t="str">
        <f t="shared" si="19"/>
        <v/>
      </c>
    </row>
    <row r="913" spans="4:7">
      <c r="D913" s="63" t="str">
        <f>IFERROR(VLOOKUP(C913,'Parts Legend'!$B:$C,2,FALSE),"")</f>
        <v/>
      </c>
      <c r="E913" s="57"/>
      <c r="G913" s="62" t="str">
        <f t="shared" si="19"/>
        <v/>
      </c>
    </row>
    <row r="914" spans="4:7">
      <c r="D914" s="63" t="str">
        <f>IFERROR(VLOOKUP(C914,'Parts Legend'!$B:$C,2,FALSE),"")</f>
        <v/>
      </c>
      <c r="E914" s="57"/>
      <c r="G914" s="62" t="str">
        <f t="shared" si="19"/>
        <v/>
      </c>
    </row>
    <row r="915" spans="4:7">
      <c r="D915" s="63" t="str">
        <f>IFERROR(VLOOKUP(C915,'Parts Legend'!$B:$C,2,FALSE),"")</f>
        <v/>
      </c>
      <c r="E915" s="57"/>
      <c r="G915" s="62" t="str">
        <f t="shared" si="19"/>
        <v/>
      </c>
    </row>
    <row r="916" spans="4:7">
      <c r="D916" s="63" t="str">
        <f>IFERROR(VLOOKUP(C916,'Parts Legend'!$B:$C,2,FALSE),"")</f>
        <v/>
      </c>
      <c r="E916" s="57"/>
      <c r="G916" s="62" t="str">
        <f t="shared" si="19"/>
        <v/>
      </c>
    </row>
    <row r="917" spans="4:7">
      <c r="D917" s="63" t="str">
        <f>IFERROR(VLOOKUP(C917,'Parts Legend'!$B:$C,2,FALSE),"")</f>
        <v/>
      </c>
      <c r="E917" s="57"/>
      <c r="G917" s="62" t="str">
        <f t="shared" si="19"/>
        <v/>
      </c>
    </row>
    <row r="918" spans="4:7">
      <c r="D918" s="63" t="str">
        <f>IFERROR(VLOOKUP(C918,'Parts Legend'!$B:$C,2,FALSE),"")</f>
        <v/>
      </c>
      <c r="E918" s="57"/>
      <c r="G918" s="62" t="str">
        <f t="shared" si="19"/>
        <v/>
      </c>
    </row>
    <row r="919" spans="4:7">
      <c r="D919" s="63" t="str">
        <f>IFERROR(VLOOKUP(C919,'Parts Legend'!$B:$C,2,FALSE),"")</f>
        <v/>
      </c>
      <c r="E919" s="57"/>
      <c r="G919" s="62" t="str">
        <f t="shared" si="19"/>
        <v/>
      </c>
    </row>
    <row r="920" spans="4:7">
      <c r="D920" s="63" t="str">
        <f>IFERROR(VLOOKUP(C920,'Parts Legend'!$B:$C,2,FALSE),"")</f>
        <v/>
      </c>
      <c r="E920" s="57"/>
      <c r="G920" s="62" t="str">
        <f t="shared" si="19"/>
        <v/>
      </c>
    </row>
    <row r="921" spans="4:7">
      <c r="D921" s="63" t="str">
        <f>IFERROR(VLOOKUP(C921,'Parts Legend'!$B:$C,2,FALSE),"")</f>
        <v/>
      </c>
      <c r="E921" s="57"/>
      <c r="G921" s="62" t="str">
        <f t="shared" si="19"/>
        <v/>
      </c>
    </row>
    <row r="922" spans="4:7">
      <c r="D922" s="63" t="str">
        <f>IFERROR(VLOOKUP(C922,'Parts Legend'!$B:$C,2,FALSE),"")</f>
        <v/>
      </c>
      <c r="E922" s="57"/>
      <c r="G922" s="62" t="str">
        <f t="shared" si="19"/>
        <v/>
      </c>
    </row>
    <row r="923" spans="4:7">
      <c r="D923" s="63" t="str">
        <f>IFERROR(VLOOKUP(C923,'Parts Legend'!$B:$C,2,FALSE),"")</f>
        <v/>
      </c>
      <c r="E923" s="57"/>
      <c r="G923" s="62" t="str">
        <f t="shared" si="19"/>
        <v/>
      </c>
    </row>
    <row r="924" spans="4:7">
      <c r="D924" s="63" t="str">
        <f>IFERROR(VLOOKUP(C924,'Parts Legend'!$B:$C,2,FALSE),"")</f>
        <v/>
      </c>
      <c r="E924" s="57"/>
      <c r="G924" s="62" t="str">
        <f t="shared" si="19"/>
        <v/>
      </c>
    </row>
    <row r="925" spans="4:7">
      <c r="D925" s="63" t="str">
        <f>IFERROR(VLOOKUP(C925,'Parts Legend'!$B:$C,2,FALSE),"")</f>
        <v/>
      </c>
      <c r="E925" s="57"/>
      <c r="G925" s="62" t="str">
        <f t="shared" si="19"/>
        <v/>
      </c>
    </row>
    <row r="926" spans="4:7">
      <c r="D926" s="63" t="str">
        <f>IFERROR(VLOOKUP(C926,'Parts Legend'!$B:$C,2,FALSE),"")</f>
        <v/>
      </c>
      <c r="E926" s="57"/>
      <c r="G926" s="62" t="str">
        <f t="shared" si="19"/>
        <v/>
      </c>
    </row>
    <row r="927" spans="4:7">
      <c r="D927" s="63" t="str">
        <f>IFERROR(VLOOKUP(C927,'Parts Legend'!$B:$C,2,FALSE),"")</f>
        <v/>
      </c>
      <c r="E927" s="57"/>
      <c r="G927" s="62" t="str">
        <f t="shared" si="19"/>
        <v/>
      </c>
    </row>
    <row r="928" spans="4:7">
      <c r="D928" s="63" t="str">
        <f>IFERROR(VLOOKUP(C928,'Parts Legend'!$B:$C,2,FALSE),"")</f>
        <v/>
      </c>
      <c r="E928" s="57"/>
      <c r="G928" s="62" t="str">
        <f t="shared" si="19"/>
        <v/>
      </c>
    </row>
    <row r="929" spans="4:7">
      <c r="D929" s="63" t="str">
        <f>IFERROR(VLOOKUP(C929,'Parts Legend'!$B:$C,2,FALSE),"")</f>
        <v/>
      </c>
      <c r="E929" s="57"/>
      <c r="G929" s="62" t="str">
        <f t="shared" si="19"/>
        <v/>
      </c>
    </row>
    <row r="930" spans="4:7">
      <c r="D930" s="63" t="str">
        <f>IFERROR(VLOOKUP(C930,'Parts Legend'!$B:$C,2,FALSE),"")</f>
        <v/>
      </c>
      <c r="E930" s="57"/>
      <c r="G930" s="62" t="str">
        <f t="shared" si="19"/>
        <v/>
      </c>
    </row>
    <row r="931" spans="4:7">
      <c r="D931" s="63" t="str">
        <f>IFERROR(VLOOKUP(C931,'Parts Legend'!$B:$C,2,FALSE),"")</f>
        <v/>
      </c>
      <c r="E931" s="57"/>
      <c r="G931" s="62" t="str">
        <f t="shared" si="19"/>
        <v/>
      </c>
    </row>
    <row r="932" spans="4:7">
      <c r="D932" s="63" t="str">
        <f>IFERROR(VLOOKUP(C932,'Parts Legend'!$B:$C,2,FALSE),"")</f>
        <v/>
      </c>
      <c r="E932" s="57"/>
      <c r="G932" s="62" t="str">
        <f t="shared" si="19"/>
        <v/>
      </c>
    </row>
    <row r="933" spans="4:7">
      <c r="D933" s="63" t="str">
        <f>IFERROR(VLOOKUP(C933,'Parts Legend'!$B:$C,2,FALSE),"")</f>
        <v/>
      </c>
      <c r="E933" s="57"/>
      <c r="G933" s="62" t="str">
        <f t="shared" si="19"/>
        <v/>
      </c>
    </row>
    <row r="934" spans="4:7">
      <c r="D934" s="63" t="str">
        <f>IFERROR(VLOOKUP(C934,'Parts Legend'!$B:$C,2,FALSE),"")</f>
        <v/>
      </c>
      <c r="E934" s="57"/>
      <c r="G934" s="62" t="str">
        <f t="shared" si="19"/>
        <v/>
      </c>
    </row>
    <row r="935" spans="4:7">
      <c r="D935" s="63" t="str">
        <f>IFERROR(VLOOKUP(C935,'Parts Legend'!$B:$C,2,FALSE),"")</f>
        <v/>
      </c>
      <c r="E935" s="57"/>
      <c r="G935" s="62" t="str">
        <f t="shared" si="19"/>
        <v/>
      </c>
    </row>
    <row r="936" spans="4:7">
      <c r="D936" s="63" t="str">
        <f>IFERROR(VLOOKUP(C936,'Parts Legend'!$B:$C,2,FALSE),"")</f>
        <v/>
      </c>
      <c r="E936" s="57"/>
      <c r="G936" s="62" t="str">
        <f t="shared" ref="G936:G999" si="20">IF(B936="","",(B936-WEEKDAY(B936,3)))</f>
        <v/>
      </c>
    </row>
    <row r="937" spans="4:7">
      <c r="D937" s="63" t="str">
        <f>IFERROR(VLOOKUP(C937,'Parts Legend'!$B:$C,2,FALSE),"")</f>
        <v/>
      </c>
      <c r="E937" s="57"/>
      <c r="G937" s="62" t="str">
        <f t="shared" si="20"/>
        <v/>
      </c>
    </row>
    <row r="938" spans="4:7">
      <c r="D938" s="63" t="str">
        <f>IFERROR(VLOOKUP(C938,'Parts Legend'!$B:$C,2,FALSE),"")</f>
        <v/>
      </c>
      <c r="E938" s="57"/>
      <c r="G938" s="62" t="str">
        <f t="shared" si="20"/>
        <v/>
      </c>
    </row>
    <row r="939" spans="4:7">
      <c r="D939" s="63" t="str">
        <f>IFERROR(VLOOKUP(C939,'Parts Legend'!$B:$C,2,FALSE),"")</f>
        <v/>
      </c>
      <c r="E939" s="57"/>
      <c r="G939" s="62" t="str">
        <f t="shared" si="20"/>
        <v/>
      </c>
    </row>
    <row r="940" spans="4:7">
      <c r="D940" s="63" t="str">
        <f>IFERROR(VLOOKUP(C940,'Parts Legend'!$B:$C,2,FALSE),"")</f>
        <v/>
      </c>
      <c r="E940" s="57"/>
      <c r="G940" s="62" t="str">
        <f t="shared" si="20"/>
        <v/>
      </c>
    </row>
    <row r="941" spans="4:7">
      <c r="D941" s="63" t="str">
        <f>IFERROR(VLOOKUP(C941,'Parts Legend'!$B:$C,2,FALSE),"")</f>
        <v/>
      </c>
      <c r="E941" s="57"/>
      <c r="G941" s="62" t="str">
        <f t="shared" si="20"/>
        <v/>
      </c>
    </row>
    <row r="942" spans="4:7">
      <c r="D942" s="63" t="str">
        <f>IFERROR(VLOOKUP(C942,'Parts Legend'!$B:$C,2,FALSE),"")</f>
        <v/>
      </c>
      <c r="E942" s="57"/>
      <c r="G942" s="62" t="str">
        <f t="shared" si="20"/>
        <v/>
      </c>
    </row>
    <row r="943" spans="4:7">
      <c r="D943" s="63" t="str">
        <f>IFERROR(VLOOKUP(C943,'Parts Legend'!$B:$C,2,FALSE),"")</f>
        <v/>
      </c>
      <c r="E943" s="57"/>
      <c r="G943" s="62" t="str">
        <f t="shared" si="20"/>
        <v/>
      </c>
    </row>
    <row r="944" spans="4:7">
      <c r="D944" s="63" t="str">
        <f>IFERROR(VLOOKUP(C944,'Parts Legend'!$B:$C,2,FALSE),"")</f>
        <v/>
      </c>
      <c r="E944" s="57"/>
      <c r="G944" s="62" t="str">
        <f t="shared" si="20"/>
        <v/>
      </c>
    </row>
    <row r="945" spans="4:7">
      <c r="D945" s="63" t="str">
        <f>IFERROR(VLOOKUP(C945,'Parts Legend'!$B:$C,2,FALSE),"")</f>
        <v/>
      </c>
      <c r="E945" s="57"/>
      <c r="G945" s="62" t="str">
        <f t="shared" si="20"/>
        <v/>
      </c>
    </row>
    <row r="946" spans="4:7">
      <c r="D946" s="63" t="str">
        <f>IFERROR(VLOOKUP(C946,'Parts Legend'!$B:$C,2,FALSE),"")</f>
        <v/>
      </c>
      <c r="E946" s="57"/>
      <c r="G946" s="62" t="str">
        <f t="shared" si="20"/>
        <v/>
      </c>
    </row>
    <row r="947" spans="4:7">
      <c r="D947" s="63" t="str">
        <f>IFERROR(VLOOKUP(C947,'Parts Legend'!$B:$C,2,FALSE),"")</f>
        <v/>
      </c>
      <c r="E947" s="57"/>
      <c r="G947" s="62" t="str">
        <f t="shared" si="20"/>
        <v/>
      </c>
    </row>
    <row r="948" spans="4:7">
      <c r="D948" s="63" t="str">
        <f>IFERROR(VLOOKUP(C948,'Parts Legend'!$B:$C,2,FALSE),"")</f>
        <v/>
      </c>
      <c r="E948" s="57"/>
      <c r="G948" s="62" t="str">
        <f t="shared" si="20"/>
        <v/>
      </c>
    </row>
    <row r="949" spans="4:7">
      <c r="D949" s="63" t="str">
        <f>IFERROR(VLOOKUP(C949,'Parts Legend'!$B:$C,2,FALSE),"")</f>
        <v/>
      </c>
      <c r="E949" s="57"/>
      <c r="G949" s="62" t="str">
        <f t="shared" si="20"/>
        <v/>
      </c>
    </row>
    <row r="950" spans="4:7">
      <c r="D950" s="63" t="str">
        <f>IFERROR(VLOOKUP(C950,'Parts Legend'!$B:$C,2,FALSE),"")</f>
        <v/>
      </c>
      <c r="E950" s="57"/>
      <c r="G950" s="62" t="str">
        <f t="shared" si="20"/>
        <v/>
      </c>
    </row>
    <row r="951" spans="4:7">
      <c r="D951" s="63" t="str">
        <f>IFERROR(VLOOKUP(C951,'Parts Legend'!$B:$C,2,FALSE),"")</f>
        <v/>
      </c>
      <c r="E951" s="57"/>
      <c r="G951" s="62" t="str">
        <f t="shared" si="20"/>
        <v/>
      </c>
    </row>
    <row r="952" spans="4:7">
      <c r="D952" s="63" t="str">
        <f>IFERROR(VLOOKUP(C952,'Parts Legend'!$B:$C,2,FALSE),"")</f>
        <v/>
      </c>
      <c r="E952" s="57"/>
      <c r="G952" s="62" t="str">
        <f t="shared" si="20"/>
        <v/>
      </c>
    </row>
    <row r="953" spans="4:7">
      <c r="D953" s="63" t="str">
        <f>IFERROR(VLOOKUP(C953,'Parts Legend'!$B:$C,2,FALSE),"")</f>
        <v/>
      </c>
      <c r="E953" s="57"/>
      <c r="G953" s="62" t="str">
        <f t="shared" si="20"/>
        <v/>
      </c>
    </row>
    <row r="954" spans="4:7">
      <c r="D954" s="63" t="str">
        <f>IFERROR(VLOOKUP(C954,'Parts Legend'!$B:$C,2,FALSE),"")</f>
        <v/>
      </c>
      <c r="E954" s="57"/>
      <c r="G954" s="62" t="str">
        <f t="shared" si="20"/>
        <v/>
      </c>
    </row>
    <row r="955" spans="4:7">
      <c r="D955" s="63" t="str">
        <f>IFERROR(VLOOKUP(C955,'Parts Legend'!$B:$C,2,FALSE),"")</f>
        <v/>
      </c>
      <c r="E955" s="57"/>
      <c r="G955" s="62" t="str">
        <f t="shared" si="20"/>
        <v/>
      </c>
    </row>
    <row r="956" spans="4:7">
      <c r="D956" s="63" t="str">
        <f>IFERROR(VLOOKUP(C956,'Parts Legend'!$B:$C,2,FALSE),"")</f>
        <v/>
      </c>
      <c r="E956" s="57"/>
      <c r="G956" s="62" t="str">
        <f t="shared" si="20"/>
        <v/>
      </c>
    </row>
    <row r="957" spans="4:7">
      <c r="D957" s="63" t="str">
        <f>IFERROR(VLOOKUP(C957,'Parts Legend'!$B:$C,2,FALSE),"")</f>
        <v/>
      </c>
      <c r="E957" s="57"/>
      <c r="G957" s="62" t="str">
        <f t="shared" si="20"/>
        <v/>
      </c>
    </row>
    <row r="958" spans="4:7">
      <c r="D958" s="63" t="str">
        <f>IFERROR(VLOOKUP(C958,'Parts Legend'!$B:$C,2,FALSE),"")</f>
        <v/>
      </c>
      <c r="E958" s="57"/>
      <c r="G958" s="62" t="str">
        <f t="shared" si="20"/>
        <v/>
      </c>
    </row>
    <row r="959" spans="4:7">
      <c r="D959" s="63" t="str">
        <f>IFERROR(VLOOKUP(C959,'Parts Legend'!$B:$C,2,FALSE),"")</f>
        <v/>
      </c>
      <c r="E959" s="57"/>
      <c r="G959" s="62" t="str">
        <f t="shared" si="20"/>
        <v/>
      </c>
    </row>
    <row r="960" spans="4:7">
      <c r="D960" s="63" t="str">
        <f>IFERROR(VLOOKUP(C960,'Parts Legend'!$B:$C,2,FALSE),"")</f>
        <v/>
      </c>
      <c r="E960" s="57"/>
      <c r="G960" s="62" t="str">
        <f t="shared" si="20"/>
        <v/>
      </c>
    </row>
    <row r="961" spans="4:7">
      <c r="D961" s="63" t="str">
        <f>IFERROR(VLOOKUP(C961,'Parts Legend'!$B:$C,2,FALSE),"")</f>
        <v/>
      </c>
      <c r="E961" s="57"/>
      <c r="G961" s="62" t="str">
        <f t="shared" si="20"/>
        <v/>
      </c>
    </row>
    <row r="962" spans="4:7">
      <c r="D962" s="63" t="str">
        <f>IFERROR(VLOOKUP(C962,'Parts Legend'!$B:$C,2,FALSE),"")</f>
        <v/>
      </c>
      <c r="E962" s="57"/>
      <c r="G962" s="62" t="str">
        <f t="shared" si="20"/>
        <v/>
      </c>
    </row>
    <row r="963" spans="4:7">
      <c r="D963" s="63" t="str">
        <f>IFERROR(VLOOKUP(C963,'Parts Legend'!$B:$C,2,FALSE),"")</f>
        <v/>
      </c>
      <c r="E963" s="57"/>
      <c r="G963" s="62" t="str">
        <f t="shared" si="20"/>
        <v/>
      </c>
    </row>
    <row r="964" spans="4:7">
      <c r="D964" s="63" t="str">
        <f>IFERROR(VLOOKUP(C964,'Parts Legend'!$B:$C,2,FALSE),"")</f>
        <v/>
      </c>
      <c r="E964" s="57"/>
      <c r="G964" s="62" t="str">
        <f t="shared" si="20"/>
        <v/>
      </c>
    </row>
    <row r="965" spans="4:7">
      <c r="D965" s="63" t="str">
        <f>IFERROR(VLOOKUP(C965,'Parts Legend'!$B:$C,2,FALSE),"")</f>
        <v/>
      </c>
      <c r="E965" s="57"/>
      <c r="G965" s="62" t="str">
        <f t="shared" si="20"/>
        <v/>
      </c>
    </row>
    <row r="966" spans="4:7">
      <c r="D966" s="63" t="str">
        <f>IFERROR(VLOOKUP(C966,'Parts Legend'!$B:$C,2,FALSE),"")</f>
        <v/>
      </c>
      <c r="E966" s="57"/>
      <c r="G966" s="62" t="str">
        <f t="shared" si="20"/>
        <v/>
      </c>
    </row>
    <row r="967" spans="4:7">
      <c r="D967" s="63" t="str">
        <f>IFERROR(VLOOKUP(C967,'Parts Legend'!$B:$C,2,FALSE),"")</f>
        <v/>
      </c>
      <c r="E967" s="57"/>
      <c r="G967" s="62" t="str">
        <f t="shared" si="20"/>
        <v/>
      </c>
    </row>
    <row r="968" spans="4:7">
      <c r="D968" s="63" t="str">
        <f>IFERROR(VLOOKUP(C968,'Parts Legend'!$B:$C,2,FALSE),"")</f>
        <v/>
      </c>
      <c r="E968" s="57"/>
      <c r="G968" s="62" t="str">
        <f t="shared" si="20"/>
        <v/>
      </c>
    </row>
    <row r="969" spans="4:7">
      <c r="D969" s="63" t="str">
        <f>IFERROR(VLOOKUP(C969,'Parts Legend'!$B:$C,2,FALSE),"")</f>
        <v/>
      </c>
      <c r="E969" s="57"/>
      <c r="G969" s="62" t="str">
        <f t="shared" si="20"/>
        <v/>
      </c>
    </row>
    <row r="970" spans="4:7">
      <c r="D970" s="63" t="str">
        <f>IFERROR(VLOOKUP(C970,'Parts Legend'!$B:$C,2,FALSE),"")</f>
        <v/>
      </c>
      <c r="E970" s="57"/>
      <c r="G970" s="62" t="str">
        <f t="shared" si="20"/>
        <v/>
      </c>
    </row>
    <row r="971" spans="4:7">
      <c r="D971" s="63" t="str">
        <f>IFERROR(VLOOKUP(C971,'Parts Legend'!$B:$C,2,FALSE),"")</f>
        <v/>
      </c>
      <c r="E971" s="57"/>
      <c r="G971" s="62" t="str">
        <f t="shared" si="20"/>
        <v/>
      </c>
    </row>
    <row r="972" spans="4:7">
      <c r="D972" s="63" t="str">
        <f>IFERROR(VLOOKUP(C972,'Parts Legend'!$B:$C,2,FALSE),"")</f>
        <v/>
      </c>
      <c r="E972" s="57"/>
      <c r="G972" s="62" t="str">
        <f t="shared" si="20"/>
        <v/>
      </c>
    </row>
    <row r="973" spans="4:7">
      <c r="D973" s="63" t="str">
        <f>IFERROR(VLOOKUP(C973,'Parts Legend'!$B:$C,2,FALSE),"")</f>
        <v/>
      </c>
      <c r="E973" s="57"/>
      <c r="G973" s="62" t="str">
        <f t="shared" si="20"/>
        <v/>
      </c>
    </row>
    <row r="974" spans="4:7">
      <c r="D974" s="63" t="str">
        <f>IFERROR(VLOOKUP(C974,'Parts Legend'!$B:$C,2,FALSE),"")</f>
        <v/>
      </c>
      <c r="E974" s="57"/>
      <c r="G974" s="62" t="str">
        <f t="shared" si="20"/>
        <v/>
      </c>
    </row>
    <row r="975" spans="4:7">
      <c r="D975" s="63" t="str">
        <f>IFERROR(VLOOKUP(C975,'Parts Legend'!$B:$C,2,FALSE),"")</f>
        <v/>
      </c>
      <c r="E975" s="57"/>
      <c r="G975" s="62" t="str">
        <f t="shared" si="20"/>
        <v/>
      </c>
    </row>
    <row r="976" spans="4:7">
      <c r="D976" s="63" t="str">
        <f>IFERROR(VLOOKUP(C976,'Parts Legend'!$B:$C,2,FALSE),"")</f>
        <v/>
      </c>
      <c r="E976" s="57"/>
      <c r="G976" s="62" t="str">
        <f t="shared" si="20"/>
        <v/>
      </c>
    </row>
    <row r="977" spans="4:7">
      <c r="D977" s="63" t="str">
        <f>IFERROR(VLOOKUP(C977,'Parts Legend'!$B:$C,2,FALSE),"")</f>
        <v/>
      </c>
      <c r="E977" s="57"/>
      <c r="G977" s="62" t="str">
        <f t="shared" si="20"/>
        <v/>
      </c>
    </row>
    <row r="978" spans="4:7">
      <c r="D978" s="63" t="str">
        <f>IFERROR(VLOOKUP(C978,'Parts Legend'!$B:$C,2,FALSE),"")</f>
        <v/>
      </c>
      <c r="E978" s="57"/>
      <c r="G978" s="62" t="str">
        <f t="shared" si="20"/>
        <v/>
      </c>
    </row>
    <row r="979" spans="4:7">
      <c r="D979" s="63" t="str">
        <f>IFERROR(VLOOKUP(C979,'Parts Legend'!$B:$C,2,FALSE),"")</f>
        <v/>
      </c>
      <c r="E979" s="57"/>
      <c r="G979" s="62" t="str">
        <f t="shared" si="20"/>
        <v/>
      </c>
    </row>
    <row r="980" spans="4:7">
      <c r="D980" s="63" t="str">
        <f>IFERROR(VLOOKUP(C980,'Parts Legend'!$B:$C,2,FALSE),"")</f>
        <v/>
      </c>
      <c r="E980" s="57"/>
      <c r="G980" s="62" t="str">
        <f t="shared" si="20"/>
        <v/>
      </c>
    </row>
    <row r="981" spans="4:7">
      <c r="D981" s="63" t="str">
        <f>IFERROR(VLOOKUP(C981,'Parts Legend'!$B:$C,2,FALSE),"")</f>
        <v/>
      </c>
      <c r="E981" s="57"/>
      <c r="G981" s="62" t="str">
        <f t="shared" si="20"/>
        <v/>
      </c>
    </row>
    <row r="982" spans="4:7">
      <c r="D982" s="63" t="str">
        <f>IFERROR(VLOOKUP(C982,'Parts Legend'!$B:$C,2,FALSE),"")</f>
        <v/>
      </c>
      <c r="E982" s="57"/>
      <c r="G982" s="62" t="str">
        <f t="shared" si="20"/>
        <v/>
      </c>
    </row>
    <row r="983" spans="4:7">
      <c r="D983" s="63" t="str">
        <f>IFERROR(VLOOKUP(C983,'Parts Legend'!$B:$C,2,FALSE),"")</f>
        <v/>
      </c>
      <c r="E983" s="57"/>
      <c r="G983" s="62" t="str">
        <f t="shared" si="20"/>
        <v/>
      </c>
    </row>
    <row r="984" spans="4:7">
      <c r="D984" s="63" t="str">
        <f>IFERROR(VLOOKUP(C984,'Parts Legend'!$B:$C,2,FALSE),"")</f>
        <v/>
      </c>
      <c r="E984" s="57"/>
      <c r="G984" s="62" t="str">
        <f t="shared" si="20"/>
        <v/>
      </c>
    </row>
    <row r="985" spans="4:7">
      <c r="D985" s="63" t="str">
        <f>IFERROR(VLOOKUP(C985,'Parts Legend'!$B:$C,2,FALSE),"")</f>
        <v/>
      </c>
      <c r="E985" s="57"/>
      <c r="G985" s="62" t="str">
        <f t="shared" si="20"/>
        <v/>
      </c>
    </row>
    <row r="986" spans="4:7">
      <c r="D986" s="63" t="str">
        <f>IFERROR(VLOOKUP(C986,'Parts Legend'!$B:$C,2,FALSE),"")</f>
        <v/>
      </c>
      <c r="E986" s="57"/>
      <c r="G986" s="62" t="str">
        <f t="shared" si="20"/>
        <v/>
      </c>
    </row>
    <row r="987" spans="4:7">
      <c r="D987" s="63" t="str">
        <f>IFERROR(VLOOKUP(C987,'Parts Legend'!$B:$C,2,FALSE),"")</f>
        <v/>
      </c>
      <c r="E987" s="57"/>
      <c r="G987" s="62" t="str">
        <f t="shared" si="20"/>
        <v/>
      </c>
    </row>
    <row r="988" spans="4:7">
      <c r="D988" s="63" t="str">
        <f>IFERROR(VLOOKUP(C988,'Parts Legend'!$B:$C,2,FALSE),"")</f>
        <v/>
      </c>
      <c r="E988" s="57"/>
      <c r="G988" s="62" t="str">
        <f t="shared" si="20"/>
        <v/>
      </c>
    </row>
    <row r="989" spans="4:7">
      <c r="D989" s="63" t="str">
        <f>IFERROR(VLOOKUP(C989,'Parts Legend'!$B:$C,2,FALSE),"")</f>
        <v/>
      </c>
      <c r="E989" s="57"/>
      <c r="G989" s="62" t="str">
        <f t="shared" si="20"/>
        <v/>
      </c>
    </row>
    <row r="990" spans="4:7">
      <c r="D990" s="63" t="str">
        <f>IFERROR(VLOOKUP(C990,'Parts Legend'!$B:$C,2,FALSE),"")</f>
        <v/>
      </c>
      <c r="E990" s="57"/>
      <c r="G990" s="62" t="str">
        <f t="shared" si="20"/>
        <v/>
      </c>
    </row>
    <row r="991" spans="4:7">
      <c r="D991" s="63" t="str">
        <f>IFERROR(VLOOKUP(C991,'Parts Legend'!$B:$C,2,FALSE),"")</f>
        <v/>
      </c>
      <c r="E991" s="57"/>
      <c r="G991" s="62" t="str">
        <f t="shared" si="20"/>
        <v/>
      </c>
    </row>
    <row r="992" spans="4:7">
      <c r="D992" s="63" t="str">
        <f>IFERROR(VLOOKUP(C992,'Parts Legend'!$B:$C,2,FALSE),"")</f>
        <v/>
      </c>
      <c r="E992" s="57"/>
      <c r="G992" s="62" t="str">
        <f t="shared" si="20"/>
        <v/>
      </c>
    </row>
    <row r="993" spans="4:7">
      <c r="D993" s="63" t="str">
        <f>IFERROR(VLOOKUP(C993,'Parts Legend'!$B:$C,2,FALSE),"")</f>
        <v/>
      </c>
      <c r="E993" s="57"/>
      <c r="G993" s="62" t="str">
        <f t="shared" si="20"/>
        <v/>
      </c>
    </row>
    <row r="994" spans="4:7">
      <c r="D994" s="63" t="str">
        <f>IFERROR(VLOOKUP(C994,'Parts Legend'!$B:$C,2,FALSE),"")</f>
        <v/>
      </c>
      <c r="E994" s="57"/>
      <c r="G994" s="62" t="str">
        <f t="shared" si="20"/>
        <v/>
      </c>
    </row>
    <row r="995" spans="4:7">
      <c r="D995" s="63" t="str">
        <f>IFERROR(VLOOKUP(C995,'Parts Legend'!$B:$C,2,FALSE),"")</f>
        <v/>
      </c>
      <c r="E995" s="57"/>
      <c r="G995" s="62" t="str">
        <f t="shared" si="20"/>
        <v/>
      </c>
    </row>
    <row r="996" spans="4:7">
      <c r="D996" s="63" t="str">
        <f>IFERROR(VLOOKUP(C996,'Parts Legend'!$B:$C,2,FALSE),"")</f>
        <v/>
      </c>
      <c r="E996" s="57"/>
      <c r="G996" s="62" t="str">
        <f t="shared" si="20"/>
        <v/>
      </c>
    </row>
    <row r="997" spans="4:7">
      <c r="D997" s="63" t="str">
        <f>IFERROR(VLOOKUP(C997,'Parts Legend'!$B:$C,2,FALSE),"")</f>
        <v/>
      </c>
      <c r="E997" s="57"/>
      <c r="G997" s="62" t="str">
        <f t="shared" si="20"/>
        <v/>
      </c>
    </row>
    <row r="998" spans="4:7">
      <c r="D998" s="63" t="str">
        <f>IFERROR(VLOOKUP(C998,'Parts Legend'!$B:$C,2,FALSE),"")</f>
        <v/>
      </c>
      <c r="E998" s="57"/>
      <c r="G998" s="62" t="str">
        <f t="shared" si="20"/>
        <v/>
      </c>
    </row>
    <row r="999" spans="4:7">
      <c r="D999" s="63" t="str">
        <f>IFERROR(VLOOKUP(C999,'Parts Legend'!$B:$C,2,FALSE),"")</f>
        <v/>
      </c>
      <c r="E999" s="57"/>
      <c r="G999" s="62" t="str">
        <f t="shared" si="20"/>
        <v/>
      </c>
    </row>
    <row r="1000" spans="4:7">
      <c r="D1000" s="63" t="str">
        <f>IFERROR(VLOOKUP(C1000,'Parts Legend'!$B:$C,2,FALSE),"")</f>
        <v/>
      </c>
      <c r="E1000" s="57"/>
      <c r="G1000" s="62" t="str">
        <f t="shared" ref="G1000:G1063" si="21">IF(B1000="","",(B1000-WEEKDAY(B1000,3)))</f>
        <v/>
      </c>
    </row>
    <row r="1001" spans="4:7">
      <c r="D1001" s="63" t="str">
        <f>IFERROR(VLOOKUP(C1001,'Parts Legend'!$B:$C,2,FALSE),"")</f>
        <v/>
      </c>
      <c r="E1001" s="57"/>
      <c r="G1001" s="62" t="str">
        <f t="shared" si="21"/>
        <v/>
      </c>
    </row>
    <row r="1002" spans="4:7">
      <c r="D1002" s="63" t="str">
        <f>IFERROR(VLOOKUP(C1002,'Parts Legend'!$B:$C,2,FALSE),"")</f>
        <v/>
      </c>
      <c r="E1002" s="57"/>
      <c r="G1002" s="62" t="str">
        <f t="shared" si="21"/>
        <v/>
      </c>
    </row>
    <row r="1003" spans="4:7">
      <c r="D1003" s="63" t="str">
        <f>IFERROR(VLOOKUP(C1003,'Parts Legend'!$B:$C,2,FALSE),"")</f>
        <v/>
      </c>
      <c r="E1003" s="57"/>
      <c r="G1003" s="62" t="str">
        <f t="shared" si="21"/>
        <v/>
      </c>
    </row>
    <row r="1004" spans="4:7">
      <c r="D1004" s="63" t="str">
        <f>IFERROR(VLOOKUP(C1004,'Parts Legend'!$B:$C,2,FALSE),"")</f>
        <v/>
      </c>
      <c r="E1004" s="57"/>
      <c r="G1004" s="62" t="str">
        <f t="shared" si="21"/>
        <v/>
      </c>
    </row>
    <row r="1005" spans="4:7">
      <c r="D1005" s="63" t="str">
        <f>IFERROR(VLOOKUP(C1005,'Parts Legend'!$B:$C,2,FALSE),"")</f>
        <v/>
      </c>
      <c r="E1005" s="57"/>
      <c r="G1005" s="62" t="str">
        <f t="shared" si="21"/>
        <v/>
      </c>
    </row>
    <row r="1006" spans="4:7">
      <c r="D1006" s="63" t="str">
        <f>IFERROR(VLOOKUP(C1006,'Parts Legend'!$B:$C,2,FALSE),"")</f>
        <v/>
      </c>
      <c r="E1006" s="57"/>
      <c r="G1006" s="62" t="str">
        <f t="shared" si="21"/>
        <v/>
      </c>
    </row>
    <row r="1007" spans="4:7">
      <c r="D1007" s="63" t="str">
        <f>IFERROR(VLOOKUP(C1007,'Parts Legend'!$B:$C,2,FALSE),"")</f>
        <v/>
      </c>
      <c r="E1007" s="57"/>
      <c r="G1007" s="62" t="str">
        <f t="shared" si="21"/>
        <v/>
      </c>
    </row>
    <row r="1008" spans="4:7">
      <c r="D1008" s="63" t="str">
        <f>IFERROR(VLOOKUP(C1008,'Parts Legend'!$B:$C,2,FALSE),"")</f>
        <v/>
      </c>
      <c r="E1008" s="57"/>
      <c r="G1008" s="62" t="str">
        <f t="shared" si="21"/>
        <v/>
      </c>
    </row>
    <row r="1009" spans="4:7">
      <c r="D1009" s="63" t="str">
        <f>IFERROR(VLOOKUP(C1009,'Parts Legend'!$B:$C,2,FALSE),"")</f>
        <v/>
      </c>
      <c r="E1009" s="57"/>
      <c r="G1009" s="62" t="str">
        <f t="shared" si="21"/>
        <v/>
      </c>
    </row>
    <row r="1010" spans="4:7">
      <c r="D1010" s="63" t="str">
        <f>IFERROR(VLOOKUP(C1010,'Parts Legend'!$B:$C,2,FALSE),"")</f>
        <v/>
      </c>
      <c r="E1010" s="57"/>
      <c r="G1010" s="62" t="str">
        <f t="shared" si="21"/>
        <v/>
      </c>
    </row>
    <row r="1011" spans="4:7">
      <c r="D1011" s="63" t="str">
        <f>IFERROR(VLOOKUP(C1011,'Parts Legend'!$B:$C,2,FALSE),"")</f>
        <v/>
      </c>
      <c r="E1011" s="57"/>
      <c r="G1011" s="62" t="str">
        <f t="shared" si="21"/>
        <v/>
      </c>
    </row>
    <row r="1012" spans="4:7">
      <c r="D1012" s="63" t="str">
        <f>IFERROR(VLOOKUP(C1012,'Parts Legend'!$B:$C,2,FALSE),"")</f>
        <v/>
      </c>
      <c r="E1012" s="57"/>
      <c r="G1012" s="62" t="str">
        <f t="shared" si="21"/>
        <v/>
      </c>
    </row>
    <row r="1013" spans="4:7">
      <c r="D1013" s="63" t="str">
        <f>IFERROR(VLOOKUP(C1013,'Parts Legend'!$B:$C,2,FALSE),"")</f>
        <v/>
      </c>
      <c r="E1013" s="57"/>
      <c r="G1013" s="62" t="str">
        <f t="shared" si="21"/>
        <v/>
      </c>
    </row>
    <row r="1014" spans="4:7">
      <c r="D1014" s="63" t="str">
        <f>IFERROR(VLOOKUP(C1014,'Parts Legend'!$B:$C,2,FALSE),"")</f>
        <v/>
      </c>
      <c r="E1014" s="57"/>
      <c r="G1014" s="62" t="str">
        <f t="shared" si="21"/>
        <v/>
      </c>
    </row>
    <row r="1015" spans="4:7">
      <c r="D1015" s="63" t="str">
        <f>IFERROR(VLOOKUP(C1015,'Parts Legend'!$B:$C,2,FALSE),"")</f>
        <v/>
      </c>
      <c r="E1015" s="57"/>
      <c r="G1015" s="62" t="str">
        <f t="shared" si="21"/>
        <v/>
      </c>
    </row>
    <row r="1016" spans="4:7">
      <c r="D1016" s="63" t="str">
        <f>IFERROR(VLOOKUP(C1016,'Parts Legend'!$B:$C,2,FALSE),"")</f>
        <v/>
      </c>
      <c r="E1016" s="57"/>
      <c r="G1016" s="62" t="str">
        <f t="shared" si="21"/>
        <v/>
      </c>
    </row>
    <row r="1017" spans="4:7">
      <c r="D1017" s="63" t="str">
        <f>IFERROR(VLOOKUP(C1017,'Parts Legend'!$B:$C,2,FALSE),"")</f>
        <v/>
      </c>
      <c r="E1017" s="57"/>
      <c r="G1017" s="62" t="str">
        <f t="shared" si="21"/>
        <v/>
      </c>
    </row>
    <row r="1018" spans="4:7">
      <c r="D1018" s="63" t="str">
        <f>IFERROR(VLOOKUP(C1018,'Parts Legend'!$B:$C,2,FALSE),"")</f>
        <v/>
      </c>
      <c r="E1018" s="57"/>
      <c r="G1018" s="62" t="str">
        <f t="shared" si="21"/>
        <v/>
      </c>
    </row>
    <row r="1019" spans="4:7">
      <c r="D1019" s="63" t="str">
        <f>IFERROR(VLOOKUP(C1019,'Parts Legend'!$B:$C,2,FALSE),"")</f>
        <v/>
      </c>
      <c r="E1019" s="57"/>
      <c r="G1019" s="62" t="str">
        <f t="shared" si="21"/>
        <v/>
      </c>
    </row>
    <row r="1020" spans="4:7">
      <c r="D1020" s="63" t="str">
        <f>IFERROR(VLOOKUP(C1020,'Parts Legend'!$B:$C,2,FALSE),"")</f>
        <v/>
      </c>
      <c r="E1020" s="57"/>
      <c r="G1020" s="62" t="str">
        <f t="shared" si="21"/>
        <v/>
      </c>
    </row>
    <row r="1021" spans="4:7">
      <c r="D1021" s="63" t="str">
        <f>IFERROR(VLOOKUP(C1021,'Parts Legend'!$B:$C,2,FALSE),"")</f>
        <v/>
      </c>
      <c r="E1021" s="57"/>
      <c r="G1021" s="62" t="str">
        <f t="shared" si="21"/>
        <v/>
      </c>
    </row>
    <row r="1022" spans="4:7">
      <c r="D1022" s="63" t="str">
        <f>IFERROR(VLOOKUP(C1022,'Parts Legend'!$B:$C,2,FALSE),"")</f>
        <v/>
      </c>
      <c r="E1022" s="57"/>
      <c r="G1022" s="62" t="str">
        <f t="shared" si="21"/>
        <v/>
      </c>
    </row>
    <row r="1023" spans="4:7">
      <c r="D1023" s="63" t="str">
        <f>IFERROR(VLOOKUP(C1023,'Parts Legend'!$B:$C,2,FALSE),"")</f>
        <v/>
      </c>
      <c r="E1023" s="57"/>
      <c r="G1023" s="62" t="str">
        <f t="shared" si="21"/>
        <v/>
      </c>
    </row>
    <row r="1024" spans="4:7">
      <c r="D1024" s="63" t="str">
        <f>IFERROR(VLOOKUP(C1024,'Parts Legend'!$B:$C,2,FALSE),"")</f>
        <v/>
      </c>
      <c r="E1024" s="57"/>
      <c r="G1024" s="62" t="str">
        <f t="shared" si="21"/>
        <v/>
      </c>
    </row>
    <row r="1025" spans="4:7">
      <c r="D1025" s="63" t="str">
        <f>IFERROR(VLOOKUP(C1025,'Parts Legend'!$B:$C,2,FALSE),"")</f>
        <v/>
      </c>
      <c r="E1025" s="57"/>
      <c r="G1025" s="62" t="str">
        <f t="shared" si="21"/>
        <v/>
      </c>
    </row>
    <row r="1026" spans="4:7">
      <c r="D1026" s="63" t="str">
        <f>IFERROR(VLOOKUP(C1026,'Parts Legend'!$B:$C,2,FALSE),"")</f>
        <v/>
      </c>
      <c r="E1026" s="57"/>
      <c r="G1026" s="62" t="str">
        <f t="shared" si="21"/>
        <v/>
      </c>
    </row>
    <row r="1027" spans="4:7">
      <c r="D1027" s="63" t="str">
        <f>IFERROR(VLOOKUP(C1027,'Parts Legend'!$B:$C,2,FALSE),"")</f>
        <v/>
      </c>
      <c r="E1027" s="57"/>
      <c r="G1027" s="62" t="str">
        <f t="shared" si="21"/>
        <v/>
      </c>
    </row>
    <row r="1028" spans="4:7">
      <c r="D1028" s="63" t="str">
        <f>IFERROR(VLOOKUP(C1028,'Parts Legend'!$B:$C,2,FALSE),"")</f>
        <v/>
      </c>
      <c r="E1028" s="57"/>
      <c r="G1028" s="62" t="str">
        <f t="shared" si="21"/>
        <v/>
      </c>
    </row>
    <row r="1029" spans="4:7">
      <c r="D1029" s="63" t="str">
        <f>IFERROR(VLOOKUP(C1029,'Parts Legend'!$B:$C,2,FALSE),"")</f>
        <v/>
      </c>
      <c r="E1029" s="57"/>
      <c r="G1029" s="62" t="str">
        <f t="shared" si="21"/>
        <v/>
      </c>
    </row>
    <row r="1030" spans="4:7">
      <c r="D1030" s="63" t="str">
        <f>IFERROR(VLOOKUP(C1030,'Parts Legend'!$B:$C,2,FALSE),"")</f>
        <v/>
      </c>
      <c r="E1030" s="57"/>
      <c r="G1030" s="62" t="str">
        <f t="shared" si="21"/>
        <v/>
      </c>
    </row>
    <row r="1031" spans="4:7">
      <c r="D1031" s="63" t="str">
        <f>IFERROR(VLOOKUP(C1031,'Parts Legend'!$B:$C,2,FALSE),"")</f>
        <v/>
      </c>
      <c r="E1031" s="57"/>
      <c r="G1031" s="62" t="str">
        <f t="shared" si="21"/>
        <v/>
      </c>
    </row>
    <row r="1032" spans="4:7">
      <c r="D1032" s="63" t="str">
        <f>IFERROR(VLOOKUP(C1032,'Parts Legend'!$B:$C,2,FALSE),"")</f>
        <v/>
      </c>
      <c r="E1032" s="57"/>
      <c r="G1032" s="62" t="str">
        <f t="shared" si="21"/>
        <v/>
      </c>
    </row>
    <row r="1033" spans="4:7">
      <c r="D1033" s="63" t="str">
        <f>IFERROR(VLOOKUP(C1033,'Parts Legend'!$B:$C,2,FALSE),"")</f>
        <v/>
      </c>
      <c r="E1033" s="57"/>
      <c r="G1033" s="62" t="str">
        <f t="shared" si="21"/>
        <v/>
      </c>
    </row>
    <row r="1034" spans="4:7">
      <c r="D1034" s="63" t="str">
        <f>IFERROR(VLOOKUP(C1034,'Parts Legend'!$B:$C,2,FALSE),"")</f>
        <v/>
      </c>
      <c r="E1034" s="57"/>
      <c r="G1034" s="62" t="str">
        <f t="shared" si="21"/>
        <v/>
      </c>
    </row>
    <row r="1035" spans="4:7">
      <c r="D1035" s="63" t="str">
        <f>IFERROR(VLOOKUP(C1035,'Parts Legend'!$B:$C,2,FALSE),"")</f>
        <v/>
      </c>
      <c r="E1035" s="57"/>
      <c r="G1035" s="62" t="str">
        <f t="shared" si="21"/>
        <v/>
      </c>
    </row>
    <row r="1036" spans="4:7">
      <c r="D1036" s="63" t="str">
        <f>IFERROR(VLOOKUP(C1036,'Parts Legend'!$B:$C,2,FALSE),"")</f>
        <v/>
      </c>
      <c r="E1036" s="57"/>
      <c r="G1036" s="62" t="str">
        <f t="shared" si="21"/>
        <v/>
      </c>
    </row>
    <row r="1037" spans="4:7">
      <c r="D1037" s="63" t="str">
        <f>IFERROR(VLOOKUP(C1037,'Parts Legend'!$B:$C,2,FALSE),"")</f>
        <v/>
      </c>
      <c r="E1037" s="57"/>
      <c r="G1037" s="62" t="str">
        <f t="shared" si="21"/>
        <v/>
      </c>
    </row>
    <row r="1038" spans="4:7">
      <c r="D1038" s="63" t="str">
        <f>IFERROR(VLOOKUP(C1038,'Parts Legend'!$B:$C,2,FALSE),"")</f>
        <v/>
      </c>
      <c r="E1038" s="57"/>
      <c r="G1038" s="62" t="str">
        <f t="shared" si="21"/>
        <v/>
      </c>
    </row>
    <row r="1039" spans="4:7">
      <c r="D1039" s="63" t="str">
        <f>IFERROR(VLOOKUP(C1039,'Parts Legend'!$B:$C,2,FALSE),"")</f>
        <v/>
      </c>
      <c r="E1039" s="57"/>
      <c r="G1039" s="62" t="str">
        <f t="shared" si="21"/>
        <v/>
      </c>
    </row>
    <row r="1040" spans="4:7">
      <c r="D1040" s="63" t="str">
        <f>IFERROR(VLOOKUP(C1040,'Parts Legend'!$B:$C,2,FALSE),"")</f>
        <v/>
      </c>
      <c r="E1040" s="57"/>
      <c r="G1040" s="62" t="str">
        <f t="shared" si="21"/>
        <v/>
      </c>
    </row>
    <row r="1041" spans="4:7">
      <c r="D1041" s="63" t="str">
        <f>IFERROR(VLOOKUP(C1041,'Parts Legend'!$B:$C,2,FALSE),"")</f>
        <v/>
      </c>
      <c r="E1041" s="57"/>
      <c r="G1041" s="62" t="str">
        <f t="shared" si="21"/>
        <v/>
      </c>
    </row>
    <row r="1042" spans="4:7">
      <c r="D1042" s="63" t="str">
        <f>IFERROR(VLOOKUP(C1042,'Parts Legend'!$B:$C,2,FALSE),"")</f>
        <v/>
      </c>
      <c r="E1042" s="57"/>
      <c r="G1042" s="62" t="str">
        <f t="shared" si="21"/>
        <v/>
      </c>
    </row>
    <row r="1043" spans="4:7">
      <c r="D1043" s="63" t="str">
        <f>IFERROR(VLOOKUP(C1043,'Parts Legend'!$B:$C,2,FALSE),"")</f>
        <v/>
      </c>
      <c r="E1043" s="57"/>
      <c r="G1043" s="62" t="str">
        <f t="shared" si="21"/>
        <v/>
      </c>
    </row>
    <row r="1044" spans="4:7">
      <c r="D1044" s="63" t="str">
        <f>IFERROR(VLOOKUP(C1044,'Parts Legend'!$B:$C,2,FALSE),"")</f>
        <v/>
      </c>
      <c r="E1044" s="57"/>
      <c r="G1044" s="62" t="str">
        <f t="shared" si="21"/>
        <v/>
      </c>
    </row>
    <row r="1045" spans="4:7">
      <c r="D1045" s="63" t="str">
        <f>IFERROR(VLOOKUP(C1045,'Parts Legend'!$B:$C,2,FALSE),"")</f>
        <v/>
      </c>
      <c r="E1045" s="57"/>
      <c r="G1045" s="62" t="str">
        <f t="shared" si="21"/>
        <v/>
      </c>
    </row>
    <row r="1046" spans="4:7">
      <c r="D1046" s="63" t="str">
        <f>IFERROR(VLOOKUP(C1046,'Parts Legend'!$B:$C,2,FALSE),"")</f>
        <v/>
      </c>
      <c r="E1046" s="57"/>
      <c r="G1046" s="62" t="str">
        <f t="shared" si="21"/>
        <v/>
      </c>
    </row>
    <row r="1047" spans="4:7">
      <c r="D1047" s="63" t="str">
        <f>IFERROR(VLOOKUP(C1047,'Parts Legend'!$B:$C,2,FALSE),"")</f>
        <v/>
      </c>
      <c r="E1047" s="57"/>
      <c r="G1047" s="62" t="str">
        <f t="shared" si="21"/>
        <v/>
      </c>
    </row>
    <row r="1048" spans="4:7">
      <c r="D1048" s="63" t="str">
        <f>IFERROR(VLOOKUP(C1048,'Parts Legend'!$B:$C,2,FALSE),"")</f>
        <v/>
      </c>
      <c r="E1048" s="57"/>
      <c r="G1048" s="62" t="str">
        <f t="shared" si="21"/>
        <v/>
      </c>
    </row>
    <row r="1049" spans="4:7">
      <c r="D1049" s="63" t="str">
        <f>IFERROR(VLOOKUP(C1049,'Parts Legend'!$B:$C,2,FALSE),"")</f>
        <v/>
      </c>
      <c r="E1049" s="57"/>
      <c r="G1049" s="62" t="str">
        <f t="shared" si="21"/>
        <v/>
      </c>
    </row>
    <row r="1050" spans="4:7">
      <c r="D1050" s="63" t="str">
        <f>IFERROR(VLOOKUP(C1050,'Parts Legend'!$B:$C,2,FALSE),"")</f>
        <v/>
      </c>
      <c r="E1050" s="57"/>
      <c r="G1050" s="62" t="str">
        <f t="shared" si="21"/>
        <v/>
      </c>
    </row>
    <row r="1051" spans="4:7">
      <c r="D1051" s="63" t="str">
        <f>IFERROR(VLOOKUP(C1051,'Parts Legend'!$B:$C,2,FALSE),"")</f>
        <v/>
      </c>
      <c r="E1051" s="57"/>
      <c r="G1051" s="62" t="str">
        <f t="shared" si="21"/>
        <v/>
      </c>
    </row>
    <row r="1052" spans="4:7">
      <c r="D1052" s="63" t="str">
        <f>IFERROR(VLOOKUP(C1052,'Parts Legend'!$B:$C,2,FALSE),"")</f>
        <v/>
      </c>
      <c r="E1052" s="57"/>
      <c r="G1052" s="62" t="str">
        <f t="shared" si="21"/>
        <v/>
      </c>
    </row>
    <row r="1053" spans="4:7">
      <c r="D1053" s="63" t="str">
        <f>IFERROR(VLOOKUP(C1053,'Parts Legend'!$B:$C,2,FALSE),"")</f>
        <v/>
      </c>
      <c r="E1053" s="57"/>
      <c r="G1053" s="62" t="str">
        <f t="shared" si="21"/>
        <v/>
      </c>
    </row>
    <row r="1054" spans="4:7">
      <c r="D1054" s="63" t="str">
        <f>IFERROR(VLOOKUP(C1054,'Parts Legend'!$B:$C,2,FALSE),"")</f>
        <v/>
      </c>
      <c r="E1054" s="57"/>
      <c r="G1054" s="62" t="str">
        <f t="shared" si="21"/>
        <v/>
      </c>
    </row>
    <row r="1055" spans="4:7">
      <c r="D1055" s="63" t="str">
        <f>IFERROR(VLOOKUP(C1055,'Parts Legend'!$B:$C,2,FALSE),"")</f>
        <v/>
      </c>
      <c r="E1055" s="57"/>
      <c r="G1055" s="62" t="str">
        <f t="shared" si="21"/>
        <v/>
      </c>
    </row>
    <row r="1056" spans="4:7">
      <c r="D1056" s="63" t="str">
        <f>IFERROR(VLOOKUP(C1056,'Parts Legend'!$B:$C,2,FALSE),"")</f>
        <v/>
      </c>
      <c r="E1056" s="57"/>
      <c r="G1056" s="62" t="str">
        <f t="shared" si="21"/>
        <v/>
      </c>
    </row>
    <row r="1057" spans="4:7">
      <c r="D1057" s="63" t="str">
        <f>IFERROR(VLOOKUP(C1057,'Parts Legend'!$B:$C,2,FALSE),"")</f>
        <v/>
      </c>
      <c r="E1057" s="57"/>
      <c r="G1057" s="62" t="str">
        <f t="shared" si="21"/>
        <v/>
      </c>
    </row>
    <row r="1058" spans="4:7">
      <c r="D1058" s="63" t="str">
        <f>IFERROR(VLOOKUP(C1058,'Parts Legend'!$B:$C,2,FALSE),"")</f>
        <v/>
      </c>
      <c r="E1058" s="57"/>
      <c r="G1058" s="62" t="str">
        <f t="shared" si="21"/>
        <v/>
      </c>
    </row>
    <row r="1059" spans="4:7">
      <c r="D1059" s="63" t="str">
        <f>IFERROR(VLOOKUP(C1059,'Parts Legend'!$B:$C,2,FALSE),"")</f>
        <v/>
      </c>
      <c r="E1059" s="57"/>
      <c r="G1059" s="62" t="str">
        <f t="shared" si="21"/>
        <v/>
      </c>
    </row>
    <row r="1060" spans="4:7">
      <c r="D1060" s="63" t="str">
        <f>IFERROR(VLOOKUP(C1060,'Parts Legend'!$B:$C,2,FALSE),"")</f>
        <v/>
      </c>
      <c r="E1060" s="57"/>
      <c r="G1060" s="62" t="str">
        <f t="shared" si="21"/>
        <v/>
      </c>
    </row>
    <row r="1061" spans="4:7">
      <c r="D1061" s="63" t="str">
        <f>IFERROR(VLOOKUP(C1061,'Parts Legend'!$B:$C,2,FALSE),"")</f>
        <v/>
      </c>
      <c r="E1061" s="57"/>
      <c r="G1061" s="62" t="str">
        <f t="shared" si="21"/>
        <v/>
      </c>
    </row>
    <row r="1062" spans="4:7">
      <c r="D1062" s="63" t="str">
        <f>IFERROR(VLOOKUP(C1062,'Parts Legend'!$B:$C,2,FALSE),"")</f>
        <v/>
      </c>
      <c r="E1062" s="57"/>
      <c r="G1062" s="62" t="str">
        <f t="shared" si="21"/>
        <v/>
      </c>
    </row>
    <row r="1063" spans="4:7">
      <c r="D1063" s="63" t="str">
        <f>IFERROR(VLOOKUP(C1063,'Parts Legend'!$B:$C,2,FALSE),"")</f>
        <v/>
      </c>
      <c r="E1063" s="57"/>
      <c r="G1063" s="62" t="str">
        <f t="shared" si="21"/>
        <v/>
      </c>
    </row>
    <row r="1064" spans="4:7">
      <c r="D1064" s="63" t="str">
        <f>IFERROR(VLOOKUP(C1064,'Parts Legend'!$B:$C,2,FALSE),"")</f>
        <v/>
      </c>
      <c r="E1064" s="57"/>
      <c r="G1064" s="62" t="str">
        <f t="shared" ref="G1064:G1127" si="22">IF(B1064="","",(B1064-WEEKDAY(B1064,3)))</f>
        <v/>
      </c>
    </row>
    <row r="1065" spans="4:7">
      <c r="D1065" s="63" t="str">
        <f>IFERROR(VLOOKUP(C1065,'Parts Legend'!$B:$C,2,FALSE),"")</f>
        <v/>
      </c>
      <c r="E1065" s="57"/>
      <c r="G1065" s="62" t="str">
        <f t="shared" si="22"/>
        <v/>
      </c>
    </row>
    <row r="1066" spans="4:7">
      <c r="D1066" s="63" t="str">
        <f>IFERROR(VLOOKUP(C1066,'Parts Legend'!$B:$C,2,FALSE),"")</f>
        <v/>
      </c>
      <c r="E1066" s="57"/>
      <c r="G1066" s="62" t="str">
        <f t="shared" si="22"/>
        <v/>
      </c>
    </row>
    <row r="1067" spans="4:7">
      <c r="D1067" s="63" t="str">
        <f>IFERROR(VLOOKUP(C1067,'Parts Legend'!$B:$C,2,FALSE),"")</f>
        <v/>
      </c>
      <c r="E1067" s="57"/>
      <c r="G1067" s="62" t="str">
        <f t="shared" si="22"/>
        <v/>
      </c>
    </row>
    <row r="1068" spans="4:7">
      <c r="D1068" s="63" t="str">
        <f>IFERROR(VLOOKUP(C1068,'Parts Legend'!$B:$C,2,FALSE),"")</f>
        <v/>
      </c>
      <c r="E1068" s="57"/>
      <c r="G1068" s="62" t="str">
        <f t="shared" si="22"/>
        <v/>
      </c>
    </row>
    <row r="1069" spans="4:7">
      <c r="D1069" s="63" t="str">
        <f>IFERROR(VLOOKUP(C1069,'Parts Legend'!$B:$C,2,FALSE),"")</f>
        <v/>
      </c>
      <c r="E1069" s="57"/>
      <c r="G1069" s="62" t="str">
        <f t="shared" si="22"/>
        <v/>
      </c>
    </row>
    <row r="1070" spans="4:7">
      <c r="D1070" s="63" t="str">
        <f>IFERROR(VLOOKUP(C1070,'Parts Legend'!$B:$C,2,FALSE),"")</f>
        <v/>
      </c>
      <c r="E1070" s="57"/>
      <c r="G1070" s="62" t="str">
        <f t="shared" si="22"/>
        <v/>
      </c>
    </row>
    <row r="1071" spans="4:7">
      <c r="D1071" s="63" t="str">
        <f>IFERROR(VLOOKUP(C1071,'Parts Legend'!$B:$C,2,FALSE),"")</f>
        <v/>
      </c>
      <c r="E1071" s="57"/>
      <c r="G1071" s="62" t="str">
        <f t="shared" si="22"/>
        <v/>
      </c>
    </row>
    <row r="1072" spans="4:7">
      <c r="D1072" s="63" t="str">
        <f>IFERROR(VLOOKUP(C1072,'Parts Legend'!$B:$C,2,FALSE),"")</f>
        <v/>
      </c>
      <c r="E1072" s="57"/>
      <c r="G1072" s="62" t="str">
        <f t="shared" si="22"/>
        <v/>
      </c>
    </row>
    <row r="1073" spans="4:7">
      <c r="D1073" s="63" t="str">
        <f>IFERROR(VLOOKUP(C1073,'Parts Legend'!$B:$C,2,FALSE),"")</f>
        <v/>
      </c>
      <c r="E1073" s="57"/>
      <c r="G1073" s="62" t="str">
        <f t="shared" si="22"/>
        <v/>
      </c>
    </row>
    <row r="1074" spans="4:7">
      <c r="D1074" s="63" t="str">
        <f>IFERROR(VLOOKUP(C1074,'Parts Legend'!$B:$C,2,FALSE),"")</f>
        <v/>
      </c>
      <c r="E1074" s="57"/>
      <c r="G1074" s="62" t="str">
        <f t="shared" si="22"/>
        <v/>
      </c>
    </row>
    <row r="1075" spans="4:7">
      <c r="D1075" s="63" t="str">
        <f>IFERROR(VLOOKUP(C1075,'Parts Legend'!$B:$C,2,FALSE),"")</f>
        <v/>
      </c>
      <c r="E1075" s="57"/>
      <c r="G1075" s="62" t="str">
        <f t="shared" si="22"/>
        <v/>
      </c>
    </row>
    <row r="1076" spans="4:7">
      <c r="D1076" s="63" t="str">
        <f>IFERROR(VLOOKUP(C1076,'Parts Legend'!$B:$C,2,FALSE),"")</f>
        <v/>
      </c>
      <c r="E1076" s="57"/>
      <c r="G1076" s="62" t="str">
        <f t="shared" si="22"/>
        <v/>
      </c>
    </row>
    <row r="1077" spans="4:7">
      <c r="D1077" s="63" t="str">
        <f>IFERROR(VLOOKUP(C1077,'Parts Legend'!$B:$C,2,FALSE),"")</f>
        <v/>
      </c>
      <c r="E1077" s="57"/>
      <c r="G1077" s="62" t="str">
        <f t="shared" si="22"/>
        <v/>
      </c>
    </row>
    <row r="1078" spans="4:7">
      <c r="D1078" s="63" t="str">
        <f>IFERROR(VLOOKUP(C1078,'Parts Legend'!$B:$C,2,FALSE),"")</f>
        <v/>
      </c>
      <c r="E1078" s="57"/>
      <c r="G1078" s="62" t="str">
        <f t="shared" si="22"/>
        <v/>
      </c>
    </row>
    <row r="1079" spans="4:7">
      <c r="D1079" s="63" t="str">
        <f>IFERROR(VLOOKUP(C1079,'Parts Legend'!$B:$C,2,FALSE),"")</f>
        <v/>
      </c>
      <c r="E1079" s="57"/>
      <c r="G1079" s="62" t="str">
        <f t="shared" si="22"/>
        <v/>
      </c>
    </row>
    <row r="1080" spans="4:7">
      <c r="D1080" s="63" t="str">
        <f>IFERROR(VLOOKUP(C1080,'Parts Legend'!$B:$C,2,FALSE),"")</f>
        <v/>
      </c>
      <c r="E1080" s="57"/>
      <c r="G1080" s="62" t="str">
        <f t="shared" si="22"/>
        <v/>
      </c>
    </row>
    <row r="1081" spans="4:7">
      <c r="D1081" s="63" t="str">
        <f>IFERROR(VLOOKUP(C1081,'Parts Legend'!$B:$C,2,FALSE),"")</f>
        <v/>
      </c>
      <c r="E1081" s="57"/>
      <c r="G1081" s="62" t="str">
        <f t="shared" si="22"/>
        <v/>
      </c>
    </row>
    <row r="1082" spans="4:7">
      <c r="D1082" s="63" t="str">
        <f>IFERROR(VLOOKUP(C1082,'Parts Legend'!$B:$C,2,FALSE),"")</f>
        <v/>
      </c>
      <c r="E1082" s="57"/>
      <c r="G1082" s="62" t="str">
        <f t="shared" si="22"/>
        <v/>
      </c>
    </row>
    <row r="1083" spans="4:7">
      <c r="D1083" s="63" t="str">
        <f>IFERROR(VLOOKUP(C1083,'Parts Legend'!$B:$C,2,FALSE),"")</f>
        <v/>
      </c>
      <c r="E1083" s="57"/>
      <c r="G1083" s="62" t="str">
        <f t="shared" si="22"/>
        <v/>
      </c>
    </row>
    <row r="1084" spans="4:7">
      <c r="D1084" s="63" t="str">
        <f>IFERROR(VLOOKUP(C1084,'Parts Legend'!$B:$C,2,FALSE),"")</f>
        <v/>
      </c>
      <c r="E1084" s="57"/>
      <c r="G1084" s="62" t="str">
        <f t="shared" si="22"/>
        <v/>
      </c>
    </row>
    <row r="1085" spans="4:7">
      <c r="D1085" s="63" t="str">
        <f>IFERROR(VLOOKUP(C1085,'Parts Legend'!$B:$C,2,FALSE),"")</f>
        <v/>
      </c>
      <c r="E1085" s="57"/>
      <c r="G1085" s="62" t="str">
        <f t="shared" si="22"/>
        <v/>
      </c>
    </row>
    <row r="1086" spans="4:7">
      <c r="D1086" s="63" t="str">
        <f>IFERROR(VLOOKUP(C1086,'Parts Legend'!$B:$C,2,FALSE),"")</f>
        <v/>
      </c>
      <c r="E1086" s="57"/>
      <c r="G1086" s="62" t="str">
        <f t="shared" si="22"/>
        <v/>
      </c>
    </row>
    <row r="1087" spans="4:7">
      <c r="D1087" s="63" t="str">
        <f>IFERROR(VLOOKUP(C1087,'Parts Legend'!$B:$C,2,FALSE),"")</f>
        <v/>
      </c>
      <c r="E1087" s="57"/>
      <c r="G1087" s="62" t="str">
        <f t="shared" si="22"/>
        <v/>
      </c>
    </row>
    <row r="1088" spans="4:7">
      <c r="D1088" s="63" t="str">
        <f>IFERROR(VLOOKUP(C1088,'Parts Legend'!$B:$C,2,FALSE),"")</f>
        <v/>
      </c>
      <c r="E1088" s="57"/>
      <c r="G1088" s="62" t="str">
        <f t="shared" si="22"/>
        <v/>
      </c>
    </row>
    <row r="1089" spans="4:7">
      <c r="D1089" s="63" t="str">
        <f>IFERROR(VLOOKUP(C1089,'Parts Legend'!$B:$C,2,FALSE),"")</f>
        <v/>
      </c>
      <c r="E1089" s="57"/>
      <c r="G1089" s="62" t="str">
        <f t="shared" si="22"/>
        <v/>
      </c>
    </row>
    <row r="1090" spans="4:7">
      <c r="D1090" s="63" t="str">
        <f>IFERROR(VLOOKUP(C1090,'Parts Legend'!$B:$C,2,FALSE),"")</f>
        <v/>
      </c>
      <c r="E1090" s="57"/>
      <c r="G1090" s="62" t="str">
        <f t="shared" si="22"/>
        <v/>
      </c>
    </row>
    <row r="1091" spans="4:7">
      <c r="D1091" s="63" t="str">
        <f>IFERROR(VLOOKUP(C1091,'Parts Legend'!$B:$C,2,FALSE),"")</f>
        <v/>
      </c>
      <c r="E1091" s="57"/>
      <c r="G1091" s="62" t="str">
        <f t="shared" si="22"/>
        <v/>
      </c>
    </row>
    <row r="1092" spans="4:7">
      <c r="D1092" s="63" t="str">
        <f>IFERROR(VLOOKUP(C1092,'Parts Legend'!$B:$C,2,FALSE),"")</f>
        <v/>
      </c>
      <c r="E1092" s="57"/>
      <c r="G1092" s="62" t="str">
        <f t="shared" si="22"/>
        <v/>
      </c>
    </row>
    <row r="1093" spans="4:7">
      <c r="D1093" s="63" t="str">
        <f>IFERROR(VLOOKUP(C1093,'Parts Legend'!$B:$C,2,FALSE),"")</f>
        <v/>
      </c>
      <c r="E1093" s="57"/>
      <c r="G1093" s="62" t="str">
        <f t="shared" si="22"/>
        <v/>
      </c>
    </row>
    <row r="1094" spans="4:7">
      <c r="D1094" s="63" t="str">
        <f>IFERROR(VLOOKUP(C1094,'Parts Legend'!$B:$C,2,FALSE),"")</f>
        <v/>
      </c>
      <c r="E1094" s="57"/>
      <c r="G1094" s="62" t="str">
        <f t="shared" si="22"/>
        <v/>
      </c>
    </row>
    <row r="1095" spans="4:7">
      <c r="D1095" s="63" t="str">
        <f>IFERROR(VLOOKUP(C1095,'Parts Legend'!$B:$C,2,FALSE),"")</f>
        <v/>
      </c>
      <c r="E1095" s="57"/>
      <c r="G1095" s="62" t="str">
        <f t="shared" si="22"/>
        <v/>
      </c>
    </row>
    <row r="1096" spans="4:7">
      <c r="D1096" s="63" t="str">
        <f>IFERROR(VLOOKUP(C1096,'Parts Legend'!$B:$C,2,FALSE),"")</f>
        <v/>
      </c>
      <c r="E1096" s="57"/>
      <c r="G1096" s="62" t="str">
        <f t="shared" si="22"/>
        <v/>
      </c>
    </row>
    <row r="1097" spans="4:7">
      <c r="D1097" s="63" t="str">
        <f>IFERROR(VLOOKUP(C1097,'Parts Legend'!$B:$C,2,FALSE),"")</f>
        <v/>
      </c>
      <c r="E1097" s="57"/>
      <c r="G1097" s="62" t="str">
        <f t="shared" si="22"/>
        <v/>
      </c>
    </row>
    <row r="1098" spans="4:7">
      <c r="D1098" s="63" t="str">
        <f>IFERROR(VLOOKUP(C1098,'Parts Legend'!$B:$C,2,FALSE),"")</f>
        <v/>
      </c>
      <c r="E1098" s="57"/>
      <c r="G1098" s="62" t="str">
        <f t="shared" si="22"/>
        <v/>
      </c>
    </row>
    <row r="1099" spans="4:7">
      <c r="D1099" s="63" t="str">
        <f>IFERROR(VLOOKUP(C1099,'Parts Legend'!$B:$C,2,FALSE),"")</f>
        <v/>
      </c>
      <c r="E1099" s="57"/>
      <c r="G1099" s="62" t="str">
        <f t="shared" si="22"/>
        <v/>
      </c>
    </row>
    <row r="1100" spans="4:7">
      <c r="D1100" s="63" t="str">
        <f>IFERROR(VLOOKUP(C1100,'Parts Legend'!$B:$C,2,FALSE),"")</f>
        <v/>
      </c>
      <c r="E1100" s="57"/>
      <c r="G1100" s="62" t="str">
        <f t="shared" si="22"/>
        <v/>
      </c>
    </row>
    <row r="1101" spans="4:7">
      <c r="D1101" s="63" t="str">
        <f>IFERROR(VLOOKUP(C1101,'Parts Legend'!$B:$C,2,FALSE),"")</f>
        <v/>
      </c>
      <c r="E1101" s="57"/>
      <c r="G1101" s="62" t="str">
        <f t="shared" si="22"/>
        <v/>
      </c>
    </row>
    <row r="1102" spans="4:7">
      <c r="D1102" s="63" t="str">
        <f>IFERROR(VLOOKUP(C1102,'Parts Legend'!$B:$C,2,FALSE),"")</f>
        <v/>
      </c>
      <c r="E1102" s="57"/>
      <c r="G1102" s="62" t="str">
        <f t="shared" si="22"/>
        <v/>
      </c>
    </row>
    <row r="1103" spans="4:7">
      <c r="D1103" s="63" t="str">
        <f>IFERROR(VLOOKUP(C1103,'Parts Legend'!$B:$C,2,FALSE),"")</f>
        <v/>
      </c>
      <c r="E1103" s="57"/>
      <c r="G1103" s="62" t="str">
        <f t="shared" si="22"/>
        <v/>
      </c>
    </row>
    <row r="1104" spans="4:7">
      <c r="D1104" s="63" t="str">
        <f>IFERROR(VLOOKUP(C1104,'Parts Legend'!$B:$C,2,FALSE),"")</f>
        <v/>
      </c>
      <c r="E1104" s="57"/>
      <c r="G1104" s="62" t="str">
        <f t="shared" si="22"/>
        <v/>
      </c>
    </row>
    <row r="1105" spans="4:7">
      <c r="D1105" s="63" t="str">
        <f>IFERROR(VLOOKUP(C1105,'Parts Legend'!$B:$C,2,FALSE),"")</f>
        <v/>
      </c>
      <c r="E1105" s="57"/>
      <c r="G1105" s="62" t="str">
        <f t="shared" si="22"/>
        <v/>
      </c>
    </row>
    <row r="1106" spans="4:7">
      <c r="D1106" s="63" t="str">
        <f>IFERROR(VLOOKUP(C1106,'Parts Legend'!$B:$C,2,FALSE),"")</f>
        <v/>
      </c>
      <c r="E1106" s="57"/>
      <c r="G1106" s="62" t="str">
        <f t="shared" si="22"/>
        <v/>
      </c>
    </row>
    <row r="1107" spans="4:7">
      <c r="D1107" s="63" t="str">
        <f>IFERROR(VLOOKUP(C1107,'Parts Legend'!$B:$C,2,FALSE),"")</f>
        <v/>
      </c>
      <c r="E1107" s="57"/>
      <c r="G1107" s="62" t="str">
        <f t="shared" si="22"/>
        <v/>
      </c>
    </row>
    <row r="1108" spans="4:7">
      <c r="D1108" s="63" t="str">
        <f>IFERROR(VLOOKUP(C1108,'Parts Legend'!$B:$C,2,FALSE),"")</f>
        <v/>
      </c>
      <c r="E1108" s="57"/>
      <c r="G1108" s="62" t="str">
        <f t="shared" si="22"/>
        <v/>
      </c>
    </row>
    <row r="1109" spans="4:7">
      <c r="D1109" s="63" t="str">
        <f>IFERROR(VLOOKUP(C1109,'Parts Legend'!$B:$C,2,FALSE),"")</f>
        <v/>
      </c>
      <c r="E1109" s="57"/>
      <c r="G1109" s="62" t="str">
        <f t="shared" si="22"/>
        <v/>
      </c>
    </row>
    <row r="1110" spans="4:7">
      <c r="D1110" s="63" t="str">
        <f>IFERROR(VLOOKUP(C1110,'Parts Legend'!$B:$C,2,FALSE),"")</f>
        <v/>
      </c>
      <c r="E1110" s="57"/>
      <c r="G1110" s="62" t="str">
        <f t="shared" si="22"/>
        <v/>
      </c>
    </row>
    <row r="1111" spans="4:7">
      <c r="D1111" s="63" t="str">
        <f>IFERROR(VLOOKUP(C1111,'Parts Legend'!$B:$C,2,FALSE),"")</f>
        <v/>
      </c>
      <c r="E1111" s="57"/>
      <c r="G1111" s="62" t="str">
        <f t="shared" si="22"/>
        <v/>
      </c>
    </row>
    <row r="1112" spans="4:7">
      <c r="D1112" s="63" t="str">
        <f>IFERROR(VLOOKUP(C1112,'Parts Legend'!$B:$C,2,FALSE),"")</f>
        <v/>
      </c>
      <c r="E1112" s="57"/>
      <c r="G1112" s="62" t="str">
        <f t="shared" si="22"/>
        <v/>
      </c>
    </row>
    <row r="1113" spans="4:7">
      <c r="D1113" s="63" t="str">
        <f>IFERROR(VLOOKUP(C1113,'Parts Legend'!$B:$C,2,FALSE),"")</f>
        <v/>
      </c>
      <c r="E1113" s="57"/>
      <c r="G1113" s="62" t="str">
        <f t="shared" si="22"/>
        <v/>
      </c>
    </row>
    <row r="1114" spans="4:7">
      <c r="D1114" s="63" t="str">
        <f>IFERROR(VLOOKUP(C1114,'Parts Legend'!$B:$C,2,FALSE),"")</f>
        <v/>
      </c>
      <c r="E1114" s="57"/>
      <c r="G1114" s="62" t="str">
        <f t="shared" si="22"/>
        <v/>
      </c>
    </row>
    <row r="1115" spans="4:7">
      <c r="D1115" s="63" t="str">
        <f>IFERROR(VLOOKUP(C1115,'Parts Legend'!$B:$C,2,FALSE),"")</f>
        <v/>
      </c>
      <c r="E1115" s="57"/>
      <c r="G1115" s="62" t="str">
        <f t="shared" si="22"/>
        <v/>
      </c>
    </row>
    <row r="1116" spans="4:7">
      <c r="D1116" s="63" t="str">
        <f>IFERROR(VLOOKUP(C1116,'Parts Legend'!$B:$C,2,FALSE),"")</f>
        <v/>
      </c>
      <c r="E1116" s="57"/>
      <c r="G1116" s="62" t="str">
        <f t="shared" si="22"/>
        <v/>
      </c>
    </row>
    <row r="1117" spans="4:7">
      <c r="D1117" s="63" t="str">
        <f>IFERROR(VLOOKUP(C1117,'Parts Legend'!$B:$C,2,FALSE),"")</f>
        <v/>
      </c>
      <c r="E1117" s="57"/>
      <c r="G1117" s="62" t="str">
        <f t="shared" si="22"/>
        <v/>
      </c>
    </row>
    <row r="1118" spans="4:7">
      <c r="D1118" s="63" t="str">
        <f>IFERROR(VLOOKUP(C1118,'Parts Legend'!$B:$C,2,FALSE),"")</f>
        <v/>
      </c>
      <c r="E1118" s="57"/>
      <c r="G1118" s="62" t="str">
        <f t="shared" si="22"/>
        <v/>
      </c>
    </row>
    <row r="1119" spans="4:7">
      <c r="D1119" s="63" t="str">
        <f>IFERROR(VLOOKUP(C1119,'Parts Legend'!$B:$C,2,FALSE),"")</f>
        <v/>
      </c>
      <c r="E1119" s="57"/>
      <c r="G1119" s="62" t="str">
        <f t="shared" si="22"/>
        <v/>
      </c>
    </row>
    <row r="1120" spans="4:7">
      <c r="D1120" s="63" t="str">
        <f>IFERROR(VLOOKUP(C1120,'Parts Legend'!$B:$C,2,FALSE),"")</f>
        <v/>
      </c>
      <c r="E1120" s="57"/>
      <c r="G1120" s="62" t="str">
        <f t="shared" si="22"/>
        <v/>
      </c>
    </row>
    <row r="1121" spans="4:7">
      <c r="D1121" s="63" t="str">
        <f>IFERROR(VLOOKUP(C1121,'Parts Legend'!$B:$C,2,FALSE),"")</f>
        <v/>
      </c>
      <c r="E1121" s="57"/>
      <c r="G1121" s="62" t="str">
        <f t="shared" si="22"/>
        <v/>
      </c>
    </row>
    <row r="1122" spans="4:7">
      <c r="D1122" s="63" t="str">
        <f>IFERROR(VLOOKUP(C1122,'Parts Legend'!$B:$C,2,FALSE),"")</f>
        <v/>
      </c>
      <c r="E1122" s="57"/>
      <c r="G1122" s="62" t="str">
        <f t="shared" si="22"/>
        <v/>
      </c>
    </row>
    <row r="1123" spans="4:7">
      <c r="D1123" s="63" t="str">
        <f>IFERROR(VLOOKUP(C1123,'Parts Legend'!$B:$C,2,FALSE),"")</f>
        <v/>
      </c>
      <c r="E1123" s="57"/>
      <c r="G1123" s="62" t="str">
        <f t="shared" si="22"/>
        <v/>
      </c>
    </row>
    <row r="1124" spans="4:7">
      <c r="D1124" s="63" t="str">
        <f>IFERROR(VLOOKUP(C1124,'Parts Legend'!$B:$C,2,FALSE),"")</f>
        <v/>
      </c>
      <c r="E1124" s="57"/>
      <c r="G1124" s="62" t="str">
        <f t="shared" si="22"/>
        <v/>
      </c>
    </row>
    <row r="1125" spans="4:7">
      <c r="D1125" s="63" t="str">
        <f>IFERROR(VLOOKUP(C1125,'Parts Legend'!$B:$C,2,FALSE),"")</f>
        <v/>
      </c>
      <c r="E1125" s="57"/>
      <c r="G1125" s="62" t="str">
        <f t="shared" si="22"/>
        <v/>
      </c>
    </row>
    <row r="1126" spans="4:7">
      <c r="D1126" s="63" t="str">
        <f>IFERROR(VLOOKUP(C1126,'Parts Legend'!$B:$C,2,FALSE),"")</f>
        <v/>
      </c>
      <c r="E1126" s="57"/>
      <c r="G1126" s="62" t="str">
        <f t="shared" si="22"/>
        <v/>
      </c>
    </row>
    <row r="1127" spans="4:7">
      <c r="D1127" s="63" t="str">
        <f>IFERROR(VLOOKUP(C1127,'Parts Legend'!$B:$C,2,FALSE),"")</f>
        <v/>
      </c>
      <c r="E1127" s="57"/>
      <c r="G1127" s="62" t="str">
        <f t="shared" si="22"/>
        <v/>
      </c>
    </row>
    <row r="1128" spans="4:7">
      <c r="D1128" s="63" t="str">
        <f>IFERROR(VLOOKUP(C1128,'Parts Legend'!$B:$C,2,FALSE),"")</f>
        <v/>
      </c>
      <c r="E1128" s="57"/>
      <c r="G1128" s="62" t="str">
        <f t="shared" ref="G1128:G1191" si="23">IF(B1128="","",(B1128-WEEKDAY(B1128,3)))</f>
        <v/>
      </c>
    </row>
    <row r="1129" spans="4:7">
      <c r="D1129" s="63" t="str">
        <f>IFERROR(VLOOKUP(C1129,'Parts Legend'!$B:$C,2,FALSE),"")</f>
        <v/>
      </c>
      <c r="E1129" s="57"/>
      <c r="G1129" s="62" t="str">
        <f t="shared" si="23"/>
        <v/>
      </c>
    </row>
    <row r="1130" spans="4:7">
      <c r="D1130" s="63" t="str">
        <f>IFERROR(VLOOKUP(C1130,'Parts Legend'!$B:$C,2,FALSE),"")</f>
        <v/>
      </c>
      <c r="E1130" s="57"/>
      <c r="G1130" s="62" t="str">
        <f t="shared" si="23"/>
        <v/>
      </c>
    </row>
    <row r="1131" spans="4:7">
      <c r="D1131" s="63" t="str">
        <f>IFERROR(VLOOKUP(C1131,'Parts Legend'!$B:$C,2,FALSE),"")</f>
        <v/>
      </c>
      <c r="E1131" s="57"/>
      <c r="G1131" s="62" t="str">
        <f t="shared" si="23"/>
        <v/>
      </c>
    </row>
    <row r="1132" spans="4:7">
      <c r="D1132" s="63" t="str">
        <f>IFERROR(VLOOKUP(C1132,'Parts Legend'!$B:$C,2,FALSE),"")</f>
        <v/>
      </c>
      <c r="E1132" s="57"/>
      <c r="G1132" s="62" t="str">
        <f t="shared" si="23"/>
        <v/>
      </c>
    </row>
    <row r="1133" spans="4:7">
      <c r="D1133" s="63" t="str">
        <f>IFERROR(VLOOKUP(C1133,'Parts Legend'!$B:$C,2,FALSE),"")</f>
        <v/>
      </c>
      <c r="E1133" s="57"/>
      <c r="G1133" s="62" t="str">
        <f t="shared" si="23"/>
        <v/>
      </c>
    </row>
    <row r="1134" spans="4:7">
      <c r="D1134" s="63" t="str">
        <f>IFERROR(VLOOKUP(C1134,'Parts Legend'!$B:$C,2,FALSE),"")</f>
        <v/>
      </c>
      <c r="E1134" s="57"/>
      <c r="G1134" s="62" t="str">
        <f t="shared" si="23"/>
        <v/>
      </c>
    </row>
    <row r="1135" spans="4:7">
      <c r="D1135" s="63" t="str">
        <f>IFERROR(VLOOKUP(C1135,'Parts Legend'!$B:$C,2,FALSE),"")</f>
        <v/>
      </c>
      <c r="E1135" s="57"/>
      <c r="G1135" s="62" t="str">
        <f t="shared" si="23"/>
        <v/>
      </c>
    </row>
    <row r="1136" spans="4:7">
      <c r="D1136" s="63" t="str">
        <f>IFERROR(VLOOKUP(C1136,'Parts Legend'!$B:$C,2,FALSE),"")</f>
        <v/>
      </c>
      <c r="E1136" s="57"/>
      <c r="G1136" s="62" t="str">
        <f t="shared" si="23"/>
        <v/>
      </c>
    </row>
    <row r="1137" spans="4:7">
      <c r="D1137" s="63" t="str">
        <f>IFERROR(VLOOKUP(C1137,'Parts Legend'!$B:$C,2,FALSE),"")</f>
        <v/>
      </c>
      <c r="E1137" s="57"/>
      <c r="G1137" s="62" t="str">
        <f t="shared" si="23"/>
        <v/>
      </c>
    </row>
    <row r="1138" spans="4:7">
      <c r="D1138" s="63" t="str">
        <f>IFERROR(VLOOKUP(C1138,'Parts Legend'!$B:$C,2,FALSE),"")</f>
        <v/>
      </c>
      <c r="E1138" s="57"/>
      <c r="G1138" s="62" t="str">
        <f t="shared" si="23"/>
        <v/>
      </c>
    </row>
    <row r="1139" spans="4:7">
      <c r="D1139" s="63" t="str">
        <f>IFERROR(VLOOKUP(C1139,'Parts Legend'!$B:$C,2,FALSE),"")</f>
        <v/>
      </c>
      <c r="E1139" s="57"/>
      <c r="G1139" s="62" t="str">
        <f t="shared" si="23"/>
        <v/>
      </c>
    </row>
    <row r="1140" spans="4:7">
      <c r="D1140" s="63" t="str">
        <f>IFERROR(VLOOKUP(C1140,'Parts Legend'!$B:$C,2,FALSE),"")</f>
        <v/>
      </c>
      <c r="E1140" s="57"/>
      <c r="G1140" s="62" t="str">
        <f t="shared" si="23"/>
        <v/>
      </c>
    </row>
    <row r="1141" spans="4:7">
      <c r="D1141" s="63" t="str">
        <f>IFERROR(VLOOKUP(C1141,'Parts Legend'!$B:$C,2,FALSE),"")</f>
        <v/>
      </c>
      <c r="E1141" s="57"/>
      <c r="G1141" s="62" t="str">
        <f t="shared" si="23"/>
        <v/>
      </c>
    </row>
    <row r="1142" spans="4:7">
      <c r="D1142" s="63" t="str">
        <f>IFERROR(VLOOKUP(C1142,'Parts Legend'!$B:$C,2,FALSE),"")</f>
        <v/>
      </c>
      <c r="E1142" s="57"/>
      <c r="G1142" s="62" t="str">
        <f t="shared" si="23"/>
        <v/>
      </c>
    </row>
    <row r="1143" spans="4:7">
      <c r="D1143" s="63" t="str">
        <f>IFERROR(VLOOKUP(C1143,'Parts Legend'!$B:$C,2,FALSE),"")</f>
        <v/>
      </c>
      <c r="E1143" s="57"/>
      <c r="G1143" s="62" t="str">
        <f t="shared" si="23"/>
        <v/>
      </c>
    </row>
    <row r="1144" spans="4:7">
      <c r="D1144" s="63" t="str">
        <f>IFERROR(VLOOKUP(C1144,'Parts Legend'!$B:$C,2,FALSE),"")</f>
        <v/>
      </c>
      <c r="E1144" s="57"/>
      <c r="G1144" s="62" t="str">
        <f t="shared" si="23"/>
        <v/>
      </c>
    </row>
    <row r="1145" spans="4:7">
      <c r="D1145" s="63" t="str">
        <f>IFERROR(VLOOKUP(C1145,'Parts Legend'!$B:$C,2,FALSE),"")</f>
        <v/>
      </c>
      <c r="E1145" s="57"/>
      <c r="G1145" s="62" t="str">
        <f t="shared" si="23"/>
        <v/>
      </c>
    </row>
    <row r="1146" spans="4:7">
      <c r="D1146" s="63" t="str">
        <f>IFERROR(VLOOKUP(C1146,'Parts Legend'!$B:$C,2,FALSE),"")</f>
        <v/>
      </c>
      <c r="E1146" s="57"/>
      <c r="G1146" s="62" t="str">
        <f t="shared" si="23"/>
        <v/>
      </c>
    </row>
    <row r="1147" spans="4:7">
      <c r="D1147" s="63" t="str">
        <f>IFERROR(VLOOKUP(C1147,'Parts Legend'!$B:$C,2,FALSE),"")</f>
        <v/>
      </c>
      <c r="E1147" s="57"/>
      <c r="G1147" s="62" t="str">
        <f t="shared" si="23"/>
        <v/>
      </c>
    </row>
    <row r="1148" spans="4:7">
      <c r="D1148" s="63" t="str">
        <f>IFERROR(VLOOKUP(C1148,'Parts Legend'!$B:$C,2,FALSE),"")</f>
        <v/>
      </c>
      <c r="E1148" s="57"/>
      <c r="G1148" s="62" t="str">
        <f t="shared" si="23"/>
        <v/>
      </c>
    </row>
    <row r="1149" spans="4:7">
      <c r="D1149" s="63" t="str">
        <f>IFERROR(VLOOKUP(C1149,'Parts Legend'!$B:$C,2,FALSE),"")</f>
        <v/>
      </c>
      <c r="E1149" s="57"/>
      <c r="G1149" s="62" t="str">
        <f t="shared" si="23"/>
        <v/>
      </c>
    </row>
    <row r="1150" spans="4:7">
      <c r="D1150" s="63" t="str">
        <f>IFERROR(VLOOKUP(C1150,'Parts Legend'!$B:$C,2,FALSE),"")</f>
        <v/>
      </c>
      <c r="E1150" s="57"/>
      <c r="G1150" s="62" t="str">
        <f t="shared" si="23"/>
        <v/>
      </c>
    </row>
    <row r="1151" spans="4:7">
      <c r="D1151" s="63" t="str">
        <f>IFERROR(VLOOKUP(C1151,'Parts Legend'!$B:$C,2,FALSE),"")</f>
        <v/>
      </c>
      <c r="E1151" s="57"/>
      <c r="G1151" s="62" t="str">
        <f t="shared" si="23"/>
        <v/>
      </c>
    </row>
    <row r="1152" spans="4:7">
      <c r="D1152" s="63" t="str">
        <f>IFERROR(VLOOKUP(C1152,'Parts Legend'!$B:$C,2,FALSE),"")</f>
        <v/>
      </c>
      <c r="E1152" s="57"/>
      <c r="G1152" s="62" t="str">
        <f t="shared" si="23"/>
        <v/>
      </c>
    </row>
    <row r="1153" spans="4:7">
      <c r="D1153" s="63" t="str">
        <f>IFERROR(VLOOKUP(C1153,'Parts Legend'!$B:$C,2,FALSE),"")</f>
        <v/>
      </c>
      <c r="E1153" s="57"/>
      <c r="G1153" s="62" t="str">
        <f t="shared" si="23"/>
        <v/>
      </c>
    </row>
    <row r="1154" spans="4:7">
      <c r="D1154" s="63" t="str">
        <f>IFERROR(VLOOKUP(C1154,'Parts Legend'!$B:$C,2,FALSE),"")</f>
        <v/>
      </c>
      <c r="E1154" s="57"/>
      <c r="G1154" s="62" t="str">
        <f t="shared" si="23"/>
        <v/>
      </c>
    </row>
    <row r="1155" spans="4:7">
      <c r="D1155" s="63" t="str">
        <f>IFERROR(VLOOKUP(C1155,'Parts Legend'!$B:$C,2,FALSE),"")</f>
        <v/>
      </c>
      <c r="E1155" s="57"/>
      <c r="G1155" s="62" t="str">
        <f t="shared" si="23"/>
        <v/>
      </c>
    </row>
    <row r="1156" spans="4:7">
      <c r="D1156" s="63" t="str">
        <f>IFERROR(VLOOKUP(C1156,'Parts Legend'!$B:$C,2,FALSE),"")</f>
        <v/>
      </c>
      <c r="E1156" s="57"/>
      <c r="G1156" s="62" t="str">
        <f t="shared" si="23"/>
        <v/>
      </c>
    </row>
    <row r="1157" spans="4:7">
      <c r="D1157" s="63" t="str">
        <f>IFERROR(VLOOKUP(C1157,'Parts Legend'!$B:$C,2,FALSE),"")</f>
        <v/>
      </c>
      <c r="E1157" s="57"/>
      <c r="G1157" s="62" t="str">
        <f t="shared" si="23"/>
        <v/>
      </c>
    </row>
    <row r="1158" spans="4:7">
      <c r="D1158" s="63" t="str">
        <f>IFERROR(VLOOKUP(C1158,'Parts Legend'!$B:$C,2,FALSE),"")</f>
        <v/>
      </c>
      <c r="E1158" s="57"/>
      <c r="G1158" s="62" t="str">
        <f t="shared" si="23"/>
        <v/>
      </c>
    </row>
    <row r="1159" spans="4:7">
      <c r="D1159" s="63" t="str">
        <f>IFERROR(VLOOKUP(C1159,'Parts Legend'!$B:$C,2,FALSE),"")</f>
        <v/>
      </c>
      <c r="E1159" s="57"/>
      <c r="G1159" s="62" t="str">
        <f t="shared" si="23"/>
        <v/>
      </c>
    </row>
    <row r="1160" spans="4:7">
      <c r="D1160" s="63" t="str">
        <f>IFERROR(VLOOKUP(C1160,'Parts Legend'!$B:$C,2,FALSE),"")</f>
        <v/>
      </c>
      <c r="E1160" s="57"/>
      <c r="G1160" s="62" t="str">
        <f t="shared" si="23"/>
        <v/>
      </c>
    </row>
    <row r="1161" spans="4:7">
      <c r="D1161" s="63" t="str">
        <f>IFERROR(VLOOKUP(C1161,'Parts Legend'!$B:$C,2,FALSE),"")</f>
        <v/>
      </c>
      <c r="E1161" s="57"/>
      <c r="G1161" s="62" t="str">
        <f t="shared" si="23"/>
        <v/>
      </c>
    </row>
    <row r="1162" spans="4:7">
      <c r="D1162" s="63" t="str">
        <f>IFERROR(VLOOKUP(C1162,'Parts Legend'!$B:$C,2,FALSE),"")</f>
        <v/>
      </c>
      <c r="E1162" s="57"/>
      <c r="G1162" s="62" t="str">
        <f t="shared" si="23"/>
        <v/>
      </c>
    </row>
    <row r="1163" spans="4:7">
      <c r="D1163" s="63" t="str">
        <f>IFERROR(VLOOKUP(C1163,'Parts Legend'!$B:$C,2,FALSE),"")</f>
        <v/>
      </c>
      <c r="E1163" s="57"/>
      <c r="G1163" s="62" t="str">
        <f t="shared" si="23"/>
        <v/>
      </c>
    </row>
    <row r="1164" spans="4:7">
      <c r="D1164" s="63" t="str">
        <f>IFERROR(VLOOKUP(C1164,'Parts Legend'!$B:$C,2,FALSE),"")</f>
        <v/>
      </c>
      <c r="E1164" s="57"/>
      <c r="G1164" s="62" t="str">
        <f t="shared" si="23"/>
        <v/>
      </c>
    </row>
    <row r="1165" spans="4:7">
      <c r="D1165" s="63" t="str">
        <f>IFERROR(VLOOKUP(C1165,'Parts Legend'!$B:$C,2,FALSE),"")</f>
        <v/>
      </c>
      <c r="E1165" s="57"/>
      <c r="G1165" s="62" t="str">
        <f t="shared" si="23"/>
        <v/>
      </c>
    </row>
    <row r="1166" spans="4:7">
      <c r="D1166" s="63" t="str">
        <f>IFERROR(VLOOKUP(C1166,'Parts Legend'!$B:$C,2,FALSE),"")</f>
        <v/>
      </c>
      <c r="E1166" s="57"/>
      <c r="G1166" s="62" t="str">
        <f t="shared" si="23"/>
        <v/>
      </c>
    </row>
    <row r="1167" spans="4:7">
      <c r="D1167" s="63" t="str">
        <f>IFERROR(VLOOKUP(C1167,'Parts Legend'!$B:$C,2,FALSE),"")</f>
        <v/>
      </c>
      <c r="E1167" s="57"/>
      <c r="G1167" s="62" t="str">
        <f t="shared" si="23"/>
        <v/>
      </c>
    </row>
    <row r="1168" spans="4:7">
      <c r="D1168" s="63" t="str">
        <f>IFERROR(VLOOKUP(C1168,'Parts Legend'!$B:$C,2,FALSE),"")</f>
        <v/>
      </c>
      <c r="E1168" s="57"/>
      <c r="G1168" s="62" t="str">
        <f t="shared" si="23"/>
        <v/>
      </c>
    </row>
    <row r="1169" spans="4:7">
      <c r="D1169" s="63" t="str">
        <f>IFERROR(VLOOKUP(C1169,'Parts Legend'!$B:$C,2,FALSE),"")</f>
        <v/>
      </c>
      <c r="E1169" s="57"/>
      <c r="G1169" s="62" t="str">
        <f t="shared" si="23"/>
        <v/>
      </c>
    </row>
    <row r="1170" spans="4:7">
      <c r="D1170" s="63" t="str">
        <f>IFERROR(VLOOKUP(C1170,'Parts Legend'!$B:$C,2,FALSE),"")</f>
        <v/>
      </c>
      <c r="E1170" s="57"/>
      <c r="G1170" s="62" t="str">
        <f t="shared" si="23"/>
        <v/>
      </c>
    </row>
    <row r="1171" spans="4:7">
      <c r="D1171" s="63" t="str">
        <f>IFERROR(VLOOKUP(C1171,'Parts Legend'!$B:$C,2,FALSE),"")</f>
        <v/>
      </c>
      <c r="E1171" s="57"/>
      <c r="G1171" s="62" t="str">
        <f t="shared" si="23"/>
        <v/>
      </c>
    </row>
    <row r="1172" spans="4:7">
      <c r="D1172" s="63" t="str">
        <f>IFERROR(VLOOKUP(C1172,'Parts Legend'!$B:$C,2,FALSE),"")</f>
        <v/>
      </c>
      <c r="E1172" s="57"/>
      <c r="G1172" s="62" t="str">
        <f t="shared" si="23"/>
        <v/>
      </c>
    </row>
    <row r="1173" spans="4:7">
      <c r="D1173" s="63" t="str">
        <f>IFERROR(VLOOKUP(C1173,'Parts Legend'!$B:$C,2,FALSE),"")</f>
        <v/>
      </c>
      <c r="E1173" s="57"/>
      <c r="G1173" s="62" t="str">
        <f t="shared" si="23"/>
        <v/>
      </c>
    </row>
    <row r="1174" spans="4:7">
      <c r="D1174" s="63" t="str">
        <f>IFERROR(VLOOKUP(C1174,'Parts Legend'!$B:$C,2,FALSE),"")</f>
        <v/>
      </c>
      <c r="E1174" s="57"/>
      <c r="G1174" s="62" t="str">
        <f t="shared" si="23"/>
        <v/>
      </c>
    </row>
    <row r="1175" spans="4:7">
      <c r="D1175" s="63" t="str">
        <f>IFERROR(VLOOKUP(C1175,'Parts Legend'!$B:$C,2,FALSE),"")</f>
        <v/>
      </c>
      <c r="E1175" s="57"/>
      <c r="G1175" s="62" t="str">
        <f t="shared" si="23"/>
        <v/>
      </c>
    </row>
    <row r="1176" spans="4:7">
      <c r="D1176" s="63" t="str">
        <f>IFERROR(VLOOKUP(C1176,'Parts Legend'!$B:$C,2,FALSE),"")</f>
        <v/>
      </c>
      <c r="E1176" s="57"/>
      <c r="G1176" s="62" t="str">
        <f t="shared" si="23"/>
        <v/>
      </c>
    </row>
    <row r="1177" spans="4:7">
      <c r="D1177" s="63" t="str">
        <f>IFERROR(VLOOKUP(C1177,'Parts Legend'!$B:$C,2,FALSE),"")</f>
        <v/>
      </c>
      <c r="E1177" s="57"/>
      <c r="G1177" s="62" t="str">
        <f t="shared" si="23"/>
        <v/>
      </c>
    </row>
    <row r="1178" spans="4:7">
      <c r="D1178" s="63" t="str">
        <f>IFERROR(VLOOKUP(C1178,'Parts Legend'!$B:$C,2,FALSE),"")</f>
        <v/>
      </c>
      <c r="E1178" s="57"/>
      <c r="G1178" s="62" t="str">
        <f t="shared" si="23"/>
        <v/>
      </c>
    </row>
    <row r="1179" spans="4:7">
      <c r="D1179" s="63" t="str">
        <f>IFERROR(VLOOKUP(C1179,'Parts Legend'!$B:$C,2,FALSE),"")</f>
        <v/>
      </c>
      <c r="E1179" s="57"/>
      <c r="G1179" s="62" t="str">
        <f t="shared" si="23"/>
        <v/>
      </c>
    </row>
    <row r="1180" spans="4:7">
      <c r="D1180" s="63" t="str">
        <f>IFERROR(VLOOKUP(C1180,'Parts Legend'!$B:$C,2,FALSE),"")</f>
        <v/>
      </c>
      <c r="E1180" s="57"/>
      <c r="G1180" s="62" t="str">
        <f t="shared" si="23"/>
        <v/>
      </c>
    </row>
    <row r="1181" spans="4:7">
      <c r="D1181" s="63" t="str">
        <f>IFERROR(VLOOKUP(C1181,'Parts Legend'!$B:$C,2,FALSE),"")</f>
        <v/>
      </c>
      <c r="E1181" s="57"/>
      <c r="G1181" s="62" t="str">
        <f t="shared" si="23"/>
        <v/>
      </c>
    </row>
    <row r="1182" spans="4:7">
      <c r="D1182" s="63" t="str">
        <f>IFERROR(VLOOKUP(C1182,'Parts Legend'!$B:$C,2,FALSE),"")</f>
        <v/>
      </c>
      <c r="E1182" s="57"/>
      <c r="G1182" s="62" t="str">
        <f t="shared" si="23"/>
        <v/>
      </c>
    </row>
    <row r="1183" spans="4:7">
      <c r="D1183" s="63" t="str">
        <f>IFERROR(VLOOKUP(C1183,'Parts Legend'!$B:$C,2,FALSE),"")</f>
        <v/>
      </c>
      <c r="E1183" s="57"/>
      <c r="G1183" s="62" t="str">
        <f t="shared" si="23"/>
        <v/>
      </c>
    </row>
    <row r="1184" spans="4:7">
      <c r="D1184" s="63" t="str">
        <f>IFERROR(VLOOKUP(C1184,'Parts Legend'!$B:$C,2,FALSE),"")</f>
        <v/>
      </c>
      <c r="E1184" s="57"/>
      <c r="G1184" s="62" t="str">
        <f t="shared" si="23"/>
        <v/>
      </c>
    </row>
    <row r="1185" spans="4:7">
      <c r="D1185" s="63" t="str">
        <f>IFERROR(VLOOKUP(C1185,'Parts Legend'!$B:$C,2,FALSE),"")</f>
        <v/>
      </c>
      <c r="E1185" s="57"/>
      <c r="G1185" s="62" t="str">
        <f t="shared" si="23"/>
        <v/>
      </c>
    </row>
    <row r="1186" spans="4:7">
      <c r="D1186" s="63" t="str">
        <f>IFERROR(VLOOKUP(C1186,'Parts Legend'!$B:$C,2,FALSE),"")</f>
        <v/>
      </c>
      <c r="E1186" s="57"/>
      <c r="G1186" s="62" t="str">
        <f t="shared" si="23"/>
        <v/>
      </c>
    </row>
    <row r="1187" spans="4:7">
      <c r="D1187" s="63" t="str">
        <f>IFERROR(VLOOKUP(C1187,'Parts Legend'!$B:$C,2,FALSE),"")</f>
        <v/>
      </c>
      <c r="E1187" s="57"/>
      <c r="G1187" s="62" t="str">
        <f t="shared" si="23"/>
        <v/>
      </c>
    </row>
    <row r="1188" spans="4:7">
      <c r="D1188" s="63" t="str">
        <f>IFERROR(VLOOKUP(C1188,'Parts Legend'!$B:$C,2,FALSE),"")</f>
        <v/>
      </c>
      <c r="E1188" s="57"/>
      <c r="G1188" s="62" t="str">
        <f t="shared" si="23"/>
        <v/>
      </c>
    </row>
    <row r="1189" spans="4:7">
      <c r="D1189" s="63" t="str">
        <f>IFERROR(VLOOKUP(C1189,'Parts Legend'!$B:$C,2,FALSE),"")</f>
        <v/>
      </c>
      <c r="E1189" s="57"/>
      <c r="G1189" s="62" t="str">
        <f t="shared" si="23"/>
        <v/>
      </c>
    </row>
    <row r="1190" spans="4:7">
      <c r="D1190" s="63" t="str">
        <f>IFERROR(VLOOKUP(C1190,'Parts Legend'!$B:$C,2,FALSE),"")</f>
        <v/>
      </c>
      <c r="E1190" s="57"/>
      <c r="G1190" s="62" t="str">
        <f t="shared" si="23"/>
        <v/>
      </c>
    </row>
    <row r="1191" spans="4:7">
      <c r="D1191" s="63" t="str">
        <f>IFERROR(VLOOKUP(C1191,'Parts Legend'!$B:$C,2,FALSE),"")</f>
        <v/>
      </c>
      <c r="E1191" s="57"/>
      <c r="G1191" s="62" t="str">
        <f t="shared" si="23"/>
        <v/>
      </c>
    </row>
    <row r="1192" spans="4:7">
      <c r="D1192" s="63" t="str">
        <f>IFERROR(VLOOKUP(C1192,'Parts Legend'!$B:$C,2,FALSE),"")</f>
        <v/>
      </c>
      <c r="E1192" s="57"/>
      <c r="G1192" s="62" t="str">
        <f t="shared" ref="G1192:G1245" si="24">IF(B1192="","",(B1192-WEEKDAY(B1192,3)))</f>
        <v/>
      </c>
    </row>
    <row r="1193" spans="4:7">
      <c r="D1193" s="63" t="str">
        <f>IFERROR(VLOOKUP(C1193,'Parts Legend'!$B:$C,2,FALSE),"")</f>
        <v/>
      </c>
      <c r="E1193" s="57"/>
      <c r="G1193" s="62" t="str">
        <f t="shared" si="24"/>
        <v/>
      </c>
    </row>
    <row r="1194" spans="4:7">
      <c r="D1194" s="63" t="str">
        <f>IFERROR(VLOOKUP(C1194,'Parts Legend'!$B:$C,2,FALSE),"")</f>
        <v/>
      </c>
      <c r="E1194" s="57"/>
      <c r="G1194" s="62" t="str">
        <f t="shared" si="24"/>
        <v/>
      </c>
    </row>
    <row r="1195" spans="4:7">
      <c r="D1195" s="63" t="str">
        <f>IFERROR(VLOOKUP(C1195,'Parts Legend'!$B:$C,2,FALSE),"")</f>
        <v/>
      </c>
      <c r="E1195" s="57"/>
      <c r="G1195" s="62" t="str">
        <f t="shared" si="24"/>
        <v/>
      </c>
    </row>
    <row r="1196" spans="4:7">
      <c r="D1196" s="63" t="str">
        <f>IFERROR(VLOOKUP(C1196,'Parts Legend'!$B:$C,2,FALSE),"")</f>
        <v/>
      </c>
      <c r="E1196" s="57"/>
      <c r="G1196" s="62" t="str">
        <f t="shared" si="24"/>
        <v/>
      </c>
    </row>
    <row r="1197" spans="4:7">
      <c r="D1197" s="63" t="str">
        <f>IFERROR(VLOOKUP(C1197,'Parts Legend'!$B:$C,2,FALSE),"")</f>
        <v/>
      </c>
      <c r="E1197" s="57"/>
      <c r="G1197" s="62" t="str">
        <f t="shared" si="24"/>
        <v/>
      </c>
    </row>
    <row r="1198" spans="4:7">
      <c r="D1198" s="63" t="str">
        <f>IFERROR(VLOOKUP(C1198,'Parts Legend'!$B:$C,2,FALSE),"")</f>
        <v/>
      </c>
      <c r="E1198" s="57"/>
      <c r="G1198" s="62" t="str">
        <f t="shared" si="24"/>
        <v/>
      </c>
    </row>
    <row r="1199" spans="4:7">
      <c r="D1199" s="63" t="str">
        <f>IFERROR(VLOOKUP(C1199,'Parts Legend'!$B:$C,2,FALSE),"")</f>
        <v/>
      </c>
      <c r="E1199" s="57"/>
      <c r="G1199" s="62" t="str">
        <f t="shared" si="24"/>
        <v/>
      </c>
    </row>
    <row r="1200" spans="4:7">
      <c r="D1200" s="63" t="str">
        <f>IFERROR(VLOOKUP(C1200,'Parts Legend'!$B:$C,2,FALSE),"")</f>
        <v/>
      </c>
      <c r="E1200" s="57"/>
      <c r="G1200" s="62" t="str">
        <f t="shared" si="24"/>
        <v/>
      </c>
    </row>
    <row r="1201" spans="4:7">
      <c r="D1201" s="63" t="str">
        <f>IFERROR(VLOOKUP(C1201,'Parts Legend'!$B:$C,2,FALSE),"")</f>
        <v/>
      </c>
      <c r="E1201" s="57"/>
      <c r="G1201" s="62" t="str">
        <f t="shared" si="24"/>
        <v/>
      </c>
    </row>
    <row r="1202" spans="4:7">
      <c r="D1202" s="63" t="str">
        <f>IFERROR(VLOOKUP(C1202,'Parts Legend'!$B:$C,2,FALSE),"")</f>
        <v/>
      </c>
      <c r="E1202" s="57"/>
      <c r="G1202" s="62" t="str">
        <f t="shared" si="24"/>
        <v/>
      </c>
    </row>
    <row r="1203" spans="4:7">
      <c r="D1203" s="63" t="str">
        <f>IFERROR(VLOOKUP(C1203,'Parts Legend'!$B:$C,2,FALSE),"")</f>
        <v/>
      </c>
      <c r="E1203" s="57"/>
      <c r="G1203" s="62" t="str">
        <f t="shared" si="24"/>
        <v/>
      </c>
    </row>
    <row r="1204" spans="4:7">
      <c r="D1204" s="63" t="str">
        <f>IFERROR(VLOOKUP(C1204,'Parts Legend'!$B:$C,2,FALSE),"")</f>
        <v/>
      </c>
      <c r="E1204" s="57"/>
      <c r="G1204" s="62" t="str">
        <f t="shared" si="24"/>
        <v/>
      </c>
    </row>
    <row r="1205" spans="4:7">
      <c r="D1205" s="63" t="str">
        <f>IFERROR(VLOOKUP(C1205,'Parts Legend'!$B:$C,2,FALSE),"")</f>
        <v/>
      </c>
      <c r="E1205" s="57"/>
      <c r="G1205" s="62" t="str">
        <f t="shared" si="24"/>
        <v/>
      </c>
    </row>
    <row r="1206" spans="4:7">
      <c r="D1206" s="63" t="str">
        <f>IFERROR(VLOOKUP(C1206,'Parts Legend'!$B:$C,2,FALSE),"")</f>
        <v/>
      </c>
      <c r="E1206" s="57"/>
      <c r="G1206" s="62" t="str">
        <f t="shared" si="24"/>
        <v/>
      </c>
    </row>
    <row r="1207" spans="4:7">
      <c r="D1207" s="63" t="str">
        <f>IFERROR(VLOOKUP(C1207,'Parts Legend'!$B:$C,2,FALSE),"")</f>
        <v/>
      </c>
      <c r="E1207" s="57"/>
      <c r="G1207" s="62" t="str">
        <f t="shared" si="24"/>
        <v/>
      </c>
    </row>
    <row r="1208" spans="4:7">
      <c r="D1208" s="63" t="str">
        <f>IFERROR(VLOOKUP(C1208,'Parts Legend'!$B:$C,2,FALSE),"")</f>
        <v/>
      </c>
      <c r="E1208" s="57"/>
      <c r="G1208" s="62" t="str">
        <f t="shared" si="24"/>
        <v/>
      </c>
    </row>
    <row r="1209" spans="4:7">
      <c r="D1209" s="63" t="str">
        <f>IFERROR(VLOOKUP(C1209,'Parts Legend'!$B:$C,2,FALSE),"")</f>
        <v/>
      </c>
      <c r="E1209" s="57"/>
      <c r="G1209" s="62" t="str">
        <f t="shared" si="24"/>
        <v/>
      </c>
    </row>
    <row r="1210" spans="4:7">
      <c r="D1210" s="63" t="str">
        <f>IFERROR(VLOOKUP(C1210,'Parts Legend'!$B:$C,2,FALSE),"")</f>
        <v/>
      </c>
      <c r="E1210" s="57"/>
      <c r="G1210" s="62" t="str">
        <f t="shared" si="24"/>
        <v/>
      </c>
    </row>
    <row r="1211" spans="4:7">
      <c r="D1211" s="63" t="str">
        <f>IFERROR(VLOOKUP(C1211,'Parts Legend'!$B:$C,2,FALSE),"")</f>
        <v/>
      </c>
      <c r="E1211" s="57"/>
      <c r="G1211" s="62" t="str">
        <f t="shared" si="24"/>
        <v/>
      </c>
    </row>
    <row r="1212" spans="4:7">
      <c r="D1212" s="63" t="str">
        <f>IFERROR(VLOOKUP(C1212,'Parts Legend'!$B:$C,2,FALSE),"")</f>
        <v/>
      </c>
      <c r="E1212" s="57"/>
      <c r="G1212" s="62" t="str">
        <f t="shared" si="24"/>
        <v/>
      </c>
    </row>
    <row r="1213" spans="4:7">
      <c r="D1213" s="63" t="str">
        <f>IFERROR(VLOOKUP(C1213,'Parts Legend'!$B:$C,2,FALSE),"")</f>
        <v/>
      </c>
      <c r="E1213" s="57"/>
      <c r="G1213" s="62" t="str">
        <f t="shared" si="24"/>
        <v/>
      </c>
    </row>
    <row r="1214" spans="4:7">
      <c r="D1214" s="63" t="str">
        <f>IFERROR(VLOOKUP(C1214,'Parts Legend'!$B:$C,2,FALSE),"")</f>
        <v/>
      </c>
      <c r="E1214" s="57"/>
      <c r="G1214" s="62" t="str">
        <f t="shared" si="24"/>
        <v/>
      </c>
    </row>
    <row r="1215" spans="4:7">
      <c r="D1215" s="63" t="str">
        <f>IFERROR(VLOOKUP(C1215,'Parts Legend'!$B:$C,2,FALSE),"")</f>
        <v/>
      </c>
      <c r="E1215" s="57"/>
      <c r="G1215" s="62" t="str">
        <f t="shared" si="24"/>
        <v/>
      </c>
    </row>
    <row r="1216" spans="4:7">
      <c r="D1216" s="63" t="str">
        <f>IFERROR(VLOOKUP(C1216,'Parts Legend'!$B:$C,2,FALSE),"")</f>
        <v/>
      </c>
      <c r="E1216" s="57"/>
      <c r="G1216" s="62" t="str">
        <f t="shared" si="24"/>
        <v/>
      </c>
    </row>
    <row r="1217" spans="4:7">
      <c r="D1217" s="63" t="str">
        <f>IFERROR(VLOOKUP(C1217,'Parts Legend'!$B:$C,2,FALSE),"")</f>
        <v/>
      </c>
      <c r="E1217" s="57"/>
      <c r="G1217" s="62" t="str">
        <f t="shared" si="24"/>
        <v/>
      </c>
    </row>
    <row r="1218" spans="4:7">
      <c r="D1218" s="63" t="str">
        <f>IFERROR(VLOOKUP(C1218,'Parts Legend'!$B:$C,2,FALSE),"")</f>
        <v/>
      </c>
      <c r="E1218" s="57"/>
      <c r="G1218" s="62" t="str">
        <f t="shared" si="24"/>
        <v/>
      </c>
    </row>
    <row r="1219" spans="4:7">
      <c r="D1219" s="63" t="str">
        <f>IFERROR(VLOOKUP(C1219,'Parts Legend'!$B:$C,2,FALSE),"")</f>
        <v/>
      </c>
      <c r="E1219" s="57"/>
      <c r="G1219" s="62" t="str">
        <f t="shared" si="24"/>
        <v/>
      </c>
    </row>
    <row r="1220" spans="4:7">
      <c r="D1220" s="63" t="str">
        <f>IFERROR(VLOOKUP(C1220,'Parts Legend'!$B:$C,2,FALSE),"")</f>
        <v/>
      </c>
      <c r="E1220" s="57"/>
      <c r="G1220" s="62" t="str">
        <f t="shared" si="24"/>
        <v/>
      </c>
    </row>
    <row r="1221" spans="4:7">
      <c r="D1221" s="63" t="str">
        <f>IFERROR(VLOOKUP(C1221,'Parts Legend'!$B:$C,2,FALSE),"")</f>
        <v/>
      </c>
      <c r="E1221" s="57"/>
      <c r="G1221" s="62" t="str">
        <f t="shared" si="24"/>
        <v/>
      </c>
    </row>
    <row r="1222" spans="4:7">
      <c r="D1222" s="63" t="str">
        <f>IFERROR(VLOOKUP(C1222,'Parts Legend'!$B:$C,2,FALSE),"")</f>
        <v/>
      </c>
      <c r="E1222" s="57"/>
      <c r="G1222" s="62" t="str">
        <f t="shared" si="24"/>
        <v/>
      </c>
    </row>
    <row r="1223" spans="4:7">
      <c r="D1223" s="63" t="str">
        <f>IFERROR(VLOOKUP(C1223,'Parts Legend'!$B:$C,2,FALSE),"")</f>
        <v/>
      </c>
      <c r="E1223" s="57"/>
      <c r="G1223" s="62" t="str">
        <f t="shared" si="24"/>
        <v/>
      </c>
    </row>
    <row r="1224" spans="4:7">
      <c r="D1224" s="63" t="str">
        <f>IFERROR(VLOOKUP(C1224,'Parts Legend'!$B:$C,2,FALSE),"")</f>
        <v/>
      </c>
      <c r="E1224" s="57"/>
      <c r="G1224" s="62" t="str">
        <f t="shared" si="24"/>
        <v/>
      </c>
    </row>
    <row r="1225" spans="4:7">
      <c r="D1225" s="63" t="str">
        <f>IFERROR(VLOOKUP(C1225,'Parts Legend'!$B:$C,2,FALSE),"")</f>
        <v/>
      </c>
      <c r="E1225" s="57"/>
      <c r="G1225" s="62" t="str">
        <f t="shared" si="24"/>
        <v/>
      </c>
    </row>
    <row r="1226" spans="4:7">
      <c r="D1226" s="63" t="str">
        <f>IFERROR(VLOOKUP(C1226,'Parts Legend'!$B:$C,2,FALSE),"")</f>
        <v/>
      </c>
      <c r="E1226" s="57"/>
      <c r="G1226" s="62" t="str">
        <f t="shared" si="24"/>
        <v/>
      </c>
    </row>
    <row r="1227" spans="4:7">
      <c r="D1227" s="63" t="str">
        <f>IFERROR(VLOOKUP(C1227,'Parts Legend'!$B:$C,2,FALSE),"")</f>
        <v/>
      </c>
      <c r="E1227" s="57"/>
      <c r="G1227" s="62" t="str">
        <f t="shared" si="24"/>
        <v/>
      </c>
    </row>
    <row r="1228" spans="4:7">
      <c r="D1228" s="63" t="str">
        <f>IFERROR(VLOOKUP(C1228,'Parts Legend'!$B:$C,2,FALSE),"")</f>
        <v/>
      </c>
      <c r="E1228" s="57"/>
      <c r="G1228" s="62" t="str">
        <f t="shared" si="24"/>
        <v/>
      </c>
    </row>
    <row r="1229" spans="4:7">
      <c r="D1229" s="63" t="str">
        <f>IFERROR(VLOOKUP(C1229,'Parts Legend'!$B:$C,2,FALSE),"")</f>
        <v/>
      </c>
      <c r="E1229" s="57"/>
      <c r="G1229" s="62" t="str">
        <f t="shared" si="24"/>
        <v/>
      </c>
    </row>
    <row r="1230" spans="4:7">
      <c r="D1230" s="63" t="str">
        <f>IFERROR(VLOOKUP(C1230,'Parts Legend'!$B:$C,2,FALSE),"")</f>
        <v/>
      </c>
      <c r="E1230" s="57"/>
      <c r="G1230" s="62" t="str">
        <f t="shared" si="24"/>
        <v/>
      </c>
    </row>
    <row r="1231" spans="4:7">
      <c r="D1231" s="63" t="str">
        <f>IFERROR(VLOOKUP(C1231,'Parts Legend'!$B:$C,2,FALSE),"")</f>
        <v/>
      </c>
      <c r="E1231" s="57"/>
      <c r="G1231" s="62" t="str">
        <f t="shared" si="24"/>
        <v/>
      </c>
    </row>
    <row r="1232" spans="4:7">
      <c r="D1232" s="63" t="str">
        <f>IFERROR(VLOOKUP(C1232,'Parts Legend'!$B:$C,2,FALSE),"")</f>
        <v/>
      </c>
      <c r="E1232" s="57"/>
      <c r="G1232" s="62" t="str">
        <f t="shared" si="24"/>
        <v/>
      </c>
    </row>
    <row r="1233" spans="4:7">
      <c r="D1233" s="63" t="str">
        <f>IFERROR(VLOOKUP(C1233,'Parts Legend'!$B:$C,2,FALSE),"")</f>
        <v/>
      </c>
      <c r="E1233" s="57"/>
      <c r="G1233" s="62" t="str">
        <f t="shared" si="24"/>
        <v/>
      </c>
    </row>
    <row r="1234" spans="4:7">
      <c r="D1234" s="63" t="str">
        <f>IFERROR(VLOOKUP(C1234,'Parts Legend'!$B:$C,2,FALSE),"")</f>
        <v/>
      </c>
      <c r="E1234" s="57"/>
      <c r="G1234" s="62" t="str">
        <f t="shared" si="24"/>
        <v/>
      </c>
    </row>
    <row r="1235" spans="4:7">
      <c r="D1235" s="63" t="str">
        <f>IFERROR(VLOOKUP(C1235,'Parts Legend'!$B:$C,2,FALSE),"")</f>
        <v/>
      </c>
      <c r="E1235" s="57"/>
      <c r="G1235" s="62" t="str">
        <f t="shared" si="24"/>
        <v/>
      </c>
    </row>
    <row r="1236" spans="4:7">
      <c r="D1236" s="63" t="str">
        <f>IFERROR(VLOOKUP(C1236,'Parts Legend'!$B:$C,2,FALSE),"")</f>
        <v/>
      </c>
      <c r="E1236" s="57"/>
      <c r="G1236" s="62" t="str">
        <f t="shared" si="24"/>
        <v/>
      </c>
    </row>
    <row r="1237" spans="4:7">
      <c r="D1237" s="63" t="str">
        <f>IFERROR(VLOOKUP(C1237,'Parts Legend'!$B:$C,2,FALSE),"")</f>
        <v/>
      </c>
      <c r="E1237" s="57"/>
      <c r="G1237" s="62" t="str">
        <f t="shared" si="24"/>
        <v/>
      </c>
    </row>
    <row r="1238" spans="4:7">
      <c r="D1238" s="63" t="str">
        <f>IFERROR(VLOOKUP(C1238,'Parts Legend'!$B:$C,2,FALSE),"")</f>
        <v/>
      </c>
      <c r="E1238" s="57"/>
      <c r="G1238" s="62" t="str">
        <f t="shared" si="24"/>
        <v/>
      </c>
    </row>
    <row r="1239" spans="4:7">
      <c r="D1239" s="63" t="str">
        <f>IFERROR(VLOOKUP(C1239,'Parts Legend'!$B:$C,2,FALSE),"")</f>
        <v/>
      </c>
      <c r="E1239" s="57"/>
      <c r="G1239" s="62" t="str">
        <f t="shared" si="24"/>
        <v/>
      </c>
    </row>
    <row r="1240" spans="4:7">
      <c r="D1240" s="63" t="str">
        <f>IFERROR(VLOOKUP(C1240,'Parts Legend'!$B:$C,2,FALSE),"")</f>
        <v/>
      </c>
      <c r="E1240" s="57"/>
      <c r="G1240" s="62" t="str">
        <f t="shared" si="24"/>
        <v/>
      </c>
    </row>
    <row r="1241" spans="4:7">
      <c r="D1241" s="63" t="str">
        <f>IFERROR(VLOOKUP(C1241,'Parts Legend'!$B:$C,2,FALSE),"")</f>
        <v/>
      </c>
      <c r="E1241" s="57"/>
      <c r="G1241" s="62" t="str">
        <f t="shared" si="24"/>
        <v/>
      </c>
    </row>
    <row r="1242" spans="4:7">
      <c r="D1242" s="63" t="str">
        <f>IFERROR(VLOOKUP(C1242,'Parts Legend'!$B:$C,2,FALSE),"")</f>
        <v/>
      </c>
      <c r="E1242" s="57"/>
      <c r="G1242" s="62" t="str">
        <f t="shared" si="24"/>
        <v/>
      </c>
    </row>
    <row r="1243" spans="4:7">
      <c r="D1243" s="63" t="str">
        <f>IFERROR(VLOOKUP(C1243,'Parts Legend'!$B:$C,2,FALSE),"")</f>
        <v/>
      </c>
      <c r="E1243" s="57"/>
      <c r="G1243" s="62" t="str">
        <f t="shared" si="24"/>
        <v/>
      </c>
    </row>
    <row r="1244" spans="4:7">
      <c r="D1244" s="63" t="str">
        <f>IFERROR(VLOOKUP(C1244,'Parts Legend'!$B:$C,2,FALSE),"")</f>
        <v/>
      </c>
      <c r="E1244" s="57"/>
      <c r="G1244" s="62" t="str">
        <f t="shared" si="24"/>
        <v/>
      </c>
    </row>
    <row r="1245" spans="4:7">
      <c r="D1245" s="63" t="str">
        <f>IFERROR(VLOOKUP(C1245,'Parts Legend'!$B:$C,2,FALSE),"")</f>
        <v/>
      </c>
      <c r="E1245" s="57"/>
      <c r="G1245" s="62" t="str">
        <f t="shared" si="24"/>
        <v/>
      </c>
    </row>
  </sheetData>
  <autoFilter ref="A2:G1245" xr:uid="{BD5E7C53-10E1-4238-B459-277B0320BC5C}"/>
  <sortState xmlns:xlrd2="http://schemas.microsoft.com/office/spreadsheetml/2017/richdata2" ref="A4:F112">
    <sortCondition ref="A4:A112"/>
  </sortState>
  <phoneticPr fontId="25" type="noConversion"/>
  <pageMargins left="0.7" right="0.7" top="0.75" bottom="0.75" header="0.3" footer="0.3"/>
  <pageSetup orientation="portrait" verticalDpi="0" r:id="rId1"/>
  <headerFooter>
    <oddFooter>&amp;L8.2.2.4.21 Laval Tracker Template &amp;RCreated:01/16/26TS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B5F55F4-08D2-47E2-84D6-6AE52B7FECDE}">
          <x14:formula1>
            <xm:f>'Parts Legend'!$B$3:$B$17</xm:f>
          </x14:formula1>
          <xm:sqref>C361:C1245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70C6-DA89-44EE-AD24-66B2E9519CB8}">
  <sheetPr codeName="Sheet5" filterMode="1"/>
  <dimension ref="A1:AT79"/>
  <sheetViews>
    <sheetView zoomScale="90" zoomScaleNormal="90" workbookViewId="0">
      <pane xSplit="5" ySplit="11" topLeftCell="F15" activePane="bottomRight" state="frozen"/>
      <selection activeCell="D25" sqref="D25"/>
      <selection pane="topRight" activeCell="D25" sqref="D25"/>
      <selection pane="bottomLeft" activeCell="D25" sqref="D25"/>
      <selection pane="bottomRight" activeCell="F15" sqref="F15"/>
    </sheetView>
  </sheetViews>
  <sheetFormatPr defaultRowHeight="15"/>
  <cols>
    <col min="1" max="1" width="13.140625" style="9" customWidth="1"/>
    <col min="2" max="2" width="14" style="9" bestFit="1" customWidth="1"/>
    <col min="3" max="3" width="32.85546875" style="9" customWidth="1"/>
    <col min="4" max="4" width="13.140625" style="9" bestFit="1" customWidth="1"/>
    <col min="6" max="6" width="10.7109375" bestFit="1" customWidth="1"/>
    <col min="7" max="7" width="11.7109375" bestFit="1" customWidth="1"/>
    <col min="11" max="11" width="9.5703125" bestFit="1" customWidth="1"/>
    <col min="12" max="13" width="9.28515625" bestFit="1" customWidth="1"/>
  </cols>
  <sheetData>
    <row r="1" spans="1:46">
      <c r="D1" s="47"/>
      <c r="E1" s="48"/>
      <c r="F1" s="10"/>
    </row>
    <row r="2" spans="1:46">
      <c r="A2" s="16"/>
      <c r="D2" s="49"/>
      <c r="E2" s="50"/>
      <c r="F2" s="10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46">
      <c r="A3" s="16"/>
      <c r="D3" s="49"/>
      <c r="E3" s="50"/>
      <c r="F3" s="10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46">
      <c r="A4" s="16"/>
      <c r="D4" s="49"/>
      <c r="E4" s="50"/>
      <c r="F4" s="10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46">
      <c r="A5" s="16"/>
      <c r="D5" s="49"/>
      <c r="E5" s="50"/>
      <c r="F5" s="10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46">
      <c r="A6" s="16"/>
      <c r="D6" s="49"/>
      <c r="E6" s="50"/>
      <c r="F6" s="10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46">
      <c r="A7" s="16"/>
      <c r="D7" s="49"/>
      <c r="E7" s="50"/>
      <c r="F7" s="10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46">
      <c r="A8" s="16"/>
      <c r="D8" s="49"/>
      <c r="E8" s="50"/>
      <c r="F8" s="10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46">
      <c r="A9" s="16"/>
      <c r="E9" s="10"/>
      <c r="F9" s="10"/>
    </row>
    <row r="10" spans="1:46">
      <c r="E10" s="10"/>
      <c r="F10" s="10" t="str">
        <f>CHOOSE(WEEKDAY(F11),"Sun","Mon","Tue","Wed","Thu","Fri","Sat")</f>
        <v>Mon</v>
      </c>
      <c r="G10" s="10" t="str">
        <f t="shared" ref="G10" si="0">CHOOSE(WEEKDAY(G11),"Sun","Mon","Tue","Wed","Thu","Fri","Sat")</f>
        <v>Mon</v>
      </c>
      <c r="H10" s="10" t="str">
        <f t="shared" ref="H10" si="1">CHOOSE(WEEKDAY(H11),"Sun","Mon","Tue","Wed","Thu","Fri","Sat")</f>
        <v>Mon</v>
      </c>
      <c r="I10" s="10" t="str">
        <f t="shared" ref="I10" si="2">CHOOSE(WEEKDAY(I11),"Sun","Mon","Tue","Wed","Thu","Fri","Sat")</f>
        <v>Mon</v>
      </c>
      <c r="J10" s="10" t="str">
        <f t="shared" ref="J10" si="3">CHOOSE(WEEKDAY(J11),"Sun","Mon","Tue","Wed","Thu","Fri","Sat")</f>
        <v>Mon</v>
      </c>
      <c r="K10" s="10" t="str">
        <f t="shared" ref="K10" si="4">CHOOSE(WEEKDAY(K11),"Sun","Mon","Tue","Wed","Thu","Fri","Sat")</f>
        <v>Mon</v>
      </c>
      <c r="L10" s="10" t="str">
        <f t="shared" ref="L10" si="5">CHOOSE(WEEKDAY(L11),"Sun","Mon","Tue","Wed","Thu","Fri","Sat")</f>
        <v>Mon</v>
      </c>
      <c r="M10" s="10" t="str">
        <f t="shared" ref="M10" si="6">CHOOSE(WEEKDAY(M11),"Sun","Mon","Tue","Wed","Thu","Fri","Sat")</f>
        <v>Mon</v>
      </c>
      <c r="N10" s="10" t="str">
        <f t="shared" ref="N10" si="7">CHOOSE(WEEKDAY(N11),"Sun","Mon","Tue","Wed","Thu","Fri","Sat")</f>
        <v>Mon</v>
      </c>
      <c r="O10" s="10" t="str">
        <f t="shared" ref="O10:Z10" si="8">CHOOSE(WEEKDAY(O11),"Sun","Mon","Tue","Wed","Thu","Fri","Sat")</f>
        <v>Mon</v>
      </c>
      <c r="P10" s="10" t="str">
        <f t="shared" si="8"/>
        <v>Mon</v>
      </c>
      <c r="Q10" s="10" t="str">
        <f t="shared" si="8"/>
        <v>Mon</v>
      </c>
      <c r="R10" s="10" t="str">
        <f t="shared" si="8"/>
        <v>Mon</v>
      </c>
      <c r="S10" s="10" t="str">
        <f t="shared" si="8"/>
        <v>Mon</v>
      </c>
      <c r="T10" s="10" t="str">
        <f t="shared" si="8"/>
        <v>Mon</v>
      </c>
      <c r="U10" s="10" t="str">
        <f t="shared" si="8"/>
        <v>Mon</v>
      </c>
      <c r="V10" s="10" t="str">
        <f t="shared" si="8"/>
        <v>Mon</v>
      </c>
      <c r="W10" s="10" t="str">
        <f t="shared" si="8"/>
        <v>Mon</v>
      </c>
      <c r="X10" s="10" t="str">
        <f t="shared" si="8"/>
        <v>Mon</v>
      </c>
      <c r="Y10" s="10" t="str">
        <f t="shared" si="8"/>
        <v>Mon</v>
      </c>
      <c r="Z10" s="10" t="str">
        <f t="shared" si="8"/>
        <v>Mon</v>
      </c>
    </row>
    <row r="11" spans="1:46" ht="34.5" customHeight="1">
      <c r="A11" s="13" t="s">
        <v>3</v>
      </c>
      <c r="B11" s="13" t="s">
        <v>4</v>
      </c>
      <c r="C11" s="13" t="s">
        <v>0</v>
      </c>
      <c r="D11" s="13" t="s">
        <v>9</v>
      </c>
      <c r="E11" s="11"/>
      <c r="F11" s="12">
        <v>45663</v>
      </c>
      <c r="G11" s="12">
        <f>F11+7</f>
        <v>45670</v>
      </c>
      <c r="H11" s="12">
        <f t="shared" ref="H11:AT11" si="9">G11+7</f>
        <v>45677</v>
      </c>
      <c r="I11" s="12">
        <f t="shared" si="9"/>
        <v>45684</v>
      </c>
      <c r="J11" s="12">
        <f t="shared" si="9"/>
        <v>45691</v>
      </c>
      <c r="K11" s="12">
        <f t="shared" si="9"/>
        <v>45698</v>
      </c>
      <c r="L11" s="12">
        <f t="shared" si="9"/>
        <v>45705</v>
      </c>
      <c r="M11" s="12">
        <f t="shared" si="9"/>
        <v>45712</v>
      </c>
      <c r="N11" s="12">
        <f t="shared" si="9"/>
        <v>45719</v>
      </c>
      <c r="O11" s="12">
        <f t="shared" si="9"/>
        <v>45726</v>
      </c>
      <c r="P11" s="12">
        <f t="shared" si="9"/>
        <v>45733</v>
      </c>
      <c r="Q11" s="12">
        <f t="shared" si="9"/>
        <v>45740</v>
      </c>
      <c r="R11" s="12">
        <f t="shared" si="9"/>
        <v>45747</v>
      </c>
      <c r="S11" s="12">
        <f t="shared" si="9"/>
        <v>45754</v>
      </c>
      <c r="T11" s="12">
        <f t="shared" si="9"/>
        <v>45761</v>
      </c>
      <c r="U11" s="12">
        <f t="shared" si="9"/>
        <v>45768</v>
      </c>
      <c r="V11" s="12">
        <f t="shared" si="9"/>
        <v>45775</v>
      </c>
      <c r="W11" s="12">
        <f t="shared" si="9"/>
        <v>45782</v>
      </c>
      <c r="X11" s="12">
        <f t="shared" si="9"/>
        <v>45789</v>
      </c>
      <c r="Y11" s="12">
        <f t="shared" si="9"/>
        <v>45796</v>
      </c>
      <c r="Z11" s="12">
        <f t="shared" si="9"/>
        <v>45803</v>
      </c>
      <c r="AA11" s="12">
        <f t="shared" si="9"/>
        <v>45810</v>
      </c>
      <c r="AB11" s="12">
        <f t="shared" si="9"/>
        <v>45817</v>
      </c>
      <c r="AC11" s="12">
        <f t="shared" si="9"/>
        <v>45824</v>
      </c>
      <c r="AD11" s="12">
        <f t="shared" si="9"/>
        <v>45831</v>
      </c>
      <c r="AE11" s="12">
        <f t="shared" si="9"/>
        <v>45838</v>
      </c>
      <c r="AF11" s="12">
        <f t="shared" si="9"/>
        <v>45845</v>
      </c>
      <c r="AG11" s="12">
        <f t="shared" si="9"/>
        <v>45852</v>
      </c>
      <c r="AH11" s="12">
        <f t="shared" si="9"/>
        <v>45859</v>
      </c>
      <c r="AI11" s="12">
        <f t="shared" si="9"/>
        <v>45866</v>
      </c>
      <c r="AJ11" s="12">
        <f t="shared" si="9"/>
        <v>45873</v>
      </c>
      <c r="AK11" s="12">
        <f t="shared" si="9"/>
        <v>45880</v>
      </c>
      <c r="AL11" s="12">
        <f t="shared" si="9"/>
        <v>45887</v>
      </c>
      <c r="AM11" s="12">
        <f t="shared" si="9"/>
        <v>45894</v>
      </c>
      <c r="AN11" s="12">
        <f t="shared" si="9"/>
        <v>45901</v>
      </c>
      <c r="AO11" s="12">
        <f t="shared" si="9"/>
        <v>45908</v>
      </c>
      <c r="AP11" s="12">
        <f t="shared" si="9"/>
        <v>45915</v>
      </c>
      <c r="AQ11" s="12">
        <f t="shared" si="9"/>
        <v>45922</v>
      </c>
      <c r="AR11" s="12">
        <f t="shared" si="9"/>
        <v>45929</v>
      </c>
      <c r="AS11" s="12">
        <f t="shared" si="9"/>
        <v>45936</v>
      </c>
      <c r="AT11" s="12">
        <f t="shared" si="9"/>
        <v>45943</v>
      </c>
    </row>
    <row r="12" spans="1:46" ht="20.25" hidden="1" customHeight="1">
      <c r="A12" s="20">
        <f>B12</f>
        <v>99629</v>
      </c>
      <c r="B12" s="20">
        <v>99629</v>
      </c>
      <c r="C12" s="20" t="s">
        <v>17</v>
      </c>
      <c r="D12" s="9" t="s">
        <v>10</v>
      </c>
      <c r="F12">
        <f>IFERROR(INDEX(Releases!$C$5:$V$21,MATCH($A12,Releases!$C$5:$C$82,0),MATCH(F$11,Releases!$C$5:$V$5,0)),0)</f>
        <v>0</v>
      </c>
      <c r="G12">
        <f>IFERROR(INDEX(Releases!$C$5:$V$21,MATCH($A12,Releases!$C$5:$C$82,0),MATCH(G$11,Releases!$C$5:$V$5,0)),0)</f>
        <v>0</v>
      </c>
      <c r="H12">
        <f>IFERROR(INDEX(Releases!$C$5:$V$21,MATCH($A12,Releases!$C$5:$C$82,0),MATCH(H$11,Releases!$C$5:$V$5,0)),0)</f>
        <v>0</v>
      </c>
      <c r="I12">
        <f>IFERROR(INDEX(Releases!$C$5:$V$21,MATCH($A12,Releases!$C$5:$C$82,0),MATCH(I$11,Releases!$C$5:$V$5,0)),0)</f>
        <v>0</v>
      </c>
      <c r="J12">
        <f>IFERROR(INDEX(Releases!$C$5:$V$21,MATCH($A12,Releases!$C$5:$C$82,0),MATCH(J$11,Releases!$C$5:$V$5,0)),0)</f>
        <v>0</v>
      </c>
      <c r="K12">
        <f>IFERROR(INDEX(Releases!$C$5:$V$21,MATCH($A12,Releases!$C$5:$C$82,0),MATCH(K$11,Releases!$C$5:$V$5,0)),0)</f>
        <v>0</v>
      </c>
      <c r="L12">
        <f>IFERROR(INDEX(Releases!$C$5:$V$21,MATCH($A12,Releases!$C$5:$C$82,0),MATCH(L$11,Releases!$C$5:$V$5,0)),0)</f>
        <v>0</v>
      </c>
      <c r="M12">
        <f>IFERROR(INDEX(Releases!$C$5:$V$21,MATCH($A12,Releases!$C$5:$C$82,0),MATCH(M$11,Releases!$C$5:$V$5,0)),0)</f>
        <v>0</v>
      </c>
      <c r="N12">
        <f>IFERROR(INDEX(Releases!$C$5:$V$21,MATCH($A12,Releases!$C$5:$C$82,0),MATCH(N$11,Releases!$C$5:$V$5,0)),0)</f>
        <v>0</v>
      </c>
      <c r="O12">
        <f>IFERROR(INDEX(Releases!$C$5:$V$21,MATCH($A12,Releases!$C$5:$C$82,0),MATCH(O$11,Releases!$C$5:$V$5,0)),0)</f>
        <v>0</v>
      </c>
      <c r="P12">
        <f>IFERROR(INDEX(Releases!$C$5:$V$21,MATCH($A12,Releases!$C$5:$C$82,0),MATCH(P$11,Releases!$C$5:$V$5,0)),0)</f>
        <v>0</v>
      </c>
      <c r="Q12">
        <f>IFERROR(INDEX(Releases!$C$5:$V$21,MATCH($A12,Releases!$C$5:$C$82,0),MATCH(Q$11,Releases!$C$5:$V$5,0)),0)</f>
        <v>0</v>
      </c>
      <c r="R12">
        <f>IFERROR(INDEX(Releases!$C$5:$V$21,MATCH($A12,Releases!$C$5:$C$82,0),MATCH(R$11,Releases!$C$5:$V$5,0)),0)</f>
        <v>0</v>
      </c>
      <c r="S12">
        <f>IFERROR(INDEX(Releases!$C$5:$V$21,MATCH($A12,Releases!$C$5:$C$82,0),MATCH(S$11,Releases!$C$5:$V$5,0)),0)</f>
        <v>0</v>
      </c>
      <c r="T12">
        <f>IFERROR(INDEX(Releases!$C$5:$V$21,MATCH($A12,Releases!$C$5:$C$82,0),MATCH(T$11,Releases!$C$5:$V$5,0)),0)</f>
        <v>0</v>
      </c>
      <c r="U12">
        <f>IFERROR(INDEX(Releases!$C$5:$V$21,MATCH($A12,Releases!$C$5:$C$82,0),MATCH(U$11,Releases!$C$5:$V$5,0)),0)</f>
        <v>0</v>
      </c>
      <c r="V12">
        <f>IFERROR(INDEX(Releases!$C$5:$V$21,MATCH($A12,Releases!$C$5:$C$82,0),MATCH(V$11,Releases!$C$5:$V$5,0)),0)</f>
        <v>0</v>
      </c>
      <c r="W12">
        <f>IFERROR(INDEX(Releases!$C$5:$V$21,MATCH($A12,Releases!$C$5:$C$82,0),MATCH(W$11,Releases!$C$5:$V$5,0)),0)</f>
        <v>0</v>
      </c>
      <c r="X12">
        <f>IFERROR(INDEX(Releases!$C$5:$V$21,MATCH($A12,Releases!$C$5:$C$82,0),MATCH(X$11,Releases!$C$5:$V$5,0)),0)</f>
        <v>0</v>
      </c>
      <c r="Y12">
        <f>IFERROR(INDEX(Releases!$C$5:$V$21,MATCH($A12,Releases!$C$5:$C$82,0),MATCH(Y$11,Releases!$C$5:$V$5,0)),0)</f>
        <v>0</v>
      </c>
      <c r="Z12">
        <f>IFERROR(INDEX(Releases!$C$5:$V$21,MATCH($A12,Releases!$C$5:$C$82,0),MATCH(Z$11,Releases!$C$5:$V$5,0)),0)</f>
        <v>0</v>
      </c>
    </row>
    <row r="13" spans="1:46" ht="20.25" hidden="1" customHeight="1">
      <c r="A13" s="20">
        <f t="shared" ref="A13:A74" si="10">B13</f>
        <v>99629</v>
      </c>
      <c r="B13" s="20">
        <v>99629</v>
      </c>
      <c r="C13" s="20" t="s">
        <v>17</v>
      </c>
      <c r="D13" s="9" t="s">
        <v>11</v>
      </c>
      <c r="F13" cm="1">
        <f t="array" ref="F13">IFERROR(INDEX(Receiving!#REF!,MATCH($B13&amp;F$11,Receiving!#REF!&amp;Receiving!#REF!,0),MATCH("Qty",Receiving!#REF!,0)),0)</f>
        <v>0</v>
      </c>
      <c r="G13" cm="1">
        <f t="array" ref="G13">IFERROR(INDEX(Receiving!#REF!,MATCH($B13&amp;G$11,Receiving!#REF!&amp;Receiving!#REF!,0),MATCH("Qty",Receiving!#REF!,0)),0)</f>
        <v>0</v>
      </c>
      <c r="H13" cm="1">
        <f t="array" ref="H13">IFERROR(INDEX(Receiving!#REF!,MATCH($B13&amp;H$11,Receiving!#REF!&amp;Receiving!#REF!,0),MATCH("Qty",Receiving!#REF!,0)),0)</f>
        <v>0</v>
      </c>
      <c r="I13" cm="1">
        <f t="array" ref="I13">IFERROR(INDEX(Receiving!#REF!,MATCH($B13&amp;I$11,Receiving!#REF!&amp;Receiving!#REF!,0),MATCH("Qty",Receiving!#REF!,0)),0)</f>
        <v>0</v>
      </c>
      <c r="J13" cm="1">
        <f t="array" ref="J13">IFERROR(INDEX(Receiving!#REF!,MATCH($B13&amp;J$11,Receiving!#REF!&amp;Receiving!#REF!,0),MATCH("Qty",Receiving!#REF!,0)),0)</f>
        <v>0</v>
      </c>
      <c r="K13" cm="1">
        <f t="array" ref="K13">IFERROR(INDEX(Receiving!#REF!,MATCH($B13&amp;K$11,Receiving!#REF!&amp;Receiving!#REF!,0),MATCH("Qty",Receiving!#REF!,0)),0)</f>
        <v>0</v>
      </c>
      <c r="L13" cm="1">
        <f t="array" ref="L13">IFERROR(INDEX(Receiving!#REF!,MATCH($B13&amp;L$11,Receiving!#REF!&amp;Receiving!#REF!,0),MATCH("Qty",Receiving!#REF!,0)),0)</f>
        <v>0</v>
      </c>
      <c r="M13" cm="1">
        <f t="array" ref="M13">IFERROR(INDEX(Receiving!#REF!,MATCH($B13&amp;M$11,Receiving!#REF!&amp;Receiving!#REF!,0),MATCH("Qty",Receiving!#REF!,0)),0)</f>
        <v>0</v>
      </c>
      <c r="N13" cm="1">
        <f t="array" ref="N13">IFERROR(INDEX(Receiving!#REF!,MATCH($B13&amp;N$11,Receiving!#REF!&amp;Receiving!#REF!,0),MATCH("Qty",Receiving!#REF!,0)),0)</f>
        <v>0</v>
      </c>
      <c r="O13" cm="1">
        <f t="array" ref="O13">IFERROR(INDEX(Receiving!#REF!,MATCH($B13&amp;O$11,Receiving!#REF!&amp;Receiving!#REF!,0),MATCH("Qty",Receiving!#REF!,0)),0)</f>
        <v>0</v>
      </c>
      <c r="P13" cm="1">
        <f t="array" ref="P13">IFERROR(INDEX(Receiving!#REF!,MATCH($B13&amp;P$11,Receiving!#REF!&amp;Receiving!#REF!,0),MATCH("Qty",Receiving!#REF!,0)),0)</f>
        <v>0</v>
      </c>
      <c r="Q13" cm="1">
        <f t="array" ref="Q13">IFERROR(INDEX(Receiving!#REF!,MATCH($B13&amp;Q$11,Receiving!#REF!&amp;Receiving!#REF!,0),MATCH("Qty",Receiving!#REF!,0)),0)</f>
        <v>0</v>
      </c>
      <c r="R13" cm="1">
        <f t="array" ref="R13">IFERROR(INDEX(Receiving!#REF!,MATCH($B13&amp;R$11,Receiving!#REF!&amp;Receiving!#REF!,0),MATCH("Qty",Receiving!#REF!,0)),0)</f>
        <v>0</v>
      </c>
      <c r="S13" cm="1">
        <f t="array" ref="S13">IFERROR(INDEX(Receiving!#REF!,MATCH($B13&amp;S$11,Receiving!#REF!&amp;Receiving!#REF!,0),MATCH("Qty",Receiving!#REF!,0)),0)</f>
        <v>0</v>
      </c>
      <c r="T13" cm="1">
        <f t="array" ref="T13">IFERROR(INDEX(Receiving!#REF!,MATCH($B13&amp;T$11,Receiving!#REF!&amp;Receiving!#REF!,0),MATCH("Qty",Receiving!#REF!,0)),0)</f>
        <v>0</v>
      </c>
      <c r="U13" cm="1">
        <f t="array" ref="U13">IFERROR(INDEX(Receiving!#REF!,MATCH($B13&amp;U$11,Receiving!#REF!&amp;Receiving!#REF!,0),MATCH("Qty",Receiving!#REF!,0)),0)</f>
        <v>0</v>
      </c>
      <c r="V13" cm="1">
        <f t="array" ref="V13">IFERROR(INDEX(Receiving!#REF!,MATCH($B13&amp;V$11,Receiving!#REF!&amp;Receiving!#REF!,0),MATCH("Qty",Receiving!#REF!,0)),0)</f>
        <v>0</v>
      </c>
      <c r="W13" cm="1">
        <f t="array" ref="W13">IFERROR(INDEX(Receiving!#REF!,MATCH($B13&amp;W$11,Receiving!#REF!&amp;Receiving!#REF!,0),MATCH("Qty",Receiving!#REF!,0)),0)</f>
        <v>0</v>
      </c>
      <c r="X13" cm="1">
        <f t="array" ref="X13">IFERROR(INDEX(Receiving!#REF!,MATCH($B13&amp;X$11,Receiving!#REF!&amp;Receiving!#REF!,0),MATCH("Qty",Receiving!#REF!,0)),0)</f>
        <v>0</v>
      </c>
      <c r="Y13" cm="1">
        <f t="array" ref="Y13">IFERROR(INDEX(Receiving!#REF!,MATCH($B13&amp;Y$11,Receiving!#REF!&amp;Receiving!#REF!,0),MATCH("Qty",Receiving!#REF!,0)),0)</f>
        <v>0</v>
      </c>
      <c r="Z13" cm="1">
        <f t="array" ref="Z13">IFERROR(INDEX(Receiving!#REF!,MATCH($B13&amp;Z$11,Receiving!#REF!&amp;Receiving!#REF!,0),MATCH("Qty",Receiving!#REF!,0)),0)</f>
        <v>0</v>
      </c>
    </row>
    <row r="14" spans="1:46" ht="20.25" hidden="1" customHeight="1">
      <c r="A14" s="20">
        <f t="shared" si="10"/>
        <v>99629</v>
      </c>
      <c r="B14" s="20">
        <v>99629</v>
      </c>
      <c r="C14" s="20" t="s">
        <v>17</v>
      </c>
      <c r="D14" s="9" t="s">
        <v>59</v>
      </c>
      <c r="F14" cm="1">
        <f t="array" ref="F14">IFERROR(INDEX(Shipping!$A$2:$F$1216,MATCH($A14&amp;F$11,Shipping!$E$2:$E$1216&amp;Shipping!$B$2:$B$1216,0),MATCH("Qty",Shipping!$A$2:$F$2,0)),0)</f>
        <v>0</v>
      </c>
      <c r="G14" cm="1">
        <f t="array" ref="G14">IFERROR(INDEX(Shipping!$A$2:$F$1216,MATCH($A14&amp;G$11,Shipping!$E$2:$E$1216&amp;Shipping!$B$2:$B$1216,0),MATCH("Qty",Shipping!$A$2:$F$2,0)),0)</f>
        <v>0</v>
      </c>
      <c r="H14" cm="1">
        <f t="array" ref="H14">IFERROR(INDEX(Shipping!$A$2:$F$1216,MATCH($A14&amp;H$11,Shipping!$E$2:$E$1216&amp;Shipping!$B$2:$B$1216,0),MATCH("Qty",Shipping!$A$2:$F$2,0)),0)</f>
        <v>0</v>
      </c>
      <c r="I14" cm="1">
        <f t="array" ref="I14">IFERROR(INDEX(Shipping!$A$2:$F$1216,MATCH($A14&amp;I$11,Shipping!$E$2:$E$1216&amp;Shipping!$B$2:$B$1216,0),MATCH("Qty",Shipping!$A$2:$F$2,0)),0)</f>
        <v>0</v>
      </c>
      <c r="J14" cm="1">
        <f t="array" ref="J14">IFERROR(INDEX(Shipping!$A$2:$F$1216,MATCH($A14&amp;J$11,Shipping!$E$2:$E$1216&amp;Shipping!$B$2:$B$1216,0),MATCH("Qty",Shipping!$A$2:$F$2,0)),0)</f>
        <v>0</v>
      </c>
      <c r="K14" cm="1">
        <f t="array" ref="K14">IFERROR(INDEX(Shipping!$A$2:$F$1216,MATCH($A14&amp;K$11,Shipping!$E$2:$E$1216&amp;Shipping!$B$2:$B$1216,0),MATCH("Qty",Shipping!$A$2:$F$2,0)),0)</f>
        <v>0</v>
      </c>
      <c r="L14" cm="1">
        <f t="array" ref="L14">IFERROR(INDEX(Shipping!$A$2:$F$1216,MATCH($A14&amp;L$11,Shipping!$E$2:$E$1216&amp;Shipping!$B$2:$B$1216,0),MATCH("Qty",Shipping!$A$2:$F$2,0)),0)</f>
        <v>0</v>
      </c>
      <c r="M14" cm="1">
        <f t="array" ref="M14">IFERROR(INDEX(Shipping!$A$2:$F$1216,MATCH($A14&amp;M$11,Shipping!$E$2:$E$1216&amp;Shipping!$B$2:$B$1216,0),MATCH("Qty",Shipping!$A$2:$F$2,0)),0)</f>
        <v>0</v>
      </c>
      <c r="N14" cm="1">
        <f t="array" ref="N14">IFERROR(INDEX(Shipping!$A$2:$F$1216,MATCH($A14&amp;N$11,Shipping!$E$2:$E$1216&amp;Shipping!$B$2:$B$1216,0),MATCH("Qty",Shipping!$A$2:$F$2,0)),0)</f>
        <v>0</v>
      </c>
      <c r="O14" cm="1">
        <f t="array" ref="O14">IFERROR(INDEX(Shipping!$A$2:$F$1216,MATCH($A14&amp;O$11,Shipping!$E$2:$E$1216&amp;Shipping!$B$2:$B$1216,0),MATCH("Qty",Shipping!$A$2:$F$2,0)),0)</f>
        <v>0</v>
      </c>
      <c r="P14" cm="1">
        <f t="array" ref="P14">IFERROR(INDEX(Shipping!$A$2:$F$1216,MATCH($A14&amp;P$11,Shipping!$E$2:$E$1216&amp;Shipping!$B$2:$B$1216,0),MATCH("Qty",Shipping!$A$2:$F$2,0)),0)</f>
        <v>0</v>
      </c>
      <c r="Q14" cm="1">
        <f t="array" ref="Q14">IFERROR(INDEX(Shipping!$A$2:$F$1216,MATCH($A14&amp;Q$11,Shipping!$E$2:$E$1216&amp;Shipping!$B$2:$B$1216,0),MATCH("Qty",Shipping!$A$2:$F$2,0)),0)</f>
        <v>0</v>
      </c>
      <c r="R14" cm="1">
        <f t="array" ref="R14">IFERROR(INDEX(Shipping!$A$2:$F$1216,MATCH($A14&amp;R$11,Shipping!$E$2:$E$1216&amp;Shipping!$B$2:$B$1216,0),MATCH("Qty",Shipping!$A$2:$F$2,0)),0)</f>
        <v>0</v>
      </c>
      <c r="S14" cm="1">
        <f t="array" ref="S14">IFERROR(INDEX(Shipping!$A$2:$F$1216,MATCH($A14&amp;S$11,Shipping!$E$2:$E$1216&amp;Shipping!$B$2:$B$1216,0),MATCH("Qty",Shipping!$A$2:$F$2,0)),0)</f>
        <v>0</v>
      </c>
      <c r="T14" cm="1">
        <f t="array" ref="T14">IFERROR(INDEX(Shipping!$A$2:$F$1216,MATCH($A14&amp;T$11,Shipping!$E$2:$E$1216&amp;Shipping!$B$2:$B$1216,0),MATCH("Qty",Shipping!$A$2:$F$2,0)),0)</f>
        <v>0</v>
      </c>
      <c r="U14" cm="1">
        <f t="array" ref="U14">IFERROR(INDEX(Shipping!$A$2:$F$1216,MATCH($A14&amp;U$11,Shipping!$E$2:$E$1216&amp;Shipping!$B$2:$B$1216,0),MATCH("Qty",Shipping!$A$2:$F$2,0)),0)</f>
        <v>0</v>
      </c>
      <c r="V14" cm="1">
        <f t="array" ref="V14">IFERROR(INDEX(Shipping!$A$2:$F$1216,MATCH($A14&amp;V$11,Shipping!$E$2:$E$1216&amp;Shipping!$B$2:$B$1216,0),MATCH("Qty",Shipping!$A$2:$F$2,0)),0)</f>
        <v>0</v>
      </c>
      <c r="W14" cm="1">
        <f t="array" ref="W14">IFERROR(INDEX(Shipping!$A$2:$F$1216,MATCH($A14&amp;W$11,Shipping!$E$2:$E$1216&amp;Shipping!$B$2:$B$1216,0),MATCH("Qty",Shipping!$A$2:$F$2,0)),0)</f>
        <v>0</v>
      </c>
      <c r="X14" cm="1">
        <f t="array" ref="X14">IFERROR(INDEX(Shipping!$A$2:$F$1216,MATCH($A14&amp;X$11,Shipping!$E$2:$E$1216&amp;Shipping!$B$2:$B$1216,0),MATCH("Qty",Shipping!$A$2:$F$2,0)),0)</f>
        <v>0</v>
      </c>
      <c r="Y14" cm="1">
        <f t="array" ref="Y14">IFERROR(INDEX(Shipping!$A$2:$F$1216,MATCH($A14&amp;Y$11,Shipping!$E$2:$E$1216&amp;Shipping!$B$2:$B$1216,0),MATCH("Qty",Shipping!$A$2:$F$2,0)),0)</f>
        <v>0</v>
      </c>
      <c r="Z14" cm="1">
        <f t="array" ref="Z14">IFERROR(INDEX(Shipping!$A$2:$F$1216,MATCH($A14&amp;Z$11,Shipping!$E$2:$E$1216&amp;Shipping!$B$2:$B$1216,0),MATCH("Qty",Shipping!$A$2:$F$2,0)),0)</f>
        <v>0</v>
      </c>
    </row>
    <row r="15" spans="1:46" ht="20.25" customHeight="1">
      <c r="A15" s="20">
        <f t="shared" si="10"/>
        <v>99629</v>
      </c>
      <c r="B15" s="20">
        <v>99629</v>
      </c>
      <c r="C15" s="20" t="s">
        <v>17</v>
      </c>
      <c r="D15" s="9" t="s">
        <v>12</v>
      </c>
      <c r="F15">
        <f>F13-F14</f>
        <v>0</v>
      </c>
      <c r="G15">
        <f>G13-G14</f>
        <v>0</v>
      </c>
      <c r="H15">
        <f t="shared" ref="H15:Z15" si="11">G15-G16+H13</f>
        <v>0</v>
      </c>
      <c r="I15">
        <f t="shared" si="11"/>
        <v>0</v>
      </c>
      <c r="J15">
        <f t="shared" si="11"/>
        <v>0</v>
      </c>
      <c r="K15">
        <f t="shared" si="11"/>
        <v>0</v>
      </c>
      <c r="L15">
        <f t="shared" si="11"/>
        <v>0</v>
      </c>
      <c r="M15">
        <f t="shared" si="11"/>
        <v>0</v>
      </c>
      <c r="N15">
        <f t="shared" si="11"/>
        <v>0</v>
      </c>
      <c r="O15">
        <f t="shared" si="11"/>
        <v>0</v>
      </c>
      <c r="P15">
        <f t="shared" si="11"/>
        <v>0</v>
      </c>
      <c r="Q15">
        <f t="shared" si="11"/>
        <v>0</v>
      </c>
      <c r="R15">
        <f t="shared" si="11"/>
        <v>0</v>
      </c>
      <c r="S15">
        <f t="shared" si="11"/>
        <v>0</v>
      </c>
      <c r="T15">
        <f t="shared" si="11"/>
        <v>0</v>
      </c>
      <c r="U15">
        <f t="shared" si="11"/>
        <v>0</v>
      </c>
      <c r="V15">
        <f t="shared" si="11"/>
        <v>0</v>
      </c>
      <c r="W15">
        <f t="shared" si="11"/>
        <v>0</v>
      </c>
      <c r="X15">
        <f t="shared" si="11"/>
        <v>0</v>
      </c>
      <c r="Y15">
        <f t="shared" si="11"/>
        <v>0</v>
      </c>
      <c r="Z15">
        <f t="shared" si="11"/>
        <v>0</v>
      </c>
    </row>
    <row r="16" spans="1:46" ht="20.25" hidden="1" customHeight="1">
      <c r="A16" s="20">
        <f t="shared" si="10"/>
        <v>99629</v>
      </c>
      <c r="B16" s="20">
        <v>99629</v>
      </c>
      <c r="C16" s="20" t="s">
        <v>17</v>
      </c>
      <c r="D16" s="9" t="s">
        <v>58</v>
      </c>
      <c r="F16" s="15">
        <f>F12-F15</f>
        <v>0</v>
      </c>
      <c r="G16" s="15">
        <f>F16+G12-G15</f>
        <v>0</v>
      </c>
      <c r="H16" s="15">
        <f t="shared" ref="H16:Z16" si="12">G16+H12-H15</f>
        <v>0</v>
      </c>
      <c r="I16" s="15">
        <f t="shared" si="12"/>
        <v>0</v>
      </c>
      <c r="J16" s="15">
        <f t="shared" si="12"/>
        <v>0</v>
      </c>
      <c r="K16" s="15">
        <f t="shared" si="12"/>
        <v>0</v>
      </c>
      <c r="L16" s="15">
        <f t="shared" si="12"/>
        <v>0</v>
      </c>
      <c r="M16" s="15">
        <f t="shared" si="12"/>
        <v>0</v>
      </c>
      <c r="N16" s="15">
        <f t="shared" si="12"/>
        <v>0</v>
      </c>
      <c r="O16" s="15">
        <f t="shared" si="12"/>
        <v>0</v>
      </c>
      <c r="P16" s="15">
        <f t="shared" si="12"/>
        <v>0</v>
      </c>
      <c r="Q16" s="15">
        <f t="shared" si="12"/>
        <v>0</v>
      </c>
      <c r="R16" s="15">
        <f t="shared" si="12"/>
        <v>0</v>
      </c>
      <c r="S16" s="15">
        <f t="shared" si="12"/>
        <v>0</v>
      </c>
      <c r="T16" s="15">
        <f t="shared" si="12"/>
        <v>0</v>
      </c>
      <c r="U16" s="15">
        <f t="shared" si="12"/>
        <v>0</v>
      </c>
      <c r="V16" s="15">
        <f t="shared" si="12"/>
        <v>0</v>
      </c>
      <c r="W16" s="15">
        <f t="shared" si="12"/>
        <v>0</v>
      </c>
      <c r="X16" s="15">
        <f t="shared" si="12"/>
        <v>0</v>
      </c>
      <c r="Y16" s="15">
        <f t="shared" si="12"/>
        <v>0</v>
      </c>
      <c r="Z16" s="15">
        <f t="shared" si="12"/>
        <v>0</v>
      </c>
    </row>
    <row r="17" spans="1:26" hidden="1">
      <c r="A17" s="9">
        <f t="shared" si="10"/>
        <v>99631</v>
      </c>
      <c r="B17" s="9">
        <v>99631</v>
      </c>
      <c r="C17" s="9" t="s">
        <v>18</v>
      </c>
      <c r="D17" s="9" t="s">
        <v>10</v>
      </c>
      <c r="F17">
        <f>IFERROR(INDEX(Releases!$C$5:$V$21,MATCH($A17,Releases!$C$5:$C$82,0),MATCH(F$11,Releases!$C$5:$V$5,0)),0)</f>
        <v>0</v>
      </c>
      <c r="G17">
        <f>IFERROR(INDEX(Releases!$C$5:$V$21,MATCH($A17,Releases!$C$5:$C$82,0),MATCH(G$11,Releases!$C$5:$V$5,0)),0)</f>
        <v>0</v>
      </c>
      <c r="H17">
        <f>IFERROR(INDEX(Releases!$C$5:$V$21,MATCH($A17,Releases!$C$5:$C$82,0),MATCH(H$11,Releases!$C$5:$V$5,0)),0)</f>
        <v>0</v>
      </c>
      <c r="I17">
        <f>IFERROR(INDEX(Releases!$C$5:$V$21,MATCH($A17,Releases!$C$5:$C$82,0),MATCH(I$11,Releases!$C$5:$V$5,0)),0)</f>
        <v>0</v>
      </c>
      <c r="J17">
        <f>IFERROR(INDEX(Releases!$C$5:$V$21,MATCH($A17,Releases!$C$5:$C$82,0),MATCH(J$11,Releases!$C$5:$V$5,0)),0)</f>
        <v>0</v>
      </c>
      <c r="K17">
        <f>IFERROR(INDEX(Releases!$C$5:$V$21,MATCH($A17,Releases!$C$5:$C$82,0),MATCH(K$11,Releases!$C$5:$V$5,0)),0)</f>
        <v>0</v>
      </c>
      <c r="L17">
        <f>IFERROR(INDEX(Releases!$C$5:$V$21,MATCH($A17,Releases!$C$5:$C$82,0),MATCH(L$11,Releases!$C$5:$V$5,0)),0)</f>
        <v>0</v>
      </c>
      <c r="M17">
        <f>IFERROR(INDEX(Releases!$C$5:$V$21,MATCH($A17,Releases!$C$5:$C$82,0),MATCH(M$11,Releases!$C$5:$V$5,0)),0)</f>
        <v>0</v>
      </c>
      <c r="N17">
        <f>IFERROR(INDEX(Releases!$C$5:$V$21,MATCH($A17,Releases!$C$5:$C$82,0),MATCH(N$11,Releases!$C$5:$V$5,0)),0)</f>
        <v>0</v>
      </c>
      <c r="O17">
        <f>IFERROR(INDEX(Releases!$C$5:$V$21,MATCH($A17,Releases!$C$5:$C$82,0),MATCH(O$11,Releases!$C$5:$V$5,0)),0)</f>
        <v>0</v>
      </c>
      <c r="P17">
        <f>IFERROR(INDEX(Releases!$C$5:$V$21,MATCH($A17,Releases!$C$5:$C$82,0),MATCH(P$11,Releases!$C$5:$V$5,0)),0)</f>
        <v>0</v>
      </c>
      <c r="Q17">
        <f>IFERROR(INDEX(Releases!$C$5:$V$21,MATCH($A17,Releases!$C$5:$C$82,0),MATCH(Q$11,Releases!$C$5:$V$5,0)),0)</f>
        <v>0</v>
      </c>
      <c r="R17">
        <f>IFERROR(INDEX(Releases!$C$5:$V$21,MATCH($A17,Releases!$C$5:$C$82,0),MATCH(R$11,Releases!$C$5:$V$5,0)),0)</f>
        <v>0</v>
      </c>
      <c r="S17">
        <f>IFERROR(INDEX(Releases!$C$5:$V$21,MATCH($A17,Releases!$C$5:$C$82,0),MATCH(S$11,Releases!$C$5:$V$5,0)),0)</f>
        <v>0</v>
      </c>
      <c r="T17">
        <f>IFERROR(INDEX(Releases!$C$5:$V$21,MATCH($A17,Releases!$C$5:$C$82,0),MATCH(T$11,Releases!$C$5:$V$5,0)),0)</f>
        <v>0</v>
      </c>
      <c r="U17">
        <f>IFERROR(INDEX(Releases!$C$5:$V$21,MATCH($A17,Releases!$C$5:$C$82,0),MATCH(U$11,Releases!$C$5:$V$5,0)),0)</f>
        <v>0</v>
      </c>
      <c r="V17">
        <f>IFERROR(INDEX(Releases!$C$5:$V$21,MATCH($A17,Releases!$C$5:$C$82,0),MATCH(V$11,Releases!$C$5:$V$5,0)),0)</f>
        <v>0</v>
      </c>
      <c r="W17">
        <f>IFERROR(INDEX(Releases!$C$5:$V$21,MATCH($A17,Releases!$C$5:$C$82,0),MATCH(W$11,Releases!$C$5:$V$5,0)),0)</f>
        <v>0</v>
      </c>
      <c r="X17">
        <f>IFERROR(INDEX(Releases!$C$5:$V$21,MATCH($A17,Releases!$C$5:$C$82,0),MATCH(X$11,Releases!$C$5:$V$5,0)),0)</f>
        <v>0</v>
      </c>
      <c r="Y17">
        <f>IFERROR(INDEX(Releases!$C$5:$V$21,MATCH($A17,Releases!$C$5:$C$82,0),MATCH(Y$11,Releases!$C$5:$V$5,0)),0)</f>
        <v>0</v>
      </c>
      <c r="Z17">
        <f>IFERROR(INDEX(Releases!$C$5:$V$21,MATCH($A17,Releases!$C$5:$C$82,0),MATCH(Z$11,Releases!$C$5:$V$5,0)),0)</f>
        <v>0</v>
      </c>
    </row>
    <row r="18" spans="1:26" hidden="1">
      <c r="A18" s="9">
        <f t="shared" si="10"/>
        <v>99631</v>
      </c>
      <c r="B18" s="9">
        <v>99631</v>
      </c>
      <c r="C18" s="9" t="s">
        <v>18</v>
      </c>
      <c r="D18" s="9" t="s">
        <v>11</v>
      </c>
      <c r="F18" cm="1">
        <f t="array" ref="F18">IFERROR(INDEX(Receiving!#REF!,MATCH($B18&amp;F$11,Receiving!#REF!&amp;Receiving!#REF!,0),MATCH("Qty",Receiving!#REF!,0)),0)</f>
        <v>0</v>
      </c>
      <c r="G18" cm="1">
        <f t="array" ref="G18">IFERROR(INDEX(Receiving!#REF!,MATCH($B18&amp;G$11,Receiving!#REF!&amp;Receiving!#REF!,0),MATCH("Qty",Receiving!#REF!,0)),0)</f>
        <v>0</v>
      </c>
      <c r="H18" cm="1">
        <f t="array" ref="H18">IFERROR(INDEX(Receiving!#REF!,MATCH($B18&amp;H$11,Receiving!#REF!&amp;Receiving!#REF!,0),MATCH("Qty",Receiving!#REF!,0)),0)</f>
        <v>0</v>
      </c>
      <c r="I18" cm="1">
        <f t="array" ref="I18">IFERROR(INDEX(Receiving!#REF!,MATCH($B18&amp;I$11,Receiving!#REF!&amp;Receiving!#REF!,0),MATCH("Qty",Receiving!#REF!,0)),0)</f>
        <v>0</v>
      </c>
      <c r="J18" cm="1">
        <f t="array" ref="J18">IFERROR(INDEX(Receiving!#REF!,MATCH($B18&amp;J$11,Receiving!#REF!&amp;Receiving!#REF!,0),MATCH("Qty",Receiving!#REF!,0)),0)</f>
        <v>0</v>
      </c>
      <c r="K18" cm="1">
        <f t="array" ref="K18">IFERROR(INDEX(Receiving!#REF!,MATCH($B18&amp;K$11,Receiving!#REF!&amp;Receiving!#REF!,0),MATCH("Qty",Receiving!#REF!,0)),0)</f>
        <v>0</v>
      </c>
      <c r="L18" cm="1">
        <f t="array" ref="L18">IFERROR(INDEX(Receiving!#REF!,MATCH($B18&amp;L$11,Receiving!#REF!&amp;Receiving!#REF!,0),MATCH("Qty",Receiving!#REF!,0)),0)</f>
        <v>0</v>
      </c>
      <c r="M18" cm="1">
        <f t="array" ref="M18">IFERROR(INDEX(Receiving!#REF!,MATCH($B18&amp;M$11,Receiving!#REF!&amp;Receiving!#REF!,0),MATCH("Qty",Receiving!#REF!,0)),0)</f>
        <v>0</v>
      </c>
      <c r="N18" cm="1">
        <f t="array" ref="N18">IFERROR(INDEX(Receiving!#REF!,MATCH($B18&amp;N$11,Receiving!#REF!&amp;Receiving!#REF!,0),MATCH("Qty",Receiving!#REF!,0)),0)</f>
        <v>0</v>
      </c>
      <c r="O18" cm="1">
        <f t="array" ref="O18">IFERROR(INDEX(Receiving!#REF!,MATCH($B18&amp;O$11,Receiving!#REF!&amp;Receiving!#REF!,0),MATCH("Qty",Receiving!#REF!,0)),0)</f>
        <v>0</v>
      </c>
      <c r="P18" cm="1">
        <f t="array" ref="P18">IFERROR(INDEX(Receiving!#REF!,MATCH($B18&amp;P$11,Receiving!#REF!&amp;Receiving!#REF!,0),MATCH("Qty",Receiving!#REF!,0)),0)</f>
        <v>0</v>
      </c>
      <c r="Q18" cm="1">
        <f t="array" ref="Q18">IFERROR(INDEX(Receiving!#REF!,MATCH($B18&amp;Q$11,Receiving!#REF!&amp;Receiving!#REF!,0),MATCH("Qty",Receiving!#REF!,0)),0)</f>
        <v>0</v>
      </c>
      <c r="R18" cm="1">
        <f t="array" ref="R18">IFERROR(INDEX(Receiving!#REF!,MATCH($B18&amp;R$11,Receiving!#REF!&amp;Receiving!#REF!,0),MATCH("Qty",Receiving!#REF!,0)),0)</f>
        <v>0</v>
      </c>
      <c r="S18" cm="1">
        <f t="array" ref="S18">IFERROR(INDEX(Receiving!#REF!,MATCH($B18&amp;S$11,Receiving!#REF!&amp;Receiving!#REF!,0),MATCH("Qty",Receiving!#REF!,0)),0)</f>
        <v>0</v>
      </c>
      <c r="T18" cm="1">
        <f t="array" ref="T18">IFERROR(INDEX(Receiving!#REF!,MATCH($B18&amp;T$11,Receiving!#REF!&amp;Receiving!#REF!,0),MATCH("Qty",Receiving!#REF!,0)),0)</f>
        <v>0</v>
      </c>
      <c r="U18" cm="1">
        <f t="array" ref="U18">IFERROR(INDEX(Receiving!#REF!,MATCH($B18&amp;U$11,Receiving!#REF!&amp;Receiving!#REF!,0),MATCH("Qty",Receiving!#REF!,0)),0)</f>
        <v>0</v>
      </c>
      <c r="V18" cm="1">
        <f t="array" ref="V18">IFERROR(INDEX(Receiving!#REF!,MATCH($B18&amp;V$11,Receiving!#REF!&amp;Receiving!#REF!,0),MATCH("Qty",Receiving!#REF!,0)),0)</f>
        <v>0</v>
      </c>
      <c r="W18" cm="1">
        <f t="array" ref="W18">IFERROR(INDEX(Receiving!#REF!,MATCH($B18&amp;W$11,Receiving!#REF!&amp;Receiving!#REF!,0),MATCH("Qty",Receiving!#REF!,0)),0)</f>
        <v>0</v>
      </c>
      <c r="X18" cm="1">
        <f t="array" ref="X18">IFERROR(INDEX(Receiving!#REF!,MATCH($B18&amp;X$11,Receiving!#REF!&amp;Receiving!#REF!,0),MATCH("Qty",Receiving!#REF!,0)),0)</f>
        <v>0</v>
      </c>
      <c r="Y18" cm="1">
        <f t="array" ref="Y18">IFERROR(INDEX(Receiving!#REF!,MATCH($B18&amp;Y$11,Receiving!#REF!&amp;Receiving!#REF!,0),MATCH("Qty",Receiving!#REF!,0)),0)</f>
        <v>0</v>
      </c>
      <c r="Z18" cm="1">
        <f t="array" ref="Z18">IFERROR(INDEX(Receiving!#REF!,MATCH($B18&amp;Z$11,Receiving!#REF!&amp;Receiving!#REF!,0),MATCH("Qty",Receiving!#REF!,0)),0)</f>
        <v>0</v>
      </c>
    </row>
    <row r="19" spans="1:26">
      <c r="A19" s="9">
        <f t="shared" si="10"/>
        <v>99631</v>
      </c>
      <c r="B19" s="9">
        <v>99631</v>
      </c>
      <c r="C19" s="9" t="s">
        <v>18</v>
      </c>
      <c r="D19" s="9" t="s">
        <v>12</v>
      </c>
      <c r="F19" cm="1">
        <f t="array" ref="F19">IFERROR(INDEX(Shipping!$A$2:$F$1216,MATCH($A19&amp;F$11,Shipping!$E$2:$E$1216&amp;Shipping!$B$2:$B$1216,0),MATCH("Qty",Shipping!$A$2:$F$2,0)),0)</f>
        <v>0</v>
      </c>
      <c r="G19" cm="1">
        <f t="array" ref="G19">IFERROR(INDEX(Shipping!$A$2:$F$1216,MATCH($A19&amp;G$11,Shipping!$E$2:$E$1216&amp;Shipping!$B$2:$B$1216,0),MATCH("Qty",Shipping!$A$2:$F$2,0)),0)</f>
        <v>0</v>
      </c>
      <c r="H19" cm="1">
        <f t="array" ref="H19">IFERROR(INDEX(Shipping!$A$2:$F$1216,MATCH($A19&amp;H$11,Shipping!$E$2:$E$1216&amp;Shipping!$B$2:$B$1216,0),MATCH("Qty",Shipping!$A$2:$F$2,0)),0)</f>
        <v>0</v>
      </c>
      <c r="I19" cm="1">
        <f t="array" ref="I19">IFERROR(INDEX(Shipping!$A$2:$F$1216,MATCH($A19&amp;I$11,Shipping!$E$2:$E$1216&amp;Shipping!$B$2:$B$1216,0),MATCH("Qty",Shipping!$A$2:$F$2,0)),0)</f>
        <v>0</v>
      </c>
      <c r="J19" cm="1">
        <f t="array" ref="J19">IFERROR(INDEX(Shipping!$A$2:$F$1216,MATCH($A19&amp;J$11,Shipping!$E$2:$E$1216&amp;Shipping!$B$2:$B$1216,0),MATCH("Qty",Shipping!$A$2:$F$2,0)),0)</f>
        <v>0</v>
      </c>
      <c r="K19" cm="1">
        <f t="array" ref="K19">IFERROR(INDEX(Shipping!$A$2:$F$1216,MATCH($A19&amp;K$11,Shipping!$E$2:$E$1216&amp;Shipping!$B$2:$B$1216,0),MATCH("Qty",Shipping!$A$2:$F$2,0)),0)</f>
        <v>0</v>
      </c>
      <c r="L19" cm="1">
        <f t="array" ref="L19">IFERROR(INDEX(Shipping!$A$2:$F$1216,MATCH($A19&amp;L$11,Shipping!$E$2:$E$1216&amp;Shipping!$B$2:$B$1216,0),MATCH("Qty",Shipping!$A$2:$F$2,0)),0)</f>
        <v>0</v>
      </c>
      <c r="M19" cm="1">
        <f t="array" ref="M19">IFERROR(INDEX(Shipping!$A$2:$F$1216,MATCH($A19&amp;M$11,Shipping!$E$2:$E$1216&amp;Shipping!$B$2:$B$1216,0),MATCH("Qty",Shipping!$A$2:$F$2,0)),0)</f>
        <v>0</v>
      </c>
      <c r="N19" cm="1">
        <f t="array" ref="N19">IFERROR(INDEX(Shipping!$A$2:$F$1216,MATCH($A19&amp;N$11,Shipping!$E$2:$E$1216&amp;Shipping!$B$2:$B$1216,0),MATCH("Qty",Shipping!$A$2:$F$2,0)),0)</f>
        <v>0</v>
      </c>
      <c r="O19" cm="1">
        <f t="array" ref="O19">IFERROR(INDEX(Shipping!$A$2:$F$1216,MATCH($A19&amp;O$11,Shipping!$E$2:$E$1216&amp;Shipping!$B$2:$B$1216,0),MATCH("Qty",Shipping!$A$2:$F$2,0)),0)</f>
        <v>0</v>
      </c>
      <c r="P19" cm="1">
        <f t="array" ref="P19">IFERROR(INDEX(Shipping!$A$2:$F$1216,MATCH($A19&amp;P$11,Shipping!$E$2:$E$1216&amp;Shipping!$B$2:$B$1216,0),MATCH("Qty",Shipping!$A$2:$F$2,0)),0)</f>
        <v>0</v>
      </c>
      <c r="Q19" cm="1">
        <f t="array" ref="Q19">IFERROR(INDEX(Shipping!$A$2:$F$1216,MATCH($A19&amp;Q$11,Shipping!$E$2:$E$1216&amp;Shipping!$B$2:$B$1216,0),MATCH("Qty",Shipping!$A$2:$F$2,0)),0)</f>
        <v>0</v>
      </c>
      <c r="R19" cm="1">
        <f t="array" ref="R19">IFERROR(INDEX(Shipping!$A$2:$F$1216,MATCH($A19&amp;R$11,Shipping!$E$2:$E$1216&amp;Shipping!$B$2:$B$1216,0),MATCH("Qty",Shipping!$A$2:$F$2,0)),0)</f>
        <v>0</v>
      </c>
      <c r="S19" cm="1">
        <f t="array" ref="S19">IFERROR(INDEX(Shipping!$A$2:$F$1216,MATCH($A19&amp;S$11,Shipping!$E$2:$E$1216&amp;Shipping!$B$2:$B$1216,0),MATCH("Qty",Shipping!$A$2:$F$2,0)),0)</f>
        <v>0</v>
      </c>
      <c r="T19" cm="1">
        <f t="array" ref="T19">IFERROR(INDEX(Shipping!$A$2:$F$1216,MATCH($A19&amp;T$11,Shipping!$E$2:$E$1216&amp;Shipping!$B$2:$B$1216,0),MATCH("Qty",Shipping!$A$2:$F$2,0)),0)</f>
        <v>0</v>
      </c>
      <c r="U19" cm="1">
        <f t="array" ref="U19">IFERROR(INDEX(Shipping!$A$2:$F$1216,MATCH($A19&amp;U$11,Shipping!$E$2:$E$1216&amp;Shipping!$B$2:$B$1216,0),MATCH("Qty",Shipping!$A$2:$F$2,0)),0)</f>
        <v>0</v>
      </c>
      <c r="V19" cm="1">
        <f t="array" ref="V19">IFERROR(INDEX(Shipping!$A$2:$F$1216,MATCH($A19&amp;V$11,Shipping!$E$2:$E$1216&amp;Shipping!$B$2:$B$1216,0),MATCH("Qty",Shipping!$A$2:$F$2,0)),0)</f>
        <v>0</v>
      </c>
      <c r="W19" cm="1">
        <f t="array" ref="W19">IFERROR(INDEX(Shipping!$A$2:$F$1216,MATCH($A19&amp;W$11,Shipping!$E$2:$E$1216&amp;Shipping!$B$2:$B$1216,0),MATCH("Qty",Shipping!$A$2:$F$2,0)),0)</f>
        <v>0</v>
      </c>
      <c r="X19" cm="1">
        <f t="array" ref="X19">IFERROR(INDEX(Shipping!$A$2:$F$1216,MATCH($A19&amp;X$11,Shipping!$E$2:$E$1216&amp;Shipping!$B$2:$B$1216,0),MATCH("Qty",Shipping!$A$2:$F$2,0)),0)</f>
        <v>0</v>
      </c>
      <c r="Y19" cm="1">
        <f t="array" ref="Y19">IFERROR(INDEX(Shipping!$A$2:$F$1216,MATCH($A19&amp;Y$11,Shipping!$E$2:$E$1216&amp;Shipping!$B$2:$B$1216,0),MATCH("Qty",Shipping!$A$2:$F$2,0)),0)</f>
        <v>0</v>
      </c>
      <c r="Z19" cm="1">
        <f t="array" ref="Z19">IFERROR(INDEX(Shipping!$A$2:$F$1216,MATCH($A19&amp;Z$11,Shipping!$E$2:$E$1216&amp;Shipping!$B$2:$B$1216,0),MATCH("Qty",Shipping!$A$2:$F$2,0)),0)</f>
        <v>0</v>
      </c>
    </row>
    <row r="20" spans="1:26" hidden="1">
      <c r="A20" s="9">
        <f t="shared" si="10"/>
        <v>99631</v>
      </c>
      <c r="B20" s="9">
        <v>99631</v>
      </c>
      <c r="C20" s="9" t="s">
        <v>18</v>
      </c>
      <c r="D20" s="9" t="s">
        <v>14</v>
      </c>
      <c r="F20">
        <f>F18-F19</f>
        <v>0</v>
      </c>
      <c r="G20">
        <f>G18-G19</f>
        <v>0</v>
      </c>
      <c r="H20">
        <f t="shared" ref="H20:P20" si="13">G20-G21+H18</f>
        <v>0</v>
      </c>
      <c r="I20">
        <f t="shared" si="13"/>
        <v>0</v>
      </c>
      <c r="J20">
        <f t="shared" si="13"/>
        <v>0</v>
      </c>
      <c r="K20">
        <f t="shared" si="13"/>
        <v>0</v>
      </c>
      <c r="L20">
        <f t="shared" si="13"/>
        <v>0</v>
      </c>
      <c r="M20">
        <f t="shared" si="13"/>
        <v>0</v>
      </c>
      <c r="N20">
        <f t="shared" si="13"/>
        <v>0</v>
      </c>
      <c r="O20">
        <f t="shared" si="13"/>
        <v>0</v>
      </c>
      <c r="P20">
        <f t="shared" si="13"/>
        <v>0</v>
      </c>
      <c r="Q20">
        <f t="shared" ref="Q20:Z20" si="14">P20-P21+Q18</f>
        <v>0</v>
      </c>
      <c r="R20">
        <f t="shared" si="14"/>
        <v>0</v>
      </c>
      <c r="S20">
        <f t="shared" si="14"/>
        <v>0</v>
      </c>
      <c r="T20">
        <f t="shared" si="14"/>
        <v>0</v>
      </c>
      <c r="U20">
        <f t="shared" si="14"/>
        <v>0</v>
      </c>
      <c r="V20">
        <f t="shared" si="14"/>
        <v>0</v>
      </c>
      <c r="W20">
        <f t="shared" si="14"/>
        <v>0</v>
      </c>
      <c r="X20">
        <f t="shared" si="14"/>
        <v>0</v>
      </c>
      <c r="Y20">
        <f t="shared" si="14"/>
        <v>0</v>
      </c>
      <c r="Z20">
        <f t="shared" si="14"/>
        <v>0</v>
      </c>
    </row>
    <row r="21" spans="1:26" hidden="1">
      <c r="A21" s="9">
        <f t="shared" si="10"/>
        <v>99631</v>
      </c>
      <c r="B21" s="9">
        <v>99631</v>
      </c>
      <c r="C21" s="9" t="s">
        <v>18</v>
      </c>
      <c r="D21" s="9" t="s">
        <v>13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idden="1">
      <c r="A22" s="9">
        <f t="shared" si="10"/>
        <v>99631</v>
      </c>
      <c r="B22" s="9">
        <v>99631</v>
      </c>
      <c r="C22" s="9" t="s">
        <v>18</v>
      </c>
      <c r="D22" s="9" t="s">
        <v>15</v>
      </c>
      <c r="E22">
        <v>3</v>
      </c>
      <c r="F22">
        <f>$E22*F21</f>
        <v>0</v>
      </c>
      <c r="G22">
        <f t="shared" ref="G22" si="15">$E22*G21</f>
        <v>0</v>
      </c>
      <c r="I22">
        <f t="shared" ref="I22" si="16">$E22*I21</f>
        <v>0</v>
      </c>
      <c r="J22">
        <f t="shared" ref="J22" si="17">$E22*J21</f>
        <v>0</v>
      </c>
      <c r="K22">
        <f t="shared" ref="K22" si="18">$E22*K21</f>
        <v>0</v>
      </c>
      <c r="L22">
        <f t="shared" ref="L22" si="19">$E22*L21</f>
        <v>0</v>
      </c>
      <c r="M22">
        <f t="shared" ref="M22" si="20">$E22*M21</f>
        <v>0</v>
      </c>
      <c r="N22">
        <f t="shared" ref="N22" si="21">$E22*N21</f>
        <v>0</v>
      </c>
      <c r="O22">
        <f t="shared" ref="O22" si="22">$E22*O21</f>
        <v>0</v>
      </c>
      <c r="P22">
        <f t="shared" ref="P22" si="23">$E22*P21</f>
        <v>0</v>
      </c>
      <c r="Q22">
        <f t="shared" ref="Q22" si="24">$E22*Q21</f>
        <v>0</v>
      </c>
      <c r="R22">
        <f t="shared" ref="R22" si="25">$E22*R21</f>
        <v>0</v>
      </c>
      <c r="S22">
        <f t="shared" ref="S22" si="26">$E22*S21</f>
        <v>0</v>
      </c>
      <c r="T22">
        <f t="shared" ref="T22" si="27">$E22*T21</f>
        <v>0</v>
      </c>
      <c r="U22">
        <f t="shared" ref="U22" si="28">$E22*U21</f>
        <v>0</v>
      </c>
      <c r="V22">
        <f t="shared" ref="V22" si="29">$E22*V21</f>
        <v>0</v>
      </c>
      <c r="W22">
        <f t="shared" ref="W22" si="30">$E22*W21</f>
        <v>0</v>
      </c>
      <c r="X22">
        <f t="shared" ref="X22" si="31">$E22*X21</f>
        <v>0</v>
      </c>
      <c r="Y22">
        <f t="shared" ref="Y22" si="32">$E22*Y21</f>
        <v>0</v>
      </c>
      <c r="Z22">
        <f t="shared" ref="Z22" si="33">$E22*Z21</f>
        <v>0</v>
      </c>
    </row>
    <row r="23" spans="1:26" ht="15.75" hidden="1" thickBot="1">
      <c r="A23" s="17">
        <f t="shared" si="10"/>
        <v>99631</v>
      </c>
      <c r="B23" s="17">
        <v>99631</v>
      </c>
      <c r="C23" s="17" t="s">
        <v>18</v>
      </c>
      <c r="D23" s="17" t="s">
        <v>16</v>
      </c>
      <c r="E23" s="18">
        <v>3</v>
      </c>
      <c r="F23" s="18">
        <f>$E23*F21</f>
        <v>0</v>
      </c>
      <c r="G23" s="18">
        <f t="shared" ref="G23:P23" si="34">$E23*G21</f>
        <v>0</v>
      </c>
      <c r="H23" s="18">
        <f t="shared" si="34"/>
        <v>0</v>
      </c>
      <c r="I23" s="18">
        <f t="shared" si="34"/>
        <v>0</v>
      </c>
      <c r="J23" s="18">
        <f t="shared" si="34"/>
        <v>0</v>
      </c>
      <c r="K23" s="18">
        <f t="shared" si="34"/>
        <v>0</v>
      </c>
      <c r="L23" s="18">
        <f t="shared" si="34"/>
        <v>0</v>
      </c>
      <c r="M23" s="18">
        <f t="shared" si="34"/>
        <v>0</v>
      </c>
      <c r="N23" s="18">
        <f t="shared" si="34"/>
        <v>0</v>
      </c>
      <c r="O23" s="18">
        <f t="shared" si="34"/>
        <v>0</v>
      </c>
      <c r="P23" s="18">
        <f t="shared" si="34"/>
        <v>0</v>
      </c>
      <c r="Q23" s="18">
        <f t="shared" ref="Q23:Z23" si="35">$E23*Q21</f>
        <v>0</v>
      </c>
      <c r="R23" s="18">
        <f t="shared" si="35"/>
        <v>0</v>
      </c>
      <c r="S23" s="18">
        <f t="shared" si="35"/>
        <v>0</v>
      </c>
      <c r="T23" s="18">
        <f t="shared" si="35"/>
        <v>0</v>
      </c>
      <c r="U23" s="18">
        <f t="shared" si="35"/>
        <v>0</v>
      </c>
      <c r="V23" s="18">
        <f t="shared" si="35"/>
        <v>0</v>
      </c>
      <c r="W23" s="18">
        <f t="shared" si="35"/>
        <v>0</v>
      </c>
      <c r="X23" s="18">
        <f t="shared" si="35"/>
        <v>0</v>
      </c>
      <c r="Y23" s="18">
        <f t="shared" si="35"/>
        <v>0</v>
      </c>
      <c r="Z23" s="18">
        <f t="shared" si="35"/>
        <v>0</v>
      </c>
    </row>
    <row r="24" spans="1:26" hidden="1">
      <c r="A24" s="20">
        <f t="shared" si="10"/>
        <v>99630</v>
      </c>
      <c r="B24" s="20">
        <v>99630</v>
      </c>
      <c r="C24" s="20" t="s">
        <v>19</v>
      </c>
      <c r="D24" s="9" t="s">
        <v>10</v>
      </c>
      <c r="F24">
        <f>IFERROR(INDEX(Releases!$C$5:$V$21,MATCH($A24,Releases!$C$5:$C$82,0),MATCH(F$11,Releases!$C$5:$V$5,0)),0)</f>
        <v>0</v>
      </c>
      <c r="G24">
        <f>IFERROR(INDEX(Releases!$C$5:$V$21,MATCH($A24,Releases!$C$5:$C$82,0),MATCH(G$11,Releases!$C$5:$V$5,0)),0)</f>
        <v>0</v>
      </c>
      <c r="H24">
        <f>IFERROR(INDEX(Releases!$C$5:$V$21,MATCH($A24,Releases!$C$5:$C$82,0),MATCH(H$11,Releases!$C$5:$V$5,0)),0)</f>
        <v>0</v>
      </c>
      <c r="I24">
        <f>IFERROR(INDEX(Releases!$C$5:$V$21,MATCH($A24,Releases!$C$5:$C$82,0),MATCH(I$11,Releases!$C$5:$V$5,0)),0)</f>
        <v>0</v>
      </c>
      <c r="J24">
        <f>IFERROR(INDEX(Releases!$C$5:$V$21,MATCH($A24,Releases!$C$5:$C$82,0),MATCH(J$11,Releases!$C$5:$V$5,0)),0)</f>
        <v>0</v>
      </c>
      <c r="K24">
        <f>IFERROR(INDEX(Releases!$C$5:$V$21,MATCH($A24,Releases!$C$5:$C$82,0),MATCH(K$11,Releases!$C$5:$V$5,0)),0)</f>
        <v>0</v>
      </c>
      <c r="L24">
        <f>IFERROR(INDEX(Releases!$C$5:$V$21,MATCH($A24,Releases!$C$5:$C$82,0),MATCH(L$11,Releases!$C$5:$V$5,0)),0)</f>
        <v>0</v>
      </c>
      <c r="M24">
        <f>IFERROR(INDEX(Releases!$C$5:$V$21,MATCH($A24,Releases!$C$5:$C$82,0),MATCH(M$11,Releases!$C$5:$V$5,0)),0)</f>
        <v>0</v>
      </c>
      <c r="N24">
        <f>IFERROR(INDEX(Releases!$C$5:$V$21,MATCH($A24,Releases!$C$5:$C$82,0),MATCH(N$11,Releases!$C$5:$V$5,0)),0)</f>
        <v>0</v>
      </c>
      <c r="O24">
        <f>IFERROR(INDEX(Releases!$C$5:$V$21,MATCH($A24,Releases!$C$5:$C$82,0),MATCH(O$11,Releases!$C$5:$V$5,0)),0)</f>
        <v>0</v>
      </c>
      <c r="P24">
        <f>IFERROR(INDEX(Releases!$C$5:$V$21,MATCH($A24,Releases!$C$5:$C$82,0),MATCH(P$11,Releases!$C$5:$V$5,0)),0)</f>
        <v>0</v>
      </c>
      <c r="Q24">
        <f>IFERROR(INDEX(Releases!$C$5:$V$21,MATCH($A24,Releases!$C$5:$C$82,0),MATCH(Q$11,Releases!$C$5:$V$5,0)),0)</f>
        <v>0</v>
      </c>
      <c r="R24">
        <f>IFERROR(INDEX(Releases!$C$5:$V$21,MATCH($A24,Releases!$C$5:$C$82,0),MATCH(R$11,Releases!$C$5:$V$5,0)),0)</f>
        <v>0</v>
      </c>
      <c r="S24">
        <f>IFERROR(INDEX(Releases!$C$5:$V$21,MATCH($A24,Releases!$C$5:$C$82,0),MATCH(S$11,Releases!$C$5:$V$5,0)),0)</f>
        <v>0</v>
      </c>
      <c r="T24">
        <f>IFERROR(INDEX(Releases!$C$5:$V$21,MATCH($A24,Releases!$C$5:$C$82,0),MATCH(T$11,Releases!$C$5:$V$5,0)),0)</f>
        <v>0</v>
      </c>
      <c r="U24">
        <f>IFERROR(INDEX(Releases!$C$5:$V$21,MATCH($A24,Releases!$C$5:$C$82,0),MATCH(U$11,Releases!$C$5:$V$5,0)),0)</f>
        <v>0</v>
      </c>
      <c r="V24">
        <f>IFERROR(INDEX(Releases!$C$5:$V$21,MATCH($A24,Releases!$C$5:$C$82,0),MATCH(V$11,Releases!$C$5:$V$5,0)),0)</f>
        <v>0</v>
      </c>
      <c r="W24">
        <f>IFERROR(INDEX(Releases!$C$5:$V$21,MATCH($A24,Releases!$C$5:$C$82,0),MATCH(W$11,Releases!$C$5:$V$5,0)),0)</f>
        <v>0</v>
      </c>
      <c r="X24">
        <f>IFERROR(INDEX(Releases!$C$5:$V$21,MATCH($A24,Releases!$C$5:$C$82,0),MATCH(X$11,Releases!$C$5:$V$5,0)),0)</f>
        <v>0</v>
      </c>
      <c r="Y24">
        <f>IFERROR(INDEX(Releases!$C$5:$V$21,MATCH($A24,Releases!$C$5:$C$82,0),MATCH(Y$11,Releases!$C$5:$V$5,0)),0)</f>
        <v>0</v>
      </c>
      <c r="Z24">
        <f>IFERROR(INDEX(Releases!$C$5:$V$21,MATCH($A24,Releases!$C$5:$C$82,0),MATCH(Z$11,Releases!$C$5:$V$5,0)),0)</f>
        <v>0</v>
      </c>
    </row>
    <row r="25" spans="1:26" hidden="1">
      <c r="A25" s="20">
        <f t="shared" si="10"/>
        <v>99630</v>
      </c>
      <c r="B25" s="20">
        <v>99630</v>
      </c>
      <c r="C25" s="20" t="s">
        <v>19</v>
      </c>
      <c r="D25" s="9" t="s">
        <v>11</v>
      </c>
      <c r="F25" cm="1">
        <f t="array" ref="F25">IFERROR(INDEX(Receiving!#REF!,MATCH($B25&amp;F$11,Receiving!#REF!&amp;Receiving!#REF!,0),MATCH("Qty",Receiving!#REF!,0)),0)</f>
        <v>0</v>
      </c>
      <c r="G25" cm="1">
        <f t="array" ref="G25">IFERROR(INDEX(Receiving!#REF!,MATCH($B25&amp;G$11,Receiving!#REF!&amp;Receiving!#REF!,0),MATCH("Qty",Receiving!#REF!,0)),0)</f>
        <v>0</v>
      </c>
      <c r="H25" cm="1">
        <f t="array" ref="H25">IFERROR(INDEX(Receiving!#REF!,MATCH($B25&amp;H$11,Receiving!#REF!&amp;Receiving!#REF!,0),MATCH("Qty",Receiving!#REF!,0)),0)</f>
        <v>0</v>
      </c>
      <c r="I25" cm="1">
        <f t="array" ref="I25">IFERROR(INDEX(Receiving!#REF!,MATCH($B25&amp;I$11,Receiving!#REF!&amp;Receiving!#REF!,0),MATCH("Qty",Receiving!#REF!,0)),0)</f>
        <v>0</v>
      </c>
      <c r="J25" cm="1">
        <f t="array" ref="J25">IFERROR(INDEX(Receiving!#REF!,MATCH($B25&amp;J$11,Receiving!#REF!&amp;Receiving!#REF!,0),MATCH("Qty",Receiving!#REF!,0)),0)</f>
        <v>0</v>
      </c>
      <c r="K25" cm="1">
        <f t="array" ref="K25">IFERROR(INDEX(Receiving!#REF!,MATCH($B25&amp;K$11,Receiving!#REF!&amp;Receiving!#REF!,0),MATCH("Qty",Receiving!#REF!,0)),0)</f>
        <v>0</v>
      </c>
      <c r="L25" cm="1">
        <f t="array" ref="L25">IFERROR(INDEX(Receiving!#REF!,MATCH($B25&amp;L$11,Receiving!#REF!&amp;Receiving!#REF!,0),MATCH("Qty",Receiving!#REF!,0)),0)</f>
        <v>0</v>
      </c>
      <c r="M25" cm="1">
        <f t="array" ref="M25">IFERROR(INDEX(Receiving!#REF!,MATCH($B25&amp;M$11,Receiving!#REF!&amp;Receiving!#REF!,0),MATCH("Qty",Receiving!#REF!,0)),0)</f>
        <v>0</v>
      </c>
      <c r="N25" cm="1">
        <f t="array" ref="N25">IFERROR(INDEX(Receiving!#REF!,MATCH($B25&amp;N$11,Receiving!#REF!&amp;Receiving!#REF!,0),MATCH("Qty",Receiving!#REF!,0)),0)</f>
        <v>0</v>
      </c>
      <c r="O25" cm="1">
        <f t="array" ref="O25">IFERROR(INDEX(Receiving!#REF!,MATCH($B25&amp;O$11,Receiving!#REF!&amp;Receiving!#REF!,0),MATCH("Qty",Receiving!#REF!,0)),0)</f>
        <v>0</v>
      </c>
      <c r="P25" cm="1">
        <f t="array" ref="P25">IFERROR(INDEX(Receiving!#REF!,MATCH($B25&amp;P$11,Receiving!#REF!&amp;Receiving!#REF!,0),MATCH("Qty",Receiving!#REF!,0)),0)</f>
        <v>0</v>
      </c>
      <c r="Q25" cm="1">
        <f t="array" ref="Q25">IFERROR(INDEX(Receiving!#REF!,MATCH($B25&amp;Q$11,Receiving!#REF!&amp;Receiving!#REF!,0),MATCH("Qty",Receiving!#REF!,0)),0)</f>
        <v>0</v>
      </c>
      <c r="R25" cm="1">
        <f t="array" ref="R25">IFERROR(INDEX(Receiving!#REF!,MATCH($B25&amp;R$11,Receiving!#REF!&amp;Receiving!#REF!,0),MATCH("Qty",Receiving!#REF!,0)),0)</f>
        <v>0</v>
      </c>
      <c r="S25" cm="1">
        <f t="array" ref="S25">IFERROR(INDEX(Receiving!#REF!,MATCH($B25&amp;S$11,Receiving!#REF!&amp;Receiving!#REF!,0),MATCH("Qty",Receiving!#REF!,0)),0)</f>
        <v>0</v>
      </c>
      <c r="T25" cm="1">
        <f t="array" ref="T25">IFERROR(INDEX(Receiving!#REF!,MATCH($B25&amp;T$11,Receiving!#REF!&amp;Receiving!#REF!,0),MATCH("Qty",Receiving!#REF!,0)),0)</f>
        <v>0</v>
      </c>
      <c r="U25" cm="1">
        <f t="array" ref="U25">IFERROR(INDEX(Receiving!#REF!,MATCH($B25&amp;U$11,Receiving!#REF!&amp;Receiving!#REF!,0),MATCH("Qty",Receiving!#REF!,0)),0)</f>
        <v>0</v>
      </c>
      <c r="V25" cm="1">
        <f t="array" ref="V25">IFERROR(INDEX(Receiving!#REF!,MATCH($B25&amp;V$11,Receiving!#REF!&amp;Receiving!#REF!,0),MATCH("Qty",Receiving!#REF!,0)),0)</f>
        <v>0</v>
      </c>
      <c r="W25" cm="1">
        <f t="array" ref="W25">IFERROR(INDEX(Receiving!#REF!,MATCH($B25&amp;W$11,Receiving!#REF!&amp;Receiving!#REF!,0),MATCH("Qty",Receiving!#REF!,0)),0)</f>
        <v>0</v>
      </c>
      <c r="X25" cm="1">
        <f t="array" ref="X25">IFERROR(INDEX(Receiving!#REF!,MATCH($B25&amp;X$11,Receiving!#REF!&amp;Receiving!#REF!,0),MATCH("Qty",Receiving!#REF!,0)),0)</f>
        <v>0</v>
      </c>
      <c r="Y25" cm="1">
        <f t="array" ref="Y25">IFERROR(INDEX(Receiving!#REF!,MATCH($B25&amp;Y$11,Receiving!#REF!&amp;Receiving!#REF!,0),MATCH("Qty",Receiving!#REF!,0)),0)</f>
        <v>0</v>
      </c>
      <c r="Z25" cm="1">
        <f t="array" ref="Z25">IFERROR(INDEX(Receiving!#REF!,MATCH($B25&amp;Z$11,Receiving!#REF!&amp;Receiving!#REF!,0),MATCH("Qty",Receiving!#REF!,0)),0)</f>
        <v>0</v>
      </c>
    </row>
    <row r="26" spans="1:26">
      <c r="A26" s="20">
        <f t="shared" si="10"/>
        <v>99630</v>
      </c>
      <c r="B26" s="20">
        <v>99630</v>
      </c>
      <c r="C26" s="20" t="s">
        <v>19</v>
      </c>
      <c r="D26" s="9" t="s">
        <v>12</v>
      </c>
      <c r="F26" cm="1">
        <f t="array" ref="F26">IFERROR(INDEX(Shipping!$A$2:$F$1216,MATCH($A26&amp;F$11,Shipping!$E$2:$E$1216&amp;Shipping!$B$2:$B$1216,0),MATCH("Qty",Shipping!$A$2:$F$2,0)),0)</f>
        <v>0</v>
      </c>
      <c r="G26" cm="1">
        <f t="array" ref="G26">IFERROR(INDEX(Shipping!$A$2:$F$1216,MATCH($A26&amp;G$11,Shipping!$E$2:$E$1216&amp;Shipping!$B$2:$B$1216,0),MATCH("Qty",Shipping!$A$2:$F$2,0)),0)</f>
        <v>0</v>
      </c>
      <c r="H26" cm="1">
        <f t="array" ref="H26">IFERROR(INDEX(Shipping!$A$2:$F$1216,MATCH($A26&amp;H$11,Shipping!$E$2:$E$1216&amp;Shipping!$B$2:$B$1216,0),MATCH("Qty",Shipping!$A$2:$F$2,0)),0)</f>
        <v>0</v>
      </c>
      <c r="I26" cm="1">
        <f t="array" ref="I26">IFERROR(INDEX(Shipping!$A$2:$F$1216,MATCH($A26&amp;I$11,Shipping!$E$2:$E$1216&amp;Shipping!$B$2:$B$1216,0),MATCH("Qty",Shipping!$A$2:$F$2,0)),0)</f>
        <v>0</v>
      </c>
      <c r="J26" cm="1">
        <f t="array" ref="J26">IFERROR(INDEX(Shipping!$A$2:$F$1216,MATCH($A26&amp;J$11,Shipping!$E$2:$E$1216&amp;Shipping!$B$2:$B$1216,0),MATCH("Qty",Shipping!$A$2:$F$2,0)),0)</f>
        <v>0</v>
      </c>
      <c r="K26" cm="1">
        <f t="array" ref="K26">IFERROR(INDEX(Shipping!$A$2:$F$1216,MATCH($A26&amp;K$11,Shipping!$E$2:$E$1216&amp;Shipping!$B$2:$B$1216,0),MATCH("Qty",Shipping!$A$2:$F$2,0)),0)</f>
        <v>0</v>
      </c>
      <c r="L26" cm="1">
        <f t="array" ref="L26">IFERROR(INDEX(Shipping!$A$2:$F$1216,MATCH($A26&amp;L$11,Shipping!$E$2:$E$1216&amp;Shipping!$B$2:$B$1216,0),MATCH("Qty",Shipping!$A$2:$F$2,0)),0)</f>
        <v>0</v>
      </c>
      <c r="M26" cm="1">
        <f t="array" ref="M26">IFERROR(INDEX(Shipping!$A$2:$F$1216,MATCH($A26&amp;M$11,Shipping!$E$2:$E$1216&amp;Shipping!$B$2:$B$1216,0),MATCH("Qty",Shipping!$A$2:$F$2,0)),0)</f>
        <v>0</v>
      </c>
      <c r="N26" cm="1">
        <f t="array" ref="N26">IFERROR(INDEX(Shipping!$A$2:$F$1216,MATCH($A26&amp;N$11,Shipping!$E$2:$E$1216&amp;Shipping!$B$2:$B$1216,0),MATCH("Qty",Shipping!$A$2:$F$2,0)),0)</f>
        <v>0</v>
      </c>
      <c r="O26" cm="1">
        <f t="array" ref="O26">IFERROR(INDEX(Shipping!$A$2:$F$1216,MATCH($A26&amp;O$11,Shipping!$E$2:$E$1216&amp;Shipping!$B$2:$B$1216,0),MATCH("Qty",Shipping!$A$2:$F$2,0)),0)</f>
        <v>0</v>
      </c>
      <c r="P26" cm="1">
        <f t="array" ref="P26">IFERROR(INDEX(Shipping!$A$2:$F$1216,MATCH($A26&amp;P$11,Shipping!$E$2:$E$1216&amp;Shipping!$B$2:$B$1216,0),MATCH("Qty",Shipping!$A$2:$F$2,0)),0)</f>
        <v>0</v>
      </c>
      <c r="Q26" cm="1">
        <f t="array" ref="Q26">IFERROR(INDEX(Shipping!$A$2:$F$1216,MATCH($A26&amp;Q$11,Shipping!$E$2:$E$1216&amp;Shipping!$B$2:$B$1216,0),MATCH("Qty",Shipping!$A$2:$F$2,0)),0)</f>
        <v>0</v>
      </c>
      <c r="R26" cm="1">
        <f t="array" ref="R26">IFERROR(INDEX(Shipping!$A$2:$F$1216,MATCH($A26&amp;R$11,Shipping!$E$2:$E$1216&amp;Shipping!$B$2:$B$1216,0),MATCH("Qty",Shipping!$A$2:$F$2,0)),0)</f>
        <v>0</v>
      </c>
      <c r="S26" cm="1">
        <f t="array" ref="S26">IFERROR(INDEX(Shipping!$A$2:$F$1216,MATCH($A26&amp;S$11,Shipping!$E$2:$E$1216&amp;Shipping!$B$2:$B$1216,0),MATCH("Qty",Shipping!$A$2:$F$2,0)),0)</f>
        <v>0</v>
      </c>
      <c r="T26" cm="1">
        <f t="array" ref="T26">IFERROR(INDEX(Shipping!$A$2:$F$1216,MATCH($A26&amp;T$11,Shipping!$E$2:$E$1216&amp;Shipping!$B$2:$B$1216,0),MATCH("Qty",Shipping!$A$2:$F$2,0)),0)</f>
        <v>0</v>
      </c>
      <c r="U26" cm="1">
        <f t="array" ref="U26">IFERROR(INDEX(Shipping!$A$2:$F$1216,MATCH($A26&amp;U$11,Shipping!$E$2:$E$1216&amp;Shipping!$B$2:$B$1216,0),MATCH("Qty",Shipping!$A$2:$F$2,0)),0)</f>
        <v>0</v>
      </c>
      <c r="V26" cm="1">
        <f t="array" ref="V26">IFERROR(INDEX(Shipping!$A$2:$F$1216,MATCH($A26&amp;V$11,Shipping!$E$2:$E$1216&amp;Shipping!$B$2:$B$1216,0),MATCH("Qty",Shipping!$A$2:$F$2,0)),0)</f>
        <v>0</v>
      </c>
      <c r="W26" cm="1">
        <f t="array" ref="W26">IFERROR(INDEX(Shipping!$A$2:$F$1216,MATCH($A26&amp;W$11,Shipping!$E$2:$E$1216&amp;Shipping!$B$2:$B$1216,0),MATCH("Qty",Shipping!$A$2:$F$2,0)),0)</f>
        <v>0</v>
      </c>
      <c r="X26" cm="1">
        <f t="array" ref="X26">IFERROR(INDEX(Shipping!$A$2:$F$1216,MATCH($A26&amp;X$11,Shipping!$E$2:$E$1216&amp;Shipping!$B$2:$B$1216,0),MATCH("Qty",Shipping!$A$2:$F$2,0)),0)</f>
        <v>0</v>
      </c>
      <c r="Y26" cm="1">
        <f t="array" ref="Y26">IFERROR(INDEX(Shipping!$A$2:$F$1216,MATCH($A26&amp;Y$11,Shipping!$E$2:$E$1216&amp;Shipping!$B$2:$B$1216,0),MATCH("Qty",Shipping!$A$2:$F$2,0)),0)</f>
        <v>0</v>
      </c>
      <c r="Z26" cm="1">
        <f t="array" ref="Z26">IFERROR(INDEX(Shipping!$A$2:$F$1216,MATCH($A26&amp;Z$11,Shipping!$E$2:$E$1216&amp;Shipping!$B$2:$B$1216,0),MATCH("Qty",Shipping!$A$2:$F$2,0)),0)</f>
        <v>0</v>
      </c>
    </row>
    <row r="27" spans="1:26" hidden="1">
      <c r="A27" s="20">
        <f t="shared" si="10"/>
        <v>99630</v>
      </c>
      <c r="B27" s="20">
        <v>99630</v>
      </c>
      <c r="C27" s="20" t="s">
        <v>19</v>
      </c>
      <c r="D27" s="9" t="s">
        <v>14</v>
      </c>
      <c r="F27">
        <f>F25-F26</f>
        <v>0</v>
      </c>
      <c r="G27">
        <f>G25-G26</f>
        <v>0</v>
      </c>
      <c r="H27">
        <f t="shared" ref="H27:P27" si="36">G27-G28+H25</f>
        <v>0</v>
      </c>
      <c r="I27">
        <f t="shared" si="36"/>
        <v>0</v>
      </c>
      <c r="J27">
        <f t="shared" si="36"/>
        <v>0</v>
      </c>
      <c r="K27">
        <f t="shared" si="36"/>
        <v>0</v>
      </c>
      <c r="L27">
        <f t="shared" si="36"/>
        <v>-1</v>
      </c>
      <c r="M27">
        <f t="shared" si="36"/>
        <v>-1</v>
      </c>
      <c r="N27">
        <f t="shared" si="36"/>
        <v>-1</v>
      </c>
      <c r="O27">
        <f t="shared" si="36"/>
        <v>-1</v>
      </c>
      <c r="P27">
        <f t="shared" si="36"/>
        <v>-1</v>
      </c>
      <c r="Q27">
        <f t="shared" ref="Q27:Z27" si="37">P27-P28+Q25</f>
        <v>-1</v>
      </c>
      <c r="R27">
        <f t="shared" si="37"/>
        <v>-1</v>
      </c>
      <c r="S27">
        <f t="shared" si="37"/>
        <v>-1</v>
      </c>
      <c r="T27">
        <f t="shared" si="37"/>
        <v>-1</v>
      </c>
      <c r="U27">
        <f t="shared" si="37"/>
        <v>-1</v>
      </c>
      <c r="V27">
        <f t="shared" si="37"/>
        <v>-1</v>
      </c>
      <c r="W27">
        <f t="shared" si="37"/>
        <v>-1</v>
      </c>
      <c r="X27">
        <f t="shared" si="37"/>
        <v>-1</v>
      </c>
      <c r="Y27">
        <f t="shared" si="37"/>
        <v>-1</v>
      </c>
      <c r="Z27">
        <f t="shared" si="37"/>
        <v>-1</v>
      </c>
    </row>
    <row r="28" spans="1:26" hidden="1">
      <c r="A28" s="20">
        <f t="shared" si="10"/>
        <v>99630</v>
      </c>
      <c r="B28" s="20">
        <v>99630</v>
      </c>
      <c r="C28" s="20" t="s">
        <v>19</v>
      </c>
      <c r="D28" s="9" t="s">
        <v>13</v>
      </c>
      <c r="F28" s="15"/>
      <c r="G28" s="15"/>
      <c r="H28" s="15"/>
      <c r="I28" s="15"/>
      <c r="J28" s="15"/>
      <c r="K28" s="15">
        <v>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idden="1">
      <c r="A29" s="20">
        <f t="shared" si="10"/>
        <v>99630</v>
      </c>
      <c r="B29" s="20">
        <v>99630</v>
      </c>
      <c r="C29" s="20" t="s">
        <v>19</v>
      </c>
      <c r="D29" s="9" t="s">
        <v>15</v>
      </c>
      <c r="E29">
        <v>2.5</v>
      </c>
      <c r="F29">
        <f>$E29*F28</f>
        <v>0</v>
      </c>
      <c r="G29">
        <f>$E29*G28</f>
        <v>0</v>
      </c>
      <c r="H29">
        <f t="shared" ref="H29" si="38">$E29*H28</f>
        <v>0</v>
      </c>
      <c r="I29">
        <f t="shared" ref="I29" si="39">$E29*I28</f>
        <v>0</v>
      </c>
      <c r="J29">
        <f t="shared" ref="J29" si="40">$E29*J28</f>
        <v>0</v>
      </c>
      <c r="K29">
        <f t="shared" ref="K29" si="41">$E29*K28</f>
        <v>2.5</v>
      </c>
      <c r="L29">
        <f t="shared" ref="L29" si="42">$E29*L28</f>
        <v>0</v>
      </c>
      <c r="M29">
        <f t="shared" ref="M29" si="43">$E29*M28</f>
        <v>0</v>
      </c>
      <c r="N29">
        <f t="shared" ref="N29" si="44">$E29*N28</f>
        <v>0</v>
      </c>
      <c r="O29">
        <f t="shared" ref="O29" si="45">$E29*O28</f>
        <v>0</v>
      </c>
      <c r="P29">
        <f t="shared" ref="P29" si="46">$E29*P28</f>
        <v>0</v>
      </c>
      <c r="Q29">
        <f t="shared" ref="Q29" si="47">$E29*Q28</f>
        <v>0</v>
      </c>
      <c r="R29">
        <f t="shared" ref="R29" si="48">$E29*R28</f>
        <v>0</v>
      </c>
      <c r="S29">
        <f t="shared" ref="S29" si="49">$E29*S28</f>
        <v>0</v>
      </c>
      <c r="T29">
        <f t="shared" ref="T29" si="50">$E29*T28</f>
        <v>0</v>
      </c>
      <c r="U29">
        <f t="shared" ref="U29" si="51">$E29*U28</f>
        <v>0</v>
      </c>
      <c r="V29">
        <f t="shared" ref="V29" si="52">$E29*V28</f>
        <v>0</v>
      </c>
      <c r="W29">
        <f t="shared" ref="W29" si="53">$E29*W28</f>
        <v>0</v>
      </c>
      <c r="X29">
        <f t="shared" ref="X29" si="54">$E29*X28</f>
        <v>0</v>
      </c>
      <c r="Y29">
        <f t="shared" ref="Y29" si="55">$E29*Y28</f>
        <v>0</v>
      </c>
      <c r="Z29">
        <f t="shared" ref="Z29" si="56">$E29*Z28</f>
        <v>0</v>
      </c>
    </row>
    <row r="30" spans="1:26" ht="15.75" hidden="1" thickBot="1">
      <c r="A30" s="21">
        <f t="shared" si="10"/>
        <v>99630</v>
      </c>
      <c r="B30" s="21">
        <v>99630</v>
      </c>
      <c r="C30" s="21" t="s">
        <v>19</v>
      </c>
      <c r="D30" s="17" t="s">
        <v>16</v>
      </c>
      <c r="E30" s="18">
        <v>2.5</v>
      </c>
      <c r="F30" s="18">
        <f>$E30*F28</f>
        <v>0</v>
      </c>
      <c r="G30" s="18">
        <f>$E30*G28</f>
        <v>0</v>
      </c>
      <c r="H30" s="18">
        <f t="shared" ref="H30:P30" si="57">$E30*H28</f>
        <v>0</v>
      </c>
      <c r="I30" s="18">
        <f t="shared" si="57"/>
        <v>0</v>
      </c>
      <c r="J30" s="18">
        <f t="shared" si="57"/>
        <v>0</v>
      </c>
      <c r="K30" s="18">
        <f t="shared" si="57"/>
        <v>2.5</v>
      </c>
      <c r="L30" s="18">
        <f t="shared" si="57"/>
        <v>0</v>
      </c>
      <c r="M30" s="18">
        <f t="shared" si="57"/>
        <v>0</v>
      </c>
      <c r="N30" s="18">
        <f t="shared" si="57"/>
        <v>0</v>
      </c>
      <c r="O30" s="18">
        <f t="shared" si="57"/>
        <v>0</v>
      </c>
      <c r="P30" s="18">
        <f t="shared" si="57"/>
        <v>0</v>
      </c>
      <c r="Q30" s="18">
        <f t="shared" ref="Q30:Z30" si="58">$E30*Q28</f>
        <v>0</v>
      </c>
      <c r="R30" s="18">
        <f t="shared" si="58"/>
        <v>0</v>
      </c>
      <c r="S30" s="18">
        <f t="shared" si="58"/>
        <v>0</v>
      </c>
      <c r="T30" s="18">
        <f t="shared" si="58"/>
        <v>0</v>
      </c>
      <c r="U30" s="18">
        <f t="shared" si="58"/>
        <v>0</v>
      </c>
      <c r="V30" s="18">
        <f t="shared" si="58"/>
        <v>0</v>
      </c>
      <c r="W30" s="18">
        <f t="shared" si="58"/>
        <v>0</v>
      </c>
      <c r="X30" s="18">
        <f t="shared" si="58"/>
        <v>0</v>
      </c>
      <c r="Y30" s="18">
        <f t="shared" si="58"/>
        <v>0</v>
      </c>
      <c r="Z30" s="18">
        <f t="shared" si="58"/>
        <v>0</v>
      </c>
    </row>
    <row r="31" spans="1:26" hidden="1">
      <c r="A31" s="9">
        <f t="shared" si="10"/>
        <v>99638</v>
      </c>
      <c r="B31" s="9">
        <v>99638</v>
      </c>
      <c r="C31" s="9" t="s">
        <v>20</v>
      </c>
      <c r="D31" s="9" t="s">
        <v>10</v>
      </c>
      <c r="F31">
        <f>IFERROR(INDEX(Releases!$C$5:$V$21,MATCH($A31,Releases!$C$5:$C$82,0),MATCH(F$11,Releases!$C$5:$V$5,0)),0)</f>
        <v>0</v>
      </c>
      <c r="G31">
        <f>IFERROR(INDEX(Releases!$C$5:$V$21,MATCH($A31,Releases!$C$5:$C$82,0),MATCH(G$11,Releases!$C$5:$V$5,0)),0)</f>
        <v>0</v>
      </c>
      <c r="H31">
        <f>IFERROR(INDEX(Releases!$C$5:$V$21,MATCH($A31,Releases!$C$5:$C$82,0),MATCH(H$11,Releases!$C$5:$V$5,0)),0)</f>
        <v>0</v>
      </c>
      <c r="I31">
        <f>IFERROR(INDEX(Releases!$C$5:$V$21,MATCH($A31,Releases!$C$5:$C$82,0),MATCH(I$11,Releases!$C$5:$V$5,0)),0)</f>
        <v>0</v>
      </c>
      <c r="J31">
        <f>IFERROR(INDEX(Releases!$C$5:$V$21,MATCH($A31,Releases!$C$5:$C$82,0),MATCH(J$11,Releases!$C$5:$V$5,0)),0)</f>
        <v>0</v>
      </c>
      <c r="K31">
        <f>IFERROR(INDEX(Releases!$C$5:$V$21,MATCH($A31,Releases!$C$5:$C$82,0),MATCH(K$11,Releases!$C$5:$V$5,0)),0)</f>
        <v>0</v>
      </c>
      <c r="L31">
        <f>IFERROR(INDEX(Releases!$C$5:$V$21,MATCH($A31,Releases!$C$5:$C$82,0),MATCH(L$11,Releases!$C$5:$V$5,0)),0)</f>
        <v>0</v>
      </c>
      <c r="M31">
        <f>IFERROR(INDEX(Releases!$C$5:$V$21,MATCH($A31,Releases!$C$5:$C$82,0),MATCH(M$11,Releases!$C$5:$V$5,0)),0)</f>
        <v>0</v>
      </c>
      <c r="N31">
        <f>IFERROR(INDEX(Releases!$C$5:$V$21,MATCH($A31,Releases!$C$5:$C$82,0),MATCH(N$11,Releases!$C$5:$V$5,0)),0)</f>
        <v>0</v>
      </c>
      <c r="O31">
        <f>IFERROR(INDEX(Releases!$C$5:$V$21,MATCH($A31,Releases!$C$5:$C$82,0),MATCH(O$11,Releases!$C$5:$V$5,0)),0)</f>
        <v>0</v>
      </c>
      <c r="P31">
        <f>IFERROR(INDEX(Releases!$C$5:$V$21,MATCH($A31,Releases!$C$5:$C$82,0),MATCH(P$11,Releases!$C$5:$V$5,0)),0)</f>
        <v>0</v>
      </c>
      <c r="Q31">
        <f>IFERROR(INDEX(Releases!$C$5:$V$21,MATCH($A31,Releases!$C$5:$C$82,0),MATCH(Q$11,Releases!$C$5:$V$5,0)),0)</f>
        <v>0</v>
      </c>
      <c r="R31">
        <f>IFERROR(INDEX(Releases!$C$5:$V$21,MATCH($A31,Releases!$C$5:$C$82,0),MATCH(R$11,Releases!$C$5:$V$5,0)),0)</f>
        <v>0</v>
      </c>
      <c r="S31">
        <f>IFERROR(INDEX(Releases!$C$5:$V$21,MATCH($A31,Releases!$C$5:$C$82,0),MATCH(S$11,Releases!$C$5:$V$5,0)),0)</f>
        <v>0</v>
      </c>
      <c r="T31">
        <f>IFERROR(INDEX(Releases!$C$5:$V$21,MATCH($A31,Releases!$C$5:$C$82,0),MATCH(T$11,Releases!$C$5:$V$5,0)),0)</f>
        <v>0</v>
      </c>
      <c r="U31">
        <f>IFERROR(INDEX(Releases!$C$5:$V$21,MATCH($A31,Releases!$C$5:$C$82,0),MATCH(U$11,Releases!$C$5:$V$5,0)),0)</f>
        <v>0</v>
      </c>
      <c r="V31">
        <f>IFERROR(INDEX(Releases!$C$5:$V$21,MATCH($A31,Releases!$C$5:$C$82,0),MATCH(V$11,Releases!$C$5:$V$5,0)),0)</f>
        <v>0</v>
      </c>
      <c r="W31">
        <f>IFERROR(INDEX(Releases!$C$5:$V$21,MATCH($A31,Releases!$C$5:$C$82,0),MATCH(W$11,Releases!$C$5:$V$5,0)),0)</f>
        <v>0</v>
      </c>
      <c r="X31">
        <f>IFERROR(INDEX(Releases!$C$5:$V$21,MATCH($A31,Releases!$C$5:$C$82,0),MATCH(X$11,Releases!$C$5:$V$5,0)),0)</f>
        <v>0</v>
      </c>
      <c r="Y31">
        <f>IFERROR(INDEX(Releases!$C$5:$V$21,MATCH($A31,Releases!$C$5:$C$82,0),MATCH(Y$11,Releases!$C$5:$V$5,0)),0)</f>
        <v>0</v>
      </c>
      <c r="Z31">
        <f>IFERROR(INDEX(Releases!$C$5:$V$21,MATCH($A31,Releases!$C$5:$C$82,0),MATCH(Z$11,Releases!$C$5:$V$5,0)),0)</f>
        <v>0</v>
      </c>
    </row>
    <row r="32" spans="1:26" hidden="1">
      <c r="A32" s="9">
        <f t="shared" si="10"/>
        <v>99638</v>
      </c>
      <c r="B32" s="9">
        <v>99638</v>
      </c>
      <c r="C32" s="9" t="s">
        <v>20</v>
      </c>
      <c r="D32" s="9" t="s">
        <v>11</v>
      </c>
      <c r="F32" cm="1">
        <f t="array" ref="F32">IFERROR(INDEX(Receiving!#REF!,MATCH($B32&amp;F$11,Receiving!#REF!&amp;Receiving!#REF!,0),MATCH("Qty",Receiving!#REF!,0)),0)</f>
        <v>0</v>
      </c>
      <c r="G32" cm="1">
        <f t="array" ref="G32">IFERROR(INDEX(Receiving!#REF!,MATCH($B32&amp;G$11,Receiving!#REF!&amp;Receiving!#REF!,0),MATCH("Qty",Receiving!#REF!,0)),0)</f>
        <v>0</v>
      </c>
      <c r="H32" cm="1">
        <f t="array" ref="H32">IFERROR(INDEX(Receiving!#REF!,MATCH($B32&amp;H$11,Receiving!#REF!&amp;Receiving!#REF!,0),MATCH("Qty",Receiving!#REF!,0)),0)</f>
        <v>0</v>
      </c>
      <c r="I32" cm="1">
        <f t="array" ref="I32">IFERROR(INDEX(Receiving!#REF!,MATCH($B32&amp;I$11,Receiving!#REF!&amp;Receiving!#REF!,0),MATCH("Qty",Receiving!#REF!,0)),0)</f>
        <v>0</v>
      </c>
      <c r="J32" cm="1">
        <f t="array" ref="J32">IFERROR(INDEX(Receiving!#REF!,MATCH($B32&amp;J$11,Receiving!#REF!&amp;Receiving!#REF!,0),MATCH("Qty",Receiving!#REF!,0)),0)</f>
        <v>0</v>
      </c>
      <c r="K32" cm="1">
        <f t="array" ref="K32">IFERROR(INDEX(Receiving!#REF!,MATCH($B32&amp;K$11,Receiving!#REF!&amp;Receiving!#REF!,0),MATCH("Qty",Receiving!#REF!,0)),0)</f>
        <v>0</v>
      </c>
      <c r="L32" cm="1">
        <f t="array" ref="L32">IFERROR(INDEX(Receiving!#REF!,MATCH($B32&amp;L$11,Receiving!#REF!&amp;Receiving!#REF!,0),MATCH("Qty",Receiving!#REF!,0)),0)</f>
        <v>0</v>
      </c>
      <c r="M32" cm="1">
        <f t="array" ref="M32">IFERROR(INDEX(Receiving!#REF!,MATCH($B32&amp;M$11,Receiving!#REF!&amp;Receiving!#REF!,0),MATCH("Qty",Receiving!#REF!,0)),0)</f>
        <v>0</v>
      </c>
      <c r="N32" cm="1">
        <f t="array" ref="N32">IFERROR(INDEX(Receiving!#REF!,MATCH($B32&amp;N$11,Receiving!#REF!&amp;Receiving!#REF!,0),MATCH("Qty",Receiving!#REF!,0)),0)</f>
        <v>0</v>
      </c>
      <c r="O32" cm="1">
        <f t="array" ref="O32">IFERROR(INDEX(Receiving!#REF!,MATCH($B32&amp;O$11,Receiving!#REF!&amp;Receiving!#REF!,0),MATCH("Qty",Receiving!#REF!,0)),0)</f>
        <v>0</v>
      </c>
      <c r="P32" cm="1">
        <f t="array" ref="P32">IFERROR(INDEX(Receiving!#REF!,MATCH($B32&amp;P$11,Receiving!#REF!&amp;Receiving!#REF!,0),MATCH("Qty",Receiving!#REF!,0)),0)</f>
        <v>0</v>
      </c>
      <c r="Q32" cm="1">
        <f t="array" ref="Q32">IFERROR(INDEX(Receiving!#REF!,MATCH($B32&amp;Q$11,Receiving!#REF!&amp;Receiving!#REF!,0),MATCH("Qty",Receiving!#REF!,0)),0)</f>
        <v>0</v>
      </c>
      <c r="R32" cm="1">
        <f t="array" ref="R32">IFERROR(INDEX(Receiving!#REF!,MATCH($B32&amp;R$11,Receiving!#REF!&amp;Receiving!#REF!,0),MATCH("Qty",Receiving!#REF!,0)),0)</f>
        <v>0</v>
      </c>
      <c r="S32" cm="1">
        <f t="array" ref="S32">IFERROR(INDEX(Receiving!#REF!,MATCH($B32&amp;S$11,Receiving!#REF!&amp;Receiving!#REF!,0),MATCH("Qty",Receiving!#REF!,0)),0)</f>
        <v>0</v>
      </c>
      <c r="T32" cm="1">
        <f t="array" ref="T32">IFERROR(INDEX(Receiving!#REF!,MATCH($B32&amp;T$11,Receiving!#REF!&amp;Receiving!#REF!,0),MATCH("Qty",Receiving!#REF!,0)),0)</f>
        <v>0</v>
      </c>
      <c r="U32" cm="1">
        <f t="array" ref="U32">IFERROR(INDEX(Receiving!#REF!,MATCH($B32&amp;U$11,Receiving!#REF!&amp;Receiving!#REF!,0),MATCH("Qty",Receiving!#REF!,0)),0)</f>
        <v>0</v>
      </c>
      <c r="V32" cm="1">
        <f t="array" ref="V32">IFERROR(INDEX(Receiving!#REF!,MATCH($B32&amp;V$11,Receiving!#REF!&amp;Receiving!#REF!,0),MATCH("Qty",Receiving!#REF!,0)),0)</f>
        <v>0</v>
      </c>
      <c r="W32" cm="1">
        <f t="array" ref="W32">IFERROR(INDEX(Receiving!#REF!,MATCH($B32&amp;W$11,Receiving!#REF!&amp;Receiving!#REF!,0),MATCH("Qty",Receiving!#REF!,0)),0)</f>
        <v>0</v>
      </c>
      <c r="X32" cm="1">
        <f t="array" ref="X32">IFERROR(INDEX(Receiving!#REF!,MATCH($B32&amp;X$11,Receiving!#REF!&amp;Receiving!#REF!,0),MATCH("Qty",Receiving!#REF!,0)),0)</f>
        <v>0</v>
      </c>
      <c r="Y32" cm="1">
        <f t="array" ref="Y32">IFERROR(INDEX(Receiving!#REF!,MATCH($B32&amp;Y$11,Receiving!#REF!&amp;Receiving!#REF!,0),MATCH("Qty",Receiving!#REF!,0)),0)</f>
        <v>0</v>
      </c>
      <c r="Z32" cm="1">
        <f t="array" ref="Z32">IFERROR(INDEX(Receiving!#REF!,MATCH($B32&amp;Z$11,Receiving!#REF!&amp;Receiving!#REF!,0),MATCH("Qty",Receiving!#REF!,0)),0)</f>
        <v>0</v>
      </c>
    </row>
    <row r="33" spans="1:26">
      <c r="A33" s="9">
        <f t="shared" si="10"/>
        <v>99638</v>
      </c>
      <c r="B33" s="9">
        <v>99638</v>
      </c>
      <c r="C33" s="9" t="s">
        <v>20</v>
      </c>
      <c r="D33" s="9" t="s">
        <v>12</v>
      </c>
      <c r="F33" cm="1">
        <f t="array" ref="F33">IFERROR(INDEX(Shipping!$A$2:$F$1216,MATCH($A33&amp;F$11,Shipping!$E$2:$E$1216&amp;Shipping!$B$2:$B$1216,0),MATCH("Qty",Shipping!$A$2:$F$2,0)),0)</f>
        <v>0</v>
      </c>
      <c r="G33" cm="1">
        <f t="array" ref="G33">IFERROR(INDEX(Shipping!$A$2:$F$1216,MATCH($A33&amp;G$11,Shipping!$E$2:$E$1216&amp;Shipping!$B$2:$B$1216,0),MATCH("Qty",Shipping!$A$2:$F$2,0)),0)</f>
        <v>0</v>
      </c>
      <c r="H33" cm="1">
        <f t="array" ref="H33">IFERROR(INDEX(Shipping!$A$2:$F$1216,MATCH($A33&amp;H$11,Shipping!$E$2:$E$1216&amp;Shipping!$B$2:$B$1216,0),MATCH("Qty",Shipping!$A$2:$F$2,0)),0)</f>
        <v>0</v>
      </c>
      <c r="I33" cm="1">
        <f t="array" ref="I33">IFERROR(INDEX(Shipping!$A$2:$F$1216,MATCH($A33&amp;I$11,Shipping!$E$2:$E$1216&amp;Shipping!$B$2:$B$1216,0),MATCH("Qty",Shipping!$A$2:$F$2,0)),0)</f>
        <v>0</v>
      </c>
      <c r="J33" cm="1">
        <f t="array" ref="J33">IFERROR(INDEX(Shipping!$A$2:$F$1216,MATCH($A33&amp;J$11,Shipping!$E$2:$E$1216&amp;Shipping!$B$2:$B$1216,0),MATCH("Qty",Shipping!$A$2:$F$2,0)),0)</f>
        <v>0</v>
      </c>
      <c r="K33" cm="1">
        <f t="array" ref="K33">IFERROR(INDEX(Shipping!$A$2:$F$1216,MATCH($A33&amp;K$11,Shipping!$E$2:$E$1216&amp;Shipping!$B$2:$B$1216,0),MATCH("Qty",Shipping!$A$2:$F$2,0)),0)</f>
        <v>0</v>
      </c>
      <c r="L33" cm="1">
        <f t="array" ref="L33">IFERROR(INDEX(Shipping!$A$2:$F$1216,MATCH($A33&amp;L$11,Shipping!$E$2:$E$1216&amp;Shipping!$B$2:$B$1216,0),MATCH("Qty",Shipping!$A$2:$F$2,0)),0)</f>
        <v>0</v>
      </c>
      <c r="M33" cm="1">
        <f t="array" ref="M33">IFERROR(INDEX(Shipping!$A$2:$F$1216,MATCH($A33&amp;M$11,Shipping!$E$2:$E$1216&amp;Shipping!$B$2:$B$1216,0),MATCH("Qty",Shipping!$A$2:$F$2,0)),0)</f>
        <v>0</v>
      </c>
      <c r="N33" cm="1">
        <f t="array" ref="N33">IFERROR(INDEX(Shipping!$A$2:$F$1216,MATCH($A33&amp;N$11,Shipping!$E$2:$E$1216&amp;Shipping!$B$2:$B$1216,0),MATCH("Qty",Shipping!$A$2:$F$2,0)),0)</f>
        <v>0</v>
      </c>
      <c r="O33" cm="1">
        <f t="array" ref="O33">IFERROR(INDEX(Shipping!$A$2:$F$1216,MATCH($A33&amp;O$11,Shipping!$E$2:$E$1216&amp;Shipping!$B$2:$B$1216,0),MATCH("Qty",Shipping!$A$2:$F$2,0)),0)</f>
        <v>0</v>
      </c>
      <c r="P33" cm="1">
        <f t="array" ref="P33">IFERROR(INDEX(Shipping!$A$2:$F$1216,MATCH($A33&amp;P$11,Shipping!$E$2:$E$1216&amp;Shipping!$B$2:$B$1216,0),MATCH("Qty",Shipping!$A$2:$F$2,0)),0)</f>
        <v>0</v>
      </c>
      <c r="Q33" cm="1">
        <f t="array" ref="Q33">IFERROR(INDEX(Shipping!$A$2:$F$1216,MATCH($A33&amp;Q$11,Shipping!$E$2:$E$1216&amp;Shipping!$B$2:$B$1216,0),MATCH("Qty",Shipping!$A$2:$F$2,0)),0)</f>
        <v>0</v>
      </c>
      <c r="R33" cm="1">
        <f t="array" ref="R33">IFERROR(INDEX(Shipping!$A$2:$F$1216,MATCH($A33&amp;R$11,Shipping!$E$2:$E$1216&amp;Shipping!$B$2:$B$1216,0),MATCH("Qty",Shipping!$A$2:$F$2,0)),0)</f>
        <v>0</v>
      </c>
      <c r="S33" cm="1">
        <f t="array" ref="S33">IFERROR(INDEX(Shipping!$A$2:$F$1216,MATCH($A33&amp;S$11,Shipping!$E$2:$E$1216&amp;Shipping!$B$2:$B$1216,0),MATCH("Qty",Shipping!$A$2:$F$2,0)),0)</f>
        <v>0</v>
      </c>
      <c r="T33" cm="1">
        <f t="array" ref="T33">IFERROR(INDEX(Shipping!$A$2:$F$1216,MATCH($A33&amp;T$11,Shipping!$E$2:$E$1216&amp;Shipping!$B$2:$B$1216,0),MATCH("Qty",Shipping!$A$2:$F$2,0)),0)</f>
        <v>0</v>
      </c>
      <c r="U33" cm="1">
        <f t="array" ref="U33">IFERROR(INDEX(Shipping!$A$2:$F$1216,MATCH($A33&amp;U$11,Shipping!$E$2:$E$1216&amp;Shipping!$B$2:$B$1216,0),MATCH("Qty",Shipping!$A$2:$F$2,0)),0)</f>
        <v>0</v>
      </c>
      <c r="V33" cm="1">
        <f t="array" ref="V33">IFERROR(INDEX(Shipping!$A$2:$F$1216,MATCH($A33&amp;V$11,Shipping!$E$2:$E$1216&amp;Shipping!$B$2:$B$1216,0),MATCH("Qty",Shipping!$A$2:$F$2,0)),0)</f>
        <v>0</v>
      </c>
      <c r="W33" cm="1">
        <f t="array" ref="W33">IFERROR(INDEX(Shipping!$A$2:$F$1216,MATCH($A33&amp;W$11,Shipping!$E$2:$E$1216&amp;Shipping!$B$2:$B$1216,0),MATCH("Qty",Shipping!$A$2:$F$2,0)),0)</f>
        <v>0</v>
      </c>
      <c r="X33" cm="1">
        <f t="array" ref="X33">IFERROR(INDEX(Shipping!$A$2:$F$1216,MATCH($A33&amp;X$11,Shipping!$E$2:$E$1216&amp;Shipping!$B$2:$B$1216,0),MATCH("Qty",Shipping!$A$2:$F$2,0)),0)</f>
        <v>0</v>
      </c>
      <c r="Y33" cm="1">
        <f t="array" ref="Y33">IFERROR(INDEX(Shipping!$A$2:$F$1216,MATCH($A33&amp;Y$11,Shipping!$E$2:$E$1216&amp;Shipping!$B$2:$B$1216,0),MATCH("Qty",Shipping!$A$2:$F$2,0)),0)</f>
        <v>0</v>
      </c>
      <c r="Z33" cm="1">
        <f t="array" ref="Z33">IFERROR(INDEX(Shipping!$A$2:$F$1216,MATCH($A33&amp;Z$11,Shipping!$E$2:$E$1216&amp;Shipping!$B$2:$B$1216,0),MATCH("Qty",Shipping!$A$2:$F$2,0)),0)</f>
        <v>0</v>
      </c>
    </row>
    <row r="34" spans="1:26" hidden="1">
      <c r="A34" s="9">
        <f t="shared" si="10"/>
        <v>99638</v>
      </c>
      <c r="B34" s="9">
        <v>99638</v>
      </c>
      <c r="C34" s="9" t="s">
        <v>20</v>
      </c>
      <c r="D34" s="9" t="s">
        <v>14</v>
      </c>
      <c r="F34">
        <f>F32-F33</f>
        <v>0</v>
      </c>
      <c r="G34">
        <f>G32-G33</f>
        <v>0</v>
      </c>
      <c r="H34">
        <f t="shared" ref="H34:P34" si="59">G34-G35+H32</f>
        <v>0</v>
      </c>
      <c r="I34">
        <f t="shared" si="59"/>
        <v>0</v>
      </c>
      <c r="J34">
        <f t="shared" si="59"/>
        <v>0</v>
      </c>
      <c r="K34">
        <f t="shared" si="59"/>
        <v>0</v>
      </c>
      <c r="L34">
        <f t="shared" si="59"/>
        <v>-2</v>
      </c>
      <c r="M34">
        <f t="shared" si="59"/>
        <v>-2</v>
      </c>
      <c r="N34">
        <f t="shared" si="59"/>
        <v>-2</v>
      </c>
      <c r="O34">
        <f t="shared" si="59"/>
        <v>-2</v>
      </c>
      <c r="P34">
        <f t="shared" si="59"/>
        <v>-2</v>
      </c>
      <c r="Q34">
        <f t="shared" ref="Q34:Z34" si="60">P34-P35+Q32</f>
        <v>-2</v>
      </c>
      <c r="R34">
        <f t="shared" si="60"/>
        <v>-2</v>
      </c>
      <c r="S34">
        <f t="shared" si="60"/>
        <v>-2</v>
      </c>
      <c r="T34">
        <f t="shared" si="60"/>
        <v>-2</v>
      </c>
      <c r="U34">
        <f t="shared" si="60"/>
        <v>-2</v>
      </c>
      <c r="V34">
        <f t="shared" si="60"/>
        <v>-2</v>
      </c>
      <c r="W34">
        <f t="shared" si="60"/>
        <v>-2</v>
      </c>
      <c r="X34">
        <f t="shared" si="60"/>
        <v>-2</v>
      </c>
      <c r="Y34">
        <f t="shared" si="60"/>
        <v>-2</v>
      </c>
      <c r="Z34">
        <f t="shared" si="60"/>
        <v>-2</v>
      </c>
    </row>
    <row r="35" spans="1:26" hidden="1">
      <c r="A35" s="9">
        <f t="shared" si="10"/>
        <v>99638</v>
      </c>
      <c r="B35" s="9">
        <v>99638</v>
      </c>
      <c r="C35" s="9" t="s">
        <v>20</v>
      </c>
      <c r="D35" s="9" t="s">
        <v>13</v>
      </c>
      <c r="F35" s="15"/>
      <c r="G35" s="15"/>
      <c r="H35" s="15"/>
      <c r="I35" s="15"/>
      <c r="J35" s="15"/>
      <c r="K35" s="15">
        <v>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idden="1">
      <c r="A36" s="9">
        <f t="shared" si="10"/>
        <v>99638</v>
      </c>
      <c r="B36" s="9">
        <v>99638</v>
      </c>
      <c r="C36" s="9" t="s">
        <v>20</v>
      </c>
      <c r="D36" s="9" t="s">
        <v>15</v>
      </c>
      <c r="E36">
        <v>0.5</v>
      </c>
      <c r="F36">
        <f>$E36*F35</f>
        <v>0</v>
      </c>
      <c r="G36">
        <f>$E36*G35</f>
        <v>0</v>
      </c>
      <c r="H36">
        <f t="shared" ref="H36" si="61">$E36*H35</f>
        <v>0</v>
      </c>
      <c r="I36">
        <f t="shared" ref="I36" si="62">$E36*I35</f>
        <v>0</v>
      </c>
      <c r="J36">
        <f t="shared" ref="J36" si="63">$E36*J35</f>
        <v>0</v>
      </c>
      <c r="K36">
        <f t="shared" ref="K36" si="64">$E36*K35</f>
        <v>1</v>
      </c>
      <c r="L36">
        <f t="shared" ref="L36" si="65">$E36*L35</f>
        <v>0</v>
      </c>
      <c r="M36">
        <f t="shared" ref="M36" si="66">$E36*M35</f>
        <v>0</v>
      </c>
      <c r="N36">
        <f t="shared" ref="N36" si="67">$E36*N35</f>
        <v>0</v>
      </c>
      <c r="O36">
        <f t="shared" ref="O36" si="68">$E36*O35</f>
        <v>0</v>
      </c>
      <c r="P36">
        <f t="shared" ref="P36" si="69">$E36*P35</f>
        <v>0</v>
      </c>
      <c r="Q36">
        <f t="shared" ref="Q36" si="70">$E36*Q35</f>
        <v>0</v>
      </c>
      <c r="R36">
        <f t="shared" ref="R36" si="71">$E36*R35</f>
        <v>0</v>
      </c>
      <c r="S36">
        <f t="shared" ref="S36" si="72">$E36*S35</f>
        <v>0</v>
      </c>
      <c r="T36">
        <f t="shared" ref="T36" si="73">$E36*T35</f>
        <v>0</v>
      </c>
      <c r="U36">
        <f t="shared" ref="U36" si="74">$E36*U35</f>
        <v>0</v>
      </c>
      <c r="V36">
        <f t="shared" ref="V36" si="75">$E36*V35</f>
        <v>0</v>
      </c>
      <c r="W36">
        <f t="shared" ref="W36" si="76">$E36*W35</f>
        <v>0</v>
      </c>
      <c r="X36">
        <f t="shared" ref="X36" si="77">$E36*X35</f>
        <v>0</v>
      </c>
      <c r="Y36">
        <f t="shared" ref="Y36" si="78">$E36*Y35</f>
        <v>0</v>
      </c>
      <c r="Z36">
        <f t="shared" ref="Z36" si="79">$E36*Z35</f>
        <v>0</v>
      </c>
    </row>
    <row r="37" spans="1:26" ht="15.75" hidden="1" thickBot="1">
      <c r="A37" s="17">
        <f t="shared" si="10"/>
        <v>99638</v>
      </c>
      <c r="B37" s="17">
        <v>99638</v>
      </c>
      <c r="C37" s="17" t="s">
        <v>20</v>
      </c>
      <c r="D37" s="17" t="s">
        <v>16</v>
      </c>
      <c r="E37" s="18">
        <v>0.5</v>
      </c>
      <c r="F37" s="18">
        <f>$E37*F35</f>
        <v>0</v>
      </c>
      <c r="G37" s="18">
        <f>$E37*G35</f>
        <v>0</v>
      </c>
      <c r="H37" s="18">
        <f t="shared" ref="H37:P37" si="80">$E37*H35</f>
        <v>0</v>
      </c>
      <c r="I37" s="18">
        <f t="shared" si="80"/>
        <v>0</v>
      </c>
      <c r="J37" s="18">
        <f t="shared" si="80"/>
        <v>0</v>
      </c>
      <c r="K37" s="18">
        <f t="shared" si="80"/>
        <v>1</v>
      </c>
      <c r="L37" s="18">
        <f t="shared" si="80"/>
        <v>0</v>
      </c>
      <c r="M37" s="18">
        <f t="shared" si="80"/>
        <v>0</v>
      </c>
      <c r="N37" s="18">
        <f t="shared" si="80"/>
        <v>0</v>
      </c>
      <c r="O37" s="18">
        <f t="shared" si="80"/>
        <v>0</v>
      </c>
      <c r="P37" s="18">
        <f t="shared" si="80"/>
        <v>0</v>
      </c>
      <c r="Q37" s="18">
        <f t="shared" ref="Q37:Z37" si="81">$E37*Q35</f>
        <v>0</v>
      </c>
      <c r="R37" s="18">
        <f t="shared" si="81"/>
        <v>0</v>
      </c>
      <c r="S37" s="18">
        <f t="shared" si="81"/>
        <v>0</v>
      </c>
      <c r="T37" s="18">
        <f t="shared" si="81"/>
        <v>0</v>
      </c>
      <c r="U37" s="18">
        <f t="shared" si="81"/>
        <v>0</v>
      </c>
      <c r="V37" s="18">
        <f t="shared" si="81"/>
        <v>0</v>
      </c>
      <c r="W37" s="18">
        <f t="shared" si="81"/>
        <v>0</v>
      </c>
      <c r="X37" s="18">
        <f t="shared" si="81"/>
        <v>0</v>
      </c>
      <c r="Y37" s="18">
        <f t="shared" si="81"/>
        <v>0</v>
      </c>
      <c r="Z37" s="18">
        <f t="shared" si="81"/>
        <v>0</v>
      </c>
    </row>
    <row r="38" spans="1:26" hidden="1">
      <c r="A38" s="20">
        <f t="shared" si="10"/>
        <v>99632</v>
      </c>
      <c r="B38" s="20">
        <v>99632</v>
      </c>
      <c r="C38" s="20" t="s">
        <v>21</v>
      </c>
      <c r="D38" s="9" t="s">
        <v>10</v>
      </c>
      <c r="F38">
        <f>IFERROR(INDEX(Releases!$C$5:$V$21,MATCH($A38,Releases!$C$5:$C$82,0),MATCH(F$11,Releases!$C$5:$V$5,0)),0)</f>
        <v>0</v>
      </c>
      <c r="G38">
        <f>IFERROR(INDEX(Releases!$C$5:$V$21,MATCH($A38,Releases!$C$5:$C$82,0),MATCH(G$11,Releases!$C$5:$V$5,0)),0)</f>
        <v>0</v>
      </c>
      <c r="H38">
        <f>IFERROR(INDEX(Releases!$C$5:$V$21,MATCH($A38,Releases!$C$5:$C$82,0),MATCH(H$11,Releases!$C$5:$V$5,0)),0)</f>
        <v>0</v>
      </c>
      <c r="I38">
        <f>IFERROR(INDEX(Releases!$C$5:$V$21,MATCH($A38,Releases!$C$5:$C$82,0),MATCH(I$11,Releases!$C$5:$V$5,0)),0)</f>
        <v>0</v>
      </c>
      <c r="J38">
        <f>IFERROR(INDEX(Releases!$C$5:$V$21,MATCH($A38,Releases!$C$5:$C$82,0),MATCH(J$11,Releases!$C$5:$V$5,0)),0)</f>
        <v>0</v>
      </c>
      <c r="K38">
        <f>IFERROR(INDEX(Releases!$C$5:$V$21,MATCH($A38,Releases!$C$5:$C$82,0),MATCH(K$11,Releases!$C$5:$V$5,0)),0)</f>
        <v>0</v>
      </c>
      <c r="L38">
        <f>IFERROR(INDEX(Releases!$C$5:$V$21,MATCH($A38,Releases!$C$5:$C$82,0),MATCH(L$11,Releases!$C$5:$V$5,0)),0)</f>
        <v>0</v>
      </c>
      <c r="M38">
        <f>IFERROR(INDEX(Releases!$C$5:$V$21,MATCH($A38,Releases!$C$5:$C$82,0),MATCH(M$11,Releases!$C$5:$V$5,0)),0)</f>
        <v>0</v>
      </c>
      <c r="N38">
        <f>IFERROR(INDEX(Releases!$C$5:$V$21,MATCH($A38,Releases!$C$5:$C$82,0),MATCH(N$11,Releases!$C$5:$V$5,0)),0)</f>
        <v>0</v>
      </c>
      <c r="O38">
        <f>IFERROR(INDEX(Releases!$C$5:$V$21,MATCH($A38,Releases!$C$5:$C$82,0),MATCH(O$11,Releases!$C$5:$V$5,0)),0)</f>
        <v>0</v>
      </c>
      <c r="P38">
        <f>IFERROR(INDEX(Releases!$C$5:$V$21,MATCH($A38,Releases!$C$5:$C$82,0),MATCH(P$11,Releases!$C$5:$V$5,0)),0)</f>
        <v>0</v>
      </c>
      <c r="Q38">
        <f>IFERROR(INDEX(Releases!$C$5:$V$21,MATCH($A38,Releases!$C$5:$C$82,0),MATCH(Q$11,Releases!$C$5:$V$5,0)),0)</f>
        <v>0</v>
      </c>
      <c r="R38">
        <f>IFERROR(INDEX(Releases!$C$5:$V$21,MATCH($A38,Releases!$C$5:$C$82,0),MATCH(R$11,Releases!$C$5:$V$5,0)),0)</f>
        <v>0</v>
      </c>
      <c r="S38">
        <f>IFERROR(INDEX(Releases!$C$5:$V$21,MATCH($A38,Releases!$C$5:$C$82,0),MATCH(S$11,Releases!$C$5:$V$5,0)),0)</f>
        <v>0</v>
      </c>
      <c r="T38">
        <f>IFERROR(INDEX(Releases!$C$5:$V$21,MATCH($A38,Releases!$C$5:$C$82,0),MATCH(T$11,Releases!$C$5:$V$5,0)),0)</f>
        <v>0</v>
      </c>
      <c r="U38">
        <f>IFERROR(INDEX(Releases!$C$5:$V$21,MATCH($A38,Releases!$C$5:$C$82,0),MATCH(U$11,Releases!$C$5:$V$5,0)),0)</f>
        <v>0</v>
      </c>
      <c r="V38">
        <f>IFERROR(INDEX(Releases!$C$5:$V$21,MATCH($A38,Releases!$C$5:$C$82,0),MATCH(V$11,Releases!$C$5:$V$5,0)),0)</f>
        <v>0</v>
      </c>
      <c r="W38">
        <f>IFERROR(INDEX(Releases!$C$5:$V$21,MATCH($A38,Releases!$C$5:$C$82,0),MATCH(W$11,Releases!$C$5:$V$5,0)),0)</f>
        <v>0</v>
      </c>
      <c r="X38">
        <f>IFERROR(INDEX(Releases!$C$5:$V$21,MATCH($A38,Releases!$C$5:$C$82,0),MATCH(X$11,Releases!$C$5:$V$5,0)),0)</f>
        <v>0</v>
      </c>
      <c r="Y38">
        <f>IFERROR(INDEX(Releases!$C$5:$V$21,MATCH($A38,Releases!$C$5:$C$82,0),MATCH(Y$11,Releases!$C$5:$V$5,0)),0)</f>
        <v>0</v>
      </c>
      <c r="Z38">
        <f>IFERROR(INDEX(Releases!$C$5:$V$21,MATCH($A38,Releases!$C$5:$C$82,0),MATCH(Z$11,Releases!$C$5:$V$5,0)),0)</f>
        <v>0</v>
      </c>
    </row>
    <row r="39" spans="1:26" hidden="1">
      <c r="A39" s="20">
        <f t="shared" si="10"/>
        <v>99632</v>
      </c>
      <c r="B39" s="20">
        <v>99632</v>
      </c>
      <c r="C39" s="20" t="s">
        <v>21</v>
      </c>
      <c r="D39" s="9" t="s">
        <v>11</v>
      </c>
      <c r="F39" cm="1">
        <f t="array" ref="F39">IFERROR(INDEX(Receiving!#REF!,MATCH($B39&amp;F$11,Receiving!#REF!&amp;Receiving!#REF!,0),MATCH("Qty",Receiving!#REF!,0)),0)</f>
        <v>0</v>
      </c>
      <c r="G39" cm="1">
        <f t="array" ref="G39">IFERROR(INDEX(Receiving!#REF!,MATCH($B39&amp;G$11,Receiving!#REF!&amp;Receiving!#REF!,0),MATCH("Qty",Receiving!#REF!,0)),0)</f>
        <v>0</v>
      </c>
      <c r="H39" cm="1">
        <f t="array" ref="H39">IFERROR(INDEX(Receiving!#REF!,MATCH($B39&amp;H$11,Receiving!#REF!&amp;Receiving!#REF!,0),MATCH("Qty",Receiving!#REF!,0)),0)</f>
        <v>0</v>
      </c>
      <c r="I39" cm="1">
        <f t="array" ref="I39">IFERROR(INDEX(Receiving!#REF!,MATCH($B39&amp;I$11,Receiving!#REF!&amp;Receiving!#REF!,0),MATCH("Qty",Receiving!#REF!,0)),0)</f>
        <v>0</v>
      </c>
      <c r="J39" cm="1">
        <f t="array" ref="J39">IFERROR(INDEX(Receiving!#REF!,MATCH($B39&amp;J$11,Receiving!#REF!&amp;Receiving!#REF!,0),MATCH("Qty",Receiving!#REF!,0)),0)</f>
        <v>0</v>
      </c>
      <c r="K39" cm="1">
        <f t="array" ref="K39">IFERROR(INDEX(Receiving!#REF!,MATCH($B39&amp;K$11,Receiving!#REF!&amp;Receiving!#REF!,0),MATCH("Qty",Receiving!#REF!,0)),0)</f>
        <v>0</v>
      </c>
      <c r="L39" cm="1">
        <f t="array" ref="L39">IFERROR(INDEX(Receiving!#REF!,MATCH($B39&amp;L$11,Receiving!#REF!&amp;Receiving!#REF!,0),MATCH("Qty",Receiving!#REF!,0)),0)</f>
        <v>0</v>
      </c>
      <c r="M39" cm="1">
        <f t="array" ref="M39">IFERROR(INDEX(Receiving!#REF!,MATCH($B39&amp;M$11,Receiving!#REF!&amp;Receiving!#REF!,0),MATCH("Qty",Receiving!#REF!,0)),0)</f>
        <v>0</v>
      </c>
      <c r="N39" cm="1">
        <f t="array" ref="N39">IFERROR(INDEX(Receiving!#REF!,MATCH($B39&amp;N$11,Receiving!#REF!&amp;Receiving!#REF!,0),MATCH("Qty",Receiving!#REF!,0)),0)</f>
        <v>0</v>
      </c>
      <c r="O39" cm="1">
        <f t="array" ref="O39">IFERROR(INDEX(Receiving!#REF!,MATCH($B39&amp;O$11,Receiving!#REF!&amp;Receiving!#REF!,0),MATCH("Qty",Receiving!#REF!,0)),0)</f>
        <v>0</v>
      </c>
      <c r="P39" cm="1">
        <f t="array" ref="P39">IFERROR(INDEX(Receiving!#REF!,MATCH($B39&amp;P$11,Receiving!#REF!&amp;Receiving!#REF!,0),MATCH("Qty",Receiving!#REF!,0)),0)</f>
        <v>0</v>
      </c>
      <c r="Q39" cm="1">
        <f t="array" ref="Q39">IFERROR(INDEX(Receiving!#REF!,MATCH($B39&amp;Q$11,Receiving!#REF!&amp;Receiving!#REF!,0),MATCH("Qty",Receiving!#REF!,0)),0)</f>
        <v>0</v>
      </c>
      <c r="R39" cm="1">
        <f t="array" ref="R39">IFERROR(INDEX(Receiving!#REF!,MATCH($B39&amp;R$11,Receiving!#REF!&amp;Receiving!#REF!,0),MATCH("Qty",Receiving!#REF!,0)),0)</f>
        <v>0</v>
      </c>
      <c r="S39" cm="1">
        <f t="array" ref="S39">IFERROR(INDEX(Receiving!#REF!,MATCH($B39&amp;S$11,Receiving!#REF!&amp;Receiving!#REF!,0),MATCH("Qty",Receiving!#REF!,0)),0)</f>
        <v>0</v>
      </c>
      <c r="T39" cm="1">
        <f t="array" ref="T39">IFERROR(INDEX(Receiving!#REF!,MATCH($B39&amp;T$11,Receiving!#REF!&amp;Receiving!#REF!,0),MATCH("Qty",Receiving!#REF!,0)),0)</f>
        <v>0</v>
      </c>
      <c r="U39" cm="1">
        <f t="array" ref="U39">IFERROR(INDEX(Receiving!#REF!,MATCH($B39&amp;U$11,Receiving!#REF!&amp;Receiving!#REF!,0),MATCH("Qty",Receiving!#REF!,0)),0)</f>
        <v>0</v>
      </c>
      <c r="V39" cm="1">
        <f t="array" ref="V39">IFERROR(INDEX(Receiving!#REF!,MATCH($B39&amp;V$11,Receiving!#REF!&amp;Receiving!#REF!,0),MATCH("Qty",Receiving!#REF!,0)),0)</f>
        <v>0</v>
      </c>
      <c r="W39" cm="1">
        <f t="array" ref="W39">IFERROR(INDEX(Receiving!#REF!,MATCH($B39&amp;W$11,Receiving!#REF!&amp;Receiving!#REF!,0),MATCH("Qty",Receiving!#REF!,0)),0)</f>
        <v>0</v>
      </c>
      <c r="X39" cm="1">
        <f t="array" ref="X39">IFERROR(INDEX(Receiving!#REF!,MATCH($B39&amp;X$11,Receiving!#REF!&amp;Receiving!#REF!,0),MATCH("Qty",Receiving!#REF!,0)),0)</f>
        <v>0</v>
      </c>
      <c r="Y39" cm="1">
        <f t="array" ref="Y39">IFERROR(INDEX(Receiving!#REF!,MATCH($B39&amp;Y$11,Receiving!#REF!&amp;Receiving!#REF!,0),MATCH("Qty",Receiving!#REF!,0)),0)</f>
        <v>0</v>
      </c>
      <c r="Z39" cm="1">
        <f t="array" ref="Z39">IFERROR(INDEX(Receiving!#REF!,MATCH($B39&amp;Z$11,Receiving!#REF!&amp;Receiving!#REF!,0),MATCH("Qty",Receiving!#REF!,0)),0)</f>
        <v>0</v>
      </c>
    </row>
    <row r="40" spans="1:26">
      <c r="A40" s="20">
        <f t="shared" si="10"/>
        <v>99632</v>
      </c>
      <c r="B40" s="20">
        <v>99632</v>
      </c>
      <c r="C40" s="20" t="s">
        <v>21</v>
      </c>
      <c r="D40" s="9" t="s">
        <v>12</v>
      </c>
      <c r="F40" cm="1">
        <f t="array" ref="F40">IFERROR(INDEX(Shipping!$A$2:$F$1216,MATCH($A40&amp;F$11,Shipping!$E$2:$E$1216&amp;Shipping!$B$2:$B$1216,0),MATCH("Qty",Shipping!$A$2:$F$2,0)),0)</f>
        <v>0</v>
      </c>
      <c r="G40" cm="1">
        <f t="array" ref="G40">IFERROR(INDEX(Shipping!$A$2:$F$1216,MATCH($A40&amp;G$11,Shipping!$E$2:$E$1216&amp;Shipping!$B$2:$B$1216,0),MATCH("Qty",Shipping!$A$2:$F$2,0)),0)</f>
        <v>0</v>
      </c>
      <c r="H40" cm="1">
        <f t="array" ref="H40">IFERROR(INDEX(Shipping!$A$2:$F$1216,MATCH($A40&amp;H$11,Shipping!$E$2:$E$1216&amp;Shipping!$B$2:$B$1216,0),MATCH("Qty",Shipping!$A$2:$F$2,0)),0)</f>
        <v>0</v>
      </c>
      <c r="I40" cm="1">
        <f t="array" ref="I40">IFERROR(INDEX(Shipping!$A$2:$F$1216,MATCH($A40&amp;I$11,Shipping!$E$2:$E$1216&amp;Shipping!$B$2:$B$1216,0),MATCH("Qty",Shipping!$A$2:$F$2,0)),0)</f>
        <v>0</v>
      </c>
      <c r="J40" cm="1">
        <f t="array" ref="J40">IFERROR(INDEX(Shipping!$A$2:$F$1216,MATCH($A40&amp;J$11,Shipping!$E$2:$E$1216&amp;Shipping!$B$2:$B$1216,0),MATCH("Qty",Shipping!$A$2:$F$2,0)),0)</f>
        <v>0</v>
      </c>
      <c r="K40" cm="1">
        <f t="array" ref="K40">IFERROR(INDEX(Shipping!$A$2:$F$1216,MATCH($A40&amp;K$11,Shipping!$E$2:$E$1216&amp;Shipping!$B$2:$B$1216,0),MATCH("Qty",Shipping!$A$2:$F$2,0)),0)</f>
        <v>0</v>
      </c>
      <c r="L40" cm="1">
        <f t="array" ref="L40">IFERROR(INDEX(Shipping!$A$2:$F$1216,MATCH($A40&amp;L$11,Shipping!$E$2:$E$1216&amp;Shipping!$B$2:$B$1216,0),MATCH("Qty",Shipping!$A$2:$F$2,0)),0)</f>
        <v>0</v>
      </c>
      <c r="M40" cm="1">
        <f t="array" ref="M40">IFERROR(INDEX(Shipping!$A$2:$F$1216,MATCH($A40&amp;M$11,Shipping!$E$2:$E$1216&amp;Shipping!$B$2:$B$1216,0),MATCH("Qty",Shipping!$A$2:$F$2,0)),0)</f>
        <v>0</v>
      </c>
      <c r="N40" cm="1">
        <f t="array" ref="N40">IFERROR(INDEX(Shipping!$A$2:$F$1216,MATCH($A40&amp;N$11,Shipping!$E$2:$E$1216&amp;Shipping!$B$2:$B$1216,0),MATCH("Qty",Shipping!$A$2:$F$2,0)),0)</f>
        <v>0</v>
      </c>
      <c r="O40" cm="1">
        <f t="array" ref="O40">IFERROR(INDEX(Shipping!$A$2:$F$1216,MATCH($A40&amp;O$11,Shipping!$E$2:$E$1216&amp;Shipping!$B$2:$B$1216,0),MATCH("Qty",Shipping!$A$2:$F$2,0)),0)</f>
        <v>0</v>
      </c>
      <c r="P40" cm="1">
        <f t="array" ref="P40">IFERROR(INDEX(Shipping!$A$2:$F$1216,MATCH($A40&amp;P$11,Shipping!$E$2:$E$1216&amp;Shipping!$B$2:$B$1216,0),MATCH("Qty",Shipping!$A$2:$F$2,0)),0)</f>
        <v>0</v>
      </c>
      <c r="Q40" cm="1">
        <f t="array" ref="Q40">IFERROR(INDEX(Shipping!$A$2:$F$1216,MATCH($A40&amp;Q$11,Shipping!$E$2:$E$1216&amp;Shipping!$B$2:$B$1216,0),MATCH("Qty",Shipping!$A$2:$F$2,0)),0)</f>
        <v>0</v>
      </c>
      <c r="R40" cm="1">
        <f t="array" ref="R40">IFERROR(INDEX(Shipping!$A$2:$F$1216,MATCH($A40&amp;R$11,Shipping!$E$2:$E$1216&amp;Shipping!$B$2:$B$1216,0),MATCH("Qty",Shipping!$A$2:$F$2,0)),0)</f>
        <v>0</v>
      </c>
      <c r="S40" cm="1">
        <f t="array" ref="S40">IFERROR(INDEX(Shipping!$A$2:$F$1216,MATCH($A40&amp;S$11,Shipping!$E$2:$E$1216&amp;Shipping!$B$2:$B$1216,0),MATCH("Qty",Shipping!$A$2:$F$2,0)),0)</f>
        <v>0</v>
      </c>
      <c r="T40" cm="1">
        <f t="array" ref="T40">IFERROR(INDEX(Shipping!$A$2:$F$1216,MATCH($A40&amp;T$11,Shipping!$E$2:$E$1216&amp;Shipping!$B$2:$B$1216,0),MATCH("Qty",Shipping!$A$2:$F$2,0)),0)</f>
        <v>0</v>
      </c>
      <c r="U40" cm="1">
        <f t="array" ref="U40">IFERROR(INDEX(Shipping!$A$2:$F$1216,MATCH($A40&amp;U$11,Shipping!$E$2:$E$1216&amp;Shipping!$B$2:$B$1216,0),MATCH("Qty",Shipping!$A$2:$F$2,0)),0)</f>
        <v>0</v>
      </c>
      <c r="V40" cm="1">
        <f t="array" ref="V40">IFERROR(INDEX(Shipping!$A$2:$F$1216,MATCH($A40&amp;V$11,Shipping!$E$2:$E$1216&amp;Shipping!$B$2:$B$1216,0),MATCH("Qty",Shipping!$A$2:$F$2,0)),0)</f>
        <v>0</v>
      </c>
      <c r="W40" cm="1">
        <f t="array" ref="W40">IFERROR(INDEX(Shipping!$A$2:$F$1216,MATCH($A40&amp;W$11,Shipping!$E$2:$E$1216&amp;Shipping!$B$2:$B$1216,0),MATCH("Qty",Shipping!$A$2:$F$2,0)),0)</f>
        <v>0</v>
      </c>
      <c r="X40" cm="1">
        <f t="array" ref="X40">IFERROR(INDEX(Shipping!$A$2:$F$1216,MATCH($A40&amp;X$11,Shipping!$E$2:$E$1216&amp;Shipping!$B$2:$B$1216,0),MATCH("Qty",Shipping!$A$2:$F$2,0)),0)</f>
        <v>0</v>
      </c>
      <c r="Y40" cm="1">
        <f t="array" ref="Y40">IFERROR(INDEX(Shipping!$A$2:$F$1216,MATCH($A40&amp;Y$11,Shipping!$E$2:$E$1216&amp;Shipping!$B$2:$B$1216,0),MATCH("Qty",Shipping!$A$2:$F$2,0)),0)</f>
        <v>0</v>
      </c>
      <c r="Z40" cm="1">
        <f t="array" ref="Z40">IFERROR(INDEX(Shipping!$A$2:$F$1216,MATCH($A40&amp;Z$11,Shipping!$E$2:$E$1216&amp;Shipping!$B$2:$B$1216,0),MATCH("Qty",Shipping!$A$2:$F$2,0)),0)</f>
        <v>0</v>
      </c>
    </row>
    <row r="41" spans="1:26" hidden="1">
      <c r="A41" s="20">
        <f t="shared" si="10"/>
        <v>99632</v>
      </c>
      <c r="B41" s="20">
        <v>99632</v>
      </c>
      <c r="C41" s="20" t="s">
        <v>21</v>
      </c>
      <c r="D41" s="9" t="s">
        <v>14</v>
      </c>
      <c r="F41">
        <f>F39-F40</f>
        <v>0</v>
      </c>
      <c r="G41">
        <f>G39-G40</f>
        <v>0</v>
      </c>
      <c r="H41">
        <f t="shared" ref="H41:P41" si="82">G41-G42+H39</f>
        <v>0</v>
      </c>
      <c r="I41">
        <f t="shared" si="82"/>
        <v>0</v>
      </c>
      <c r="J41">
        <f t="shared" si="82"/>
        <v>0</v>
      </c>
      <c r="K41">
        <f t="shared" si="82"/>
        <v>0</v>
      </c>
      <c r="L41">
        <f t="shared" si="82"/>
        <v>-2</v>
      </c>
      <c r="M41">
        <f t="shared" si="82"/>
        <v>-2</v>
      </c>
      <c r="N41">
        <f t="shared" si="82"/>
        <v>-2</v>
      </c>
      <c r="O41">
        <f t="shared" si="82"/>
        <v>-2</v>
      </c>
      <c r="P41">
        <f t="shared" si="82"/>
        <v>-2</v>
      </c>
      <c r="Q41">
        <f t="shared" ref="Q41:Z41" si="83">P41-P42+Q39</f>
        <v>-2</v>
      </c>
      <c r="R41">
        <f t="shared" si="83"/>
        <v>-2</v>
      </c>
      <c r="S41">
        <f t="shared" si="83"/>
        <v>-2</v>
      </c>
      <c r="T41">
        <f t="shared" si="83"/>
        <v>-2</v>
      </c>
      <c r="U41">
        <f t="shared" si="83"/>
        <v>-2</v>
      </c>
      <c r="V41">
        <f t="shared" si="83"/>
        <v>-2</v>
      </c>
      <c r="W41">
        <f t="shared" si="83"/>
        <v>-2</v>
      </c>
      <c r="X41">
        <f t="shared" si="83"/>
        <v>-2</v>
      </c>
      <c r="Y41">
        <f t="shared" si="83"/>
        <v>-2</v>
      </c>
      <c r="Z41">
        <f t="shared" si="83"/>
        <v>-2</v>
      </c>
    </row>
    <row r="42" spans="1:26" hidden="1">
      <c r="A42" s="20">
        <f t="shared" si="10"/>
        <v>99632</v>
      </c>
      <c r="B42" s="20">
        <v>99632</v>
      </c>
      <c r="C42" s="20" t="s">
        <v>21</v>
      </c>
      <c r="D42" s="9" t="s">
        <v>13</v>
      </c>
      <c r="F42" s="15"/>
      <c r="G42" s="15"/>
      <c r="H42" s="15"/>
      <c r="I42" s="15"/>
      <c r="J42" s="15"/>
      <c r="K42" s="15">
        <v>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idden="1">
      <c r="A43" s="20">
        <f t="shared" si="10"/>
        <v>99632</v>
      </c>
      <c r="B43" s="20">
        <v>99632</v>
      </c>
      <c r="C43" s="20" t="s">
        <v>21</v>
      </c>
      <c r="D43" s="9" t="s">
        <v>15</v>
      </c>
      <c r="E43">
        <v>0.5</v>
      </c>
      <c r="F43">
        <f>$E43*F42</f>
        <v>0</v>
      </c>
      <c r="G43">
        <f>$E43*G42</f>
        <v>0</v>
      </c>
      <c r="H43">
        <f t="shared" ref="H43" si="84">$E43*H42</f>
        <v>0</v>
      </c>
      <c r="I43">
        <f t="shared" ref="I43" si="85">$E43*I42</f>
        <v>0</v>
      </c>
      <c r="J43">
        <f t="shared" ref="J43" si="86">$E43*J42</f>
        <v>0</v>
      </c>
      <c r="K43">
        <f t="shared" ref="K43" si="87">$E43*K42</f>
        <v>1</v>
      </c>
      <c r="L43">
        <f t="shared" ref="L43" si="88">$E43*L42</f>
        <v>0</v>
      </c>
      <c r="M43">
        <f t="shared" ref="M43" si="89">$E43*M42</f>
        <v>0</v>
      </c>
      <c r="N43">
        <f t="shared" ref="N43" si="90">$E43*N42</f>
        <v>0</v>
      </c>
      <c r="O43">
        <f t="shared" ref="O43" si="91">$E43*O42</f>
        <v>0</v>
      </c>
      <c r="P43">
        <f t="shared" ref="P43" si="92">$E43*P42</f>
        <v>0</v>
      </c>
      <c r="Q43">
        <f t="shared" ref="Q43" si="93">$E43*Q42</f>
        <v>0</v>
      </c>
      <c r="R43">
        <f t="shared" ref="R43" si="94">$E43*R42</f>
        <v>0</v>
      </c>
      <c r="S43">
        <f t="shared" ref="S43" si="95">$E43*S42</f>
        <v>0</v>
      </c>
      <c r="T43">
        <f t="shared" ref="T43" si="96">$E43*T42</f>
        <v>0</v>
      </c>
      <c r="U43">
        <f t="shared" ref="U43" si="97">$E43*U42</f>
        <v>0</v>
      </c>
      <c r="V43">
        <f t="shared" ref="V43" si="98">$E43*V42</f>
        <v>0</v>
      </c>
      <c r="W43">
        <f t="shared" ref="W43" si="99">$E43*W42</f>
        <v>0</v>
      </c>
      <c r="X43">
        <f t="shared" ref="X43" si="100">$E43*X42</f>
        <v>0</v>
      </c>
      <c r="Y43">
        <f t="shared" ref="Y43" si="101">$E43*Y42</f>
        <v>0</v>
      </c>
      <c r="Z43">
        <f t="shared" ref="Z43" si="102">$E43*Z42</f>
        <v>0</v>
      </c>
    </row>
    <row r="44" spans="1:26" ht="15.75" hidden="1" thickBot="1">
      <c r="A44" s="21">
        <f t="shared" si="10"/>
        <v>99632</v>
      </c>
      <c r="B44" s="21">
        <v>99632</v>
      </c>
      <c r="C44" s="21" t="s">
        <v>21</v>
      </c>
      <c r="D44" s="17" t="s">
        <v>16</v>
      </c>
      <c r="E44" s="18">
        <v>0.5</v>
      </c>
      <c r="F44" s="18">
        <f>$E44*F42</f>
        <v>0</v>
      </c>
      <c r="G44" s="18">
        <f>$E44*G42</f>
        <v>0</v>
      </c>
      <c r="H44" s="18">
        <f t="shared" ref="H44:P44" si="103">$E44*H42</f>
        <v>0</v>
      </c>
      <c r="I44" s="18">
        <f t="shared" si="103"/>
        <v>0</v>
      </c>
      <c r="J44" s="18">
        <f t="shared" si="103"/>
        <v>0</v>
      </c>
      <c r="K44" s="18">
        <f t="shared" si="103"/>
        <v>1</v>
      </c>
      <c r="L44" s="18">
        <f t="shared" si="103"/>
        <v>0</v>
      </c>
      <c r="M44" s="18">
        <f t="shared" si="103"/>
        <v>0</v>
      </c>
      <c r="N44" s="18">
        <f t="shared" si="103"/>
        <v>0</v>
      </c>
      <c r="O44" s="18">
        <f t="shared" si="103"/>
        <v>0</v>
      </c>
      <c r="P44" s="18">
        <f t="shared" si="103"/>
        <v>0</v>
      </c>
      <c r="Q44" s="18">
        <f t="shared" ref="Q44:Z44" si="104">$E44*Q42</f>
        <v>0</v>
      </c>
      <c r="R44" s="18">
        <f t="shared" si="104"/>
        <v>0</v>
      </c>
      <c r="S44" s="18">
        <f t="shared" si="104"/>
        <v>0</v>
      </c>
      <c r="T44" s="18">
        <f t="shared" si="104"/>
        <v>0</v>
      </c>
      <c r="U44" s="18">
        <f t="shared" si="104"/>
        <v>0</v>
      </c>
      <c r="V44" s="18">
        <f t="shared" si="104"/>
        <v>0</v>
      </c>
      <c r="W44" s="18">
        <f t="shared" si="104"/>
        <v>0</v>
      </c>
      <c r="X44" s="18">
        <f t="shared" si="104"/>
        <v>0</v>
      </c>
      <c r="Y44" s="18">
        <f t="shared" si="104"/>
        <v>0</v>
      </c>
      <c r="Z44" s="18">
        <f t="shared" si="104"/>
        <v>0</v>
      </c>
    </row>
    <row r="45" spans="1:26" hidden="1">
      <c r="A45" s="9">
        <f t="shared" si="10"/>
        <v>99633</v>
      </c>
      <c r="B45" s="9">
        <v>99633</v>
      </c>
      <c r="C45" s="9" t="s">
        <v>22</v>
      </c>
      <c r="D45" s="9" t="s">
        <v>10</v>
      </c>
      <c r="F45">
        <f>IFERROR(INDEX(Releases!$C$5:$V$21,MATCH($A45,Releases!$C$5:$C$82,0),MATCH(F$11,Releases!$C$5:$V$5,0)),0)</f>
        <v>0</v>
      </c>
      <c r="G45">
        <f>IFERROR(INDEX(Releases!$C$5:$V$21,MATCH($A45,Releases!$C$5:$C$82,0),MATCH(G$11,Releases!$C$5:$V$5,0)),0)</f>
        <v>0</v>
      </c>
      <c r="H45">
        <f>IFERROR(INDEX(Releases!$C$5:$V$21,MATCH($A45,Releases!$C$5:$C$82,0),MATCH(H$11,Releases!$C$5:$V$5,0)),0)</f>
        <v>0</v>
      </c>
      <c r="I45">
        <f>IFERROR(INDEX(Releases!$C$5:$V$21,MATCH($A45,Releases!$C$5:$C$82,0),MATCH(I$11,Releases!$C$5:$V$5,0)),0)</f>
        <v>0</v>
      </c>
      <c r="J45">
        <f>IFERROR(INDEX(Releases!$C$5:$V$21,MATCH($A45,Releases!$C$5:$C$82,0),MATCH(J$11,Releases!$C$5:$V$5,0)),0)</f>
        <v>0</v>
      </c>
      <c r="K45">
        <f>IFERROR(INDEX(Releases!$C$5:$V$21,MATCH($A45,Releases!$C$5:$C$82,0),MATCH(K$11,Releases!$C$5:$V$5,0)),0)</f>
        <v>0</v>
      </c>
      <c r="L45">
        <f>IFERROR(INDEX(Releases!$C$5:$V$21,MATCH($A45,Releases!$C$5:$C$82,0),MATCH(L$11,Releases!$C$5:$V$5,0)),0)</f>
        <v>0</v>
      </c>
      <c r="M45">
        <f>IFERROR(INDEX(Releases!$C$5:$V$21,MATCH($A45,Releases!$C$5:$C$82,0),MATCH(M$11,Releases!$C$5:$V$5,0)),0)</f>
        <v>0</v>
      </c>
      <c r="N45">
        <f>IFERROR(INDEX(Releases!$C$5:$V$21,MATCH($A45,Releases!$C$5:$C$82,0),MATCH(N$11,Releases!$C$5:$V$5,0)),0)</f>
        <v>0</v>
      </c>
      <c r="O45">
        <f>IFERROR(INDEX(Releases!$C$5:$V$21,MATCH($A45,Releases!$C$5:$C$82,0),MATCH(O$11,Releases!$C$5:$V$5,0)),0)</f>
        <v>0</v>
      </c>
      <c r="P45">
        <f>IFERROR(INDEX(Releases!$C$5:$V$21,MATCH($A45,Releases!$C$5:$C$82,0),MATCH(P$11,Releases!$C$5:$V$5,0)),0)</f>
        <v>0</v>
      </c>
      <c r="Q45">
        <f>IFERROR(INDEX(Releases!$C$5:$V$21,MATCH($A45,Releases!$C$5:$C$82,0),MATCH(Q$11,Releases!$C$5:$V$5,0)),0)</f>
        <v>0</v>
      </c>
      <c r="R45">
        <f>IFERROR(INDEX(Releases!$C$5:$V$21,MATCH($A45,Releases!$C$5:$C$82,0),MATCH(R$11,Releases!$C$5:$V$5,0)),0)</f>
        <v>0</v>
      </c>
      <c r="S45">
        <f>IFERROR(INDEX(Releases!$C$5:$V$21,MATCH($A45,Releases!$C$5:$C$82,0),MATCH(S$11,Releases!$C$5:$V$5,0)),0)</f>
        <v>0</v>
      </c>
      <c r="T45">
        <f>IFERROR(INDEX(Releases!$C$5:$V$21,MATCH($A45,Releases!$C$5:$C$82,0),MATCH(T$11,Releases!$C$5:$V$5,0)),0)</f>
        <v>0</v>
      </c>
      <c r="U45">
        <f>IFERROR(INDEX(Releases!$C$5:$V$21,MATCH($A45,Releases!$C$5:$C$82,0),MATCH(U$11,Releases!$C$5:$V$5,0)),0)</f>
        <v>0</v>
      </c>
      <c r="V45">
        <f>IFERROR(INDEX(Releases!$C$5:$V$21,MATCH($A45,Releases!$C$5:$C$82,0),MATCH(V$11,Releases!$C$5:$V$5,0)),0)</f>
        <v>0</v>
      </c>
      <c r="W45">
        <f>IFERROR(INDEX(Releases!$C$5:$V$21,MATCH($A45,Releases!$C$5:$C$82,0),MATCH(W$11,Releases!$C$5:$V$5,0)),0)</f>
        <v>0</v>
      </c>
      <c r="X45">
        <f>IFERROR(INDEX(Releases!$C$5:$V$21,MATCH($A45,Releases!$C$5:$C$82,0),MATCH(X$11,Releases!$C$5:$V$5,0)),0)</f>
        <v>0</v>
      </c>
      <c r="Y45">
        <f>IFERROR(INDEX(Releases!$C$5:$V$21,MATCH($A45,Releases!$C$5:$C$82,0),MATCH(Y$11,Releases!$C$5:$V$5,0)),0)</f>
        <v>0</v>
      </c>
      <c r="Z45">
        <f>IFERROR(INDEX(Releases!$C$5:$V$21,MATCH($A45,Releases!$C$5:$C$82,0),MATCH(Z$11,Releases!$C$5:$V$5,0)),0)</f>
        <v>0</v>
      </c>
    </row>
    <row r="46" spans="1:26" hidden="1">
      <c r="A46" s="9">
        <f t="shared" si="10"/>
        <v>99633</v>
      </c>
      <c r="B46" s="9">
        <v>99633</v>
      </c>
      <c r="C46" s="9" t="s">
        <v>22</v>
      </c>
      <c r="D46" s="9" t="s">
        <v>11</v>
      </c>
      <c r="F46" cm="1">
        <f t="array" ref="F46">IFERROR(INDEX(Receiving!#REF!,MATCH($B46&amp;F$11,Receiving!#REF!&amp;Receiving!#REF!,0),MATCH("Qty",Receiving!#REF!,0)),0)</f>
        <v>0</v>
      </c>
      <c r="G46" cm="1">
        <f t="array" ref="G46">IFERROR(INDEX(Receiving!#REF!,MATCH($B46&amp;G$11,Receiving!#REF!&amp;Receiving!#REF!,0),MATCH("Qty",Receiving!#REF!,0)),0)</f>
        <v>0</v>
      </c>
      <c r="H46" cm="1">
        <f t="array" ref="H46">IFERROR(INDEX(Receiving!#REF!,MATCH($B46&amp;H$11,Receiving!#REF!&amp;Receiving!#REF!,0),MATCH("Qty",Receiving!#REF!,0)),0)</f>
        <v>0</v>
      </c>
      <c r="I46" cm="1">
        <f t="array" ref="I46">IFERROR(INDEX(Receiving!#REF!,MATCH($B46&amp;I$11,Receiving!#REF!&amp;Receiving!#REF!,0),MATCH("Qty",Receiving!#REF!,0)),0)</f>
        <v>0</v>
      </c>
      <c r="J46" cm="1">
        <f t="array" ref="J46">IFERROR(INDEX(Receiving!#REF!,MATCH($B46&amp;J$11,Receiving!#REF!&amp;Receiving!#REF!,0),MATCH("Qty",Receiving!#REF!,0)),0)</f>
        <v>0</v>
      </c>
      <c r="K46" cm="1">
        <f t="array" ref="K46">IFERROR(INDEX(Receiving!#REF!,MATCH($B46&amp;K$11,Receiving!#REF!&amp;Receiving!#REF!,0),MATCH("Qty",Receiving!#REF!,0)),0)</f>
        <v>0</v>
      </c>
      <c r="L46" cm="1">
        <f t="array" ref="L46">IFERROR(INDEX(Receiving!#REF!,MATCH($B46&amp;L$11,Receiving!#REF!&amp;Receiving!#REF!,0),MATCH("Qty",Receiving!#REF!,0)),0)</f>
        <v>0</v>
      </c>
      <c r="M46" cm="1">
        <f t="array" ref="M46">IFERROR(INDEX(Receiving!#REF!,MATCH($B46&amp;M$11,Receiving!#REF!&amp;Receiving!#REF!,0),MATCH("Qty",Receiving!#REF!,0)),0)</f>
        <v>0</v>
      </c>
      <c r="N46" cm="1">
        <f t="array" ref="N46">IFERROR(INDEX(Receiving!#REF!,MATCH($B46&amp;N$11,Receiving!#REF!&amp;Receiving!#REF!,0),MATCH("Qty",Receiving!#REF!,0)),0)</f>
        <v>0</v>
      </c>
      <c r="O46" cm="1">
        <f t="array" ref="O46">IFERROR(INDEX(Receiving!#REF!,MATCH($B46&amp;O$11,Receiving!#REF!&amp;Receiving!#REF!,0),MATCH("Qty",Receiving!#REF!,0)),0)</f>
        <v>0</v>
      </c>
      <c r="P46" cm="1">
        <f t="array" ref="P46">IFERROR(INDEX(Receiving!#REF!,MATCH($B46&amp;P$11,Receiving!#REF!&amp;Receiving!#REF!,0),MATCH("Qty",Receiving!#REF!,0)),0)</f>
        <v>0</v>
      </c>
      <c r="Q46" cm="1">
        <f t="array" ref="Q46">IFERROR(INDEX(Receiving!#REF!,MATCH($B46&amp;Q$11,Receiving!#REF!&amp;Receiving!#REF!,0),MATCH("Qty",Receiving!#REF!,0)),0)</f>
        <v>0</v>
      </c>
      <c r="R46" cm="1">
        <f t="array" ref="R46">IFERROR(INDEX(Receiving!#REF!,MATCH($B46&amp;R$11,Receiving!#REF!&amp;Receiving!#REF!,0),MATCH("Qty",Receiving!#REF!,0)),0)</f>
        <v>0</v>
      </c>
      <c r="S46" cm="1">
        <f t="array" ref="S46">IFERROR(INDEX(Receiving!#REF!,MATCH($B46&amp;S$11,Receiving!#REF!&amp;Receiving!#REF!,0),MATCH("Qty",Receiving!#REF!,0)),0)</f>
        <v>0</v>
      </c>
      <c r="T46" cm="1">
        <f t="array" ref="T46">IFERROR(INDEX(Receiving!#REF!,MATCH($B46&amp;T$11,Receiving!#REF!&amp;Receiving!#REF!,0),MATCH("Qty",Receiving!#REF!,0)),0)</f>
        <v>0</v>
      </c>
      <c r="U46" cm="1">
        <f t="array" ref="U46">IFERROR(INDEX(Receiving!#REF!,MATCH($B46&amp;U$11,Receiving!#REF!&amp;Receiving!#REF!,0),MATCH("Qty",Receiving!#REF!,0)),0)</f>
        <v>0</v>
      </c>
      <c r="V46" cm="1">
        <f t="array" ref="V46">IFERROR(INDEX(Receiving!#REF!,MATCH($B46&amp;V$11,Receiving!#REF!&amp;Receiving!#REF!,0),MATCH("Qty",Receiving!#REF!,0)),0)</f>
        <v>0</v>
      </c>
      <c r="W46" cm="1">
        <f t="array" ref="W46">IFERROR(INDEX(Receiving!#REF!,MATCH($B46&amp;W$11,Receiving!#REF!&amp;Receiving!#REF!,0),MATCH("Qty",Receiving!#REF!,0)),0)</f>
        <v>0</v>
      </c>
      <c r="X46" cm="1">
        <f t="array" ref="X46">IFERROR(INDEX(Receiving!#REF!,MATCH($B46&amp;X$11,Receiving!#REF!&amp;Receiving!#REF!,0),MATCH("Qty",Receiving!#REF!,0)),0)</f>
        <v>0</v>
      </c>
      <c r="Y46" cm="1">
        <f t="array" ref="Y46">IFERROR(INDEX(Receiving!#REF!,MATCH($B46&amp;Y$11,Receiving!#REF!&amp;Receiving!#REF!,0),MATCH("Qty",Receiving!#REF!,0)),0)</f>
        <v>0</v>
      </c>
      <c r="Z46" cm="1">
        <f t="array" ref="Z46">IFERROR(INDEX(Receiving!#REF!,MATCH($B46&amp;Z$11,Receiving!#REF!&amp;Receiving!#REF!,0),MATCH("Qty",Receiving!#REF!,0)),0)</f>
        <v>0</v>
      </c>
    </row>
    <row r="47" spans="1:26">
      <c r="A47" s="9">
        <f t="shared" si="10"/>
        <v>99633</v>
      </c>
      <c r="B47" s="9">
        <v>99633</v>
      </c>
      <c r="C47" s="9" t="s">
        <v>22</v>
      </c>
      <c r="D47" s="9" t="s">
        <v>12</v>
      </c>
      <c r="F47" cm="1">
        <f t="array" ref="F47">IFERROR(INDEX(Shipping!$A$2:$F$1216,MATCH($A47&amp;F$11,Shipping!$E$2:$E$1216&amp;Shipping!$B$2:$B$1216,0),MATCH("Qty",Shipping!$A$2:$F$2,0)),0)</f>
        <v>0</v>
      </c>
      <c r="G47" cm="1">
        <f t="array" ref="G47">IFERROR(INDEX(Shipping!$A$2:$F$1216,MATCH($A47&amp;G$11,Shipping!$E$2:$E$1216&amp;Shipping!$B$2:$B$1216,0),MATCH("Qty",Shipping!$A$2:$F$2,0)),0)</f>
        <v>0</v>
      </c>
      <c r="H47" cm="1">
        <f t="array" ref="H47">IFERROR(INDEX(Shipping!$A$2:$F$1216,MATCH($A47&amp;H$11,Shipping!$E$2:$E$1216&amp;Shipping!$B$2:$B$1216,0),MATCH("Qty",Shipping!$A$2:$F$2,0)),0)</f>
        <v>0</v>
      </c>
      <c r="I47" cm="1">
        <f t="array" ref="I47">IFERROR(INDEX(Shipping!$A$2:$F$1216,MATCH($A47&amp;I$11,Shipping!$E$2:$E$1216&amp;Shipping!$B$2:$B$1216,0),MATCH("Qty",Shipping!$A$2:$F$2,0)),0)</f>
        <v>0</v>
      </c>
      <c r="J47" cm="1">
        <f t="array" ref="J47">IFERROR(INDEX(Shipping!$A$2:$F$1216,MATCH($A47&amp;J$11,Shipping!$E$2:$E$1216&amp;Shipping!$B$2:$B$1216,0),MATCH("Qty",Shipping!$A$2:$F$2,0)),0)</f>
        <v>0</v>
      </c>
      <c r="K47" cm="1">
        <f t="array" ref="K47">IFERROR(INDEX(Shipping!$A$2:$F$1216,MATCH($A47&amp;K$11,Shipping!$E$2:$E$1216&amp;Shipping!$B$2:$B$1216,0),MATCH("Qty",Shipping!$A$2:$F$2,0)),0)</f>
        <v>0</v>
      </c>
      <c r="L47" cm="1">
        <f t="array" ref="L47">IFERROR(INDEX(Shipping!$A$2:$F$1216,MATCH($A47&amp;L$11,Shipping!$E$2:$E$1216&amp;Shipping!$B$2:$B$1216,0),MATCH("Qty",Shipping!$A$2:$F$2,0)),0)</f>
        <v>0</v>
      </c>
      <c r="M47" cm="1">
        <f t="array" ref="M47">IFERROR(INDEX(Shipping!$A$2:$F$1216,MATCH($A47&amp;M$11,Shipping!$E$2:$E$1216&amp;Shipping!$B$2:$B$1216,0),MATCH("Qty",Shipping!$A$2:$F$2,0)),0)</f>
        <v>0</v>
      </c>
      <c r="N47" cm="1">
        <f t="array" ref="N47">IFERROR(INDEX(Shipping!$A$2:$F$1216,MATCH($A47&amp;N$11,Shipping!$E$2:$E$1216&amp;Shipping!$B$2:$B$1216,0),MATCH("Qty",Shipping!$A$2:$F$2,0)),0)</f>
        <v>0</v>
      </c>
      <c r="O47" cm="1">
        <f t="array" ref="O47">IFERROR(INDEX(Shipping!$A$2:$F$1216,MATCH($A47&amp;O$11,Shipping!$E$2:$E$1216&amp;Shipping!$B$2:$B$1216,0),MATCH("Qty",Shipping!$A$2:$F$2,0)),0)</f>
        <v>0</v>
      </c>
      <c r="P47" cm="1">
        <f t="array" ref="P47">IFERROR(INDEX(Shipping!$A$2:$F$1216,MATCH($A47&amp;P$11,Shipping!$E$2:$E$1216&amp;Shipping!$B$2:$B$1216,0),MATCH("Qty",Shipping!$A$2:$F$2,0)),0)</f>
        <v>0</v>
      </c>
      <c r="Q47" cm="1">
        <f t="array" ref="Q47">IFERROR(INDEX(Shipping!$A$2:$F$1216,MATCH($A47&amp;Q$11,Shipping!$E$2:$E$1216&amp;Shipping!$B$2:$B$1216,0),MATCH("Qty",Shipping!$A$2:$F$2,0)),0)</f>
        <v>0</v>
      </c>
      <c r="R47" cm="1">
        <f t="array" ref="R47">IFERROR(INDEX(Shipping!$A$2:$F$1216,MATCH($A47&amp;R$11,Shipping!$E$2:$E$1216&amp;Shipping!$B$2:$B$1216,0),MATCH("Qty",Shipping!$A$2:$F$2,0)),0)</f>
        <v>0</v>
      </c>
      <c r="S47" cm="1">
        <f t="array" ref="S47">IFERROR(INDEX(Shipping!$A$2:$F$1216,MATCH($A47&amp;S$11,Shipping!$E$2:$E$1216&amp;Shipping!$B$2:$B$1216,0),MATCH("Qty",Shipping!$A$2:$F$2,0)),0)</f>
        <v>0</v>
      </c>
      <c r="T47" cm="1">
        <f t="array" ref="T47">IFERROR(INDEX(Shipping!$A$2:$F$1216,MATCH($A47&amp;T$11,Shipping!$E$2:$E$1216&amp;Shipping!$B$2:$B$1216,0),MATCH("Qty",Shipping!$A$2:$F$2,0)),0)</f>
        <v>0</v>
      </c>
      <c r="U47" cm="1">
        <f t="array" ref="U47">IFERROR(INDEX(Shipping!$A$2:$F$1216,MATCH($A47&amp;U$11,Shipping!$E$2:$E$1216&amp;Shipping!$B$2:$B$1216,0),MATCH("Qty",Shipping!$A$2:$F$2,0)),0)</f>
        <v>0</v>
      </c>
      <c r="V47" cm="1">
        <f t="array" ref="V47">IFERROR(INDEX(Shipping!$A$2:$F$1216,MATCH($A47&amp;V$11,Shipping!$E$2:$E$1216&amp;Shipping!$B$2:$B$1216,0),MATCH("Qty",Shipping!$A$2:$F$2,0)),0)</f>
        <v>0</v>
      </c>
      <c r="W47" cm="1">
        <f t="array" ref="W47">IFERROR(INDEX(Shipping!$A$2:$F$1216,MATCH($A47&amp;W$11,Shipping!$E$2:$E$1216&amp;Shipping!$B$2:$B$1216,0),MATCH("Qty",Shipping!$A$2:$F$2,0)),0)</f>
        <v>0</v>
      </c>
      <c r="X47" cm="1">
        <f t="array" ref="X47">IFERROR(INDEX(Shipping!$A$2:$F$1216,MATCH($A47&amp;X$11,Shipping!$E$2:$E$1216&amp;Shipping!$B$2:$B$1216,0),MATCH("Qty",Shipping!$A$2:$F$2,0)),0)</f>
        <v>0</v>
      </c>
      <c r="Y47" cm="1">
        <f t="array" ref="Y47">IFERROR(INDEX(Shipping!$A$2:$F$1216,MATCH($A47&amp;Y$11,Shipping!$E$2:$E$1216&amp;Shipping!$B$2:$B$1216,0),MATCH("Qty",Shipping!$A$2:$F$2,0)),0)</f>
        <v>0</v>
      </c>
      <c r="Z47" cm="1">
        <f t="array" ref="Z47">IFERROR(INDEX(Shipping!$A$2:$F$1216,MATCH($A47&amp;Z$11,Shipping!$E$2:$E$1216&amp;Shipping!$B$2:$B$1216,0),MATCH("Qty",Shipping!$A$2:$F$2,0)),0)</f>
        <v>0</v>
      </c>
    </row>
    <row r="48" spans="1:26" hidden="1">
      <c r="A48" s="9">
        <f t="shared" si="10"/>
        <v>99633</v>
      </c>
      <c r="B48" s="9">
        <v>99633</v>
      </c>
      <c r="C48" s="9" t="s">
        <v>22</v>
      </c>
      <c r="D48" s="9" t="s">
        <v>14</v>
      </c>
      <c r="F48">
        <f>F46-F47</f>
        <v>0</v>
      </c>
      <c r="G48">
        <f>G46-G47</f>
        <v>0</v>
      </c>
      <c r="H48">
        <f t="shared" ref="H48:P48" si="105">G48-G49+H46</f>
        <v>0</v>
      </c>
      <c r="I48">
        <f t="shared" si="105"/>
        <v>0</v>
      </c>
      <c r="J48">
        <f t="shared" si="105"/>
        <v>0</v>
      </c>
      <c r="K48">
        <f t="shared" si="105"/>
        <v>0</v>
      </c>
      <c r="L48">
        <f t="shared" si="105"/>
        <v>-2</v>
      </c>
      <c r="M48">
        <f t="shared" si="105"/>
        <v>-2</v>
      </c>
      <c r="N48">
        <f t="shared" si="105"/>
        <v>-2</v>
      </c>
      <c r="O48">
        <f t="shared" si="105"/>
        <v>-4</v>
      </c>
      <c r="P48">
        <f t="shared" si="105"/>
        <v>-6</v>
      </c>
      <c r="Q48">
        <f t="shared" ref="Q48:Z48" si="106">P48-P49+Q46</f>
        <v>-8</v>
      </c>
      <c r="R48">
        <f t="shared" si="106"/>
        <v>-10</v>
      </c>
      <c r="S48">
        <f t="shared" si="106"/>
        <v>-12</v>
      </c>
      <c r="T48">
        <f t="shared" si="106"/>
        <v>-12</v>
      </c>
      <c r="U48">
        <f t="shared" si="106"/>
        <v>-12</v>
      </c>
      <c r="V48">
        <f t="shared" si="106"/>
        <v>-12</v>
      </c>
      <c r="W48">
        <f t="shared" si="106"/>
        <v>-12</v>
      </c>
      <c r="X48">
        <f t="shared" si="106"/>
        <v>-12</v>
      </c>
      <c r="Y48">
        <f t="shared" si="106"/>
        <v>-12</v>
      </c>
      <c r="Z48">
        <f t="shared" si="106"/>
        <v>-12</v>
      </c>
    </row>
    <row r="49" spans="1:26" hidden="1">
      <c r="A49" s="9">
        <f t="shared" si="10"/>
        <v>99633</v>
      </c>
      <c r="B49" s="9">
        <v>99633</v>
      </c>
      <c r="C49" s="9" t="s">
        <v>22</v>
      </c>
      <c r="D49" s="9" t="s">
        <v>13</v>
      </c>
      <c r="F49" s="15"/>
      <c r="G49" s="15"/>
      <c r="H49" s="15"/>
      <c r="I49" s="15"/>
      <c r="J49" s="15"/>
      <c r="K49" s="15">
        <v>2</v>
      </c>
      <c r="L49" s="15"/>
      <c r="M49" s="15"/>
      <c r="N49" s="15">
        <v>2</v>
      </c>
      <c r="O49" s="15">
        <v>2</v>
      </c>
      <c r="P49" s="15">
        <v>2</v>
      </c>
      <c r="Q49" s="15">
        <v>2</v>
      </c>
      <c r="R49" s="15">
        <v>2</v>
      </c>
      <c r="S49" s="15"/>
      <c r="T49" s="15"/>
      <c r="U49" s="15"/>
      <c r="V49" s="15"/>
      <c r="W49" s="15"/>
      <c r="X49" s="15"/>
      <c r="Y49" s="15"/>
      <c r="Z49" s="15"/>
    </row>
    <row r="50" spans="1:26" hidden="1">
      <c r="A50" s="9">
        <f t="shared" si="10"/>
        <v>99633</v>
      </c>
      <c r="B50" s="9">
        <v>99633</v>
      </c>
      <c r="C50" s="9" t="s">
        <v>22</v>
      </c>
      <c r="D50" s="9" t="s">
        <v>15</v>
      </c>
      <c r="E50">
        <v>2.75</v>
      </c>
      <c r="F50">
        <f>$E50*F49</f>
        <v>0</v>
      </c>
      <c r="G50">
        <f>$E50*G49</f>
        <v>0</v>
      </c>
      <c r="H50">
        <f t="shared" ref="H50" si="107">$E50*H49</f>
        <v>0</v>
      </c>
      <c r="I50">
        <f t="shared" ref="I50" si="108">$E50*I49</f>
        <v>0</v>
      </c>
      <c r="J50">
        <f t="shared" ref="J50" si="109">$E50*J49</f>
        <v>0</v>
      </c>
      <c r="K50">
        <f t="shared" ref="K50" si="110">$E50*K49</f>
        <v>5.5</v>
      </c>
      <c r="L50">
        <f t="shared" ref="L50" si="111">$E50*L49</f>
        <v>0</v>
      </c>
      <c r="M50">
        <f t="shared" ref="M50" si="112">$E50*M49</f>
        <v>0</v>
      </c>
      <c r="N50">
        <f t="shared" ref="N50" si="113">$E50*N49</f>
        <v>5.5</v>
      </c>
      <c r="O50">
        <f t="shared" ref="O50" si="114">$E50*O49</f>
        <v>5.5</v>
      </c>
      <c r="P50">
        <f t="shared" ref="P50" si="115">$E50*P49</f>
        <v>5.5</v>
      </c>
      <c r="Q50">
        <f t="shared" ref="Q50" si="116">$E50*Q49</f>
        <v>5.5</v>
      </c>
      <c r="R50">
        <f t="shared" ref="R50" si="117">$E50*R49</f>
        <v>5.5</v>
      </c>
      <c r="S50">
        <f t="shared" ref="S50" si="118">$E50*S49</f>
        <v>0</v>
      </c>
      <c r="T50">
        <f t="shared" ref="T50" si="119">$E50*T49</f>
        <v>0</v>
      </c>
      <c r="U50">
        <f t="shared" ref="U50" si="120">$E50*U49</f>
        <v>0</v>
      </c>
      <c r="V50">
        <f t="shared" ref="V50" si="121">$E50*V49</f>
        <v>0</v>
      </c>
      <c r="W50">
        <f t="shared" ref="W50" si="122">$E50*W49</f>
        <v>0</v>
      </c>
      <c r="X50">
        <f t="shared" ref="X50" si="123">$E50*X49</f>
        <v>0</v>
      </c>
      <c r="Y50">
        <f t="shared" ref="Y50" si="124">$E50*Y49</f>
        <v>0</v>
      </c>
      <c r="Z50">
        <f t="shared" ref="Z50" si="125">$E50*Z49</f>
        <v>0</v>
      </c>
    </row>
    <row r="51" spans="1:26" ht="15.75" hidden="1" thickBot="1">
      <c r="A51" s="17">
        <f t="shared" si="10"/>
        <v>99633</v>
      </c>
      <c r="B51" s="17">
        <v>99633</v>
      </c>
      <c r="C51" s="17" t="s">
        <v>22</v>
      </c>
      <c r="D51" s="17" t="s">
        <v>16</v>
      </c>
      <c r="E51" s="18">
        <v>2.75</v>
      </c>
      <c r="F51" s="18">
        <f>$E51*F49</f>
        <v>0</v>
      </c>
      <c r="G51" s="18">
        <f>$E51*G49</f>
        <v>0</v>
      </c>
      <c r="H51" s="18">
        <f t="shared" ref="H51:P51" si="126">$E51*H49</f>
        <v>0</v>
      </c>
      <c r="I51" s="18">
        <f t="shared" si="126"/>
        <v>0</v>
      </c>
      <c r="J51" s="18">
        <f t="shared" si="126"/>
        <v>0</v>
      </c>
      <c r="K51" s="18">
        <f t="shared" si="126"/>
        <v>5.5</v>
      </c>
      <c r="L51" s="18">
        <f t="shared" si="126"/>
        <v>0</v>
      </c>
      <c r="M51" s="18">
        <f t="shared" si="126"/>
        <v>0</v>
      </c>
      <c r="N51" s="18">
        <f t="shared" si="126"/>
        <v>5.5</v>
      </c>
      <c r="O51" s="18">
        <f t="shared" si="126"/>
        <v>5.5</v>
      </c>
      <c r="P51" s="18">
        <f t="shared" si="126"/>
        <v>5.5</v>
      </c>
      <c r="Q51" s="18">
        <f t="shared" ref="Q51:Z51" si="127">$E51*Q49</f>
        <v>5.5</v>
      </c>
      <c r="R51" s="18">
        <f t="shared" si="127"/>
        <v>5.5</v>
      </c>
      <c r="S51" s="18">
        <f t="shared" si="127"/>
        <v>0</v>
      </c>
      <c r="T51" s="18">
        <f t="shared" si="127"/>
        <v>0</v>
      </c>
      <c r="U51" s="18">
        <f t="shared" si="127"/>
        <v>0</v>
      </c>
      <c r="V51" s="18">
        <f t="shared" si="127"/>
        <v>0</v>
      </c>
      <c r="W51" s="18">
        <f t="shared" si="127"/>
        <v>0</v>
      </c>
      <c r="X51" s="18">
        <f t="shared" si="127"/>
        <v>0</v>
      </c>
      <c r="Y51" s="18">
        <f t="shared" si="127"/>
        <v>0</v>
      </c>
      <c r="Z51" s="18">
        <f t="shared" si="127"/>
        <v>0</v>
      </c>
    </row>
    <row r="52" spans="1:26" hidden="1">
      <c r="A52" s="20">
        <f t="shared" si="10"/>
        <v>99646</v>
      </c>
      <c r="B52" s="20">
        <v>99646</v>
      </c>
      <c r="C52" s="20" t="s">
        <v>23</v>
      </c>
      <c r="D52" s="9" t="s">
        <v>10</v>
      </c>
      <c r="F52">
        <f>IFERROR(INDEX(Releases!$C$5:$V$21,MATCH($A52,Releases!$C$5:$C$82,0),MATCH(F$11,Releases!$C$5:$V$5,0)),0)</f>
        <v>0</v>
      </c>
      <c r="G52">
        <f>IFERROR(INDEX(Releases!$C$5:$V$21,MATCH($A52,Releases!$C$5:$C$82,0),MATCH(G$11,Releases!$C$5:$V$5,0)),0)</f>
        <v>0</v>
      </c>
      <c r="H52">
        <f>IFERROR(INDEX(Releases!$C$5:$V$21,MATCH($A52,Releases!$C$5:$C$82,0),MATCH(H$11,Releases!$C$5:$V$5,0)),0)</f>
        <v>0</v>
      </c>
      <c r="I52">
        <f>IFERROR(INDEX(Releases!$C$5:$V$21,MATCH($A52,Releases!$C$5:$C$82,0),MATCH(I$11,Releases!$C$5:$V$5,0)),0)</f>
        <v>0</v>
      </c>
      <c r="J52">
        <f>IFERROR(INDEX(Releases!$C$5:$V$21,MATCH($A52,Releases!$C$5:$C$82,0),MATCH(J$11,Releases!$C$5:$V$5,0)),0)</f>
        <v>0</v>
      </c>
      <c r="K52">
        <f>IFERROR(INDEX(Releases!$C$5:$V$21,MATCH($A52,Releases!$C$5:$C$82,0),MATCH(K$11,Releases!$C$5:$V$5,0)),0)</f>
        <v>0</v>
      </c>
      <c r="L52">
        <f>IFERROR(INDEX(Releases!$C$5:$V$21,MATCH($A52,Releases!$C$5:$C$82,0),MATCH(L$11,Releases!$C$5:$V$5,0)),0)</f>
        <v>0</v>
      </c>
      <c r="M52">
        <f>IFERROR(INDEX(Releases!$C$5:$V$21,MATCH($A52,Releases!$C$5:$C$82,0),MATCH(M$11,Releases!$C$5:$V$5,0)),0)</f>
        <v>0</v>
      </c>
      <c r="N52">
        <f>IFERROR(INDEX(Releases!$C$5:$V$21,MATCH($A52,Releases!$C$5:$C$82,0),MATCH(N$11,Releases!$C$5:$V$5,0)),0)</f>
        <v>0</v>
      </c>
      <c r="O52">
        <f>IFERROR(INDEX(Releases!$C$5:$V$21,MATCH($A52,Releases!$C$5:$C$82,0),MATCH(O$11,Releases!$C$5:$V$5,0)),0)</f>
        <v>0</v>
      </c>
      <c r="P52">
        <f>IFERROR(INDEX(Releases!$C$5:$V$21,MATCH($A52,Releases!$C$5:$C$82,0),MATCH(P$11,Releases!$C$5:$V$5,0)),0)</f>
        <v>0</v>
      </c>
      <c r="Q52">
        <f>IFERROR(INDEX(Releases!$C$5:$V$21,MATCH($A52,Releases!$C$5:$C$82,0),MATCH(Q$11,Releases!$C$5:$V$5,0)),0)</f>
        <v>0</v>
      </c>
      <c r="R52">
        <f>IFERROR(INDEX(Releases!$C$5:$V$21,MATCH($A52,Releases!$C$5:$C$82,0),MATCH(R$11,Releases!$C$5:$V$5,0)),0)</f>
        <v>0</v>
      </c>
      <c r="S52">
        <f>IFERROR(INDEX(Releases!$C$5:$V$21,MATCH($A52,Releases!$C$5:$C$82,0),MATCH(S$11,Releases!$C$5:$V$5,0)),0)</f>
        <v>0</v>
      </c>
      <c r="T52">
        <f>IFERROR(INDEX(Releases!$C$5:$V$21,MATCH($A52,Releases!$C$5:$C$82,0),MATCH(T$11,Releases!$C$5:$V$5,0)),0)</f>
        <v>0</v>
      </c>
      <c r="U52">
        <f>IFERROR(INDEX(Releases!$C$5:$V$21,MATCH($A52,Releases!$C$5:$C$82,0),MATCH(U$11,Releases!$C$5:$V$5,0)),0)</f>
        <v>0</v>
      </c>
      <c r="V52">
        <f>IFERROR(INDEX(Releases!$C$5:$V$21,MATCH($A52,Releases!$C$5:$C$82,0),MATCH(V$11,Releases!$C$5:$V$5,0)),0)</f>
        <v>0</v>
      </c>
      <c r="W52">
        <f>IFERROR(INDEX(Releases!$C$5:$V$21,MATCH($A52,Releases!$C$5:$C$82,0),MATCH(W$11,Releases!$C$5:$V$5,0)),0)</f>
        <v>0</v>
      </c>
      <c r="X52">
        <f>IFERROR(INDEX(Releases!$C$5:$V$21,MATCH($A52,Releases!$C$5:$C$82,0),MATCH(X$11,Releases!$C$5:$V$5,0)),0)</f>
        <v>0</v>
      </c>
      <c r="Y52">
        <f>IFERROR(INDEX(Releases!$C$5:$V$21,MATCH($A52,Releases!$C$5:$C$82,0),MATCH(Y$11,Releases!$C$5:$V$5,0)),0)</f>
        <v>0</v>
      </c>
      <c r="Z52">
        <f>IFERROR(INDEX(Releases!$C$5:$V$21,MATCH($A52,Releases!$C$5:$C$82,0),MATCH(Z$11,Releases!$C$5:$V$5,0)),0)</f>
        <v>0</v>
      </c>
    </row>
    <row r="53" spans="1:26" hidden="1">
      <c r="A53" s="20">
        <f t="shared" si="10"/>
        <v>99646</v>
      </c>
      <c r="B53" s="20">
        <v>99646</v>
      </c>
      <c r="C53" s="20" t="s">
        <v>23</v>
      </c>
      <c r="D53" s="9" t="s">
        <v>11</v>
      </c>
      <c r="F53" cm="1">
        <f t="array" ref="F53">IFERROR(INDEX(Receiving!#REF!,MATCH($B53&amp;F$11,Receiving!#REF!&amp;Receiving!#REF!,0),MATCH("Qty",Receiving!#REF!,0)),0)</f>
        <v>0</v>
      </c>
      <c r="G53" cm="1">
        <f t="array" ref="G53">IFERROR(INDEX(Receiving!#REF!,MATCH($B53&amp;G$11,Receiving!#REF!&amp;Receiving!#REF!,0),MATCH("Qty",Receiving!#REF!,0)),0)</f>
        <v>0</v>
      </c>
      <c r="H53" cm="1">
        <f t="array" ref="H53">IFERROR(INDEX(Receiving!#REF!,MATCH($B53&amp;H$11,Receiving!#REF!&amp;Receiving!#REF!,0),MATCH("Qty",Receiving!#REF!,0)),0)</f>
        <v>0</v>
      </c>
      <c r="I53" cm="1">
        <f t="array" ref="I53">IFERROR(INDEX(Receiving!#REF!,MATCH($B53&amp;I$11,Receiving!#REF!&amp;Receiving!#REF!,0),MATCH("Qty",Receiving!#REF!,0)),0)</f>
        <v>0</v>
      </c>
      <c r="J53" cm="1">
        <f t="array" ref="J53">IFERROR(INDEX(Receiving!#REF!,MATCH($B53&amp;J$11,Receiving!#REF!&amp;Receiving!#REF!,0),MATCH("Qty",Receiving!#REF!,0)),0)</f>
        <v>0</v>
      </c>
      <c r="K53" cm="1">
        <f t="array" ref="K53">IFERROR(INDEX(Receiving!#REF!,MATCH($B53&amp;K$11,Receiving!#REF!&amp;Receiving!#REF!,0),MATCH("Qty",Receiving!#REF!,0)),0)</f>
        <v>0</v>
      </c>
      <c r="L53" cm="1">
        <f t="array" ref="L53">IFERROR(INDEX(Receiving!#REF!,MATCH($B53&amp;L$11,Receiving!#REF!&amp;Receiving!#REF!,0),MATCH("Qty",Receiving!#REF!,0)),0)</f>
        <v>0</v>
      </c>
      <c r="M53" cm="1">
        <f t="array" ref="M53">IFERROR(INDEX(Receiving!#REF!,MATCH($B53&amp;M$11,Receiving!#REF!&amp;Receiving!#REF!,0),MATCH("Qty",Receiving!#REF!,0)),0)</f>
        <v>0</v>
      </c>
      <c r="N53" cm="1">
        <f t="array" ref="N53">IFERROR(INDEX(Receiving!#REF!,MATCH($B53&amp;N$11,Receiving!#REF!&amp;Receiving!#REF!,0),MATCH("Qty",Receiving!#REF!,0)),0)</f>
        <v>0</v>
      </c>
      <c r="O53" cm="1">
        <f t="array" ref="O53">IFERROR(INDEX(Receiving!#REF!,MATCH($B53&amp;O$11,Receiving!#REF!&amp;Receiving!#REF!,0),MATCH("Qty",Receiving!#REF!,0)),0)</f>
        <v>0</v>
      </c>
      <c r="P53" cm="1">
        <f t="array" ref="P53">IFERROR(INDEX(Receiving!#REF!,MATCH($B53&amp;P$11,Receiving!#REF!&amp;Receiving!#REF!,0),MATCH("Qty",Receiving!#REF!,0)),0)</f>
        <v>0</v>
      </c>
      <c r="Q53" cm="1">
        <f t="array" ref="Q53">IFERROR(INDEX(Receiving!#REF!,MATCH($B53&amp;Q$11,Receiving!#REF!&amp;Receiving!#REF!,0),MATCH("Qty",Receiving!#REF!,0)),0)</f>
        <v>0</v>
      </c>
      <c r="R53" cm="1">
        <f t="array" ref="R53">IFERROR(INDEX(Receiving!#REF!,MATCH($B53&amp;R$11,Receiving!#REF!&amp;Receiving!#REF!,0),MATCH("Qty",Receiving!#REF!,0)),0)</f>
        <v>0</v>
      </c>
      <c r="S53" cm="1">
        <f t="array" ref="S53">IFERROR(INDEX(Receiving!#REF!,MATCH($B53&amp;S$11,Receiving!#REF!&amp;Receiving!#REF!,0),MATCH("Qty",Receiving!#REF!,0)),0)</f>
        <v>0</v>
      </c>
      <c r="T53" cm="1">
        <f t="array" ref="T53">IFERROR(INDEX(Receiving!#REF!,MATCH($B53&amp;T$11,Receiving!#REF!&amp;Receiving!#REF!,0),MATCH("Qty",Receiving!#REF!,0)),0)</f>
        <v>0</v>
      </c>
      <c r="U53" cm="1">
        <f t="array" ref="U53">IFERROR(INDEX(Receiving!#REF!,MATCH($B53&amp;U$11,Receiving!#REF!&amp;Receiving!#REF!,0),MATCH("Qty",Receiving!#REF!,0)),0)</f>
        <v>0</v>
      </c>
      <c r="V53" cm="1">
        <f t="array" ref="V53">IFERROR(INDEX(Receiving!#REF!,MATCH($B53&amp;V$11,Receiving!#REF!&amp;Receiving!#REF!,0),MATCH("Qty",Receiving!#REF!,0)),0)</f>
        <v>0</v>
      </c>
      <c r="W53" cm="1">
        <f t="array" ref="W53">IFERROR(INDEX(Receiving!#REF!,MATCH($B53&amp;W$11,Receiving!#REF!&amp;Receiving!#REF!,0),MATCH("Qty",Receiving!#REF!,0)),0)</f>
        <v>0</v>
      </c>
      <c r="X53" cm="1">
        <f t="array" ref="X53">IFERROR(INDEX(Receiving!#REF!,MATCH($B53&amp;X$11,Receiving!#REF!&amp;Receiving!#REF!,0),MATCH("Qty",Receiving!#REF!,0)),0)</f>
        <v>0</v>
      </c>
      <c r="Y53" cm="1">
        <f t="array" ref="Y53">IFERROR(INDEX(Receiving!#REF!,MATCH($B53&amp;Y$11,Receiving!#REF!&amp;Receiving!#REF!,0),MATCH("Qty",Receiving!#REF!,0)),0)</f>
        <v>0</v>
      </c>
      <c r="Z53" cm="1">
        <f t="array" ref="Z53">IFERROR(INDEX(Receiving!#REF!,MATCH($B53&amp;Z$11,Receiving!#REF!&amp;Receiving!#REF!,0),MATCH("Qty",Receiving!#REF!,0)),0)</f>
        <v>0</v>
      </c>
    </row>
    <row r="54" spans="1:26">
      <c r="A54" s="20">
        <f t="shared" si="10"/>
        <v>99646</v>
      </c>
      <c r="B54" s="20">
        <v>99646</v>
      </c>
      <c r="C54" s="20" t="s">
        <v>23</v>
      </c>
      <c r="D54" s="9" t="s">
        <v>12</v>
      </c>
      <c r="F54" cm="1">
        <f t="array" ref="F54">IFERROR(INDEX(Shipping!$A$2:$F$1216,MATCH($A54&amp;F$11,Shipping!$E$2:$E$1216&amp;Shipping!$B$2:$B$1216,0),MATCH("Qty",Shipping!$A$2:$F$2,0)),0)</f>
        <v>0</v>
      </c>
      <c r="G54" cm="1">
        <f t="array" ref="G54">IFERROR(INDEX(Shipping!$A$2:$F$1216,MATCH($A54&amp;G$11,Shipping!$E$2:$E$1216&amp;Shipping!$B$2:$B$1216,0),MATCH("Qty",Shipping!$A$2:$F$2,0)),0)</f>
        <v>0</v>
      </c>
      <c r="H54" cm="1">
        <f t="array" ref="H54">IFERROR(INDEX(Shipping!$A$2:$F$1216,MATCH($A54&amp;H$11,Shipping!$E$2:$E$1216&amp;Shipping!$B$2:$B$1216,0),MATCH("Qty",Shipping!$A$2:$F$2,0)),0)</f>
        <v>0</v>
      </c>
      <c r="I54" cm="1">
        <f t="array" ref="I54">IFERROR(INDEX(Shipping!$A$2:$F$1216,MATCH($A54&amp;I$11,Shipping!$E$2:$E$1216&amp;Shipping!$B$2:$B$1216,0),MATCH("Qty",Shipping!$A$2:$F$2,0)),0)</f>
        <v>0</v>
      </c>
      <c r="J54" cm="1">
        <f t="array" ref="J54">IFERROR(INDEX(Shipping!$A$2:$F$1216,MATCH($A54&amp;J$11,Shipping!$E$2:$E$1216&amp;Shipping!$B$2:$B$1216,0),MATCH("Qty",Shipping!$A$2:$F$2,0)),0)</f>
        <v>0</v>
      </c>
      <c r="K54" cm="1">
        <f t="array" ref="K54">IFERROR(INDEX(Shipping!$A$2:$F$1216,MATCH($A54&amp;K$11,Shipping!$E$2:$E$1216&amp;Shipping!$B$2:$B$1216,0),MATCH("Qty",Shipping!$A$2:$F$2,0)),0)</f>
        <v>0</v>
      </c>
      <c r="L54" cm="1">
        <f t="array" ref="L54">IFERROR(INDEX(Shipping!$A$2:$F$1216,MATCH($A54&amp;L$11,Shipping!$E$2:$E$1216&amp;Shipping!$B$2:$B$1216,0),MATCH("Qty",Shipping!$A$2:$F$2,0)),0)</f>
        <v>0</v>
      </c>
      <c r="M54" cm="1">
        <f t="array" ref="M54">IFERROR(INDEX(Shipping!$A$2:$F$1216,MATCH($A54&amp;M$11,Shipping!$E$2:$E$1216&amp;Shipping!$B$2:$B$1216,0),MATCH("Qty",Shipping!$A$2:$F$2,0)),0)</f>
        <v>0</v>
      </c>
      <c r="N54" cm="1">
        <f t="array" ref="N54">IFERROR(INDEX(Shipping!$A$2:$F$1216,MATCH($A54&amp;N$11,Shipping!$E$2:$E$1216&amp;Shipping!$B$2:$B$1216,0),MATCH("Qty",Shipping!$A$2:$F$2,0)),0)</f>
        <v>0</v>
      </c>
      <c r="O54" cm="1">
        <f t="array" ref="O54">IFERROR(INDEX(Shipping!$A$2:$F$1216,MATCH($A54&amp;O$11,Shipping!$E$2:$E$1216&amp;Shipping!$B$2:$B$1216,0),MATCH("Qty",Shipping!$A$2:$F$2,0)),0)</f>
        <v>0</v>
      </c>
      <c r="P54" cm="1">
        <f t="array" ref="P54">IFERROR(INDEX(Shipping!$A$2:$F$1216,MATCH($A54&amp;P$11,Shipping!$E$2:$E$1216&amp;Shipping!$B$2:$B$1216,0),MATCH("Qty",Shipping!$A$2:$F$2,0)),0)</f>
        <v>0</v>
      </c>
      <c r="Q54" cm="1">
        <f t="array" ref="Q54">IFERROR(INDEX(Shipping!$A$2:$F$1216,MATCH($A54&amp;Q$11,Shipping!$E$2:$E$1216&amp;Shipping!$B$2:$B$1216,0),MATCH("Qty",Shipping!$A$2:$F$2,0)),0)</f>
        <v>0</v>
      </c>
      <c r="R54" cm="1">
        <f t="array" ref="R54">IFERROR(INDEX(Shipping!$A$2:$F$1216,MATCH($A54&amp;R$11,Shipping!$E$2:$E$1216&amp;Shipping!$B$2:$B$1216,0),MATCH("Qty",Shipping!$A$2:$F$2,0)),0)</f>
        <v>0</v>
      </c>
      <c r="S54" cm="1">
        <f t="array" ref="S54">IFERROR(INDEX(Shipping!$A$2:$F$1216,MATCH($A54&amp;S$11,Shipping!$E$2:$E$1216&amp;Shipping!$B$2:$B$1216,0),MATCH("Qty",Shipping!$A$2:$F$2,0)),0)</f>
        <v>0</v>
      </c>
      <c r="T54" cm="1">
        <f t="array" ref="T54">IFERROR(INDEX(Shipping!$A$2:$F$1216,MATCH($A54&amp;T$11,Shipping!$E$2:$E$1216&amp;Shipping!$B$2:$B$1216,0),MATCH("Qty",Shipping!$A$2:$F$2,0)),0)</f>
        <v>0</v>
      </c>
      <c r="U54" cm="1">
        <f t="array" ref="U54">IFERROR(INDEX(Shipping!$A$2:$F$1216,MATCH($A54&amp;U$11,Shipping!$E$2:$E$1216&amp;Shipping!$B$2:$B$1216,0),MATCH("Qty",Shipping!$A$2:$F$2,0)),0)</f>
        <v>0</v>
      </c>
      <c r="V54" cm="1">
        <f t="array" ref="V54">IFERROR(INDEX(Shipping!$A$2:$F$1216,MATCH($A54&amp;V$11,Shipping!$E$2:$E$1216&amp;Shipping!$B$2:$B$1216,0),MATCH("Qty",Shipping!$A$2:$F$2,0)),0)</f>
        <v>0</v>
      </c>
      <c r="W54" cm="1">
        <f t="array" ref="W54">IFERROR(INDEX(Shipping!$A$2:$F$1216,MATCH($A54&amp;W$11,Shipping!$E$2:$E$1216&amp;Shipping!$B$2:$B$1216,0),MATCH("Qty",Shipping!$A$2:$F$2,0)),0)</f>
        <v>0</v>
      </c>
      <c r="X54" cm="1">
        <f t="array" ref="X54">IFERROR(INDEX(Shipping!$A$2:$F$1216,MATCH($A54&amp;X$11,Shipping!$E$2:$E$1216&amp;Shipping!$B$2:$B$1216,0),MATCH("Qty",Shipping!$A$2:$F$2,0)),0)</f>
        <v>0</v>
      </c>
      <c r="Y54" cm="1">
        <f t="array" ref="Y54">IFERROR(INDEX(Shipping!$A$2:$F$1216,MATCH($A54&amp;Y$11,Shipping!$E$2:$E$1216&amp;Shipping!$B$2:$B$1216,0),MATCH("Qty",Shipping!$A$2:$F$2,0)),0)</f>
        <v>0</v>
      </c>
      <c r="Z54" cm="1">
        <f t="array" ref="Z54">IFERROR(INDEX(Shipping!$A$2:$F$1216,MATCH($A54&amp;Z$11,Shipping!$E$2:$E$1216&amp;Shipping!$B$2:$B$1216,0),MATCH("Qty",Shipping!$A$2:$F$2,0)),0)</f>
        <v>0</v>
      </c>
    </row>
    <row r="55" spans="1:26" hidden="1">
      <c r="A55" s="20">
        <f t="shared" si="10"/>
        <v>99646</v>
      </c>
      <c r="B55" s="20">
        <v>99646</v>
      </c>
      <c r="C55" s="20" t="s">
        <v>23</v>
      </c>
      <c r="D55" s="9" t="s">
        <v>14</v>
      </c>
      <c r="F55">
        <f>F53-F54</f>
        <v>0</v>
      </c>
      <c r="G55">
        <f>G53-G54</f>
        <v>0</v>
      </c>
      <c r="H55">
        <f t="shared" ref="H55:P55" si="128">G55-G56+H53</f>
        <v>0</v>
      </c>
      <c r="I55">
        <f t="shared" si="128"/>
        <v>0</v>
      </c>
      <c r="J55">
        <f t="shared" si="128"/>
        <v>0</v>
      </c>
      <c r="K55">
        <f t="shared" si="128"/>
        <v>0</v>
      </c>
      <c r="L55">
        <f t="shared" si="128"/>
        <v>-2</v>
      </c>
      <c r="M55">
        <f t="shared" si="128"/>
        <v>-2</v>
      </c>
      <c r="N55">
        <f t="shared" si="128"/>
        <v>-2</v>
      </c>
      <c r="O55">
        <f t="shared" si="128"/>
        <v>-2</v>
      </c>
      <c r="P55">
        <f t="shared" si="128"/>
        <v>-2</v>
      </c>
      <c r="Q55">
        <f t="shared" ref="Q55:Z55" si="129">P55-P56+Q53</f>
        <v>-2</v>
      </c>
      <c r="R55">
        <f t="shared" si="129"/>
        <v>-2</v>
      </c>
      <c r="S55">
        <f t="shared" si="129"/>
        <v>-2</v>
      </c>
      <c r="T55">
        <f t="shared" si="129"/>
        <v>-2</v>
      </c>
      <c r="U55">
        <f t="shared" si="129"/>
        <v>-2</v>
      </c>
      <c r="V55">
        <f t="shared" si="129"/>
        <v>-2</v>
      </c>
      <c r="W55">
        <f t="shared" si="129"/>
        <v>-2</v>
      </c>
      <c r="X55">
        <f t="shared" si="129"/>
        <v>-2</v>
      </c>
      <c r="Y55">
        <f t="shared" si="129"/>
        <v>-2</v>
      </c>
      <c r="Z55">
        <f t="shared" si="129"/>
        <v>-2</v>
      </c>
    </row>
    <row r="56" spans="1:26" hidden="1">
      <c r="A56" s="20">
        <f t="shared" si="10"/>
        <v>99646</v>
      </c>
      <c r="B56" s="20">
        <v>99646</v>
      </c>
      <c r="C56" s="20" t="s">
        <v>23</v>
      </c>
      <c r="D56" s="9" t="s">
        <v>13</v>
      </c>
      <c r="F56" s="15"/>
      <c r="G56" s="15"/>
      <c r="H56" s="15"/>
      <c r="I56" s="15"/>
      <c r="J56" s="15"/>
      <c r="K56" s="15">
        <v>2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idden="1">
      <c r="A57" s="20">
        <f t="shared" si="10"/>
        <v>99646</v>
      </c>
      <c r="B57" s="20">
        <v>99646</v>
      </c>
      <c r="C57" s="20" t="s">
        <v>23</v>
      </c>
      <c r="D57" s="9" t="s">
        <v>15</v>
      </c>
      <c r="E57">
        <v>2.75</v>
      </c>
      <c r="F57">
        <f>$E57*F56</f>
        <v>0</v>
      </c>
      <c r="G57">
        <f>$E57*G56</f>
        <v>0</v>
      </c>
      <c r="H57">
        <f t="shared" ref="H57" si="130">$E57*H56</f>
        <v>0</v>
      </c>
      <c r="I57">
        <f t="shared" ref="I57" si="131">$E57*I56</f>
        <v>0</v>
      </c>
      <c r="J57">
        <f t="shared" ref="J57" si="132">$E57*J56</f>
        <v>0</v>
      </c>
      <c r="K57">
        <f t="shared" ref="K57" si="133">$E57*K56</f>
        <v>5.5</v>
      </c>
      <c r="L57">
        <f t="shared" ref="L57" si="134">$E57*L56</f>
        <v>0</v>
      </c>
      <c r="M57">
        <f t="shared" ref="M57" si="135">$E57*M56</f>
        <v>0</v>
      </c>
      <c r="N57">
        <f t="shared" ref="N57" si="136">$E57*N56</f>
        <v>0</v>
      </c>
      <c r="O57">
        <f t="shared" ref="O57" si="137">$E57*O56</f>
        <v>0</v>
      </c>
      <c r="P57">
        <f t="shared" ref="P57" si="138">$E57*P56</f>
        <v>0</v>
      </c>
      <c r="Q57">
        <f t="shared" ref="Q57" si="139">$E57*Q56</f>
        <v>0</v>
      </c>
      <c r="R57">
        <f t="shared" ref="R57" si="140">$E57*R56</f>
        <v>0</v>
      </c>
      <c r="S57">
        <f t="shared" ref="S57" si="141">$E57*S56</f>
        <v>0</v>
      </c>
      <c r="T57">
        <f t="shared" ref="T57" si="142">$E57*T56</f>
        <v>0</v>
      </c>
      <c r="U57">
        <f t="shared" ref="U57" si="143">$E57*U56</f>
        <v>0</v>
      </c>
      <c r="V57">
        <f t="shared" ref="V57" si="144">$E57*V56</f>
        <v>0</v>
      </c>
      <c r="W57">
        <f t="shared" ref="W57" si="145">$E57*W56</f>
        <v>0</v>
      </c>
      <c r="X57">
        <f t="shared" ref="X57" si="146">$E57*X56</f>
        <v>0</v>
      </c>
      <c r="Y57">
        <f t="shared" ref="Y57" si="147">$E57*Y56</f>
        <v>0</v>
      </c>
      <c r="Z57">
        <f t="shared" ref="Z57" si="148">$E57*Z56</f>
        <v>0</v>
      </c>
    </row>
    <row r="58" spans="1:26" ht="15.75" hidden="1" thickBot="1">
      <c r="A58" s="21">
        <f t="shared" si="10"/>
        <v>99646</v>
      </c>
      <c r="B58" s="21">
        <v>99646</v>
      </c>
      <c r="C58" s="21" t="s">
        <v>23</v>
      </c>
      <c r="D58" s="17" t="s">
        <v>16</v>
      </c>
      <c r="E58" s="18">
        <v>2.75</v>
      </c>
      <c r="F58" s="18">
        <f>$E58*F56</f>
        <v>0</v>
      </c>
      <c r="G58" s="18">
        <f>$E58*G56</f>
        <v>0</v>
      </c>
      <c r="H58" s="18">
        <f t="shared" ref="H58:Z58" si="149">$E58*H56</f>
        <v>0</v>
      </c>
      <c r="I58" s="18">
        <f t="shared" si="149"/>
        <v>0</v>
      </c>
      <c r="J58" s="18">
        <f t="shared" si="149"/>
        <v>0</v>
      </c>
      <c r="K58" s="18">
        <f t="shared" si="149"/>
        <v>5.5</v>
      </c>
      <c r="L58" s="18">
        <f t="shared" si="149"/>
        <v>0</v>
      </c>
      <c r="M58" s="18">
        <f t="shared" si="149"/>
        <v>0</v>
      </c>
      <c r="N58" s="18">
        <f t="shared" si="149"/>
        <v>0</v>
      </c>
      <c r="O58" s="18">
        <f t="shared" si="149"/>
        <v>0</v>
      </c>
      <c r="P58" s="18">
        <f t="shared" si="149"/>
        <v>0</v>
      </c>
      <c r="Q58" s="18">
        <f t="shared" si="149"/>
        <v>0</v>
      </c>
      <c r="R58" s="18">
        <f t="shared" si="149"/>
        <v>0</v>
      </c>
      <c r="S58" s="18">
        <f t="shared" si="149"/>
        <v>0</v>
      </c>
      <c r="T58" s="18">
        <f t="shared" si="149"/>
        <v>0</v>
      </c>
      <c r="U58" s="18">
        <f t="shared" si="149"/>
        <v>0</v>
      </c>
      <c r="V58" s="18">
        <f t="shared" si="149"/>
        <v>0</v>
      </c>
      <c r="W58" s="18">
        <f t="shared" si="149"/>
        <v>0</v>
      </c>
      <c r="X58" s="18">
        <f t="shared" si="149"/>
        <v>0</v>
      </c>
      <c r="Y58" s="18">
        <f t="shared" si="149"/>
        <v>0</v>
      </c>
      <c r="Z58" s="18">
        <f t="shared" si="149"/>
        <v>0</v>
      </c>
    </row>
    <row r="59" spans="1:26" hidden="1">
      <c r="A59" s="9">
        <f t="shared" si="10"/>
        <v>99635</v>
      </c>
      <c r="B59" s="9">
        <v>99635</v>
      </c>
      <c r="C59" s="9" t="s">
        <v>24</v>
      </c>
      <c r="D59" s="9" t="s">
        <v>10</v>
      </c>
      <c r="F59">
        <f>IFERROR(INDEX(Releases!$C$5:$V$21,MATCH($A59,Releases!$C$5:$C$82,0),MATCH(F$11,Releases!$C$5:$V$5,0)),0)</f>
        <v>0</v>
      </c>
      <c r="G59">
        <f>IFERROR(INDEX(Releases!$C$5:$V$21,MATCH($A59,Releases!$C$5:$C$82,0),MATCH(G$11,Releases!$C$5:$V$5,0)),0)</f>
        <v>0</v>
      </c>
      <c r="H59">
        <f>IFERROR(INDEX(Releases!$C$5:$V$21,MATCH($A59,Releases!$C$5:$C$82,0),MATCH(H$11,Releases!$C$5:$V$5,0)),0)</f>
        <v>0</v>
      </c>
      <c r="I59">
        <f>IFERROR(INDEX(Releases!$C$5:$V$21,MATCH($A59,Releases!$C$5:$C$82,0),MATCH(I$11,Releases!$C$5:$V$5,0)),0)</f>
        <v>0</v>
      </c>
      <c r="J59">
        <f>IFERROR(INDEX(Releases!$C$5:$V$21,MATCH($A59,Releases!$C$5:$C$82,0),MATCH(J$11,Releases!$C$5:$V$5,0)),0)</f>
        <v>0</v>
      </c>
      <c r="K59">
        <f>IFERROR(INDEX(Releases!$C$5:$V$21,MATCH($A59,Releases!$C$5:$C$82,0),MATCH(K$11,Releases!$C$5:$V$5,0)),0)</f>
        <v>0</v>
      </c>
      <c r="L59">
        <f>IFERROR(INDEX(Releases!$C$5:$V$21,MATCH($A59,Releases!$C$5:$C$82,0),MATCH(L$11,Releases!$C$5:$V$5,0)),0)</f>
        <v>0</v>
      </c>
      <c r="M59">
        <f>IFERROR(INDEX(Releases!$C$5:$V$21,MATCH($A59,Releases!$C$5:$C$82,0),MATCH(M$11,Releases!$C$5:$V$5,0)),0)</f>
        <v>0</v>
      </c>
      <c r="N59">
        <f>IFERROR(INDEX(Releases!$C$5:$V$21,MATCH($A59,Releases!$C$5:$C$82,0),MATCH(N$11,Releases!$C$5:$V$5,0)),0)</f>
        <v>0</v>
      </c>
      <c r="O59">
        <f>IFERROR(INDEX(Releases!$C$5:$V$21,MATCH($A59,Releases!$C$5:$C$82,0),MATCH(O$11,Releases!$C$5:$V$5,0)),0)</f>
        <v>0</v>
      </c>
      <c r="P59">
        <f>IFERROR(INDEX(Releases!$C$5:$V$21,MATCH($A59,Releases!$C$5:$C$82,0),MATCH(P$11,Releases!$C$5:$V$5,0)),0)</f>
        <v>0</v>
      </c>
      <c r="Q59">
        <f>IFERROR(INDEX(Releases!$C$5:$V$21,MATCH($A59,Releases!$C$5:$C$82,0),MATCH(Q$11,Releases!$C$5:$V$5,0)),0)</f>
        <v>0</v>
      </c>
      <c r="R59">
        <f>IFERROR(INDEX(Releases!$C$5:$V$21,MATCH($A59,Releases!$C$5:$C$82,0),MATCH(R$11,Releases!$C$5:$V$5,0)),0)</f>
        <v>0</v>
      </c>
      <c r="S59">
        <f>IFERROR(INDEX(Releases!$C$5:$V$21,MATCH($A59,Releases!$C$5:$C$82,0),MATCH(S$11,Releases!$C$5:$V$5,0)),0)</f>
        <v>0</v>
      </c>
      <c r="T59">
        <f>IFERROR(INDEX(Releases!$C$5:$V$21,MATCH($A59,Releases!$C$5:$C$82,0),MATCH(T$11,Releases!$C$5:$V$5,0)),0)</f>
        <v>0</v>
      </c>
      <c r="U59">
        <f>IFERROR(INDEX(Releases!$C$5:$V$21,MATCH($A59,Releases!$C$5:$C$82,0),MATCH(U$11,Releases!$C$5:$V$5,0)),0)</f>
        <v>0</v>
      </c>
      <c r="V59">
        <f>IFERROR(INDEX(Releases!$C$5:$V$21,MATCH($A59,Releases!$C$5:$C$82,0),MATCH(V$11,Releases!$C$5:$V$5,0)),0)</f>
        <v>0</v>
      </c>
      <c r="W59">
        <f>IFERROR(INDEX(Releases!$C$5:$V$21,MATCH($A59,Releases!$C$5:$C$82,0),MATCH(W$11,Releases!$C$5:$V$5,0)),0)</f>
        <v>0</v>
      </c>
      <c r="X59">
        <f>IFERROR(INDEX(Releases!$C$5:$V$21,MATCH($A59,Releases!$C$5:$C$82,0),MATCH(X$11,Releases!$C$5:$V$5,0)),0)</f>
        <v>0</v>
      </c>
      <c r="Y59">
        <f>IFERROR(INDEX(Releases!$C$5:$V$21,MATCH($A59,Releases!$C$5:$C$82,0),MATCH(Y$11,Releases!$C$5:$V$5,0)),0)</f>
        <v>0</v>
      </c>
      <c r="Z59">
        <f>IFERROR(INDEX(Releases!$C$5:$V$21,MATCH($A59,Releases!$C$5:$C$82,0),MATCH(Z$11,Releases!$C$5:$V$5,0)),0)</f>
        <v>0</v>
      </c>
    </row>
    <row r="60" spans="1:26" hidden="1">
      <c r="A60" s="9">
        <f t="shared" si="10"/>
        <v>99635</v>
      </c>
      <c r="B60" s="9">
        <v>99635</v>
      </c>
      <c r="C60" s="9" t="s">
        <v>24</v>
      </c>
      <c r="D60" s="9" t="s">
        <v>11</v>
      </c>
      <c r="F60" cm="1">
        <f t="array" ref="F60">IFERROR(INDEX(Receiving!#REF!,MATCH($B60&amp;F$11,Receiving!#REF!&amp;Receiving!#REF!,0),MATCH("Qty",Receiving!#REF!,0)),0)</f>
        <v>0</v>
      </c>
      <c r="G60" cm="1">
        <f t="array" ref="G60">IFERROR(INDEX(Receiving!#REF!,MATCH($B60&amp;G$11,Receiving!#REF!&amp;Receiving!#REF!,0),MATCH("Qty",Receiving!#REF!,0)),0)</f>
        <v>0</v>
      </c>
      <c r="H60" cm="1">
        <f t="array" ref="H60">IFERROR(INDEX(Receiving!#REF!,MATCH($B60&amp;H$11,Receiving!#REF!&amp;Receiving!#REF!,0),MATCH("Qty",Receiving!#REF!,0)),0)</f>
        <v>0</v>
      </c>
      <c r="I60" cm="1">
        <f t="array" ref="I60">IFERROR(INDEX(Receiving!#REF!,MATCH($B60&amp;I$11,Receiving!#REF!&amp;Receiving!#REF!,0),MATCH("Qty",Receiving!#REF!,0)),0)</f>
        <v>0</v>
      </c>
      <c r="J60" cm="1">
        <f t="array" ref="J60">IFERROR(INDEX(Receiving!#REF!,MATCH($B60&amp;J$11,Receiving!#REF!&amp;Receiving!#REF!,0),MATCH("Qty",Receiving!#REF!,0)),0)</f>
        <v>0</v>
      </c>
      <c r="K60" cm="1">
        <f t="array" ref="K60">IFERROR(INDEX(Receiving!#REF!,MATCH($B60&amp;K$11,Receiving!#REF!&amp;Receiving!#REF!,0),MATCH("Qty",Receiving!#REF!,0)),0)</f>
        <v>0</v>
      </c>
      <c r="L60" cm="1">
        <f t="array" ref="L60">IFERROR(INDEX(Receiving!#REF!,MATCH($B60&amp;L$11,Receiving!#REF!&amp;Receiving!#REF!,0),MATCH("Qty",Receiving!#REF!,0)),0)</f>
        <v>0</v>
      </c>
      <c r="M60" cm="1">
        <f t="array" ref="M60">IFERROR(INDEX(Receiving!#REF!,MATCH($B60&amp;M$11,Receiving!#REF!&amp;Receiving!#REF!,0),MATCH("Qty",Receiving!#REF!,0)),0)</f>
        <v>0</v>
      </c>
      <c r="N60" cm="1">
        <f t="array" ref="N60">IFERROR(INDEX(Receiving!#REF!,MATCH($B60&amp;N$11,Receiving!#REF!&amp;Receiving!#REF!,0),MATCH("Qty",Receiving!#REF!,0)),0)</f>
        <v>0</v>
      </c>
      <c r="O60" cm="1">
        <f t="array" ref="O60">IFERROR(INDEX(Receiving!#REF!,MATCH($B60&amp;O$11,Receiving!#REF!&amp;Receiving!#REF!,0),MATCH("Qty",Receiving!#REF!,0)),0)</f>
        <v>0</v>
      </c>
      <c r="P60" cm="1">
        <f t="array" ref="P60">IFERROR(INDEX(Receiving!#REF!,MATCH($B60&amp;P$11,Receiving!#REF!&amp;Receiving!#REF!,0),MATCH("Qty",Receiving!#REF!,0)),0)</f>
        <v>0</v>
      </c>
      <c r="Q60" cm="1">
        <f t="array" ref="Q60">IFERROR(INDEX(Receiving!#REF!,MATCH($B60&amp;Q$11,Receiving!#REF!&amp;Receiving!#REF!,0),MATCH("Qty",Receiving!#REF!,0)),0)</f>
        <v>0</v>
      </c>
      <c r="R60" cm="1">
        <f t="array" ref="R60">IFERROR(INDEX(Receiving!#REF!,MATCH($B60&amp;R$11,Receiving!#REF!&amp;Receiving!#REF!,0),MATCH("Qty",Receiving!#REF!,0)),0)</f>
        <v>0</v>
      </c>
      <c r="S60" cm="1">
        <f t="array" ref="S60">IFERROR(INDEX(Receiving!#REF!,MATCH($B60&amp;S$11,Receiving!#REF!&amp;Receiving!#REF!,0),MATCH("Qty",Receiving!#REF!,0)),0)</f>
        <v>0</v>
      </c>
      <c r="T60" cm="1">
        <f t="array" ref="T60">IFERROR(INDEX(Receiving!#REF!,MATCH($B60&amp;T$11,Receiving!#REF!&amp;Receiving!#REF!,0),MATCH("Qty",Receiving!#REF!,0)),0)</f>
        <v>0</v>
      </c>
      <c r="U60" cm="1">
        <f t="array" ref="U60">IFERROR(INDEX(Receiving!#REF!,MATCH($B60&amp;U$11,Receiving!#REF!&amp;Receiving!#REF!,0),MATCH("Qty",Receiving!#REF!,0)),0)</f>
        <v>0</v>
      </c>
      <c r="V60" cm="1">
        <f t="array" ref="V60">IFERROR(INDEX(Receiving!#REF!,MATCH($B60&amp;V$11,Receiving!#REF!&amp;Receiving!#REF!,0),MATCH("Qty",Receiving!#REF!,0)),0)</f>
        <v>0</v>
      </c>
      <c r="W60" cm="1">
        <f t="array" ref="W60">IFERROR(INDEX(Receiving!#REF!,MATCH($B60&amp;W$11,Receiving!#REF!&amp;Receiving!#REF!,0),MATCH("Qty",Receiving!#REF!,0)),0)</f>
        <v>0</v>
      </c>
      <c r="X60" cm="1">
        <f t="array" ref="X60">IFERROR(INDEX(Receiving!#REF!,MATCH($B60&amp;X$11,Receiving!#REF!&amp;Receiving!#REF!,0),MATCH("Qty",Receiving!#REF!,0)),0)</f>
        <v>0</v>
      </c>
      <c r="Y60" cm="1">
        <f t="array" ref="Y60">IFERROR(INDEX(Receiving!#REF!,MATCH($B60&amp;Y$11,Receiving!#REF!&amp;Receiving!#REF!,0),MATCH("Qty",Receiving!#REF!,0)),0)</f>
        <v>0</v>
      </c>
      <c r="Z60" cm="1">
        <f t="array" ref="Z60">IFERROR(INDEX(Receiving!#REF!,MATCH($B60&amp;Z$11,Receiving!#REF!&amp;Receiving!#REF!,0),MATCH("Qty",Receiving!#REF!,0)),0)</f>
        <v>0</v>
      </c>
    </row>
    <row r="61" spans="1:26">
      <c r="A61" s="9">
        <f t="shared" si="10"/>
        <v>99635</v>
      </c>
      <c r="B61" s="9">
        <v>99635</v>
      </c>
      <c r="C61" s="9" t="s">
        <v>24</v>
      </c>
      <c r="D61" s="9" t="s">
        <v>12</v>
      </c>
      <c r="F61" cm="1">
        <f t="array" ref="F61">IFERROR(INDEX(Shipping!$A$2:$F$1216,MATCH($A61&amp;F$11,Shipping!$E$2:$E$1216&amp;Shipping!$B$2:$B$1216,0),MATCH("Qty",Shipping!$A$2:$F$2,0)),0)</f>
        <v>0</v>
      </c>
      <c r="G61" cm="1">
        <f t="array" ref="G61">IFERROR(INDEX(Shipping!$A$2:$F$1216,MATCH($A61&amp;G$11,Shipping!$E$2:$E$1216&amp;Shipping!$B$2:$B$1216,0),MATCH("Qty",Shipping!$A$2:$F$2,0)),0)</f>
        <v>0</v>
      </c>
      <c r="H61" cm="1">
        <f t="array" ref="H61">IFERROR(INDEX(Shipping!$A$2:$F$1216,MATCH($A61&amp;H$11,Shipping!$E$2:$E$1216&amp;Shipping!$B$2:$B$1216,0),MATCH("Qty",Shipping!$A$2:$F$2,0)),0)</f>
        <v>0</v>
      </c>
      <c r="I61" cm="1">
        <f t="array" ref="I61">IFERROR(INDEX(Shipping!$A$2:$F$1216,MATCH($A61&amp;I$11,Shipping!$E$2:$E$1216&amp;Shipping!$B$2:$B$1216,0),MATCH("Qty",Shipping!$A$2:$F$2,0)),0)</f>
        <v>0</v>
      </c>
      <c r="J61" cm="1">
        <f t="array" ref="J61">IFERROR(INDEX(Shipping!$A$2:$F$1216,MATCH($A61&amp;J$11,Shipping!$E$2:$E$1216&amp;Shipping!$B$2:$B$1216,0),MATCH("Qty",Shipping!$A$2:$F$2,0)),0)</f>
        <v>0</v>
      </c>
      <c r="K61" cm="1">
        <f t="array" ref="K61">IFERROR(INDEX(Shipping!$A$2:$F$1216,MATCH($A61&amp;K$11,Shipping!$E$2:$E$1216&amp;Shipping!$B$2:$B$1216,0),MATCH("Qty",Shipping!$A$2:$F$2,0)),0)</f>
        <v>0</v>
      </c>
      <c r="L61" cm="1">
        <f t="array" ref="L61">IFERROR(INDEX(Shipping!$A$2:$F$1216,MATCH($A61&amp;L$11,Shipping!$E$2:$E$1216&amp;Shipping!$B$2:$B$1216,0),MATCH("Qty",Shipping!$A$2:$F$2,0)),0)</f>
        <v>0</v>
      </c>
      <c r="M61" cm="1">
        <f t="array" ref="M61">IFERROR(INDEX(Shipping!$A$2:$F$1216,MATCH($A61&amp;M$11,Shipping!$E$2:$E$1216&amp;Shipping!$B$2:$B$1216,0),MATCH("Qty",Shipping!$A$2:$F$2,0)),0)</f>
        <v>0</v>
      </c>
      <c r="N61" cm="1">
        <f t="array" ref="N61">IFERROR(INDEX(Shipping!$A$2:$F$1216,MATCH($A61&amp;N$11,Shipping!$E$2:$E$1216&amp;Shipping!$B$2:$B$1216,0),MATCH("Qty",Shipping!$A$2:$F$2,0)),0)</f>
        <v>0</v>
      </c>
      <c r="O61" cm="1">
        <f t="array" ref="O61">IFERROR(INDEX(Shipping!$A$2:$F$1216,MATCH($A61&amp;O$11,Shipping!$E$2:$E$1216&amp;Shipping!$B$2:$B$1216,0),MATCH("Qty",Shipping!$A$2:$F$2,0)),0)</f>
        <v>0</v>
      </c>
      <c r="P61" cm="1">
        <f t="array" ref="P61">IFERROR(INDEX(Shipping!$A$2:$F$1216,MATCH($A61&amp;P$11,Shipping!$E$2:$E$1216&amp;Shipping!$B$2:$B$1216,0),MATCH("Qty",Shipping!$A$2:$F$2,0)),0)</f>
        <v>0</v>
      </c>
      <c r="Q61" cm="1">
        <f t="array" ref="Q61">IFERROR(INDEX(Shipping!$A$2:$F$1216,MATCH($A61&amp;Q$11,Shipping!$E$2:$E$1216&amp;Shipping!$B$2:$B$1216,0),MATCH("Qty",Shipping!$A$2:$F$2,0)),0)</f>
        <v>0</v>
      </c>
      <c r="R61" cm="1">
        <f t="array" ref="R61">IFERROR(INDEX(Shipping!$A$2:$F$1216,MATCH($A61&amp;R$11,Shipping!$E$2:$E$1216&amp;Shipping!$B$2:$B$1216,0),MATCH("Qty",Shipping!$A$2:$F$2,0)),0)</f>
        <v>0</v>
      </c>
      <c r="S61" cm="1">
        <f t="array" ref="S61">IFERROR(INDEX(Shipping!$A$2:$F$1216,MATCH($A61&amp;S$11,Shipping!$E$2:$E$1216&amp;Shipping!$B$2:$B$1216,0),MATCH("Qty",Shipping!$A$2:$F$2,0)),0)</f>
        <v>0</v>
      </c>
      <c r="T61" cm="1">
        <f t="array" ref="T61">IFERROR(INDEX(Shipping!$A$2:$F$1216,MATCH($A61&amp;T$11,Shipping!$E$2:$E$1216&amp;Shipping!$B$2:$B$1216,0),MATCH("Qty",Shipping!$A$2:$F$2,0)),0)</f>
        <v>0</v>
      </c>
      <c r="U61" cm="1">
        <f t="array" ref="U61">IFERROR(INDEX(Shipping!$A$2:$F$1216,MATCH($A61&amp;U$11,Shipping!$E$2:$E$1216&amp;Shipping!$B$2:$B$1216,0),MATCH("Qty",Shipping!$A$2:$F$2,0)),0)</f>
        <v>0</v>
      </c>
      <c r="V61" cm="1">
        <f t="array" ref="V61">IFERROR(INDEX(Shipping!$A$2:$F$1216,MATCH($A61&amp;V$11,Shipping!$E$2:$E$1216&amp;Shipping!$B$2:$B$1216,0),MATCH("Qty",Shipping!$A$2:$F$2,0)),0)</f>
        <v>0</v>
      </c>
      <c r="W61" cm="1">
        <f t="array" ref="W61">IFERROR(INDEX(Shipping!$A$2:$F$1216,MATCH($A61&amp;W$11,Shipping!$E$2:$E$1216&amp;Shipping!$B$2:$B$1216,0),MATCH("Qty",Shipping!$A$2:$F$2,0)),0)</f>
        <v>0</v>
      </c>
      <c r="X61" cm="1">
        <f t="array" ref="X61">IFERROR(INDEX(Shipping!$A$2:$F$1216,MATCH($A61&amp;X$11,Shipping!$E$2:$E$1216&amp;Shipping!$B$2:$B$1216,0),MATCH("Qty",Shipping!$A$2:$F$2,0)),0)</f>
        <v>0</v>
      </c>
      <c r="Y61" cm="1">
        <f t="array" ref="Y61">IFERROR(INDEX(Shipping!$A$2:$F$1216,MATCH($A61&amp;Y$11,Shipping!$E$2:$E$1216&amp;Shipping!$B$2:$B$1216,0),MATCH("Qty",Shipping!$A$2:$F$2,0)),0)</f>
        <v>0</v>
      </c>
      <c r="Z61" cm="1">
        <f t="array" ref="Z61">IFERROR(INDEX(Shipping!$A$2:$F$1216,MATCH($A61&amp;Z$11,Shipping!$E$2:$E$1216&amp;Shipping!$B$2:$B$1216,0),MATCH("Qty",Shipping!$A$2:$F$2,0)),0)</f>
        <v>0</v>
      </c>
    </row>
    <row r="62" spans="1:26" hidden="1">
      <c r="A62" s="9">
        <f t="shared" si="10"/>
        <v>99635</v>
      </c>
      <c r="B62" s="9">
        <v>99635</v>
      </c>
      <c r="C62" s="9" t="s">
        <v>24</v>
      </c>
      <c r="D62" s="9" t="s">
        <v>14</v>
      </c>
      <c r="F62">
        <f>F60-F61</f>
        <v>0</v>
      </c>
      <c r="G62">
        <f>G60-G61</f>
        <v>0</v>
      </c>
      <c r="H62">
        <f t="shared" ref="H62:P62" si="150">G62-G63+H60</f>
        <v>0</v>
      </c>
      <c r="I62">
        <f t="shared" si="150"/>
        <v>0</v>
      </c>
      <c r="J62">
        <f t="shared" si="150"/>
        <v>0</v>
      </c>
      <c r="K62">
        <f t="shared" si="150"/>
        <v>0</v>
      </c>
      <c r="L62">
        <f t="shared" si="150"/>
        <v>0</v>
      </c>
      <c r="M62">
        <f t="shared" si="150"/>
        <v>0</v>
      </c>
      <c r="N62">
        <f t="shared" si="150"/>
        <v>0</v>
      </c>
      <c r="O62">
        <f t="shared" si="150"/>
        <v>0</v>
      </c>
      <c r="P62">
        <f t="shared" si="150"/>
        <v>0</v>
      </c>
      <c r="Q62">
        <f t="shared" ref="Q62:Z62" si="151">P62-P63+Q60</f>
        <v>0</v>
      </c>
      <c r="R62">
        <f t="shared" si="151"/>
        <v>0</v>
      </c>
      <c r="S62">
        <f t="shared" si="151"/>
        <v>0</v>
      </c>
      <c r="T62">
        <f t="shared" si="151"/>
        <v>0</v>
      </c>
      <c r="U62">
        <f t="shared" si="151"/>
        <v>0</v>
      </c>
      <c r="V62">
        <f t="shared" si="151"/>
        <v>0</v>
      </c>
      <c r="W62">
        <f t="shared" si="151"/>
        <v>0</v>
      </c>
      <c r="X62">
        <f t="shared" si="151"/>
        <v>0</v>
      </c>
      <c r="Y62">
        <f t="shared" si="151"/>
        <v>0</v>
      </c>
      <c r="Z62">
        <f t="shared" si="151"/>
        <v>0</v>
      </c>
    </row>
    <row r="63" spans="1:26" hidden="1">
      <c r="A63" s="9">
        <f t="shared" si="10"/>
        <v>99635</v>
      </c>
      <c r="B63" s="9">
        <v>99635</v>
      </c>
      <c r="C63" s="9" t="s">
        <v>24</v>
      </c>
      <c r="D63" s="9" t="s">
        <v>13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idden="1">
      <c r="A64" s="9">
        <f t="shared" si="10"/>
        <v>99635</v>
      </c>
      <c r="B64" s="9">
        <v>99635</v>
      </c>
      <c r="C64" s="9" t="s">
        <v>24</v>
      </c>
      <c r="D64" s="9" t="s">
        <v>15</v>
      </c>
      <c r="E64">
        <v>3.75</v>
      </c>
      <c r="F64">
        <f>$E64*F63</f>
        <v>0</v>
      </c>
      <c r="G64">
        <f>$E64*G63</f>
        <v>0</v>
      </c>
      <c r="H64">
        <f t="shared" ref="H64" si="152">$E64*H63</f>
        <v>0</v>
      </c>
      <c r="I64">
        <f t="shared" ref="I64" si="153">$E64*I63</f>
        <v>0</v>
      </c>
      <c r="J64">
        <f t="shared" ref="J64" si="154">$E64*J63</f>
        <v>0</v>
      </c>
      <c r="K64">
        <f t="shared" ref="K64" si="155">$E64*K63</f>
        <v>0</v>
      </c>
      <c r="L64">
        <f t="shared" ref="L64" si="156">$E64*L63</f>
        <v>0</v>
      </c>
      <c r="M64">
        <f t="shared" ref="M64" si="157">$E64*M63</f>
        <v>0</v>
      </c>
      <c r="N64">
        <f t="shared" ref="N64" si="158">$E64*N63</f>
        <v>0</v>
      </c>
      <c r="O64">
        <f t="shared" ref="O64" si="159">$E64*O63</f>
        <v>0</v>
      </c>
      <c r="P64">
        <f t="shared" ref="P64" si="160">$E64*P63</f>
        <v>0</v>
      </c>
      <c r="Q64">
        <f t="shared" ref="Q64" si="161">$E64*Q63</f>
        <v>0</v>
      </c>
      <c r="R64">
        <f t="shared" ref="R64" si="162">$E64*R63</f>
        <v>0</v>
      </c>
      <c r="S64">
        <f t="shared" ref="S64" si="163">$E64*S63</f>
        <v>0</v>
      </c>
      <c r="T64">
        <f t="shared" ref="T64" si="164">$E64*T63</f>
        <v>0</v>
      </c>
      <c r="U64">
        <f t="shared" ref="U64" si="165">$E64*U63</f>
        <v>0</v>
      </c>
      <c r="V64">
        <f t="shared" ref="V64" si="166">$E64*V63</f>
        <v>0</v>
      </c>
      <c r="W64">
        <f t="shared" ref="W64" si="167">$E64*W63</f>
        <v>0</v>
      </c>
      <c r="X64">
        <f t="shared" ref="X64" si="168">$E64*X63</f>
        <v>0</v>
      </c>
      <c r="Y64">
        <f t="shared" ref="Y64" si="169">$E64*Y63</f>
        <v>0</v>
      </c>
      <c r="Z64">
        <f t="shared" ref="Z64" si="170">$E64*Z63</f>
        <v>0</v>
      </c>
    </row>
    <row r="65" spans="1:26" ht="15.75" hidden="1" thickBot="1">
      <c r="A65" s="9">
        <f t="shared" si="10"/>
        <v>99635</v>
      </c>
      <c r="B65" s="9">
        <v>99635</v>
      </c>
      <c r="C65" s="9" t="s">
        <v>24</v>
      </c>
      <c r="D65" s="17" t="s">
        <v>16</v>
      </c>
      <c r="E65" s="18">
        <v>3.75</v>
      </c>
      <c r="F65" s="18">
        <f>$E65*F63</f>
        <v>0</v>
      </c>
      <c r="G65" s="18">
        <f>$E65*G63</f>
        <v>0</v>
      </c>
      <c r="H65" s="18">
        <f t="shared" ref="H65:Z65" si="171">$E65*H63</f>
        <v>0</v>
      </c>
      <c r="I65" s="18">
        <f t="shared" si="171"/>
        <v>0</v>
      </c>
      <c r="J65" s="18">
        <f t="shared" si="171"/>
        <v>0</v>
      </c>
      <c r="K65" s="18">
        <f t="shared" si="171"/>
        <v>0</v>
      </c>
      <c r="L65" s="18">
        <f t="shared" si="171"/>
        <v>0</v>
      </c>
      <c r="M65" s="18">
        <f t="shared" si="171"/>
        <v>0</v>
      </c>
      <c r="N65" s="18">
        <f t="shared" si="171"/>
        <v>0</v>
      </c>
      <c r="O65" s="18">
        <f t="shared" si="171"/>
        <v>0</v>
      </c>
      <c r="P65" s="18">
        <f t="shared" si="171"/>
        <v>0</v>
      </c>
      <c r="Q65" s="18">
        <f t="shared" si="171"/>
        <v>0</v>
      </c>
      <c r="R65" s="18">
        <f t="shared" si="171"/>
        <v>0</v>
      </c>
      <c r="S65" s="18">
        <f t="shared" si="171"/>
        <v>0</v>
      </c>
      <c r="T65" s="18">
        <f t="shared" si="171"/>
        <v>0</v>
      </c>
      <c r="U65" s="18">
        <f t="shared" si="171"/>
        <v>0</v>
      </c>
      <c r="V65" s="18">
        <f t="shared" si="171"/>
        <v>0</v>
      </c>
      <c r="W65" s="18">
        <f t="shared" si="171"/>
        <v>0</v>
      </c>
      <c r="X65" s="18">
        <f t="shared" si="171"/>
        <v>0</v>
      </c>
      <c r="Y65" s="18">
        <f t="shared" si="171"/>
        <v>0</v>
      </c>
      <c r="Z65" s="18">
        <f t="shared" si="171"/>
        <v>0</v>
      </c>
    </row>
    <row r="66" spans="1:26" hidden="1">
      <c r="A66" s="20">
        <f t="shared" si="10"/>
        <v>99944</v>
      </c>
      <c r="B66" s="20">
        <v>99944</v>
      </c>
      <c r="C66" s="20" t="s">
        <v>25</v>
      </c>
      <c r="D66" s="9" t="s">
        <v>10</v>
      </c>
      <c r="F66">
        <f>IFERROR(INDEX(Releases!$C$5:$V$21,MATCH($A66,Releases!$C$5:$C$82,0),MATCH(F$11,Releases!$C$5:$V$5,0)),0)</f>
        <v>0</v>
      </c>
      <c r="G66">
        <f>IFERROR(INDEX(Releases!$C$5:$V$21,MATCH($A66,Releases!$C$5:$C$82,0),MATCH(G$11,Releases!$C$5:$V$5,0)),0)</f>
        <v>0</v>
      </c>
      <c r="H66">
        <f>IFERROR(INDEX(Releases!$C$5:$V$21,MATCH($A66,Releases!$C$5:$C$82,0),MATCH(H$11,Releases!$C$5:$V$5,0)),0)</f>
        <v>0</v>
      </c>
      <c r="I66">
        <f>IFERROR(INDEX(Releases!$C$5:$V$21,MATCH($A66,Releases!$C$5:$C$82,0),MATCH(I$11,Releases!$C$5:$V$5,0)),0)</f>
        <v>0</v>
      </c>
      <c r="J66">
        <f>IFERROR(INDEX(Releases!$C$5:$V$21,MATCH($A66,Releases!$C$5:$C$82,0),MATCH(J$11,Releases!$C$5:$V$5,0)),0)</f>
        <v>0</v>
      </c>
      <c r="K66">
        <f>IFERROR(INDEX(Releases!$C$5:$V$21,MATCH($A66,Releases!$C$5:$C$82,0),MATCH(K$11,Releases!$C$5:$V$5,0)),0)</f>
        <v>0</v>
      </c>
      <c r="L66">
        <f>IFERROR(INDEX(Releases!$C$5:$V$21,MATCH($A66,Releases!$C$5:$C$82,0),MATCH(L$11,Releases!$C$5:$V$5,0)),0)</f>
        <v>0</v>
      </c>
      <c r="M66">
        <f>IFERROR(INDEX(Releases!$C$5:$V$21,MATCH($A66,Releases!$C$5:$C$82,0),MATCH(M$11,Releases!$C$5:$V$5,0)),0)</f>
        <v>0</v>
      </c>
      <c r="N66">
        <f>IFERROR(INDEX(Releases!$C$5:$V$21,MATCH($A66,Releases!$C$5:$C$82,0),MATCH(N$11,Releases!$C$5:$V$5,0)),0)</f>
        <v>0</v>
      </c>
      <c r="O66">
        <f>IFERROR(INDEX(Releases!$C$5:$V$21,MATCH($A66,Releases!$C$5:$C$82,0),MATCH(O$11,Releases!$C$5:$V$5,0)),0)</f>
        <v>0</v>
      </c>
      <c r="P66">
        <f>IFERROR(INDEX(Releases!$C$5:$V$21,MATCH($A66,Releases!$C$5:$C$82,0),MATCH(P$11,Releases!$C$5:$V$5,0)),0)</f>
        <v>0</v>
      </c>
      <c r="Q66">
        <f>IFERROR(INDEX(Releases!$C$5:$V$21,MATCH($A66,Releases!$C$5:$C$82,0),MATCH(Q$11,Releases!$C$5:$V$5,0)),0)</f>
        <v>0</v>
      </c>
      <c r="R66">
        <f>IFERROR(INDEX(Releases!$C$5:$V$21,MATCH($A66,Releases!$C$5:$C$82,0),MATCH(R$11,Releases!$C$5:$V$5,0)),0)</f>
        <v>0</v>
      </c>
      <c r="S66">
        <f>IFERROR(INDEX(Releases!$C$5:$V$21,MATCH($A66,Releases!$C$5:$C$82,0),MATCH(S$11,Releases!$C$5:$V$5,0)),0)</f>
        <v>0</v>
      </c>
      <c r="T66">
        <f>IFERROR(INDEX(Releases!$C$5:$V$21,MATCH($A66,Releases!$C$5:$C$82,0),MATCH(T$11,Releases!$C$5:$V$5,0)),0)</f>
        <v>0</v>
      </c>
      <c r="U66">
        <f>IFERROR(INDEX(Releases!$C$5:$V$21,MATCH($A66,Releases!$C$5:$C$82,0),MATCH(U$11,Releases!$C$5:$V$5,0)),0)</f>
        <v>0</v>
      </c>
      <c r="V66">
        <f>IFERROR(INDEX(Releases!$C$5:$V$21,MATCH($A66,Releases!$C$5:$C$82,0),MATCH(V$11,Releases!$C$5:$V$5,0)),0)</f>
        <v>0</v>
      </c>
      <c r="W66">
        <f>IFERROR(INDEX(Releases!$C$5:$V$21,MATCH($A66,Releases!$C$5:$C$82,0),MATCH(W$11,Releases!$C$5:$V$5,0)),0)</f>
        <v>0</v>
      </c>
      <c r="X66">
        <f>IFERROR(INDEX(Releases!$C$5:$V$21,MATCH($A66,Releases!$C$5:$C$82,0),MATCH(X$11,Releases!$C$5:$V$5,0)),0)</f>
        <v>0</v>
      </c>
      <c r="Y66">
        <f>IFERROR(INDEX(Releases!$C$5:$V$21,MATCH($A66,Releases!$C$5:$C$82,0),MATCH(Y$11,Releases!$C$5:$V$5,0)),0)</f>
        <v>0</v>
      </c>
      <c r="Z66">
        <f>IFERROR(INDEX(Releases!$C$5:$V$21,MATCH($A66,Releases!$C$5:$C$82,0),MATCH(Z$11,Releases!$C$5:$V$5,0)),0)</f>
        <v>0</v>
      </c>
    </row>
    <row r="67" spans="1:26" hidden="1">
      <c r="A67" s="20">
        <f t="shared" si="10"/>
        <v>99944</v>
      </c>
      <c r="B67" s="20">
        <v>99944</v>
      </c>
      <c r="C67" s="20" t="s">
        <v>25</v>
      </c>
      <c r="D67" s="9" t="s">
        <v>11</v>
      </c>
      <c r="F67" cm="1">
        <f t="array" ref="F67">IFERROR(INDEX(Receiving!#REF!,MATCH($B67&amp;F$11,Receiving!#REF!&amp;Receiving!#REF!,0),MATCH("Qty",Receiving!#REF!,0)),0)</f>
        <v>0</v>
      </c>
      <c r="G67" cm="1">
        <f t="array" ref="G67">IFERROR(INDEX(Receiving!#REF!,MATCH($B67&amp;G$11,Receiving!#REF!&amp;Receiving!#REF!,0),MATCH("Qty",Receiving!#REF!,0)),0)</f>
        <v>0</v>
      </c>
      <c r="H67" cm="1">
        <f t="array" ref="H67">IFERROR(INDEX(Receiving!#REF!,MATCH($B67&amp;H$11,Receiving!#REF!&amp;Receiving!#REF!,0),MATCH("Qty",Receiving!#REF!,0)),0)</f>
        <v>0</v>
      </c>
      <c r="I67" cm="1">
        <f t="array" ref="I67">IFERROR(INDEX(Receiving!#REF!,MATCH($B67&amp;I$11,Receiving!#REF!&amp;Receiving!#REF!,0),MATCH("Qty",Receiving!#REF!,0)),0)</f>
        <v>0</v>
      </c>
      <c r="J67" cm="1">
        <f t="array" ref="J67">IFERROR(INDEX(Receiving!#REF!,MATCH($B67&amp;J$11,Receiving!#REF!&amp;Receiving!#REF!,0),MATCH("Qty",Receiving!#REF!,0)),0)</f>
        <v>0</v>
      </c>
      <c r="K67" cm="1">
        <f t="array" ref="K67">IFERROR(INDEX(Receiving!#REF!,MATCH($B67&amp;K$11,Receiving!#REF!&amp;Receiving!#REF!,0),MATCH("Qty",Receiving!#REF!,0)),0)</f>
        <v>0</v>
      </c>
      <c r="L67" cm="1">
        <f t="array" ref="L67">IFERROR(INDEX(Receiving!#REF!,MATCH($B67&amp;L$11,Receiving!#REF!&amp;Receiving!#REF!,0),MATCH("Qty",Receiving!#REF!,0)),0)</f>
        <v>0</v>
      </c>
      <c r="M67" cm="1">
        <f t="array" ref="M67">IFERROR(INDEX(Receiving!#REF!,MATCH($B67&amp;M$11,Receiving!#REF!&amp;Receiving!#REF!,0),MATCH("Qty",Receiving!#REF!,0)),0)</f>
        <v>0</v>
      </c>
      <c r="N67" cm="1">
        <f t="array" ref="N67">IFERROR(INDEX(Receiving!#REF!,MATCH($B67&amp;N$11,Receiving!#REF!&amp;Receiving!#REF!,0),MATCH("Qty",Receiving!#REF!,0)),0)</f>
        <v>0</v>
      </c>
      <c r="O67" cm="1">
        <f t="array" ref="O67">IFERROR(INDEX(Receiving!#REF!,MATCH($B67&amp;O$11,Receiving!#REF!&amp;Receiving!#REF!,0),MATCH("Qty",Receiving!#REF!,0)),0)</f>
        <v>0</v>
      </c>
      <c r="P67" cm="1">
        <f t="array" ref="P67">IFERROR(INDEX(Receiving!#REF!,MATCH($B67&amp;P$11,Receiving!#REF!&amp;Receiving!#REF!,0),MATCH("Qty",Receiving!#REF!,0)),0)</f>
        <v>0</v>
      </c>
      <c r="Q67" cm="1">
        <f t="array" ref="Q67">IFERROR(INDEX(Receiving!#REF!,MATCH($B67&amp;Q$11,Receiving!#REF!&amp;Receiving!#REF!,0),MATCH("Qty",Receiving!#REF!,0)),0)</f>
        <v>0</v>
      </c>
      <c r="R67" cm="1">
        <f t="array" ref="R67">IFERROR(INDEX(Receiving!#REF!,MATCH($B67&amp;R$11,Receiving!#REF!&amp;Receiving!#REF!,0),MATCH("Qty",Receiving!#REF!,0)),0)</f>
        <v>0</v>
      </c>
      <c r="S67" cm="1">
        <f t="array" ref="S67">IFERROR(INDEX(Receiving!#REF!,MATCH($B67&amp;S$11,Receiving!#REF!&amp;Receiving!#REF!,0),MATCH("Qty",Receiving!#REF!,0)),0)</f>
        <v>0</v>
      </c>
      <c r="T67" cm="1">
        <f t="array" ref="T67">IFERROR(INDEX(Receiving!#REF!,MATCH($B67&amp;T$11,Receiving!#REF!&amp;Receiving!#REF!,0),MATCH("Qty",Receiving!#REF!,0)),0)</f>
        <v>0</v>
      </c>
      <c r="U67" cm="1">
        <f t="array" ref="U67">IFERROR(INDEX(Receiving!#REF!,MATCH($B67&amp;U$11,Receiving!#REF!&amp;Receiving!#REF!,0),MATCH("Qty",Receiving!#REF!,0)),0)</f>
        <v>0</v>
      </c>
      <c r="V67" cm="1">
        <f t="array" ref="V67">IFERROR(INDEX(Receiving!#REF!,MATCH($B67&amp;V$11,Receiving!#REF!&amp;Receiving!#REF!,0),MATCH("Qty",Receiving!#REF!,0)),0)</f>
        <v>0</v>
      </c>
      <c r="W67" cm="1">
        <f t="array" ref="W67">IFERROR(INDEX(Receiving!#REF!,MATCH($B67&amp;W$11,Receiving!#REF!&amp;Receiving!#REF!,0),MATCH("Qty",Receiving!#REF!,0)),0)</f>
        <v>0</v>
      </c>
      <c r="X67" cm="1">
        <f t="array" ref="X67">IFERROR(INDEX(Receiving!#REF!,MATCH($B67&amp;X$11,Receiving!#REF!&amp;Receiving!#REF!,0),MATCH("Qty",Receiving!#REF!,0)),0)</f>
        <v>0</v>
      </c>
      <c r="Y67" cm="1">
        <f t="array" ref="Y67">IFERROR(INDEX(Receiving!#REF!,MATCH($B67&amp;Y$11,Receiving!#REF!&amp;Receiving!#REF!,0),MATCH("Qty",Receiving!#REF!,0)),0)</f>
        <v>0</v>
      </c>
      <c r="Z67" cm="1">
        <f t="array" ref="Z67">IFERROR(INDEX(Receiving!#REF!,MATCH($B67&amp;Z$11,Receiving!#REF!&amp;Receiving!#REF!,0),MATCH("Qty",Receiving!#REF!,0)),0)</f>
        <v>0</v>
      </c>
    </row>
    <row r="68" spans="1:26">
      <c r="A68" s="20">
        <f t="shared" si="10"/>
        <v>99944</v>
      </c>
      <c r="B68" s="20">
        <v>99944</v>
      </c>
      <c r="C68" s="20" t="s">
        <v>25</v>
      </c>
      <c r="D68" s="9" t="s">
        <v>12</v>
      </c>
      <c r="F68" cm="1">
        <f t="array" ref="F68">IFERROR(INDEX(Shipping!$A$2:$F$1216,MATCH($A68&amp;F$11,Shipping!$E$2:$E$1216&amp;Shipping!$B$2:$B$1216,0),MATCH("Qty",Shipping!$A$2:$F$2,0)),0)</f>
        <v>0</v>
      </c>
      <c r="G68" cm="1">
        <f t="array" ref="G68">IFERROR(INDEX(Shipping!$A$2:$F$1216,MATCH($A68&amp;G$11,Shipping!$E$2:$E$1216&amp;Shipping!$B$2:$B$1216,0),MATCH("Qty",Shipping!$A$2:$F$2,0)),0)</f>
        <v>0</v>
      </c>
      <c r="H68" cm="1">
        <f t="array" ref="H68">IFERROR(INDEX(Shipping!$A$2:$F$1216,MATCH($A68&amp;H$11,Shipping!$E$2:$E$1216&amp;Shipping!$B$2:$B$1216,0),MATCH("Qty",Shipping!$A$2:$F$2,0)),0)</f>
        <v>0</v>
      </c>
      <c r="I68" cm="1">
        <f t="array" ref="I68">IFERROR(INDEX(Shipping!$A$2:$F$1216,MATCH($A68&amp;I$11,Shipping!$E$2:$E$1216&amp;Shipping!$B$2:$B$1216,0),MATCH("Qty",Shipping!$A$2:$F$2,0)),0)</f>
        <v>0</v>
      </c>
      <c r="J68" cm="1">
        <f t="array" ref="J68">IFERROR(INDEX(Shipping!$A$2:$F$1216,MATCH($A68&amp;J$11,Shipping!$E$2:$E$1216&amp;Shipping!$B$2:$B$1216,0),MATCH("Qty",Shipping!$A$2:$F$2,0)),0)</f>
        <v>0</v>
      </c>
      <c r="K68" cm="1">
        <f t="array" ref="K68">IFERROR(INDEX(Shipping!$A$2:$F$1216,MATCH($A68&amp;K$11,Shipping!$E$2:$E$1216&amp;Shipping!$B$2:$B$1216,0),MATCH("Qty",Shipping!$A$2:$F$2,0)),0)</f>
        <v>0</v>
      </c>
      <c r="L68" cm="1">
        <f t="array" ref="L68">IFERROR(INDEX(Shipping!$A$2:$F$1216,MATCH($A68&amp;L$11,Shipping!$E$2:$E$1216&amp;Shipping!$B$2:$B$1216,0),MATCH("Qty",Shipping!$A$2:$F$2,0)),0)</f>
        <v>0</v>
      </c>
      <c r="M68" cm="1">
        <f t="array" ref="M68">IFERROR(INDEX(Shipping!$A$2:$F$1216,MATCH($A68&amp;M$11,Shipping!$E$2:$E$1216&amp;Shipping!$B$2:$B$1216,0),MATCH("Qty",Shipping!$A$2:$F$2,0)),0)</f>
        <v>0</v>
      </c>
      <c r="N68" cm="1">
        <f t="array" ref="N68">IFERROR(INDEX(Shipping!$A$2:$F$1216,MATCH($A68&amp;N$11,Shipping!$E$2:$E$1216&amp;Shipping!$B$2:$B$1216,0),MATCH("Qty",Shipping!$A$2:$F$2,0)),0)</f>
        <v>0</v>
      </c>
      <c r="O68" cm="1">
        <f t="array" ref="O68">IFERROR(INDEX(Shipping!$A$2:$F$1216,MATCH($A68&amp;O$11,Shipping!$E$2:$E$1216&amp;Shipping!$B$2:$B$1216,0),MATCH("Qty",Shipping!$A$2:$F$2,0)),0)</f>
        <v>0</v>
      </c>
      <c r="P68" cm="1">
        <f t="array" ref="P68">IFERROR(INDEX(Shipping!$A$2:$F$1216,MATCH($A68&amp;P$11,Shipping!$E$2:$E$1216&amp;Shipping!$B$2:$B$1216,0),MATCH("Qty",Shipping!$A$2:$F$2,0)),0)</f>
        <v>0</v>
      </c>
      <c r="Q68" cm="1">
        <f t="array" ref="Q68">IFERROR(INDEX(Shipping!$A$2:$F$1216,MATCH($A68&amp;Q$11,Shipping!$E$2:$E$1216&amp;Shipping!$B$2:$B$1216,0),MATCH("Qty",Shipping!$A$2:$F$2,0)),0)</f>
        <v>0</v>
      </c>
      <c r="R68" cm="1">
        <f t="array" ref="R68">IFERROR(INDEX(Shipping!$A$2:$F$1216,MATCH($A68&amp;R$11,Shipping!$E$2:$E$1216&amp;Shipping!$B$2:$B$1216,0),MATCH("Qty",Shipping!$A$2:$F$2,0)),0)</f>
        <v>0</v>
      </c>
      <c r="S68" cm="1">
        <f t="array" ref="S68">IFERROR(INDEX(Shipping!$A$2:$F$1216,MATCH($A68&amp;S$11,Shipping!$E$2:$E$1216&amp;Shipping!$B$2:$B$1216,0),MATCH("Qty",Shipping!$A$2:$F$2,0)),0)</f>
        <v>0</v>
      </c>
      <c r="T68" cm="1">
        <f t="array" ref="T68">IFERROR(INDEX(Shipping!$A$2:$F$1216,MATCH($A68&amp;T$11,Shipping!$E$2:$E$1216&amp;Shipping!$B$2:$B$1216,0),MATCH("Qty",Shipping!$A$2:$F$2,0)),0)</f>
        <v>0</v>
      </c>
      <c r="U68" cm="1">
        <f t="array" ref="U68">IFERROR(INDEX(Shipping!$A$2:$F$1216,MATCH($A68&amp;U$11,Shipping!$E$2:$E$1216&amp;Shipping!$B$2:$B$1216,0),MATCH("Qty",Shipping!$A$2:$F$2,0)),0)</f>
        <v>0</v>
      </c>
      <c r="V68" cm="1">
        <f t="array" ref="V68">IFERROR(INDEX(Shipping!$A$2:$F$1216,MATCH($A68&amp;V$11,Shipping!$E$2:$E$1216&amp;Shipping!$B$2:$B$1216,0),MATCH("Qty",Shipping!$A$2:$F$2,0)),0)</f>
        <v>0</v>
      </c>
      <c r="W68" cm="1">
        <f t="array" ref="W68">IFERROR(INDEX(Shipping!$A$2:$F$1216,MATCH($A68&amp;W$11,Shipping!$E$2:$E$1216&amp;Shipping!$B$2:$B$1216,0),MATCH("Qty",Shipping!$A$2:$F$2,0)),0)</f>
        <v>0</v>
      </c>
      <c r="X68" cm="1">
        <f t="array" ref="X68">IFERROR(INDEX(Shipping!$A$2:$F$1216,MATCH($A68&amp;X$11,Shipping!$E$2:$E$1216&amp;Shipping!$B$2:$B$1216,0),MATCH("Qty",Shipping!$A$2:$F$2,0)),0)</f>
        <v>0</v>
      </c>
      <c r="Y68" cm="1">
        <f t="array" ref="Y68">IFERROR(INDEX(Shipping!$A$2:$F$1216,MATCH($A68&amp;Y$11,Shipping!$E$2:$E$1216&amp;Shipping!$B$2:$B$1216,0),MATCH("Qty",Shipping!$A$2:$F$2,0)),0)</f>
        <v>0</v>
      </c>
      <c r="Z68" cm="1">
        <f t="array" ref="Z68">IFERROR(INDEX(Shipping!$A$2:$F$1216,MATCH($A68&amp;Z$11,Shipping!$E$2:$E$1216&amp;Shipping!$B$2:$B$1216,0),MATCH("Qty",Shipping!$A$2:$F$2,0)),0)</f>
        <v>0</v>
      </c>
    </row>
    <row r="69" spans="1:26" hidden="1">
      <c r="A69" s="20">
        <f t="shared" si="10"/>
        <v>99944</v>
      </c>
      <c r="B69" s="20">
        <v>99944</v>
      </c>
      <c r="C69" s="20" t="s">
        <v>25</v>
      </c>
      <c r="D69" s="9" t="s">
        <v>14</v>
      </c>
      <c r="F69">
        <f>F67-F68</f>
        <v>0</v>
      </c>
      <c r="G69">
        <f>G67-G68</f>
        <v>0</v>
      </c>
      <c r="H69">
        <f t="shared" ref="H69:P69" si="172">G69-G70+H67</f>
        <v>0</v>
      </c>
      <c r="I69">
        <f t="shared" si="172"/>
        <v>0</v>
      </c>
      <c r="J69">
        <f t="shared" si="172"/>
        <v>0</v>
      </c>
      <c r="K69">
        <f t="shared" si="172"/>
        <v>0</v>
      </c>
      <c r="L69">
        <f t="shared" si="172"/>
        <v>-5</v>
      </c>
      <c r="M69">
        <f t="shared" si="172"/>
        <v>-5</v>
      </c>
      <c r="N69">
        <f t="shared" si="172"/>
        <v>-5</v>
      </c>
      <c r="O69">
        <f t="shared" si="172"/>
        <v>-5</v>
      </c>
      <c r="P69">
        <f t="shared" si="172"/>
        <v>-5</v>
      </c>
      <c r="Q69">
        <f t="shared" ref="Q69:Z69" si="173">P69-P70+Q67</f>
        <v>-5</v>
      </c>
      <c r="R69">
        <f t="shared" si="173"/>
        <v>-5</v>
      </c>
      <c r="S69">
        <f t="shared" si="173"/>
        <v>-5</v>
      </c>
      <c r="T69">
        <f t="shared" si="173"/>
        <v>-5</v>
      </c>
      <c r="U69">
        <f t="shared" si="173"/>
        <v>-5</v>
      </c>
      <c r="V69">
        <f t="shared" si="173"/>
        <v>-5</v>
      </c>
      <c r="W69">
        <f t="shared" si="173"/>
        <v>-5</v>
      </c>
      <c r="X69">
        <f t="shared" si="173"/>
        <v>-5</v>
      </c>
      <c r="Y69">
        <f t="shared" si="173"/>
        <v>-5</v>
      </c>
      <c r="Z69">
        <f t="shared" si="173"/>
        <v>-5</v>
      </c>
    </row>
    <row r="70" spans="1:26" hidden="1">
      <c r="A70" s="20">
        <f t="shared" si="10"/>
        <v>99944</v>
      </c>
      <c r="B70" s="20">
        <v>99944</v>
      </c>
      <c r="C70" s="20" t="s">
        <v>25</v>
      </c>
      <c r="D70" s="9" t="s">
        <v>13</v>
      </c>
      <c r="F70" s="15"/>
      <c r="G70" s="15"/>
      <c r="H70" s="15"/>
      <c r="I70" s="15"/>
      <c r="J70" s="15"/>
      <c r="K70" s="15">
        <v>5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idden="1">
      <c r="A71" s="20">
        <f t="shared" si="10"/>
        <v>99944</v>
      </c>
      <c r="B71" s="20">
        <v>99944</v>
      </c>
      <c r="C71" s="20" t="s">
        <v>25</v>
      </c>
      <c r="D71" s="9" t="s">
        <v>15</v>
      </c>
      <c r="E71">
        <v>2</v>
      </c>
      <c r="F71">
        <f>$E71*F70</f>
        <v>0</v>
      </c>
      <c r="G71">
        <f>$E71*G70</f>
        <v>0</v>
      </c>
      <c r="H71">
        <f t="shared" ref="H71" si="174">$E71*H70</f>
        <v>0</v>
      </c>
      <c r="I71">
        <f t="shared" ref="I71" si="175">$E71*I70</f>
        <v>0</v>
      </c>
      <c r="J71">
        <f t="shared" ref="J71" si="176">$E71*J70</f>
        <v>0</v>
      </c>
      <c r="K71">
        <f t="shared" ref="K71" si="177">$E71*K70</f>
        <v>10</v>
      </c>
      <c r="L71">
        <f t="shared" ref="L71" si="178">$E71*L70</f>
        <v>0</v>
      </c>
      <c r="M71">
        <f t="shared" ref="M71" si="179">$E71*M70</f>
        <v>0</v>
      </c>
      <c r="N71">
        <f t="shared" ref="N71" si="180">$E71*N70</f>
        <v>0</v>
      </c>
      <c r="O71">
        <f t="shared" ref="O71" si="181">$E71*O70</f>
        <v>0</v>
      </c>
      <c r="P71">
        <f t="shared" ref="P71" si="182">$E71*P70</f>
        <v>0</v>
      </c>
      <c r="Q71">
        <f t="shared" ref="Q71" si="183">$E71*Q70</f>
        <v>0</v>
      </c>
      <c r="R71">
        <f t="shared" ref="R71" si="184">$E71*R70</f>
        <v>0</v>
      </c>
      <c r="S71">
        <f t="shared" ref="S71" si="185">$E71*S70</f>
        <v>0</v>
      </c>
      <c r="T71">
        <f t="shared" ref="T71" si="186">$E71*T70</f>
        <v>0</v>
      </c>
      <c r="U71">
        <f t="shared" ref="U71" si="187">$E71*U70</f>
        <v>0</v>
      </c>
      <c r="V71">
        <f t="shared" ref="V71" si="188">$E71*V70</f>
        <v>0</v>
      </c>
      <c r="W71">
        <f t="shared" ref="W71" si="189">$E71*W70</f>
        <v>0</v>
      </c>
      <c r="X71">
        <f t="shared" ref="X71" si="190">$E71*X70</f>
        <v>0</v>
      </c>
      <c r="Y71">
        <f t="shared" ref="Y71" si="191">$E71*Y70</f>
        <v>0</v>
      </c>
      <c r="Z71">
        <f t="shared" ref="Z71" si="192">$E71*Z70</f>
        <v>0</v>
      </c>
    </row>
    <row r="72" spans="1:26" ht="15.75" hidden="1" thickBot="1">
      <c r="A72" s="21">
        <f t="shared" si="10"/>
        <v>99944</v>
      </c>
      <c r="B72" s="21">
        <v>99944</v>
      </c>
      <c r="C72" s="21" t="s">
        <v>25</v>
      </c>
      <c r="D72" s="17" t="s">
        <v>16</v>
      </c>
      <c r="E72" s="18">
        <v>2</v>
      </c>
      <c r="F72" s="18">
        <f>$E72*F70</f>
        <v>0</v>
      </c>
      <c r="G72" s="18">
        <f>$E72*G70</f>
        <v>0</v>
      </c>
      <c r="H72" s="18">
        <f t="shared" ref="H72:Z72" si="193">$E72*H70</f>
        <v>0</v>
      </c>
      <c r="I72" s="18">
        <f t="shared" si="193"/>
        <v>0</v>
      </c>
      <c r="J72" s="18">
        <f t="shared" si="193"/>
        <v>0</v>
      </c>
      <c r="K72" s="18">
        <f t="shared" si="193"/>
        <v>10</v>
      </c>
      <c r="L72" s="18">
        <f t="shared" si="193"/>
        <v>0</v>
      </c>
      <c r="M72" s="18">
        <f t="shared" si="193"/>
        <v>0</v>
      </c>
      <c r="N72" s="18">
        <f t="shared" si="193"/>
        <v>0</v>
      </c>
      <c r="O72" s="18">
        <f t="shared" si="193"/>
        <v>0</v>
      </c>
      <c r="P72" s="18">
        <f t="shared" si="193"/>
        <v>0</v>
      </c>
      <c r="Q72" s="18">
        <f t="shared" si="193"/>
        <v>0</v>
      </c>
      <c r="R72" s="18">
        <f t="shared" si="193"/>
        <v>0</v>
      </c>
      <c r="S72" s="18">
        <f t="shared" si="193"/>
        <v>0</v>
      </c>
      <c r="T72" s="18">
        <f t="shared" si="193"/>
        <v>0</v>
      </c>
      <c r="U72" s="18">
        <f t="shared" si="193"/>
        <v>0</v>
      </c>
      <c r="V72" s="18">
        <f t="shared" si="193"/>
        <v>0</v>
      </c>
      <c r="W72" s="18">
        <f t="shared" si="193"/>
        <v>0</v>
      </c>
      <c r="X72" s="18">
        <f t="shared" si="193"/>
        <v>0</v>
      </c>
      <c r="Y72" s="18">
        <f t="shared" si="193"/>
        <v>0</v>
      </c>
      <c r="Z72" s="18">
        <f t="shared" si="193"/>
        <v>0</v>
      </c>
    </row>
    <row r="73" spans="1:26" hidden="1">
      <c r="A73" s="9">
        <f t="shared" si="10"/>
        <v>99636</v>
      </c>
      <c r="B73" s="9">
        <v>99636</v>
      </c>
      <c r="C73" s="9" t="s">
        <v>26</v>
      </c>
      <c r="D73" s="9" t="s">
        <v>10</v>
      </c>
      <c r="F73">
        <f>IFERROR(INDEX(Releases!$C$5:$V$21,MATCH($A73,Releases!$C$5:$C$82,0),MATCH(F$11,Releases!$C$5:$V$5,0)),0)</f>
        <v>0</v>
      </c>
      <c r="G73">
        <f>IFERROR(INDEX(Releases!$C$5:$V$21,MATCH($A73,Releases!$C$5:$C$82,0),MATCH(G$11,Releases!$C$5:$V$5,0)),0)</f>
        <v>0</v>
      </c>
      <c r="H73">
        <f>IFERROR(INDEX(Releases!$C$5:$V$21,MATCH($A73,Releases!$C$5:$C$82,0),MATCH(H$11,Releases!$C$5:$V$5,0)),0)</f>
        <v>0</v>
      </c>
      <c r="I73">
        <f>IFERROR(INDEX(Releases!$C$5:$V$21,MATCH($A73,Releases!$C$5:$C$82,0),MATCH(I$11,Releases!$C$5:$V$5,0)),0)</f>
        <v>0</v>
      </c>
      <c r="J73">
        <f>IFERROR(INDEX(Releases!$C$5:$V$21,MATCH($A73,Releases!$C$5:$C$82,0),MATCH(J$11,Releases!$C$5:$V$5,0)),0)</f>
        <v>0</v>
      </c>
      <c r="K73">
        <f>IFERROR(INDEX(Releases!$C$5:$V$21,MATCH($A73,Releases!$C$5:$C$82,0),MATCH(K$11,Releases!$C$5:$V$5,0)),0)</f>
        <v>0</v>
      </c>
      <c r="L73">
        <f>IFERROR(INDEX(Releases!$C$5:$V$21,MATCH($A73,Releases!$C$5:$C$82,0),MATCH(L$11,Releases!$C$5:$V$5,0)),0)</f>
        <v>0</v>
      </c>
      <c r="M73">
        <f>IFERROR(INDEX(Releases!$C$5:$V$21,MATCH($A73,Releases!$C$5:$C$82,0),MATCH(M$11,Releases!$C$5:$V$5,0)),0)</f>
        <v>0</v>
      </c>
      <c r="N73">
        <f>IFERROR(INDEX(Releases!$C$5:$V$21,MATCH($A73,Releases!$C$5:$C$82,0),MATCH(N$11,Releases!$C$5:$V$5,0)),0)</f>
        <v>0</v>
      </c>
      <c r="O73">
        <f>IFERROR(INDEX(Releases!$C$5:$V$21,MATCH($A73,Releases!$C$5:$C$82,0),MATCH(O$11,Releases!$C$5:$V$5,0)),0)</f>
        <v>0</v>
      </c>
      <c r="P73">
        <f>IFERROR(INDEX(Releases!$C$5:$V$21,MATCH($A73,Releases!$C$5:$C$82,0),MATCH(P$11,Releases!$C$5:$V$5,0)),0)</f>
        <v>0</v>
      </c>
      <c r="Q73">
        <f>IFERROR(INDEX(Releases!$C$5:$V$21,MATCH($A73,Releases!$C$5:$C$82,0),MATCH(Q$11,Releases!$C$5:$V$5,0)),0)</f>
        <v>0</v>
      </c>
      <c r="R73">
        <f>IFERROR(INDEX(Releases!$C$5:$V$21,MATCH($A73,Releases!$C$5:$C$82,0),MATCH(R$11,Releases!$C$5:$V$5,0)),0)</f>
        <v>0</v>
      </c>
      <c r="S73">
        <f>IFERROR(INDEX(Releases!$C$5:$V$21,MATCH($A73,Releases!$C$5:$C$82,0),MATCH(S$11,Releases!$C$5:$V$5,0)),0)</f>
        <v>0</v>
      </c>
      <c r="T73">
        <f>IFERROR(INDEX(Releases!$C$5:$V$21,MATCH($A73,Releases!$C$5:$C$82,0),MATCH(T$11,Releases!$C$5:$V$5,0)),0)</f>
        <v>0</v>
      </c>
      <c r="U73">
        <f>IFERROR(INDEX(Releases!$C$5:$V$21,MATCH($A73,Releases!$C$5:$C$82,0),MATCH(U$11,Releases!$C$5:$V$5,0)),0)</f>
        <v>0</v>
      </c>
      <c r="V73">
        <f>IFERROR(INDEX(Releases!$C$5:$V$21,MATCH($A73,Releases!$C$5:$C$82,0),MATCH(V$11,Releases!$C$5:$V$5,0)),0)</f>
        <v>0</v>
      </c>
      <c r="W73">
        <f>IFERROR(INDEX(Releases!$C$5:$V$21,MATCH($A73,Releases!$C$5:$C$82,0),MATCH(W$11,Releases!$C$5:$V$5,0)),0)</f>
        <v>0</v>
      </c>
      <c r="X73">
        <f>IFERROR(INDEX(Releases!$C$5:$V$21,MATCH($A73,Releases!$C$5:$C$82,0),MATCH(X$11,Releases!$C$5:$V$5,0)),0)</f>
        <v>0</v>
      </c>
      <c r="Y73">
        <f>IFERROR(INDEX(Releases!$C$5:$V$21,MATCH($A73,Releases!$C$5:$C$82,0),MATCH(Y$11,Releases!$C$5:$V$5,0)),0)</f>
        <v>0</v>
      </c>
      <c r="Z73">
        <f>IFERROR(INDEX(Releases!$C$5:$V$21,MATCH($A73,Releases!$C$5:$C$82,0),MATCH(Z$11,Releases!$C$5:$V$5,0)),0)</f>
        <v>0</v>
      </c>
    </row>
    <row r="74" spans="1:26" hidden="1">
      <c r="A74" s="9">
        <f t="shared" si="10"/>
        <v>99636</v>
      </c>
      <c r="B74" s="9">
        <v>99636</v>
      </c>
      <c r="C74" s="9" t="s">
        <v>26</v>
      </c>
      <c r="D74" s="9" t="s">
        <v>11</v>
      </c>
      <c r="F74" cm="1">
        <f t="array" ref="F74">IFERROR(INDEX(Receiving!#REF!,MATCH($B74&amp;F$11,Receiving!#REF!&amp;Receiving!#REF!,0),MATCH("Qty",Receiving!#REF!,0)),0)</f>
        <v>0</v>
      </c>
      <c r="G74" cm="1">
        <f t="array" ref="G74">IFERROR(INDEX(Receiving!#REF!,MATCH($B74&amp;G$11,Receiving!#REF!&amp;Receiving!#REF!,0),MATCH("Qty",Receiving!#REF!,0)),0)</f>
        <v>0</v>
      </c>
      <c r="H74" cm="1">
        <f t="array" ref="H74">IFERROR(INDEX(Receiving!#REF!,MATCH($B74&amp;H$11,Receiving!#REF!&amp;Receiving!#REF!,0),MATCH("Qty",Receiving!#REF!,0)),0)</f>
        <v>0</v>
      </c>
      <c r="I74" cm="1">
        <f t="array" ref="I74">IFERROR(INDEX(Receiving!#REF!,MATCH($B74&amp;I$11,Receiving!#REF!&amp;Receiving!#REF!,0),MATCH("Qty",Receiving!#REF!,0)),0)</f>
        <v>0</v>
      </c>
      <c r="J74" cm="1">
        <f t="array" ref="J74">IFERROR(INDEX(Receiving!#REF!,MATCH($B74&amp;J$11,Receiving!#REF!&amp;Receiving!#REF!,0),MATCH("Qty",Receiving!#REF!,0)),0)</f>
        <v>0</v>
      </c>
      <c r="K74" cm="1">
        <f t="array" ref="K74">IFERROR(INDEX(Receiving!#REF!,MATCH($B74&amp;K$11,Receiving!#REF!&amp;Receiving!#REF!,0),MATCH("Qty",Receiving!#REF!,0)),0)</f>
        <v>0</v>
      </c>
      <c r="L74" cm="1">
        <f t="array" ref="L74">IFERROR(INDEX(Receiving!#REF!,MATCH($B74&amp;L$11,Receiving!#REF!&amp;Receiving!#REF!,0),MATCH("Qty",Receiving!#REF!,0)),0)</f>
        <v>0</v>
      </c>
      <c r="M74" cm="1">
        <f t="array" ref="M74">IFERROR(INDEX(Receiving!#REF!,MATCH($B74&amp;M$11,Receiving!#REF!&amp;Receiving!#REF!,0),MATCH("Qty",Receiving!#REF!,0)),0)</f>
        <v>0</v>
      </c>
      <c r="N74" cm="1">
        <f t="array" ref="N74">IFERROR(INDEX(Receiving!#REF!,MATCH($B74&amp;N$11,Receiving!#REF!&amp;Receiving!#REF!,0),MATCH("Qty",Receiving!#REF!,0)),0)</f>
        <v>0</v>
      </c>
      <c r="O74" cm="1">
        <f t="array" ref="O74">IFERROR(INDEX(Receiving!#REF!,MATCH($B74&amp;O$11,Receiving!#REF!&amp;Receiving!#REF!,0),MATCH("Qty",Receiving!#REF!,0)),0)</f>
        <v>0</v>
      </c>
      <c r="P74" cm="1">
        <f t="array" ref="P74">IFERROR(INDEX(Receiving!#REF!,MATCH($B74&amp;P$11,Receiving!#REF!&amp;Receiving!#REF!,0),MATCH("Qty",Receiving!#REF!,0)),0)</f>
        <v>0</v>
      </c>
      <c r="Q74" cm="1">
        <f t="array" ref="Q74">IFERROR(INDEX(Receiving!#REF!,MATCH($B74&amp;Q$11,Receiving!#REF!&amp;Receiving!#REF!,0),MATCH("Qty",Receiving!#REF!,0)),0)</f>
        <v>0</v>
      </c>
      <c r="R74" cm="1">
        <f t="array" ref="R74">IFERROR(INDEX(Receiving!#REF!,MATCH($B74&amp;R$11,Receiving!#REF!&amp;Receiving!#REF!,0),MATCH("Qty",Receiving!#REF!,0)),0)</f>
        <v>0</v>
      </c>
      <c r="S74" cm="1">
        <f t="array" ref="S74">IFERROR(INDEX(Receiving!#REF!,MATCH($B74&amp;S$11,Receiving!#REF!&amp;Receiving!#REF!,0),MATCH("Qty",Receiving!#REF!,0)),0)</f>
        <v>0</v>
      </c>
      <c r="T74" cm="1">
        <f t="array" ref="T74">IFERROR(INDEX(Receiving!#REF!,MATCH($B74&amp;T$11,Receiving!#REF!&amp;Receiving!#REF!,0),MATCH("Qty",Receiving!#REF!,0)),0)</f>
        <v>0</v>
      </c>
      <c r="U74" cm="1">
        <f t="array" ref="U74">IFERROR(INDEX(Receiving!#REF!,MATCH($B74&amp;U$11,Receiving!#REF!&amp;Receiving!#REF!,0),MATCH("Qty",Receiving!#REF!,0)),0)</f>
        <v>0</v>
      </c>
      <c r="V74" cm="1">
        <f t="array" ref="V74">IFERROR(INDEX(Receiving!#REF!,MATCH($B74&amp;V$11,Receiving!#REF!&amp;Receiving!#REF!,0),MATCH("Qty",Receiving!#REF!,0)),0)</f>
        <v>0</v>
      </c>
      <c r="W74" cm="1">
        <f t="array" ref="W74">IFERROR(INDEX(Receiving!#REF!,MATCH($B74&amp;W$11,Receiving!#REF!&amp;Receiving!#REF!,0),MATCH("Qty",Receiving!#REF!,0)),0)</f>
        <v>0</v>
      </c>
      <c r="X74" cm="1">
        <f t="array" ref="X74">IFERROR(INDEX(Receiving!#REF!,MATCH($B74&amp;X$11,Receiving!#REF!&amp;Receiving!#REF!,0),MATCH("Qty",Receiving!#REF!,0)),0)</f>
        <v>0</v>
      </c>
      <c r="Y74" cm="1">
        <f t="array" ref="Y74">IFERROR(INDEX(Receiving!#REF!,MATCH($B74&amp;Y$11,Receiving!#REF!&amp;Receiving!#REF!,0),MATCH("Qty",Receiving!#REF!,0)),0)</f>
        <v>0</v>
      </c>
      <c r="Z74" cm="1">
        <f t="array" ref="Z74">IFERROR(INDEX(Receiving!#REF!,MATCH($B74&amp;Z$11,Receiving!#REF!&amp;Receiving!#REF!,0),MATCH("Qty",Receiving!#REF!,0)),0)</f>
        <v>0</v>
      </c>
    </row>
    <row r="75" spans="1:26">
      <c r="A75" s="9">
        <f t="shared" ref="A75:A79" si="194">B75</f>
        <v>99636</v>
      </c>
      <c r="B75" s="9">
        <v>99636</v>
      </c>
      <c r="C75" s="9" t="s">
        <v>26</v>
      </c>
      <c r="D75" s="9" t="s">
        <v>12</v>
      </c>
      <c r="F75" cm="1">
        <f t="array" ref="F75">IFERROR(INDEX(Shipping!$A$2:$F$1216,MATCH($A75&amp;F$11,Shipping!$E$2:$E$1216&amp;Shipping!$B$2:$B$1216,0),MATCH("Qty",Shipping!$A$2:$F$2,0)),0)</f>
        <v>0</v>
      </c>
      <c r="G75" cm="1">
        <f t="array" ref="G75">IFERROR(INDEX(Shipping!$A$2:$F$1216,MATCH($A75&amp;G$11,Shipping!$E$2:$E$1216&amp;Shipping!$B$2:$B$1216,0),MATCH("Qty",Shipping!$A$2:$F$2,0)),0)</f>
        <v>0</v>
      </c>
      <c r="H75" cm="1">
        <f t="array" ref="H75">IFERROR(INDEX(Shipping!$A$2:$F$1216,MATCH($A75&amp;H$11,Shipping!$E$2:$E$1216&amp;Shipping!$B$2:$B$1216,0),MATCH("Qty",Shipping!$A$2:$F$2,0)),0)</f>
        <v>0</v>
      </c>
      <c r="I75" cm="1">
        <f t="array" ref="I75">IFERROR(INDEX(Shipping!$A$2:$F$1216,MATCH($A75&amp;I$11,Shipping!$E$2:$E$1216&amp;Shipping!$B$2:$B$1216,0),MATCH("Qty",Shipping!$A$2:$F$2,0)),0)</f>
        <v>0</v>
      </c>
      <c r="J75" cm="1">
        <f t="array" ref="J75">IFERROR(INDEX(Shipping!$A$2:$F$1216,MATCH($A75&amp;J$11,Shipping!$E$2:$E$1216&amp;Shipping!$B$2:$B$1216,0),MATCH("Qty",Shipping!$A$2:$F$2,0)),0)</f>
        <v>0</v>
      </c>
      <c r="K75" cm="1">
        <f t="array" ref="K75">IFERROR(INDEX(Shipping!$A$2:$F$1216,MATCH($A75&amp;K$11,Shipping!$E$2:$E$1216&amp;Shipping!$B$2:$B$1216,0),MATCH("Qty",Shipping!$A$2:$F$2,0)),0)</f>
        <v>0</v>
      </c>
      <c r="L75" cm="1">
        <f t="array" ref="L75">IFERROR(INDEX(Shipping!$A$2:$F$1216,MATCH($A75&amp;L$11,Shipping!$E$2:$E$1216&amp;Shipping!$B$2:$B$1216,0),MATCH("Qty",Shipping!$A$2:$F$2,0)),0)</f>
        <v>0</v>
      </c>
      <c r="M75" cm="1">
        <f t="array" ref="M75">IFERROR(INDEX(Shipping!$A$2:$F$1216,MATCH($A75&amp;M$11,Shipping!$E$2:$E$1216&amp;Shipping!$B$2:$B$1216,0),MATCH("Qty",Shipping!$A$2:$F$2,0)),0)</f>
        <v>0</v>
      </c>
      <c r="N75" cm="1">
        <f t="array" ref="N75">IFERROR(INDEX(Shipping!$A$2:$F$1216,MATCH($A75&amp;N$11,Shipping!$E$2:$E$1216&amp;Shipping!$B$2:$B$1216,0),MATCH("Qty",Shipping!$A$2:$F$2,0)),0)</f>
        <v>0</v>
      </c>
      <c r="O75" cm="1">
        <f t="array" ref="O75">IFERROR(INDEX(Shipping!$A$2:$F$1216,MATCH($A75&amp;O$11,Shipping!$E$2:$E$1216&amp;Shipping!$B$2:$B$1216,0),MATCH("Qty",Shipping!$A$2:$F$2,0)),0)</f>
        <v>0</v>
      </c>
      <c r="P75" cm="1">
        <f t="array" ref="P75">IFERROR(INDEX(Shipping!$A$2:$F$1216,MATCH($A75&amp;P$11,Shipping!$E$2:$E$1216&amp;Shipping!$B$2:$B$1216,0),MATCH("Qty",Shipping!$A$2:$F$2,0)),0)</f>
        <v>0</v>
      </c>
      <c r="Q75" cm="1">
        <f t="array" ref="Q75">IFERROR(INDEX(Shipping!$A$2:$F$1216,MATCH($A75&amp;Q$11,Shipping!$E$2:$E$1216&amp;Shipping!$B$2:$B$1216,0),MATCH("Qty",Shipping!$A$2:$F$2,0)),0)</f>
        <v>0</v>
      </c>
      <c r="R75" cm="1">
        <f t="array" ref="R75">IFERROR(INDEX(Shipping!$A$2:$F$1216,MATCH($A75&amp;R$11,Shipping!$E$2:$E$1216&amp;Shipping!$B$2:$B$1216,0),MATCH("Qty",Shipping!$A$2:$F$2,0)),0)</f>
        <v>0</v>
      </c>
      <c r="S75" cm="1">
        <f t="array" ref="S75">IFERROR(INDEX(Shipping!$A$2:$F$1216,MATCH($A75&amp;S$11,Shipping!$E$2:$E$1216&amp;Shipping!$B$2:$B$1216,0),MATCH("Qty",Shipping!$A$2:$F$2,0)),0)</f>
        <v>0</v>
      </c>
      <c r="T75" cm="1">
        <f t="array" ref="T75">IFERROR(INDEX(Shipping!$A$2:$F$1216,MATCH($A75&amp;T$11,Shipping!$E$2:$E$1216&amp;Shipping!$B$2:$B$1216,0),MATCH("Qty",Shipping!$A$2:$F$2,0)),0)</f>
        <v>0</v>
      </c>
      <c r="U75" cm="1">
        <f t="array" ref="U75">IFERROR(INDEX(Shipping!$A$2:$F$1216,MATCH($A75&amp;U$11,Shipping!$E$2:$E$1216&amp;Shipping!$B$2:$B$1216,0),MATCH("Qty",Shipping!$A$2:$F$2,0)),0)</f>
        <v>0</v>
      </c>
      <c r="V75" cm="1">
        <f t="array" ref="V75">IFERROR(INDEX(Shipping!$A$2:$F$1216,MATCH($A75&amp;V$11,Shipping!$E$2:$E$1216&amp;Shipping!$B$2:$B$1216,0),MATCH("Qty",Shipping!$A$2:$F$2,0)),0)</f>
        <v>0</v>
      </c>
      <c r="W75" cm="1">
        <f t="array" ref="W75">IFERROR(INDEX(Shipping!$A$2:$F$1216,MATCH($A75&amp;W$11,Shipping!$E$2:$E$1216&amp;Shipping!$B$2:$B$1216,0),MATCH("Qty",Shipping!$A$2:$F$2,0)),0)</f>
        <v>0</v>
      </c>
      <c r="X75" cm="1">
        <f t="array" ref="X75">IFERROR(INDEX(Shipping!$A$2:$F$1216,MATCH($A75&amp;X$11,Shipping!$E$2:$E$1216&amp;Shipping!$B$2:$B$1216,0),MATCH("Qty",Shipping!$A$2:$F$2,0)),0)</f>
        <v>0</v>
      </c>
      <c r="Y75" cm="1">
        <f t="array" ref="Y75">IFERROR(INDEX(Shipping!$A$2:$F$1216,MATCH($A75&amp;Y$11,Shipping!$E$2:$E$1216&amp;Shipping!$B$2:$B$1216,0),MATCH("Qty",Shipping!$A$2:$F$2,0)),0)</f>
        <v>0</v>
      </c>
      <c r="Z75" cm="1">
        <f t="array" ref="Z75">IFERROR(INDEX(Shipping!$A$2:$F$1216,MATCH($A75&amp;Z$11,Shipping!$E$2:$E$1216&amp;Shipping!$B$2:$B$1216,0),MATCH("Qty",Shipping!$A$2:$F$2,0)),0)</f>
        <v>0</v>
      </c>
    </row>
    <row r="76" spans="1:26" hidden="1">
      <c r="A76" s="9">
        <f t="shared" si="194"/>
        <v>99636</v>
      </c>
      <c r="B76" s="9">
        <v>99636</v>
      </c>
      <c r="C76" s="9" t="s">
        <v>26</v>
      </c>
      <c r="D76" s="9" t="s">
        <v>14</v>
      </c>
      <c r="F76">
        <f>F74-F75</f>
        <v>0</v>
      </c>
      <c r="G76">
        <f>G74-G75</f>
        <v>0</v>
      </c>
      <c r="H76">
        <f t="shared" ref="H76:P76" si="195">G76-G77+H74</f>
        <v>0</v>
      </c>
      <c r="I76">
        <f t="shared" si="195"/>
        <v>0</v>
      </c>
      <c r="J76">
        <f t="shared" si="195"/>
        <v>0</v>
      </c>
      <c r="K76">
        <f t="shared" si="195"/>
        <v>0</v>
      </c>
      <c r="L76">
        <f t="shared" si="195"/>
        <v>0</v>
      </c>
      <c r="M76">
        <f t="shared" si="195"/>
        <v>0</v>
      </c>
      <c r="N76">
        <f t="shared" si="195"/>
        <v>0</v>
      </c>
      <c r="O76">
        <f t="shared" si="195"/>
        <v>0</v>
      </c>
      <c r="P76">
        <f t="shared" si="195"/>
        <v>0</v>
      </c>
      <c r="Q76">
        <f t="shared" ref="Q76:Z76" si="196">P76-P77+Q74</f>
        <v>0</v>
      </c>
      <c r="R76">
        <f t="shared" si="196"/>
        <v>0</v>
      </c>
      <c r="S76">
        <f t="shared" si="196"/>
        <v>0</v>
      </c>
      <c r="T76">
        <f t="shared" si="196"/>
        <v>0</v>
      </c>
      <c r="U76">
        <f t="shared" si="196"/>
        <v>0</v>
      </c>
      <c r="V76">
        <f t="shared" si="196"/>
        <v>0</v>
      </c>
      <c r="W76">
        <f t="shared" si="196"/>
        <v>0</v>
      </c>
      <c r="X76">
        <f t="shared" si="196"/>
        <v>0</v>
      </c>
      <c r="Y76">
        <f t="shared" si="196"/>
        <v>0</v>
      </c>
      <c r="Z76">
        <f t="shared" si="196"/>
        <v>0</v>
      </c>
    </row>
    <row r="77" spans="1:26" hidden="1">
      <c r="A77" s="9">
        <f t="shared" si="194"/>
        <v>99636</v>
      </c>
      <c r="B77" s="9">
        <v>99636</v>
      </c>
      <c r="C77" s="9" t="s">
        <v>26</v>
      </c>
      <c r="D77" s="9" t="s">
        <v>13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idden="1">
      <c r="A78" s="9">
        <f t="shared" si="194"/>
        <v>99636</v>
      </c>
      <c r="B78" s="9">
        <v>99636</v>
      </c>
      <c r="C78" s="9" t="s">
        <v>26</v>
      </c>
      <c r="D78" s="9" t="s">
        <v>15</v>
      </c>
      <c r="E78">
        <v>1.5</v>
      </c>
      <c r="F78">
        <f>$E78*F77</f>
        <v>0</v>
      </c>
      <c r="G78">
        <f>$E78*G77</f>
        <v>0</v>
      </c>
      <c r="H78">
        <f t="shared" ref="H78" si="197">$E78*H77</f>
        <v>0</v>
      </c>
      <c r="I78">
        <f t="shared" ref="I78" si="198">$E78*I77</f>
        <v>0</v>
      </c>
      <c r="J78">
        <f t="shared" ref="J78" si="199">$E78*J77</f>
        <v>0</v>
      </c>
      <c r="K78">
        <f t="shared" ref="K78" si="200">$E78*K77</f>
        <v>0</v>
      </c>
      <c r="L78">
        <f t="shared" ref="L78" si="201">$E78*L77</f>
        <v>0</v>
      </c>
      <c r="M78">
        <f t="shared" ref="M78" si="202">$E78*M77</f>
        <v>0</v>
      </c>
      <c r="N78">
        <f t="shared" ref="N78" si="203">$E78*N77</f>
        <v>0</v>
      </c>
      <c r="O78">
        <f t="shared" ref="O78" si="204">$E78*O77</f>
        <v>0</v>
      </c>
      <c r="P78">
        <f t="shared" ref="P78" si="205">$E78*P77</f>
        <v>0</v>
      </c>
      <c r="Q78">
        <f t="shared" ref="Q78" si="206">$E78*Q77</f>
        <v>0</v>
      </c>
      <c r="R78">
        <f t="shared" ref="R78" si="207">$E78*R77</f>
        <v>0</v>
      </c>
      <c r="S78">
        <f t="shared" ref="S78" si="208">$E78*S77</f>
        <v>0</v>
      </c>
      <c r="T78">
        <f t="shared" ref="T78" si="209">$E78*T77</f>
        <v>0</v>
      </c>
      <c r="U78">
        <f t="shared" ref="U78" si="210">$E78*U77</f>
        <v>0</v>
      </c>
      <c r="V78">
        <f t="shared" ref="V78" si="211">$E78*V77</f>
        <v>0</v>
      </c>
      <c r="W78">
        <f t="shared" ref="W78" si="212">$E78*W77</f>
        <v>0</v>
      </c>
      <c r="X78">
        <f t="shared" ref="X78" si="213">$E78*X77</f>
        <v>0</v>
      </c>
      <c r="Y78">
        <f t="shared" ref="Y78" si="214">$E78*Y77</f>
        <v>0</v>
      </c>
      <c r="Z78">
        <f t="shared" ref="Z78" si="215">$E78*Z77</f>
        <v>0</v>
      </c>
    </row>
    <row r="79" spans="1:26" ht="15.75" hidden="1" thickBot="1">
      <c r="A79" s="17">
        <f t="shared" si="194"/>
        <v>99636</v>
      </c>
      <c r="B79" s="17">
        <v>99636</v>
      </c>
      <c r="C79" s="17" t="s">
        <v>26</v>
      </c>
      <c r="D79" s="17" t="s">
        <v>16</v>
      </c>
      <c r="E79" s="18">
        <v>1.5</v>
      </c>
      <c r="F79" s="18">
        <f>$E79*F77</f>
        <v>0</v>
      </c>
      <c r="G79" s="18">
        <f>$E79*G77</f>
        <v>0</v>
      </c>
      <c r="H79" s="18">
        <f t="shared" ref="H79:Z79" si="216">$E79*H77</f>
        <v>0</v>
      </c>
      <c r="I79" s="18">
        <f t="shared" si="216"/>
        <v>0</v>
      </c>
      <c r="J79" s="18">
        <f t="shared" si="216"/>
        <v>0</v>
      </c>
      <c r="K79" s="18">
        <f t="shared" si="216"/>
        <v>0</v>
      </c>
      <c r="L79" s="18">
        <f t="shared" si="216"/>
        <v>0</v>
      </c>
      <c r="M79" s="18">
        <f t="shared" si="216"/>
        <v>0</v>
      </c>
      <c r="N79" s="18">
        <f t="shared" si="216"/>
        <v>0</v>
      </c>
      <c r="O79" s="18">
        <f t="shared" si="216"/>
        <v>0</v>
      </c>
      <c r="P79" s="18">
        <f t="shared" si="216"/>
        <v>0</v>
      </c>
      <c r="Q79" s="18">
        <f t="shared" si="216"/>
        <v>0</v>
      </c>
      <c r="R79" s="18">
        <f t="shared" si="216"/>
        <v>0</v>
      </c>
      <c r="S79" s="18">
        <f t="shared" si="216"/>
        <v>0</v>
      </c>
      <c r="T79" s="18">
        <f t="shared" si="216"/>
        <v>0</v>
      </c>
      <c r="U79" s="18">
        <f t="shared" si="216"/>
        <v>0</v>
      </c>
      <c r="V79" s="18">
        <f t="shared" si="216"/>
        <v>0</v>
      </c>
      <c r="W79" s="18">
        <f t="shared" si="216"/>
        <v>0</v>
      </c>
      <c r="X79" s="18">
        <f t="shared" si="216"/>
        <v>0</v>
      </c>
      <c r="Y79" s="18">
        <f t="shared" si="216"/>
        <v>0</v>
      </c>
      <c r="Z79" s="18">
        <f t="shared" si="216"/>
        <v>0</v>
      </c>
    </row>
  </sheetData>
  <autoFilter ref="A11:Z79" xr:uid="{CEDC70C6-DA89-44EE-AD24-66B2E9519CB8}">
    <filterColumn colId="3">
      <filters>
        <filter val="shipped"/>
      </filters>
    </filterColumn>
  </autoFilter>
  <conditionalFormatting sqref="E12 F12:Z15 F17:Z20 F22:Z27 F29:Z34 F36:Z41 F43:Z48 F50:Z55 F57:Z62 F64:Z69 F71:Z76 F78:Z79">
    <cfRule type="cellIs" dxfId="1" priority="138" operator="equal">
      <formula>0</formula>
    </cfRule>
  </conditionalFormatting>
  <conditionalFormatting sqref="E17 E24 E31 E38 E45 E52 E59 E66 E73">
    <cfRule type="cellIs" dxfId="0" priority="139" operator="equal">
      <formula>0</formula>
    </cfRule>
  </conditionalFormatting>
  <pageMargins left="0.7" right="0.7" top="0.75" bottom="0.75" header="0.3" footer="0.3"/>
  <pageSetup orientation="portrait" verticalDpi="0" r:id="rId1"/>
  <headerFooter>
    <oddFooter>&amp;L8.2.2.4.21 Laval Tracker Template &amp;RCreated:01/16/26TS</oddFooter>
  </headerFooter>
  <ignoredErrors>
    <ignoredError sqref="G24:P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B5C6-20E4-4861-9BA3-96E08E8B262F}">
  <sheetPr codeName="Sheet6"/>
  <dimension ref="B1:V19"/>
  <sheetViews>
    <sheetView workbookViewId="0">
      <selection activeCell="I21" sqref="I21"/>
    </sheetView>
  </sheetViews>
  <sheetFormatPr defaultRowHeight="15"/>
  <cols>
    <col min="2" max="2" width="13.42578125" bestFit="1" customWidth="1"/>
    <col min="3" max="3" width="13.42578125" customWidth="1"/>
    <col min="4" max="4" width="17.7109375" bestFit="1" customWidth="1"/>
    <col min="5" max="5" width="18.5703125" customWidth="1"/>
    <col min="6" max="6" width="14.42578125" customWidth="1"/>
    <col min="7" max="20" width="10.140625" bestFit="1" customWidth="1"/>
    <col min="21" max="22" width="11" bestFit="1" customWidth="1"/>
  </cols>
  <sheetData>
    <row r="1" spans="3:22">
      <c r="C1" s="8" t="s">
        <v>5</v>
      </c>
    </row>
    <row r="2" spans="3:22">
      <c r="C2" t="s">
        <v>6</v>
      </c>
    </row>
    <row r="5" spans="3:22" s="14" customFormat="1"/>
    <row r="6" spans="3:22" s="26" customFormat="1" ht="24.75" customHeight="1">
      <c r="C6" s="23" t="s">
        <v>7</v>
      </c>
      <c r="D6" s="23" t="s">
        <v>8</v>
      </c>
      <c r="E6" s="23"/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3:22" s="26" customFormat="1" ht="24.75" customHeight="1">
      <c r="C7" s="27">
        <v>99629</v>
      </c>
      <c r="D7" s="27" t="s">
        <v>17</v>
      </c>
      <c r="E7" s="27" t="s">
        <v>28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3:22" s="26" customFormat="1" ht="24.75" customHeight="1">
      <c r="C8" s="29">
        <v>99630</v>
      </c>
      <c r="D8" s="29" t="s">
        <v>19</v>
      </c>
      <c r="E8" s="29" t="s">
        <v>29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30"/>
      <c r="R8" s="30"/>
      <c r="S8" s="30"/>
      <c r="T8" s="30"/>
      <c r="U8" s="30"/>
      <c r="V8" s="30"/>
    </row>
    <row r="9" spans="3:22" s="26" customFormat="1" ht="24.75" customHeight="1">
      <c r="C9" s="32">
        <v>99638</v>
      </c>
      <c r="D9" s="32" t="s">
        <v>20</v>
      </c>
      <c r="E9" s="32" t="s">
        <v>28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4"/>
      <c r="V9" s="33"/>
    </row>
    <row r="10" spans="3:22" s="26" customFormat="1" ht="24.75" customHeight="1">
      <c r="C10" s="29">
        <v>99632</v>
      </c>
      <c r="D10" s="29" t="s">
        <v>21</v>
      </c>
      <c r="E10" s="29" t="s">
        <v>30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0"/>
      <c r="S10" s="30"/>
      <c r="T10" s="30"/>
      <c r="U10" s="30"/>
      <c r="V10" s="30"/>
    </row>
    <row r="11" spans="3:22" s="26" customFormat="1" ht="24.75" customHeight="1">
      <c r="C11" s="32">
        <v>99633</v>
      </c>
      <c r="D11" s="32" t="s">
        <v>22</v>
      </c>
      <c r="E11" s="32" t="s">
        <v>30</v>
      </c>
      <c r="F11" s="34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3:22" s="26" customFormat="1" ht="24.75" customHeight="1">
      <c r="C12" s="29">
        <v>99646</v>
      </c>
      <c r="D12" s="29" t="s">
        <v>23</v>
      </c>
      <c r="E12" s="29" t="s">
        <v>30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30"/>
      <c r="R12" s="30"/>
      <c r="S12" s="30"/>
      <c r="T12" s="30"/>
      <c r="U12" s="30"/>
      <c r="V12" s="30"/>
    </row>
    <row r="13" spans="3:22" s="26" customFormat="1" ht="24.75" customHeight="1">
      <c r="C13" s="32">
        <v>99635</v>
      </c>
      <c r="D13" s="32" t="s">
        <v>24</v>
      </c>
      <c r="E13" s="32" t="s">
        <v>30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3"/>
    </row>
    <row r="14" spans="3:22" s="26" customFormat="1" ht="24.75" customHeight="1">
      <c r="C14" s="29">
        <v>99944</v>
      </c>
      <c r="D14" s="29" t="s">
        <v>25</v>
      </c>
      <c r="E14" s="29" t="s">
        <v>30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0"/>
      <c r="R14" s="30"/>
      <c r="S14" s="30"/>
      <c r="T14" s="30"/>
      <c r="U14" s="30"/>
      <c r="V14" s="30"/>
    </row>
    <row r="15" spans="3:22" s="26" customFormat="1" ht="24.75" customHeight="1">
      <c r="C15" s="32">
        <v>99636</v>
      </c>
      <c r="D15" s="32" t="s">
        <v>26</v>
      </c>
      <c r="E15" s="32" t="s">
        <v>30</v>
      </c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33"/>
      <c r="Q15" s="33"/>
      <c r="R15" s="33"/>
      <c r="S15" s="33"/>
      <c r="T15" s="33"/>
      <c r="U15" s="33"/>
      <c r="V15" s="33"/>
    </row>
    <row r="16" spans="3:22" s="26" customFormat="1" ht="24.75" customHeight="1">
      <c r="C16" s="29">
        <v>99631</v>
      </c>
      <c r="D16" s="29" t="s">
        <v>18</v>
      </c>
      <c r="E16" s="29" t="s">
        <v>29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30"/>
      <c r="R16" s="30"/>
      <c r="S16" s="30"/>
      <c r="T16" s="30"/>
      <c r="U16" s="30"/>
      <c r="V16" s="30"/>
    </row>
    <row r="18" spans="2:19">
      <c r="B18" s="73"/>
      <c r="C18" s="73"/>
      <c r="D18" s="73"/>
      <c r="E18" s="73"/>
      <c r="F18" s="73"/>
      <c r="G18" s="73"/>
    </row>
    <row r="19" spans="2:19">
      <c r="B19" s="73"/>
      <c r="C19" s="73"/>
      <c r="D19" s="73"/>
      <c r="E19" s="73"/>
      <c r="F19" s="74"/>
      <c r="G19" s="74"/>
      <c r="J19" s="75"/>
      <c r="O19" s="75"/>
      <c r="S19" s="75"/>
    </row>
  </sheetData>
  <pageMargins left="0.7" right="0.7" top="0.75" bottom="0.75" header="0.3" footer="0.3"/>
  <pageSetup orientation="portrait" verticalDpi="0" r:id="rId1"/>
  <headerFooter>
    <oddFooter>&amp;L8.2.2.4.21 Laval Tracker Template &amp;RCreated:01/16/26TS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1840-7CAB-4914-8A7B-C97105828C6F}">
  <sheetPr>
    <pageSetUpPr fitToPage="1"/>
  </sheetPr>
  <dimension ref="A1:P13"/>
  <sheetViews>
    <sheetView zoomScaleNormal="100" zoomScaleSheetLayoutView="55" workbookViewId="0">
      <pane xSplit="1" topLeftCell="B1" activePane="topRight" state="frozen"/>
      <selection pane="topRight" activeCell="J13" sqref="J13"/>
    </sheetView>
  </sheetViews>
  <sheetFormatPr defaultColWidth="9.140625" defaultRowHeight="15"/>
  <cols>
    <col min="1" max="5" width="19" style="3" customWidth="1"/>
    <col min="6" max="16384" width="9.140625" style="1"/>
  </cols>
  <sheetData>
    <row r="1" spans="1:16" ht="27.75" thickBot="1">
      <c r="A1" s="43"/>
      <c r="B1" s="43"/>
      <c r="C1" s="43"/>
      <c r="D1" s="43"/>
      <c r="E1" s="43"/>
    </row>
    <row r="2" spans="1:16" s="5" customFormat="1" ht="13.5">
      <c r="A2" s="6" t="s">
        <v>3</v>
      </c>
      <c r="B2" s="6" t="s">
        <v>4</v>
      </c>
      <c r="C2" s="6" t="s">
        <v>0</v>
      </c>
      <c r="D2" s="6" t="s">
        <v>32</v>
      </c>
      <c r="E2" s="6" t="s">
        <v>33</v>
      </c>
    </row>
    <row r="3" spans="1:16" ht="29.25" customHeight="1">
      <c r="A3" s="22">
        <v>99629</v>
      </c>
      <c r="B3" s="22">
        <v>99629</v>
      </c>
      <c r="C3" s="44" t="s">
        <v>17</v>
      </c>
      <c r="D3" s="44" t="s">
        <v>28</v>
      </c>
      <c r="E3" s="19" t="s">
        <v>112</v>
      </c>
    </row>
    <row r="4" spans="1:16" ht="29.25" customHeight="1">
      <c r="A4" s="22">
        <v>99631</v>
      </c>
      <c r="B4" s="22">
        <v>99631</v>
      </c>
      <c r="C4" s="44" t="s">
        <v>18</v>
      </c>
      <c r="D4" s="44" t="s">
        <v>29</v>
      </c>
      <c r="E4" s="19" t="s">
        <v>112</v>
      </c>
    </row>
    <row r="5" spans="1:16" s="2" customFormat="1" ht="29.25" customHeight="1">
      <c r="A5" s="22">
        <v>99630</v>
      </c>
      <c r="B5" s="22">
        <v>99630</v>
      </c>
      <c r="C5" s="44" t="s">
        <v>19</v>
      </c>
      <c r="D5" s="44" t="s">
        <v>29</v>
      </c>
      <c r="E5" s="19" t="s">
        <v>112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s="2" customFormat="1" ht="29.25" customHeight="1">
      <c r="A6" s="22">
        <v>99638</v>
      </c>
      <c r="B6" s="22">
        <v>99638</v>
      </c>
      <c r="C6" s="44" t="s">
        <v>20</v>
      </c>
      <c r="D6" s="44" t="s">
        <v>28</v>
      </c>
      <c r="E6" s="19" t="s">
        <v>112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s="2" customFormat="1" ht="29.25" customHeight="1">
      <c r="A7" s="22">
        <v>99632</v>
      </c>
      <c r="B7" s="22">
        <v>99632</v>
      </c>
      <c r="C7" s="44" t="s">
        <v>21</v>
      </c>
      <c r="D7" s="44" t="s">
        <v>30</v>
      </c>
      <c r="E7" s="19" t="s">
        <v>112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s="4" customFormat="1" ht="29.25" customHeight="1">
      <c r="A8" s="22">
        <v>99633</v>
      </c>
      <c r="B8" s="22">
        <v>99633</v>
      </c>
      <c r="C8" s="44" t="s">
        <v>22</v>
      </c>
      <c r="D8" s="44" t="s">
        <v>30</v>
      </c>
      <c r="E8" s="19" t="s">
        <v>112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s="4" customFormat="1" ht="29.25" customHeight="1">
      <c r="A9" s="22">
        <v>99646</v>
      </c>
      <c r="B9" s="22">
        <v>99646</v>
      </c>
      <c r="C9" s="44" t="s">
        <v>23</v>
      </c>
      <c r="D9" s="44" t="s">
        <v>30</v>
      </c>
      <c r="E9" s="19" t="s">
        <v>112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s="4" customFormat="1" ht="29.25" customHeight="1">
      <c r="A10" s="22">
        <v>99635</v>
      </c>
      <c r="B10" s="22">
        <v>99635</v>
      </c>
      <c r="C10" s="44" t="s">
        <v>24</v>
      </c>
      <c r="D10" s="44" t="s">
        <v>30</v>
      </c>
      <c r="E10" s="19" t="s">
        <v>112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s="4" customFormat="1" ht="29.25" customHeight="1">
      <c r="A11" s="22">
        <v>99944</v>
      </c>
      <c r="B11" s="22">
        <v>99944</v>
      </c>
      <c r="C11" s="44" t="s">
        <v>25</v>
      </c>
      <c r="D11" s="44" t="s">
        <v>30</v>
      </c>
      <c r="E11" s="19" t="s">
        <v>112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s="4" customFormat="1" ht="29.25" customHeight="1">
      <c r="A12" s="22">
        <v>99636</v>
      </c>
      <c r="B12" s="22">
        <v>99636</v>
      </c>
      <c r="C12" s="44" t="s">
        <v>26</v>
      </c>
      <c r="D12" s="44" t="s">
        <v>30</v>
      </c>
      <c r="E12" s="19" t="s">
        <v>112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s="4" customFormat="1" ht="29.25" customHeight="1">
      <c r="A13" s="22" t="s">
        <v>34</v>
      </c>
      <c r="B13" s="22" t="s">
        <v>34</v>
      </c>
      <c r="C13" s="44" t="s">
        <v>34</v>
      </c>
      <c r="D13" s="44"/>
      <c r="E13" s="1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</sheetData>
  <pageMargins left="0" right="0" top="0" bottom="0" header="0" footer="0"/>
  <pageSetup paperSize="3" fitToHeight="0" orientation="landscape" blackAndWhite="1" r:id="rId1"/>
  <headerFooter>
    <oddFooter>&amp;L8.2.2.4.21 Laval Tracker Template &amp;RCreated:01/16/26TS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3BBF-6D4D-4AB4-8D22-21C9DDC7B72B}">
  <dimension ref="A2:AI22"/>
  <sheetViews>
    <sheetView workbookViewId="0">
      <selection activeCell="D29" sqref="D29"/>
    </sheetView>
  </sheetViews>
  <sheetFormatPr defaultRowHeight="15"/>
  <cols>
    <col min="1" max="1" width="18.7109375" bestFit="1" customWidth="1"/>
    <col min="2" max="2" width="16.28515625" bestFit="1" customWidth="1"/>
    <col min="3" max="5" width="5.85546875" bestFit="1" customWidth="1"/>
    <col min="6" max="6" width="4" bestFit="1" customWidth="1"/>
    <col min="7" max="9" width="4.85546875" bestFit="1" customWidth="1"/>
    <col min="10" max="10" width="4" bestFit="1" customWidth="1"/>
    <col min="11" max="12" width="4.85546875" bestFit="1" customWidth="1"/>
    <col min="13" max="13" width="5" bestFit="1" customWidth="1"/>
    <col min="14" max="14" width="4.85546875" bestFit="1" customWidth="1"/>
    <col min="15" max="15" width="4" bestFit="1" customWidth="1"/>
    <col min="16" max="20" width="4.85546875" bestFit="1" customWidth="1"/>
    <col min="21" max="21" width="4" bestFit="1" customWidth="1"/>
    <col min="22" max="25" width="4.85546875" bestFit="1" customWidth="1"/>
    <col min="26" max="26" width="4" bestFit="1" customWidth="1"/>
    <col min="27" max="29" width="4.85546875" bestFit="1" customWidth="1"/>
    <col min="30" max="30" width="3.85546875" bestFit="1" customWidth="1"/>
    <col min="31" max="31" width="4" bestFit="1" customWidth="1"/>
    <col min="32" max="32" width="4.7109375" bestFit="1" customWidth="1"/>
    <col min="33" max="33" width="4.85546875" bestFit="1" customWidth="1"/>
    <col min="34" max="34" width="7.28515625" bestFit="1" customWidth="1"/>
    <col min="35" max="35" width="11.140625" bestFit="1" customWidth="1"/>
  </cols>
  <sheetData>
    <row r="2" spans="1:35" s="59" customFormat="1">
      <c r="B2" s="59">
        <f>B4-WEEKDAY(B4,3)</f>
        <v>45635</v>
      </c>
      <c r="C2" s="59">
        <f t="shared" ref="C2:AE2" si="0">C4-WEEKDAY(C4,3)</f>
        <v>45642</v>
      </c>
      <c r="D2" s="59">
        <f t="shared" si="0"/>
        <v>45642</v>
      </c>
      <c r="E2" s="59">
        <f t="shared" si="0"/>
        <v>45649</v>
      </c>
      <c r="F2" s="59">
        <f t="shared" si="0"/>
        <v>45663</v>
      </c>
      <c r="G2" s="59">
        <f t="shared" si="0"/>
        <v>45670</v>
      </c>
      <c r="H2" s="59">
        <f t="shared" si="0"/>
        <v>45677</v>
      </c>
      <c r="I2" s="59">
        <f t="shared" si="0"/>
        <v>45684</v>
      </c>
      <c r="J2" s="59">
        <f t="shared" si="0"/>
        <v>45691</v>
      </c>
      <c r="K2" s="59">
        <f t="shared" si="0"/>
        <v>45698</v>
      </c>
      <c r="L2" s="59">
        <f t="shared" si="0"/>
        <v>45705</v>
      </c>
      <c r="M2" s="59">
        <f t="shared" si="0"/>
        <v>45712</v>
      </c>
      <c r="N2" s="59">
        <f t="shared" si="0"/>
        <v>45705</v>
      </c>
      <c r="O2" s="59">
        <f t="shared" si="0"/>
        <v>45719</v>
      </c>
      <c r="P2" s="59">
        <f t="shared" si="0"/>
        <v>45726</v>
      </c>
      <c r="Q2" s="59">
        <f t="shared" si="0"/>
        <v>45733</v>
      </c>
      <c r="R2" s="59">
        <f t="shared" si="0"/>
        <v>45733</v>
      </c>
      <c r="S2" s="59">
        <f t="shared" si="0"/>
        <v>45740</v>
      </c>
      <c r="T2" s="59">
        <f t="shared" si="0"/>
        <v>45747</v>
      </c>
      <c r="U2" s="59">
        <f t="shared" si="0"/>
        <v>45754</v>
      </c>
      <c r="V2" s="59">
        <f t="shared" si="0"/>
        <v>45761</v>
      </c>
      <c r="W2" s="59">
        <f t="shared" si="0"/>
        <v>45768</v>
      </c>
      <c r="X2" s="59">
        <f t="shared" si="0"/>
        <v>45404</v>
      </c>
      <c r="Y2" s="59">
        <f t="shared" si="0"/>
        <v>45775</v>
      </c>
      <c r="Z2" s="59">
        <f t="shared" si="0"/>
        <v>45782</v>
      </c>
      <c r="AA2" s="59">
        <f t="shared" si="0"/>
        <v>45789</v>
      </c>
      <c r="AB2" s="59">
        <f t="shared" si="0"/>
        <v>45796</v>
      </c>
      <c r="AC2" s="59">
        <f t="shared" si="0"/>
        <v>45803</v>
      </c>
      <c r="AD2" s="59">
        <f t="shared" si="0"/>
        <v>45810</v>
      </c>
      <c r="AE2" s="59">
        <f t="shared" si="0"/>
        <v>45810</v>
      </c>
    </row>
    <row r="3" spans="1:35">
      <c r="A3" s="54" t="s">
        <v>73</v>
      </c>
      <c r="B3" s="54" t="s">
        <v>74</v>
      </c>
    </row>
    <row r="4" spans="1:35" s="59" customFormat="1">
      <c r="A4" s="60" t="s">
        <v>71</v>
      </c>
      <c r="B4" s="59">
        <v>45638</v>
      </c>
      <c r="C4" s="59">
        <v>45643</v>
      </c>
      <c r="D4" s="59">
        <v>45645</v>
      </c>
      <c r="E4" s="59">
        <v>45650</v>
      </c>
      <c r="F4" s="59">
        <v>45664</v>
      </c>
      <c r="G4" s="59">
        <v>45671</v>
      </c>
      <c r="H4" s="59">
        <v>45678</v>
      </c>
      <c r="I4" s="59">
        <v>45685</v>
      </c>
      <c r="J4" s="59">
        <v>45692</v>
      </c>
      <c r="K4" s="59">
        <v>45699</v>
      </c>
      <c r="L4" s="59">
        <v>45708</v>
      </c>
      <c r="M4" s="59">
        <v>45713</v>
      </c>
      <c r="N4" s="59">
        <v>45706</v>
      </c>
      <c r="O4" s="59">
        <v>45720</v>
      </c>
      <c r="P4" s="59">
        <v>45727</v>
      </c>
      <c r="Q4" s="59">
        <v>45734</v>
      </c>
      <c r="R4" s="59">
        <v>45735</v>
      </c>
      <c r="S4" s="59">
        <v>45741</v>
      </c>
      <c r="T4" s="59">
        <v>45748</v>
      </c>
      <c r="U4" s="59">
        <v>45755</v>
      </c>
      <c r="V4" s="59">
        <v>45762</v>
      </c>
      <c r="W4" s="59">
        <v>45769</v>
      </c>
      <c r="X4" s="59">
        <v>45404</v>
      </c>
      <c r="Y4" s="59">
        <v>45776</v>
      </c>
      <c r="Z4" s="59">
        <v>45783</v>
      </c>
      <c r="AA4" s="59">
        <v>45790</v>
      </c>
      <c r="AB4" s="59">
        <v>45797</v>
      </c>
      <c r="AC4" s="59">
        <v>45804</v>
      </c>
      <c r="AD4" s="59">
        <v>45811</v>
      </c>
      <c r="AE4" s="59">
        <v>45813</v>
      </c>
      <c r="AF4" s="59">
        <v>45817</v>
      </c>
      <c r="AG4" s="59">
        <v>45818</v>
      </c>
      <c r="AH4" s="59" t="s">
        <v>103</v>
      </c>
      <c r="AI4" s="59" t="s">
        <v>72</v>
      </c>
    </row>
    <row r="5" spans="1:35">
      <c r="A5" s="53">
        <v>99629</v>
      </c>
      <c r="B5">
        <v>360</v>
      </c>
      <c r="C5">
        <v>35</v>
      </c>
      <c r="E5">
        <v>11</v>
      </c>
      <c r="F5">
        <v>66</v>
      </c>
      <c r="G5">
        <v>66</v>
      </c>
      <c r="H5">
        <v>11</v>
      </c>
      <c r="J5">
        <v>21</v>
      </c>
      <c r="L5">
        <v>110</v>
      </c>
      <c r="M5">
        <v>132</v>
      </c>
      <c r="N5">
        <v>11</v>
      </c>
      <c r="O5">
        <v>66</v>
      </c>
      <c r="P5">
        <v>44</v>
      </c>
      <c r="Q5">
        <v>33</v>
      </c>
      <c r="S5">
        <v>66</v>
      </c>
      <c r="T5">
        <v>33</v>
      </c>
      <c r="U5">
        <v>77</v>
      </c>
      <c r="V5">
        <v>66</v>
      </c>
      <c r="W5">
        <v>66</v>
      </c>
      <c r="Y5">
        <v>66</v>
      </c>
      <c r="Z5">
        <v>66</v>
      </c>
      <c r="AA5">
        <v>66</v>
      </c>
      <c r="AB5">
        <v>33</v>
      </c>
      <c r="AC5">
        <v>55</v>
      </c>
      <c r="AD5">
        <v>11</v>
      </c>
      <c r="AE5">
        <v>33</v>
      </c>
      <c r="AI5">
        <v>1604</v>
      </c>
    </row>
    <row r="6" spans="1:35">
      <c r="A6" s="53">
        <v>99630</v>
      </c>
      <c r="B6">
        <v>54</v>
      </c>
      <c r="C6">
        <v>53</v>
      </c>
      <c r="F6">
        <v>100</v>
      </c>
      <c r="G6">
        <v>60</v>
      </c>
      <c r="H6">
        <v>38</v>
      </c>
      <c r="I6">
        <v>31</v>
      </c>
      <c r="K6">
        <v>72</v>
      </c>
      <c r="M6">
        <v>110</v>
      </c>
      <c r="O6">
        <v>41</v>
      </c>
      <c r="R6">
        <v>40</v>
      </c>
      <c r="S6">
        <v>80</v>
      </c>
      <c r="T6">
        <v>102</v>
      </c>
      <c r="U6">
        <v>60</v>
      </c>
      <c r="V6">
        <v>61</v>
      </c>
      <c r="X6">
        <v>20</v>
      </c>
      <c r="Y6">
        <v>60</v>
      </c>
      <c r="Z6">
        <v>80</v>
      </c>
      <c r="AA6">
        <v>35</v>
      </c>
      <c r="AC6">
        <v>40</v>
      </c>
      <c r="AD6">
        <v>20</v>
      </c>
      <c r="AE6">
        <v>40</v>
      </c>
      <c r="AI6">
        <v>1197</v>
      </c>
    </row>
    <row r="7" spans="1:35">
      <c r="A7" s="53">
        <v>99631</v>
      </c>
      <c r="D7">
        <v>36</v>
      </c>
      <c r="E7">
        <v>36</v>
      </c>
      <c r="F7">
        <v>72</v>
      </c>
      <c r="G7">
        <v>54</v>
      </c>
      <c r="H7">
        <v>62</v>
      </c>
      <c r="I7">
        <v>46</v>
      </c>
      <c r="J7">
        <v>48</v>
      </c>
      <c r="K7">
        <v>60</v>
      </c>
      <c r="M7">
        <v>108</v>
      </c>
      <c r="N7">
        <v>54</v>
      </c>
      <c r="O7">
        <v>72</v>
      </c>
      <c r="P7">
        <v>35</v>
      </c>
      <c r="Q7">
        <v>36</v>
      </c>
      <c r="S7">
        <v>36</v>
      </c>
      <c r="T7">
        <v>36</v>
      </c>
      <c r="U7">
        <v>54</v>
      </c>
      <c r="V7">
        <v>67</v>
      </c>
      <c r="X7">
        <v>68</v>
      </c>
      <c r="Z7">
        <v>32</v>
      </c>
      <c r="AA7">
        <v>72</v>
      </c>
      <c r="AB7">
        <v>54</v>
      </c>
      <c r="AC7">
        <v>36</v>
      </c>
      <c r="AE7">
        <v>35</v>
      </c>
      <c r="AI7">
        <v>1209</v>
      </c>
    </row>
    <row r="8" spans="1:35">
      <c r="A8" s="53">
        <v>99632</v>
      </c>
      <c r="C8">
        <v>61</v>
      </c>
      <c r="E8">
        <v>100</v>
      </c>
      <c r="F8">
        <v>65</v>
      </c>
      <c r="G8">
        <v>26</v>
      </c>
      <c r="H8">
        <v>43</v>
      </c>
      <c r="I8">
        <v>75</v>
      </c>
      <c r="J8">
        <v>65</v>
      </c>
      <c r="K8">
        <v>9</v>
      </c>
      <c r="L8">
        <v>84</v>
      </c>
      <c r="M8">
        <v>78</v>
      </c>
      <c r="N8">
        <v>26</v>
      </c>
      <c r="O8">
        <v>25</v>
      </c>
      <c r="P8">
        <v>41</v>
      </c>
      <c r="R8">
        <v>36</v>
      </c>
      <c r="S8">
        <v>66</v>
      </c>
      <c r="T8">
        <v>66</v>
      </c>
      <c r="U8">
        <v>66</v>
      </c>
      <c r="V8">
        <v>66</v>
      </c>
      <c r="X8">
        <v>51</v>
      </c>
      <c r="Z8">
        <v>66</v>
      </c>
      <c r="AA8">
        <v>66</v>
      </c>
      <c r="AB8">
        <v>132</v>
      </c>
      <c r="AC8">
        <v>44</v>
      </c>
      <c r="AD8">
        <v>17</v>
      </c>
      <c r="AE8">
        <v>66</v>
      </c>
      <c r="AI8">
        <v>1440</v>
      </c>
    </row>
    <row r="9" spans="1:35">
      <c r="A9" s="53">
        <v>99633</v>
      </c>
      <c r="C9">
        <v>33</v>
      </c>
      <c r="E9">
        <v>130</v>
      </c>
      <c r="F9">
        <v>102</v>
      </c>
      <c r="G9">
        <v>43</v>
      </c>
      <c r="H9">
        <v>17</v>
      </c>
      <c r="I9">
        <v>54</v>
      </c>
      <c r="K9">
        <v>9</v>
      </c>
      <c r="M9">
        <v>188</v>
      </c>
      <c r="N9">
        <v>25</v>
      </c>
      <c r="O9">
        <v>136</v>
      </c>
      <c r="P9">
        <v>20</v>
      </c>
      <c r="R9">
        <v>50</v>
      </c>
      <c r="U9">
        <v>72</v>
      </c>
      <c r="V9">
        <v>66</v>
      </c>
      <c r="X9">
        <v>66</v>
      </c>
      <c r="Y9">
        <v>63</v>
      </c>
      <c r="AE9">
        <v>71</v>
      </c>
      <c r="AI9">
        <v>1145</v>
      </c>
    </row>
    <row r="10" spans="1:35">
      <c r="A10" s="53">
        <v>99635</v>
      </c>
      <c r="C10">
        <v>50</v>
      </c>
      <c r="F10">
        <v>100</v>
      </c>
      <c r="G10">
        <v>24</v>
      </c>
      <c r="H10">
        <v>32</v>
      </c>
      <c r="I10">
        <v>66</v>
      </c>
      <c r="J10">
        <v>46</v>
      </c>
      <c r="M10">
        <v>164</v>
      </c>
      <c r="N10">
        <v>88</v>
      </c>
      <c r="O10">
        <v>50</v>
      </c>
      <c r="P10">
        <v>32</v>
      </c>
      <c r="T10">
        <v>106</v>
      </c>
      <c r="U10">
        <v>72</v>
      </c>
      <c r="V10">
        <v>60</v>
      </c>
      <c r="X10">
        <v>66</v>
      </c>
      <c r="Y10">
        <v>44</v>
      </c>
      <c r="AD10">
        <v>22</v>
      </c>
      <c r="AE10">
        <v>38</v>
      </c>
      <c r="AI10">
        <v>1060</v>
      </c>
    </row>
    <row r="11" spans="1:35">
      <c r="A11" s="53">
        <v>99636</v>
      </c>
      <c r="C11">
        <v>70</v>
      </c>
      <c r="E11">
        <v>37</v>
      </c>
      <c r="F11">
        <v>84</v>
      </c>
      <c r="G11">
        <v>48</v>
      </c>
      <c r="H11">
        <v>60</v>
      </c>
      <c r="I11">
        <v>77</v>
      </c>
      <c r="J11">
        <v>36</v>
      </c>
      <c r="M11">
        <v>80</v>
      </c>
      <c r="N11">
        <v>38</v>
      </c>
      <c r="O11">
        <v>79</v>
      </c>
      <c r="P11">
        <v>35</v>
      </c>
      <c r="R11">
        <v>39</v>
      </c>
      <c r="U11">
        <v>115</v>
      </c>
      <c r="V11">
        <v>66</v>
      </c>
      <c r="X11">
        <v>50</v>
      </c>
      <c r="Y11">
        <v>26</v>
      </c>
      <c r="AE11">
        <v>66</v>
      </c>
      <c r="AI11">
        <v>1006</v>
      </c>
    </row>
    <row r="12" spans="1:35">
      <c r="A12" s="53">
        <v>99638</v>
      </c>
      <c r="E12">
        <v>137</v>
      </c>
      <c r="F12">
        <v>62</v>
      </c>
      <c r="G12">
        <v>49</v>
      </c>
      <c r="H12">
        <v>51</v>
      </c>
      <c r="J12">
        <v>33</v>
      </c>
      <c r="K12">
        <v>88</v>
      </c>
      <c r="M12">
        <v>68</v>
      </c>
      <c r="N12">
        <v>31</v>
      </c>
      <c r="O12">
        <v>26</v>
      </c>
      <c r="P12">
        <v>35</v>
      </c>
      <c r="R12">
        <v>24</v>
      </c>
      <c r="S12">
        <v>13</v>
      </c>
      <c r="U12">
        <v>80</v>
      </c>
      <c r="V12">
        <v>50</v>
      </c>
      <c r="X12">
        <v>20</v>
      </c>
      <c r="Y12">
        <v>36</v>
      </c>
      <c r="AC12">
        <v>84</v>
      </c>
      <c r="AI12">
        <v>887</v>
      </c>
    </row>
    <row r="13" spans="1:35">
      <c r="A13" s="53">
        <v>99646</v>
      </c>
      <c r="C13">
        <v>69</v>
      </c>
      <c r="E13">
        <v>78</v>
      </c>
      <c r="F13">
        <v>116</v>
      </c>
      <c r="G13">
        <v>54</v>
      </c>
      <c r="H13">
        <v>18</v>
      </c>
      <c r="I13">
        <v>44</v>
      </c>
      <c r="K13">
        <v>18</v>
      </c>
      <c r="M13">
        <v>206</v>
      </c>
      <c r="N13">
        <v>21</v>
      </c>
      <c r="O13">
        <v>108</v>
      </c>
      <c r="P13">
        <v>26</v>
      </c>
      <c r="R13">
        <v>45</v>
      </c>
      <c r="U13">
        <v>73</v>
      </c>
      <c r="V13">
        <v>66</v>
      </c>
      <c r="X13">
        <v>66</v>
      </c>
      <c r="Y13">
        <v>47</v>
      </c>
      <c r="AE13">
        <v>79</v>
      </c>
      <c r="AI13">
        <v>1134</v>
      </c>
    </row>
    <row r="14" spans="1:35">
      <c r="A14" s="53">
        <v>99944</v>
      </c>
      <c r="C14">
        <v>64</v>
      </c>
      <c r="F14">
        <v>105</v>
      </c>
      <c r="G14">
        <v>29</v>
      </c>
      <c r="H14">
        <v>38</v>
      </c>
      <c r="I14">
        <v>44</v>
      </c>
      <c r="J14">
        <v>48</v>
      </c>
      <c r="M14">
        <v>172</v>
      </c>
      <c r="N14">
        <v>82</v>
      </c>
      <c r="O14">
        <v>58</v>
      </c>
      <c r="P14">
        <v>42</v>
      </c>
      <c r="T14">
        <v>96</v>
      </c>
      <c r="U14">
        <v>76</v>
      </c>
      <c r="V14">
        <v>66</v>
      </c>
      <c r="X14">
        <v>66</v>
      </c>
      <c r="Y14">
        <v>36</v>
      </c>
      <c r="AD14">
        <v>24</v>
      </c>
      <c r="AE14">
        <v>36</v>
      </c>
      <c r="AI14">
        <v>1082</v>
      </c>
    </row>
    <row r="15" spans="1:35">
      <c r="A15" s="53" t="s">
        <v>103</v>
      </c>
      <c r="AF15">
        <v>-960</v>
      </c>
      <c r="AG15">
        <v>490</v>
      </c>
      <c r="AI15">
        <v>-470</v>
      </c>
    </row>
    <row r="16" spans="1:35">
      <c r="A16" s="53" t="s">
        <v>72</v>
      </c>
      <c r="B16">
        <v>414</v>
      </c>
      <c r="C16">
        <v>435</v>
      </c>
      <c r="D16">
        <v>36</v>
      </c>
      <c r="E16">
        <v>529</v>
      </c>
      <c r="F16">
        <v>872</v>
      </c>
      <c r="G16">
        <v>453</v>
      </c>
      <c r="H16">
        <v>370</v>
      </c>
      <c r="I16">
        <v>437</v>
      </c>
      <c r="J16">
        <v>297</v>
      </c>
      <c r="K16">
        <v>256</v>
      </c>
      <c r="L16">
        <v>194</v>
      </c>
      <c r="M16">
        <v>1306</v>
      </c>
      <c r="N16">
        <v>376</v>
      </c>
      <c r="O16">
        <v>661</v>
      </c>
      <c r="P16">
        <v>310</v>
      </c>
      <c r="Q16">
        <v>69</v>
      </c>
      <c r="R16">
        <v>234</v>
      </c>
      <c r="S16">
        <v>261</v>
      </c>
      <c r="T16">
        <v>439</v>
      </c>
      <c r="U16">
        <v>745</v>
      </c>
      <c r="V16">
        <v>634</v>
      </c>
      <c r="W16">
        <v>66</v>
      </c>
      <c r="X16">
        <v>473</v>
      </c>
      <c r="Y16">
        <v>378</v>
      </c>
      <c r="Z16">
        <v>244</v>
      </c>
      <c r="AA16">
        <v>239</v>
      </c>
      <c r="AB16">
        <v>219</v>
      </c>
      <c r="AC16">
        <v>259</v>
      </c>
      <c r="AD16">
        <v>94</v>
      </c>
      <c r="AE16">
        <v>464</v>
      </c>
      <c r="AF16">
        <v>-960</v>
      </c>
      <c r="AG16">
        <v>490</v>
      </c>
      <c r="AI16">
        <v>11294</v>
      </c>
    </row>
    <row r="22" spans="1:1">
      <c r="A22" s="61"/>
    </row>
  </sheetData>
  <pageMargins left="0.7" right="0.7" top="0.75" bottom="0.75" header="0.3" footer="0.3"/>
  <pageSetup orientation="portrait" verticalDpi="0" r:id="rId2"/>
  <headerFooter>
    <oddFooter>&amp;L8.2.2.4.21 Laval Tracker Template &amp;RCreated:01/16/26TS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KCUXSFLWYCIX246D3VH2PXQXL2QA3X6E:ms-officescript%3A%2F%2Fonedrive_business_sharinglink%2Fu!aHR0cHM6Ly9zZWxlY3RmaW5pc2hpbmctbXkuc2hhcmVwb2ludC5jb20vOnU6L2cvcGVyc29uYWwvdGVvZG9yYV9zdWNpdV9zZWxlY3RmaW5pc2hpbmdfY2EvRVhiQWtYMXp3OTFQcDk0WFhxQU4zOFFCSENacnV4dEZDTGVZaGQ1dlNpWk5sQQ"/>
  <scriptId xmlns="" id="ms-officescript%3A%2F%2Fonedrive_business_itemlink%2F01KCUXSFJJEGN3SO3RPZHZU4CI5KJSBZIC:ms-officescript%3A%2F%2Fonedrive_business_sharinglink%2Fu!aHR0cHM6Ly9zZWxlY3RmaW5pc2hpbmctbXkuc2hhcmVwb2ludC5jb20vOnU6L2cvcGVyc29uYWwvdGVvZG9yYV9zdWNpdV9zZWxlY3RmaW5pc2hpbmdfY2EvRVNraG03azdjWDVQbW5CSTZwTWc1UUlCT1hvTXBnUkFhR0NQQVNfRFJYVm9sZw"/>
  <scriptId xmlns="" id="ms-officescript%3A%2F%2Fonedrive_business_itemlink%2F01KCUXSFNA3BZYKJTWGBDL6EFOE65ACKLI:ms-officescript%3A%2F%2Fonedrive_business_sharinglink%2Fu!aHR0cHM6Ly9zZWxlY3RmaW5pc2hpbmctbXkuc2hhcmVwb2ludC5jb20vOnU6L2cvcGVyc29uYWwvdGVvZG9yYV9zdWNpdV9zZWxlY3RmaW5pc2hpbmdfY2EvRWFEWWM0VW1kakJHdnhDdUo3b0JLV2dCWmllOTdSY2QtbVBsMGRSMWlrd3Fjdw"/>
  <scriptId xmlns="" id="ms-officescript%3A%2F%2Fonedrive_business_itemlink%2F01KCUXSFKZIAENC3RH2REYHSICFBI5KP4A:ms-officescript%3A%2F%2Fonedrive_business_sharinglink%2Fu!aHR0cHM6Ly9zZWxlY3RmaW5pc2hpbmctbXkuc2hhcmVwb2ludC5jb20vOnU6L2cvcGVyc29uYWwvdGVvZG9yYV9zdWNpdV9zZWxlY3RmaW5pc2hpbmdfY2EvRVZsQUNORnVKOVJKZzhrQ0tGSFZQNEFCWkt3U3lnR2FxeFlvdWI0ckhubDhwUQ"/>
  <scriptId xmlns="" id="ms-officescript%3A%2F%2Fonedrive_business_itemlink%2F01KCUXSFLM4PN2WITHTNA3YFW4YLLQRHXN:ms-officescript%3A%2F%2Fonedrive_business_sharinglink%2Fu!aHR0cHM6Ly9zZWxlY3RmaW5pc2hpbmctbXkuc2hhcmVwb2ludC5jb20vOnU6L2cvcGVyc29uYWwvdGVvZG9yYV9zdWNpdV9zZWxlY3RmaW5pc2hpbmdfY2EvRVd6ajI2c2laNXRCdkJiY3d0Y0ludTBCZzhud1UxZjdUY0c4aTFXV01TZ09hQQ"/>
  <scriptId xmlns="" id="ms-officescript%3A%2F%2Fonedrive_business_itemlink%2F01KCUXSFOTISZJPKHN3VCIZ3QBCKZXNDZZ:ms-officescript%3A%2F%2Fonedrive_business_sharinglink%2Fu!aHR0cHM6Ly9zZWxlY3RmaW5pc2hpbmctbXkuc2hhcmVwb2ludC5jb20vOnU6L2cvcGVyc29uYWwvdGVvZG9yYV9zdWNpdV9zZWxlY3RmaW5pc2hpbmdfY2EvRWRORXNwZW83ZDFFak80QkVyTjJqemtCcjZyODZkVlVXWXUtQ05kSGhhZl9QUQ"/>
  <scriptId xmlns="" id="ms-officescript%3A%2F%2Fonedrive_business_itemlink%2F01KCUXSFNXP7UROPBJLJBY3DNCGNUCHVNH:ms-officescript%3A%2F%2Fonedrive_business_sharinglink%2Fu!aHR0cHM6Ly9zZWxlY3RmaW5pc2hpbmctbXkuc2hhcmVwb2ludC5jb20vOnU6L2cvcGVyc29uYWwvdGVvZG9yYV9zdWNpdV9zZWxlY3RmaW5pc2hpbmdfY2EvRWJkXzZSYzhLVnBEalkyaU0yZ2oxYWNCdktMdXo1SmRibWNfcjh0RHNfaVBGZw"/>
  <scriptId xmlns="" id="ms-officescript%3A%2F%2Fonedrive_business_itemlink%2F01KCUXSFIZYZ6II6ARUBH3FCOUEMDSFVNK:ms-officescript%3A%2F%2Fonedrive_business_sharinglink%2Fu!aHR0cHM6Ly9zZWxlY3RmaW5pc2hpbmctbXkuc2hhcmVwb2ludC5jb20vOnU6L2cvcGVyc29uYWwvdGVvZG9yYV9zdWNpdV9zZWxlY3RmaW5pc2hpbmdfY2EvRVJuR2ZJUjRFYUJQc29uVUl3Y2kxYW9CRXhFUVdOTk9OanpYWUdOUlNjZ25GZw"/>
  <scriptId xmlns="" id="ms-officescript%3A%2F%2Fonedrive_business_itemlink%2F01KCUXSFKAN3M3MAYTFBBLTK52QBTAR23Z:ms-officescript%3A%2F%2Fonedrive_business_sharinglink%2Fu!aHR0cHM6Ly9zZWxlY3RmaW5pc2hpbmctbXkuc2hhcmVwb2ludC5jb20vOnU6L2cvcGVyc29uYWwvdGVvZG9yYV9zdWNpdV9zZWxlY3RmaW5pc2hpbmdfY2EvRVVCdTJiWURFeWhDdWF1NmdHWUk2M2tCMVNIU0ZUTzByZEZmV2Y5TzFHM3dfQQ"/>
  <scriptId xmlns="" id="ms-officescript%3A%2F%2Fonedrive_business_itemlink%2F01KCUXSFIKGGCS4VXOVJBLUDY7QD2ZVLR7:ms-officescript%3A%2F%2Fonedrive_business_sharinglink%2Fu!aHR0cHM6Ly9zZWxlY3RmaW5pc2hpbmctbXkuc2hhcmVwb2ludC5jb20vOnU6L2cvcGVyc29uYWwvdGVvZG9yYV9zdWNpdV9zZWxlY3RmaW5pc2hpbmdfY2EvRVFveGhTNVc3cXBDdWc4ZmdQV2FyajhCLWUzNjhlb3NHa1J2ZkdnVURGRWlwZw"/>
  <scriptId xmlns="" id="ms-officescript%3A%2F%2Fonedrive_business_itemlink%2F01KCUXSFLTYEUW5CTXJVB2BXAL5BUS6QHR:ms-officescript%3A%2F%2Fonedrive_business_sharinglink%2Fu!aHR0cHM6Ly9zZWxlY3RmaW5pc2hpbmctbXkuc2hhcmVwb2ludC5jb20vOnU6L2cvcGVyc29uYWwvdGVvZG9yYV9zdWNpdV9zZWxlY3RmaW5pc2hpbmdfY2EvRVhQQktXNktkMDFEb053TDZHa3ZRUEVCTFh5R0gwMmZOZFMtLVpYSTdmX2lBZw"/>
  <scriptId xmlns="" id="ms-officescript%3A%2F%2Fonedrive_business_itemlink%2F01KCUXSFL3KHNMWJ2WENFYNI4XB2YYRIAX:ms-officescript%3A%2F%2Fonedrive_business_sharinglink%2Fu!aHR0cHM6Ly9zZWxlY3RmaW5pc2hpbmctbXkuc2hhcmVwb2ludC5jb20vOnU6L2cvcGVyc29uYWwvdGVvZG9yYV9zdWNpdV9zZWxlY3RmaW5pc2hpbmdfY2EvRVh0UjJzc25WaU5MaHFPWERyR0lvQmNCZG5sSzNsNEx5ZEtZN1hQTkJscjZUdw"/>
  <scriptId xmlns="" id="ms-officescript%3A%2F%2Fonedrive_business_itemlink%2F01KCUXSFM7RWTIEROQ7ZCJYVSGQREKEHBV:ms-officescript%3A%2F%2Fonedrive_business_sharinglink%2Fu!aHR0cHM6Ly9zZWxlY3RmaW5pc2hpbmctbXkuc2hhcmVwb2ludC5jb20vOnU6L2cvcGVyc29uYWwvdGVvZG9yYV9zdWNpdV9zZWxlY3RmaW5pc2hpbmdfY2EvRVotTnBvSkYwUDVFbkZaR2hFaWlIRFVCbXhIbURZSzdEZzlpNTFabGF4YUJwQQ"/>
</scriptIds>
</file>

<file path=customXml/itemProps1.xml><?xml version="1.0" encoding="utf-8"?>
<ds:datastoreItem xmlns:ds="http://schemas.openxmlformats.org/officeDocument/2006/customXml" ds:itemID="{E47A9084-4184-4E91-A0CB-BFE2C2CE7B23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Instructions</vt:lpstr>
      <vt:lpstr>Receiving</vt:lpstr>
      <vt:lpstr>Shipping</vt:lpstr>
      <vt:lpstr>MRP</vt:lpstr>
      <vt:lpstr>Releases</vt:lpstr>
      <vt:lpstr>Parts Legend</vt:lpstr>
      <vt:lpstr>Shipping total</vt:lpstr>
      <vt:lpstr>'Parts Legend'!Print_Area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Amit Shinde</cp:lastModifiedBy>
  <cp:lastPrinted>2026-01-16T13:12:41Z</cp:lastPrinted>
  <dcterms:created xsi:type="dcterms:W3CDTF">2018-10-23T20:18:02Z</dcterms:created>
  <dcterms:modified xsi:type="dcterms:W3CDTF">2026-01-16T13:12:57Z</dcterms:modified>
</cp:coreProperties>
</file>