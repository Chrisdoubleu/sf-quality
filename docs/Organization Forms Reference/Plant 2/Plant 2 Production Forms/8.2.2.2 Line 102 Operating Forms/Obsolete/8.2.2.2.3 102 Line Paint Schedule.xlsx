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2 Line 102 Operating Forms\"/>
    </mc:Choice>
  </mc:AlternateContent>
  <xr:revisionPtr revIDLastSave="0" documentId="13_ncr:1_{A10E198B-C496-4E14-8881-12555A8023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day" sheetId="2" r:id="rId1"/>
    <sheet name="Tuesday" sheetId="8" r:id="rId2"/>
    <sheet name="Wednesday" sheetId="9" r:id="rId3"/>
    <sheet name="Thursday" sheetId="10" r:id="rId4"/>
    <sheet name="Friday" sheetId="11" r:id="rId5"/>
    <sheet name="Saturday" sheetId="12" r:id="rId6"/>
    <sheet name="ScheduleMasterRef" sheetId="7" state="hidden" r:id="rId7"/>
    <sheet name="MasterTimeRef" sheetId="3" state="hidden" r:id="rId8"/>
    <sheet name="MasterJobRef" sheetId="6" state="hidden" r:id="rId9"/>
  </sheets>
  <definedNames>
    <definedName name="_xlnm._FilterDatabase" localSheetId="4" hidden="1">Friday!$V$5:$V$17</definedName>
    <definedName name="_xlnm._FilterDatabase" localSheetId="0" hidden="1">Monday!$Q$5:$Q$33</definedName>
    <definedName name="_xlnm.Print_Area" localSheetId="4">Friday!$C$1:$H$43</definedName>
    <definedName name="_xlnm.Print_Area" localSheetId="0">Monday!$C$1:$H$43</definedName>
    <definedName name="_xlnm.Print_Area" localSheetId="5">Saturday!$C$1:$H$43</definedName>
    <definedName name="_xlnm.Print_Area" localSheetId="3">Thursday!$A$1:$H$43</definedName>
    <definedName name="_xlnm.Print_Area" localSheetId="1">Tuesday!$C$1:$H$43</definedName>
    <definedName name="_xlnm.Print_Area" localSheetId="2">Wednesday!$C$1:$H$43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" i="11" l="1"/>
  <c r="I42" i="11" s="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M6" i="11" s="1"/>
  <c r="I10" i="11"/>
  <c r="M9" i="11"/>
  <c r="I9" i="11"/>
  <c r="M8" i="11"/>
  <c r="I8" i="11"/>
  <c r="I7" i="11"/>
  <c r="M7" i="11" s="1"/>
  <c r="A7" i="11" a="1"/>
  <c r="B41" i="11" s="1"/>
  <c r="H42" i="10"/>
  <c r="I42" i="10" s="1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M6" i="10" s="1"/>
  <c r="I10" i="10"/>
  <c r="M9" i="10"/>
  <c r="I9" i="10"/>
  <c r="M8" i="10"/>
  <c r="I8" i="10"/>
  <c r="I7" i="10"/>
  <c r="M7" i="10" s="1"/>
  <c r="A7" i="10" a="1"/>
  <c r="B41" i="10" s="1"/>
  <c r="H42" i="9"/>
  <c r="I42" i="9" s="1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M6" i="9" s="1"/>
  <c r="I10" i="9"/>
  <c r="M9" i="9"/>
  <c r="I9" i="9"/>
  <c r="M8" i="9"/>
  <c r="I8" i="9"/>
  <c r="I7" i="9"/>
  <c r="M7" i="9" s="1"/>
  <c r="A7" i="9" a="1"/>
  <c r="B41" i="9" s="1"/>
  <c r="H42" i="8"/>
  <c r="I42" i="8" s="1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M6" i="8" s="1"/>
  <c r="I10" i="8"/>
  <c r="M9" i="8"/>
  <c r="I9" i="8"/>
  <c r="M8" i="8"/>
  <c r="I8" i="8"/>
  <c r="I7" i="8"/>
  <c r="M7" i="8" s="1"/>
  <c r="A7" i="8" a="1"/>
  <c r="B41" i="8" s="1"/>
  <c r="B20" i="11" l="1"/>
  <c r="B24" i="11"/>
  <c r="C24" i="11" s="1"/>
  <c r="B32" i="11"/>
  <c r="B36" i="11"/>
  <c r="B12" i="11"/>
  <c r="B14" i="11"/>
  <c r="B16" i="11"/>
  <c r="B19" i="11"/>
  <c r="B23" i="11"/>
  <c r="B27" i="11"/>
  <c r="C27" i="11" s="1"/>
  <c r="B31" i="11"/>
  <c r="C31" i="11" s="1"/>
  <c r="B35" i="11"/>
  <c r="B39" i="11"/>
  <c r="B30" i="11"/>
  <c r="B34" i="11"/>
  <c r="B38" i="11"/>
  <c r="B42" i="11"/>
  <c r="C42" i="11" s="1"/>
  <c r="B43" i="11"/>
  <c r="C43" i="11" s="1"/>
  <c r="B28" i="11"/>
  <c r="C28" i="11" s="1"/>
  <c r="B40" i="11"/>
  <c r="C40" i="11" s="1"/>
  <c r="B11" i="11"/>
  <c r="B18" i="11"/>
  <c r="B22" i="11"/>
  <c r="C22" i="11" s="1"/>
  <c r="B26" i="11"/>
  <c r="A7" i="11"/>
  <c r="B7" i="11" s="1"/>
  <c r="B8" i="11"/>
  <c r="C8" i="11" s="1"/>
  <c r="B9" i="11"/>
  <c r="C9" i="11" s="1"/>
  <c r="B10" i="11"/>
  <c r="B13" i="11"/>
  <c r="B15" i="11"/>
  <c r="B17" i="11"/>
  <c r="C17" i="11" s="1"/>
  <c r="B21" i="11"/>
  <c r="C21" i="11" s="1"/>
  <c r="B25" i="11"/>
  <c r="C25" i="11" s="1"/>
  <c r="B29" i="11"/>
  <c r="B33" i="11"/>
  <c r="C33" i="11" s="1"/>
  <c r="B37" i="11"/>
  <c r="C37" i="11" s="1"/>
  <c r="B20" i="10"/>
  <c r="B24" i="10"/>
  <c r="B28" i="10"/>
  <c r="C28" i="10" s="1"/>
  <c r="B32" i="10"/>
  <c r="B36" i="10"/>
  <c r="B40" i="10"/>
  <c r="B12" i="10"/>
  <c r="B14" i="10"/>
  <c r="B16" i="10"/>
  <c r="B19" i="10"/>
  <c r="B23" i="10"/>
  <c r="C23" i="10" s="1"/>
  <c r="B27" i="10"/>
  <c r="B31" i="10"/>
  <c r="B35" i="10"/>
  <c r="B39" i="10"/>
  <c r="C39" i="10" s="1"/>
  <c r="B18" i="10"/>
  <c r="B22" i="10"/>
  <c r="B26" i="10"/>
  <c r="B30" i="10"/>
  <c r="C30" i="10" s="1"/>
  <c r="B34" i="10"/>
  <c r="B38" i="10"/>
  <c r="B42" i="10"/>
  <c r="C42" i="10" s="1"/>
  <c r="B43" i="10"/>
  <c r="C43" i="10" s="1"/>
  <c r="B11" i="10"/>
  <c r="A7" i="10"/>
  <c r="B7" i="10" s="1"/>
  <c r="B8" i="10"/>
  <c r="B9" i="10"/>
  <c r="C9" i="10" s="1"/>
  <c r="B10" i="10"/>
  <c r="B13" i="10"/>
  <c r="B15" i="10"/>
  <c r="B17" i="10"/>
  <c r="C17" i="10" s="1"/>
  <c r="B21" i="10"/>
  <c r="C21" i="10" s="1"/>
  <c r="B25" i="10"/>
  <c r="C25" i="10" s="1"/>
  <c r="B29" i="10"/>
  <c r="B33" i="10"/>
  <c r="C33" i="10" s="1"/>
  <c r="B37" i="10"/>
  <c r="C37" i="10" s="1"/>
  <c r="B20" i="9"/>
  <c r="B24" i="9"/>
  <c r="B28" i="9"/>
  <c r="C28" i="9" s="1"/>
  <c r="B32" i="9"/>
  <c r="B36" i="9"/>
  <c r="B40" i="9"/>
  <c r="B12" i="9"/>
  <c r="B14" i="9"/>
  <c r="B16" i="9"/>
  <c r="B19" i="9"/>
  <c r="B23" i="9"/>
  <c r="C23" i="9" s="1"/>
  <c r="B27" i="9"/>
  <c r="B31" i="9"/>
  <c r="B35" i="9"/>
  <c r="B39" i="9"/>
  <c r="C39" i="9" s="1"/>
  <c r="B42" i="9"/>
  <c r="C42" i="9" s="1"/>
  <c r="B43" i="9"/>
  <c r="C43" i="9" s="1"/>
  <c r="B11" i="9"/>
  <c r="C11" i="9" s="1"/>
  <c r="B18" i="9"/>
  <c r="B22" i="9"/>
  <c r="B26" i="9"/>
  <c r="B30" i="9"/>
  <c r="B34" i="9"/>
  <c r="B38" i="9"/>
  <c r="A7" i="9"/>
  <c r="B7" i="9" s="1"/>
  <c r="B8" i="9"/>
  <c r="C8" i="9" s="1"/>
  <c r="B9" i="9"/>
  <c r="C9" i="9" s="1"/>
  <c r="B10" i="9"/>
  <c r="B13" i="9"/>
  <c r="B15" i="9"/>
  <c r="B17" i="9"/>
  <c r="C17" i="9" s="1"/>
  <c r="B21" i="9"/>
  <c r="B25" i="9"/>
  <c r="B29" i="9"/>
  <c r="B33" i="9"/>
  <c r="C33" i="9" s="1"/>
  <c r="B37" i="9"/>
  <c r="B20" i="8"/>
  <c r="B28" i="8"/>
  <c r="B36" i="8"/>
  <c r="B40" i="8"/>
  <c r="C40" i="8" s="1"/>
  <c r="B14" i="8"/>
  <c r="B23" i="8"/>
  <c r="B31" i="8"/>
  <c r="C31" i="8" s="1"/>
  <c r="B35" i="8"/>
  <c r="C35" i="8" s="1"/>
  <c r="B39" i="8"/>
  <c r="B24" i="8"/>
  <c r="C24" i="8" s="1"/>
  <c r="B32" i="8"/>
  <c r="C32" i="8" s="1"/>
  <c r="B12" i="8"/>
  <c r="B16" i="8"/>
  <c r="B19" i="8"/>
  <c r="B27" i="8"/>
  <c r="C27" i="8" s="1"/>
  <c r="B42" i="8"/>
  <c r="C42" i="8" s="1"/>
  <c r="B43" i="8"/>
  <c r="B11" i="8"/>
  <c r="B18" i="8"/>
  <c r="B22" i="8"/>
  <c r="B26" i="8"/>
  <c r="B30" i="8"/>
  <c r="B34" i="8"/>
  <c r="B38" i="8"/>
  <c r="A7" i="8"/>
  <c r="B7" i="8" s="1"/>
  <c r="B8" i="8"/>
  <c r="C8" i="8" s="1"/>
  <c r="B9" i="8"/>
  <c r="C9" i="8" s="1"/>
  <c r="B10" i="8"/>
  <c r="C10" i="8" s="1"/>
  <c r="B13" i="8"/>
  <c r="B15" i="8"/>
  <c r="B17" i="8"/>
  <c r="C17" i="8" s="1"/>
  <c r="B21" i="8"/>
  <c r="C21" i="8" s="1"/>
  <c r="B25" i="8"/>
  <c r="B29" i="8"/>
  <c r="C29" i="8" s="1"/>
  <c r="B33" i="8"/>
  <c r="C33" i="8" s="1"/>
  <c r="B37" i="8"/>
  <c r="C37" i="8" s="1"/>
  <c r="C29" i="11" l="1"/>
  <c r="C18" i="11"/>
  <c r="C30" i="11"/>
  <c r="C11" i="11"/>
  <c r="C39" i="11"/>
  <c r="C23" i="11"/>
  <c r="C20" i="11"/>
  <c r="C34" i="11"/>
  <c r="C32" i="11"/>
  <c r="C10" i="11"/>
  <c r="C26" i="11"/>
  <c r="C38" i="11"/>
  <c r="C35" i="11"/>
  <c r="C19" i="11"/>
  <c r="C36" i="11"/>
  <c r="C41" i="11"/>
  <c r="C29" i="10"/>
  <c r="C8" i="10"/>
  <c r="C26" i="10"/>
  <c r="C35" i="10"/>
  <c r="C19" i="10"/>
  <c r="C40" i="10"/>
  <c r="C24" i="10"/>
  <c r="C38" i="10"/>
  <c r="C22" i="10"/>
  <c r="C31" i="10"/>
  <c r="C36" i="10"/>
  <c r="C20" i="10"/>
  <c r="C10" i="10"/>
  <c r="C11" i="10"/>
  <c r="C34" i="10"/>
  <c r="C18" i="10"/>
  <c r="C27" i="10"/>
  <c r="C32" i="10"/>
  <c r="C41" i="10"/>
  <c r="C34" i="9"/>
  <c r="C18" i="9"/>
  <c r="C29" i="9"/>
  <c r="C30" i="9"/>
  <c r="C35" i="9"/>
  <c r="C19" i="9"/>
  <c r="C40" i="9"/>
  <c r="C24" i="9"/>
  <c r="C25" i="9"/>
  <c r="C26" i="9"/>
  <c r="C31" i="9"/>
  <c r="C36" i="9"/>
  <c r="C20" i="9"/>
  <c r="C37" i="9"/>
  <c r="C21" i="9"/>
  <c r="C10" i="9"/>
  <c r="C38" i="9"/>
  <c r="C22" i="9"/>
  <c r="C27" i="9"/>
  <c r="C32" i="9"/>
  <c r="C41" i="9"/>
  <c r="C38" i="8"/>
  <c r="C22" i="8"/>
  <c r="C34" i="8"/>
  <c r="C18" i="8"/>
  <c r="C36" i="8"/>
  <c r="C30" i="8"/>
  <c r="C11" i="8"/>
  <c r="C19" i="8"/>
  <c r="C23" i="8"/>
  <c r="C28" i="8"/>
  <c r="C25" i="8"/>
  <c r="C26" i="8"/>
  <c r="C43" i="8"/>
  <c r="C39" i="8"/>
  <c r="C20" i="8"/>
  <c r="C41" i="8"/>
  <c r="I7" i="2"/>
  <c r="I16" i="2" l="1"/>
  <c r="I17" i="2"/>
  <c r="I11" i="2" l="1"/>
  <c r="I10" i="2"/>
  <c r="M9" i="12" l="1"/>
  <c r="M8" i="12"/>
  <c r="M9" i="2"/>
  <c r="M8" i="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7" i="12"/>
  <c r="I8" i="2"/>
  <c r="I9" i="2"/>
  <c r="I12" i="2"/>
  <c r="I13" i="2"/>
  <c r="I14" i="2"/>
  <c r="I15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F4" i="12"/>
  <c r="H42" i="12"/>
  <c r="I42" i="12" s="1"/>
  <c r="I41" i="12"/>
  <c r="I40" i="12"/>
  <c r="A7" i="12" a="1"/>
  <c r="M7" i="12" l="1"/>
  <c r="M6" i="12"/>
  <c r="A7" i="12"/>
  <c r="B7" i="12" s="1"/>
  <c r="H42" i="2" l="1"/>
  <c r="I42" i="2" s="1"/>
  <c r="A7" i="2" l="1" a="1"/>
  <c r="A7" i="2" s="1"/>
  <c r="B7" i="2" l="1"/>
  <c r="I41" i="2" l="1"/>
  <c r="I40" i="2"/>
  <c r="M6" i="2" l="1"/>
  <c r="M7" i="2"/>
  <c r="B42" i="12" s="1"/>
  <c r="B41" i="12" s="1"/>
  <c r="B37" i="12" s="1"/>
  <c r="B34" i="12" s="1"/>
  <c r="B33" i="12" s="1"/>
  <c r="B29" i="12" s="1"/>
  <c r="B25" i="12" s="1"/>
  <c r="B21" i="12" s="1"/>
  <c r="B17" i="12" s="1"/>
  <c r="B14" i="12" s="1"/>
  <c r="B13" i="12" s="1"/>
  <c r="B11" i="12" s="1"/>
  <c r="B9" i="12" s="1"/>
  <c r="B43" i="2" s="1"/>
  <c r="B42" i="2" s="1"/>
  <c r="B41" i="2" s="1"/>
  <c r="B40" i="2" s="1"/>
  <c r="B39" i="2" s="1"/>
  <c r="B38" i="2" s="1"/>
  <c r="B37" i="2" s="1"/>
  <c r="B36" i="2" s="1"/>
  <c r="B35" i="2" s="1"/>
  <c r="B34" i="2" s="1"/>
  <c r="B33" i="2" s="1"/>
  <c r="B32" i="2" s="1"/>
  <c r="B31" i="2" s="1"/>
  <c r="B30" i="2" s="1"/>
  <c r="B29" i="2" s="1"/>
  <c r="B28" i="2" s="1"/>
  <c r="B27" i="2" s="1"/>
  <c r="B26" i="2" s="1"/>
  <c r="B25" i="2" s="1"/>
  <c r="B24" i="2" s="1"/>
  <c r="B23" i="2" s="1"/>
  <c r="B22" i="2" s="1"/>
  <c r="B21" i="2" s="1"/>
  <c r="B20" i="2" s="1"/>
  <c r="B19" i="2" s="1"/>
  <c r="B18" i="2" s="1"/>
  <c r="B17" i="2" s="1"/>
  <c r="B16" i="2" s="1"/>
  <c r="B15" i="2" s="1"/>
  <c r="B14" i="2" s="1"/>
  <c r="B13" i="2" s="1"/>
  <c r="B12" i="2" s="1"/>
  <c r="B11" i="2" s="1"/>
  <c r="B10" i="2" s="1"/>
  <c r="B9" i="2" s="1"/>
  <c r="B8" i="2" s="1"/>
  <c r="C8" i="2" s="1"/>
  <c r="C34" i="12" l="1"/>
  <c r="C42" i="12"/>
  <c r="B22" i="12"/>
  <c r="C14" i="12"/>
  <c r="B15" i="12"/>
  <c r="C11" i="2"/>
  <c r="C19" i="2"/>
  <c r="C23" i="2"/>
  <c r="C31" i="2"/>
  <c r="C43" i="2"/>
  <c r="C10" i="2"/>
  <c r="C18" i="2"/>
  <c r="C22" i="2"/>
  <c r="C26" i="2"/>
  <c r="C30" i="2"/>
  <c r="C42" i="2"/>
  <c r="C20" i="2"/>
  <c r="C25" i="2"/>
  <c r="C24" i="2"/>
  <c r="C32" i="2"/>
  <c r="C36" i="2"/>
  <c r="C40" i="2"/>
  <c r="C9" i="2"/>
  <c r="C17" i="2"/>
  <c r="C21" i="2"/>
  <c r="C29" i="2"/>
  <c r="C33" i="2"/>
  <c r="C37" i="2"/>
  <c r="C41" i="2"/>
  <c r="C28" i="2"/>
  <c r="C27" i="2"/>
  <c r="C35" i="2"/>
  <c r="C34" i="2"/>
  <c r="C39" i="2"/>
  <c r="C38" i="2"/>
  <c r="B19" i="12" l="1"/>
  <c r="C15" i="12"/>
  <c r="B30" i="12"/>
  <c r="C22" i="12"/>
  <c r="B38" i="12" l="1"/>
  <c r="C38" i="12" s="1"/>
  <c r="C30" i="12"/>
  <c r="B23" i="12"/>
  <c r="B27" i="12" l="1"/>
  <c r="C23" i="12"/>
  <c r="B31" i="12" l="1"/>
  <c r="C31" i="12" s="1"/>
  <c r="B35" i="12" s="1"/>
  <c r="B39" i="12" l="1"/>
  <c r="C35" i="12"/>
  <c r="B43" i="12" l="1"/>
  <c r="C39" i="12"/>
  <c r="B10" i="12" l="1"/>
  <c r="C43" i="12"/>
  <c r="B8" i="12" l="1"/>
  <c r="C10" i="12"/>
  <c r="C11" i="12"/>
  <c r="B12" i="12" l="1"/>
  <c r="C8" i="12"/>
  <c r="C9" i="12"/>
  <c r="B16" i="12" l="1"/>
  <c r="C12" i="12"/>
  <c r="C13" i="12"/>
  <c r="B20" i="12" l="1"/>
  <c r="C16" i="12"/>
  <c r="C17" i="12"/>
  <c r="B24" i="12" l="1"/>
  <c r="C20" i="12"/>
  <c r="C21" i="12"/>
  <c r="B28" i="12" l="1"/>
  <c r="C24" i="12"/>
  <c r="C25" i="12"/>
  <c r="B32" i="12" l="1"/>
  <c r="C28" i="12"/>
  <c r="C29" i="12"/>
  <c r="B36" i="12" l="1"/>
  <c r="C32" i="12"/>
  <c r="C33" i="12"/>
  <c r="B40" i="12" l="1"/>
  <c r="C36" i="12"/>
  <c r="C37" i="12"/>
  <c r="B18" i="12" l="1"/>
  <c r="C40" i="12"/>
  <c r="C41" i="12"/>
  <c r="B26" i="12" l="1"/>
  <c r="C18" i="12"/>
  <c r="C19" i="12"/>
  <c r="C26" i="12" l="1"/>
  <c r="C27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<sst xmlns="http://schemas.openxmlformats.org/spreadsheetml/2006/main" count="626" uniqueCount="128">
  <si>
    <t># of Racks</t>
  </si>
  <si>
    <t>Time (Mins)</t>
  </si>
  <si>
    <t># of Parts</t>
  </si>
  <si>
    <t>Colour</t>
  </si>
  <si>
    <t>Length</t>
  </si>
  <si>
    <t>Part</t>
  </si>
  <si>
    <t xml:space="preserve"> </t>
  </si>
  <si>
    <t>102 Line Paint Schedule</t>
  </si>
  <si>
    <t>Small</t>
  </si>
  <si>
    <t>Star White</t>
  </si>
  <si>
    <t>Short</t>
  </si>
  <si>
    <t>Long</t>
  </si>
  <si>
    <t>Black</t>
  </si>
  <si>
    <t>LG Magnetic</t>
  </si>
  <si>
    <t>RH Cantrial</t>
  </si>
  <si>
    <t>Roof Bow</t>
  </si>
  <si>
    <t>Hood Trim</t>
  </si>
  <si>
    <t>LU-05</t>
  </si>
  <si>
    <t>Prime</t>
  </si>
  <si>
    <t>LU-06</t>
  </si>
  <si>
    <t>LU-07</t>
  </si>
  <si>
    <t>LU-10</t>
  </si>
  <si>
    <t>Empties</t>
  </si>
  <si>
    <t>LU-08</t>
  </si>
  <si>
    <t>ACS Spoilers</t>
  </si>
  <si>
    <t>Prime/Base/Clear</t>
  </si>
  <si>
    <t>Prime/Base</t>
  </si>
  <si>
    <t>Black II</t>
  </si>
  <si>
    <t>BMW</t>
  </si>
  <si>
    <t>LU-01</t>
  </si>
  <si>
    <t>LU-02</t>
  </si>
  <si>
    <t>LU-03</t>
  </si>
  <si>
    <t>LU-04</t>
  </si>
  <si>
    <t>LU-09</t>
  </si>
  <si>
    <t>Total Racks:</t>
  </si>
  <si>
    <t>Summary</t>
  </si>
  <si>
    <t>Total Parts:</t>
  </si>
  <si>
    <t>Total hours without Colour Change:</t>
  </si>
  <si>
    <t>Total Hours with Colour Change:</t>
  </si>
  <si>
    <t>Base JOB</t>
  </si>
  <si>
    <t>Base Colour</t>
  </si>
  <si>
    <t>Base Presets</t>
  </si>
  <si>
    <t>General Base Cup Shot</t>
  </si>
  <si>
    <t>Target Base Cup Shot</t>
  </si>
  <si>
    <t>Clear Job</t>
  </si>
  <si>
    <t>Clear Colour</t>
  </si>
  <si>
    <t>Clear Presets</t>
  </si>
  <si>
    <t>General Clear Cup Shot</t>
  </si>
  <si>
    <t>Target Clear Cup Shot</t>
  </si>
  <si>
    <t>30-50ml</t>
  </si>
  <si>
    <t>1</t>
  </si>
  <si>
    <t>40-60ml</t>
  </si>
  <si>
    <t>-</t>
  </si>
  <si>
    <t>1/2</t>
  </si>
  <si>
    <t>30-45ml</t>
  </si>
  <si>
    <t>30-35ml</t>
  </si>
  <si>
    <t>205</t>
  </si>
  <si>
    <t>206</t>
  </si>
  <si>
    <t>208</t>
  </si>
  <si>
    <t>210</t>
  </si>
  <si>
    <t>LH w/Holes</t>
  </si>
  <si>
    <t>RH w/Holes</t>
  </si>
  <si>
    <t>JOB Ref</t>
  </si>
  <si>
    <t>20-40ml</t>
  </si>
  <si>
    <t>25-32ml</t>
  </si>
  <si>
    <t>95</t>
  </si>
  <si>
    <t>120-150cc/min</t>
  </si>
  <si>
    <t>130-140cc/min</t>
  </si>
  <si>
    <t>46</t>
  </si>
  <si>
    <t>3 &amp; 1</t>
  </si>
  <si>
    <t>140-180cc/min</t>
  </si>
  <si>
    <t>150-160cc/min</t>
  </si>
  <si>
    <t>Primer</t>
  </si>
  <si>
    <t>48-54ml</t>
  </si>
  <si>
    <t>42-47ml</t>
  </si>
  <si>
    <t>44</t>
  </si>
  <si>
    <t>4</t>
  </si>
  <si>
    <t>33 &amp; 44</t>
  </si>
  <si>
    <t>3 &amp; 4</t>
  </si>
  <si>
    <t>3 (2K)</t>
  </si>
  <si>
    <t>33 (2K)</t>
  </si>
  <si>
    <t>100-200cc/min</t>
  </si>
  <si>
    <t>160-170cc/min</t>
  </si>
  <si>
    <t>Stone Gray</t>
  </si>
  <si>
    <t>Decklid</t>
  </si>
  <si>
    <t>Notes</t>
  </si>
  <si>
    <t>207</t>
  </si>
  <si>
    <t>209</t>
  </si>
  <si>
    <t>LH Cantrial</t>
  </si>
  <si>
    <t>LH</t>
  </si>
  <si>
    <t>RH</t>
  </si>
  <si>
    <t>Base/Clear</t>
  </si>
  <si>
    <t>Trial</t>
  </si>
  <si>
    <t>U22X</t>
  </si>
  <si>
    <t>Harley</t>
  </si>
  <si>
    <t>MidGloss</t>
  </si>
  <si>
    <t>High Gloss</t>
  </si>
  <si>
    <t>Burgundy Velvet</t>
  </si>
  <si>
    <t>Kodiak Brown</t>
  </si>
  <si>
    <t>Agate Black</t>
  </si>
  <si>
    <t>Red Hot</t>
  </si>
  <si>
    <t>Anti Matter Blue</t>
  </si>
  <si>
    <t>Dark Matter Gray</t>
  </si>
  <si>
    <t>Forged Green</t>
  </si>
  <si>
    <t>Infinite Blue</t>
  </si>
  <si>
    <t>Flight Blue</t>
  </si>
  <si>
    <t>LG Carbonized Gray</t>
  </si>
  <si>
    <t>901/902</t>
  </si>
  <si>
    <t>306</t>
  </si>
  <si>
    <t>100-110cc/min</t>
  </si>
  <si>
    <t>95-110cc/min</t>
  </si>
  <si>
    <t>49</t>
  </si>
  <si>
    <t xml:space="preserve">High Gloss Part trial </t>
  </si>
  <si>
    <t>115-125cc/min</t>
  </si>
  <si>
    <t>155-165cc/min</t>
  </si>
  <si>
    <t>903</t>
  </si>
  <si>
    <t>28-35ml</t>
  </si>
  <si>
    <t>138-148cc/min</t>
  </si>
  <si>
    <t>25-28ml</t>
  </si>
  <si>
    <t>High Gloss Clear</t>
  </si>
  <si>
    <t>20-30ml</t>
  </si>
  <si>
    <t>90-120cc/min</t>
  </si>
  <si>
    <t>95-105cc/min</t>
  </si>
  <si>
    <t>Iconic Silver</t>
  </si>
  <si>
    <t>Jewel Red</t>
  </si>
  <si>
    <t>Colour Changes</t>
  </si>
  <si>
    <t>Number of</t>
  </si>
  <si>
    <t>Scrap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</si>
</sst>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2"/>
      <color theme="1"/>
      <name val="Arial"/>
      <family val="2"/>
    </font>
    <font>
      <sz val="12"/>
      <color theme="2" tint="-0.89999084444715716"/>
      <name val="Arial"/>
      <family val="2"/>
    </font>
    <font>
      <sz val="14"/>
      <color theme="1"/>
      <name val="Arial"/>
      <family val="2"/>
    </font>
    <font>
      <sz val="11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2" tint="-0.89999084444715716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6"/>
      <color theme="2" tint="-0.89999084444715716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6" fillId="0" borderId="0" xfId="0" applyFont="1"/>
    <xf numFmtId="0" fontId="6" fillId="0" borderId="0" xfId="0" applyFont="1" applyAlignment="1" applyProtection="1">
      <alignment horizontal="left"/>
      <protection locked="0"/>
    </xf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8" fillId="0" borderId="14" xfId="0" applyFont="1" applyBorder="1"/>
    <xf numFmtId="0" fontId="8" fillId="0" borderId="15" xfId="0" applyFont="1" applyBorder="1" applyAlignment="1">
      <alignment horizontal="center"/>
    </xf>
    <xf numFmtId="0" fontId="8" fillId="0" borderId="15" xfId="0" applyFont="1" applyBorder="1"/>
    <xf numFmtId="0" fontId="8" fillId="0" borderId="16" xfId="0" applyFont="1" applyBorder="1" applyAlignment="1">
      <alignment horizontal="center"/>
    </xf>
    <xf numFmtId="0" fontId="1" fillId="0" borderId="0" xfId="0" applyFont="1"/>
    <xf numFmtId="0" fontId="9" fillId="0" borderId="0" xfId="0" applyFont="1"/>
    <xf numFmtId="0" fontId="10" fillId="0" borderId="0" xfId="0" applyFont="1"/>
    <xf numFmtId="0" fontId="1" fillId="0" borderId="12" xfId="0" applyFont="1" applyBorder="1"/>
    <xf numFmtId="0" fontId="8" fillId="0" borderId="12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5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8" fillId="0" borderId="17" xfId="0" applyFont="1" applyBorder="1" applyAlignment="1">
      <alignment horizontal="center"/>
    </xf>
    <xf numFmtId="0" fontId="13" fillId="0" borderId="0" xfId="0" applyFont="1"/>
    <xf numFmtId="0" fontId="8" fillId="0" borderId="28" xfId="0" applyFont="1" applyBorder="1" applyAlignment="1">
      <alignment horizontal="center"/>
    </xf>
    <xf numFmtId="16" fontId="8" fillId="0" borderId="0" xfId="0" applyNumberFormat="1" applyFont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9" fillId="0" borderId="19" xfId="0" applyFont="1" applyBorder="1"/>
    <xf numFmtId="2" fontId="9" fillId="0" borderId="23" xfId="0" applyNumberFormat="1" applyFont="1" applyBorder="1"/>
    <xf numFmtId="0" fontId="4" fillId="0" borderId="1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1" fillId="0" borderId="18" xfId="0" applyFont="1" applyBorder="1" applyAlignment="1" applyProtection="1">
      <alignment horizontal="center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6" fillId="0" borderId="8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18" xfId="0" applyFont="1" applyBorder="1"/>
    <xf numFmtId="0" fontId="16" fillId="0" borderId="2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/>
    </xf>
    <xf numFmtId="0" fontId="9" fillId="0" borderId="23" xfId="0" applyFont="1" applyBorder="1"/>
    <xf numFmtId="0" fontId="9" fillId="0" borderId="5" xfId="0" applyFont="1" applyBorder="1"/>
    <xf numFmtId="0" fontId="9" fillId="0" borderId="29" xfId="0" applyFont="1" applyBorder="1"/>
    <xf numFmtId="0" fontId="9" fillId="0" borderId="0" xfId="0" applyFont="1" applyAlignment="1">
      <alignment horizontal="right"/>
    </xf>
    <xf numFmtId="0" fontId="9" fillId="0" borderId="0" xfId="0" applyFont="1" applyProtection="1">
      <protection locked="0"/>
    </xf>
    <xf numFmtId="14" fontId="4" fillId="0" borderId="12" xfId="0" applyNumberFormat="1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1" fillId="0" borderId="0" xfId="0" applyFont="1"/>
    <xf numFmtId="0" fontId="17" fillId="0" borderId="0" xfId="0" applyFont="1" applyProtection="1">
      <protection locked="0"/>
    </xf>
    <xf numFmtId="0" fontId="17" fillId="0" borderId="0" xfId="0" applyFont="1"/>
    <xf numFmtId="0" fontId="4" fillId="0" borderId="12" xfId="0" applyFont="1" applyBorder="1" applyAlignment="1">
      <alignment shrinkToFit="1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5" fontId="1" fillId="0" borderId="12" xfId="0" applyNumberFormat="1" applyFont="1" applyBorder="1" applyAlignment="1">
      <alignment vertical="center"/>
    </xf>
    <xf numFmtId="0" fontId="4" fillId="0" borderId="2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5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Alignment="1">
      <alignment horizontal="center"/>
    </xf>
    <xf numFmtId="0" fontId="18" fillId="0" borderId="0" xfId="0" applyFont="1"/>
    <xf numFmtId="0" fontId="11" fillId="0" borderId="19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0" fontId="16" fillId="0" borderId="33" xfId="0" applyFont="1" applyBorder="1" applyAlignment="1" applyProtection="1">
      <alignment horizontal="center"/>
      <protection locked="0"/>
    </xf>
    <xf numFmtId="0" fontId="11" fillId="0" borderId="34" xfId="0" applyFont="1" applyBorder="1" applyAlignment="1" applyProtection="1">
      <alignment horizontal="center"/>
      <protection locked="0"/>
    </xf>
    <xf numFmtId="0" fontId="16" fillId="0" borderId="11" xfId="0" applyFont="1" applyBorder="1" applyAlignment="1" applyProtection="1">
      <alignment horizontal="center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0" borderId="6" xfId="0" applyFont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6" fillId="0" borderId="6" xfId="0" applyFont="1" applyBorder="1" applyAlignment="1" applyProtection="1">
      <alignment horizontal="center"/>
      <protection locked="0"/>
    </xf>
    <xf numFmtId="0" fontId="16" fillId="0" borderId="36" xfId="0" applyFont="1" applyBorder="1" applyAlignment="1" applyProtection="1">
      <alignment horizontal="center"/>
      <protection locked="0"/>
    </xf>
    <xf numFmtId="16" fontId="12" fillId="0" borderId="0" xfId="0" applyNumberFormat="1" applyFont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5" fillId="0" borderId="1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115185</xdr:colOff>
      <xdr:row>0</xdr:row>
      <xdr:rowOff>35467</xdr:rowOff>
    </xdr:from>
    <xdr:to>
      <xdr:col>3</xdr:col>
      <xdr:colOff>992421</xdr:colOff>
      <xdr:row>4</xdr:row>
      <xdr:rowOff>94117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C9975-541C-4D64-831C-C0FF807CA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85" y="35467"/>
          <a:ext cx="2365517" cy="903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177517</xdr:colOff>
      <xdr:row>0</xdr:row>
      <xdr:rowOff>71437</xdr:rowOff>
    </xdr:from>
    <xdr:to>
      <xdr:col>3</xdr:col>
      <xdr:colOff>1054753</xdr:colOff>
      <xdr:row>4</xdr:row>
      <xdr:rowOff>130087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C7445A-7F50-4573-AFEA-3D3A0B83E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517" y="71437"/>
          <a:ext cx="2365517" cy="903994"/>
        </a:xfrm>
        <a:prstGeom prst="rect">
          <a:avLst/>
        </a:prstGeom>
      </xdr:spPr>
    </xdr:pic>
    <xdr:clientData/>
  </xdr:twoCellAnchor>
  <xdr:twoCellAnchor editAs="oneCell">
    <xdr:from>
      <xdr:col>2</xdr:col>
      <xdr:colOff>115185</xdr:colOff>
      <xdr:row>0</xdr:row>
      <xdr:rowOff>35467</xdr:rowOff>
    </xdr:from>
    <xdr:to>
      <xdr:col>3</xdr:col>
      <xdr:colOff>992421</xdr:colOff>
      <xdr:row>4</xdr:row>
      <xdr:rowOff>94117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53105-2E9E-455B-9630-450516C46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85" y="35467"/>
          <a:ext cx="2432986" cy="896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65599</xdr:colOff>
      <xdr:row>0</xdr:row>
      <xdr:rowOff>15157</xdr:rowOff>
    </xdr:from>
    <xdr:to>
      <xdr:col>3</xdr:col>
      <xdr:colOff>945216</xdr:colOff>
      <xdr:row>4</xdr:row>
      <xdr:rowOff>73807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872971-C8BE-4ADA-9F56-64E08FAD1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599" y="15157"/>
          <a:ext cx="2365517" cy="906375"/>
        </a:xfrm>
        <a:prstGeom prst="rect">
          <a:avLst/>
        </a:prstGeom>
      </xdr:spPr>
    </xdr:pic>
    <xdr:clientData/>
  </xdr:twoCellAnchor>
  <xdr:twoCellAnchor editAs="oneCell">
    <xdr:from>
      <xdr:col>2</xdr:col>
      <xdr:colOff>115185</xdr:colOff>
      <xdr:row>0</xdr:row>
      <xdr:rowOff>35467</xdr:rowOff>
    </xdr:from>
    <xdr:to>
      <xdr:col>3</xdr:col>
      <xdr:colOff>992421</xdr:colOff>
      <xdr:row>4</xdr:row>
      <xdr:rowOff>94117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7210C3-F279-44F7-8884-DA6AE27F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85" y="35467"/>
          <a:ext cx="2432986" cy="896850"/>
        </a:xfrm>
        <a:prstGeom prst="rect">
          <a:avLst/>
        </a:prstGeom>
      </xdr:spPr>
    </xdr:pic>
    <xdr:clientData/>
  </xdr:twoCellAnchor>
  <xdr:twoCellAnchor editAs="oneCell">
    <xdr:from>
      <xdr:col>2</xdr:col>
      <xdr:colOff>115185</xdr:colOff>
      <xdr:row>0</xdr:row>
      <xdr:rowOff>35467</xdr:rowOff>
    </xdr:from>
    <xdr:to>
      <xdr:col>3</xdr:col>
      <xdr:colOff>992421</xdr:colOff>
      <xdr:row>4</xdr:row>
      <xdr:rowOff>94117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94CE41-1A7B-4603-961B-1212B2C4D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85" y="35467"/>
          <a:ext cx="2432986" cy="896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113224</xdr:colOff>
      <xdr:row>0</xdr:row>
      <xdr:rowOff>72307</xdr:rowOff>
    </xdr:from>
    <xdr:to>
      <xdr:col>3</xdr:col>
      <xdr:colOff>992841</xdr:colOff>
      <xdr:row>4</xdr:row>
      <xdr:rowOff>130957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B1CE7-1CA3-4508-BB7E-ADE45EF21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224" y="72307"/>
          <a:ext cx="2365517" cy="906375"/>
        </a:xfrm>
        <a:prstGeom prst="rect">
          <a:avLst/>
        </a:prstGeom>
      </xdr:spPr>
    </xdr:pic>
    <xdr:clientData/>
  </xdr:twoCellAnchor>
  <xdr:twoCellAnchor editAs="oneCell">
    <xdr:from>
      <xdr:col>2</xdr:col>
      <xdr:colOff>115185</xdr:colOff>
      <xdr:row>0</xdr:row>
      <xdr:rowOff>35467</xdr:rowOff>
    </xdr:from>
    <xdr:to>
      <xdr:col>3</xdr:col>
      <xdr:colOff>992421</xdr:colOff>
      <xdr:row>4</xdr:row>
      <xdr:rowOff>94117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017319-B985-4DE7-8252-6ED3A6CC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85" y="35467"/>
          <a:ext cx="2432986" cy="896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113224</xdr:colOff>
      <xdr:row>0</xdr:row>
      <xdr:rowOff>62782</xdr:rowOff>
    </xdr:from>
    <xdr:to>
      <xdr:col>3</xdr:col>
      <xdr:colOff>992841</xdr:colOff>
      <xdr:row>4</xdr:row>
      <xdr:rowOff>121432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DF283A-90CE-47EB-A519-2A626DCE9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224" y="62782"/>
          <a:ext cx="2365517" cy="906375"/>
        </a:xfrm>
        <a:prstGeom prst="rect">
          <a:avLst/>
        </a:prstGeom>
      </xdr:spPr>
    </xdr:pic>
    <xdr:clientData/>
  </xdr:twoCellAnchor>
  <xdr:twoCellAnchor editAs="oneCell">
    <xdr:from>
      <xdr:col>2</xdr:col>
      <xdr:colOff>115185</xdr:colOff>
      <xdr:row>0</xdr:row>
      <xdr:rowOff>35467</xdr:rowOff>
    </xdr:from>
    <xdr:to>
      <xdr:col>3</xdr:col>
      <xdr:colOff>992421</xdr:colOff>
      <xdr:row>4</xdr:row>
      <xdr:rowOff>94117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5141F-23E8-4382-AF4B-41291724C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85" y="35467"/>
          <a:ext cx="2432986" cy="896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103699</xdr:colOff>
      <xdr:row>0</xdr:row>
      <xdr:rowOff>43732</xdr:rowOff>
    </xdr:from>
    <xdr:to>
      <xdr:col>3</xdr:col>
      <xdr:colOff>983316</xdr:colOff>
      <xdr:row>4</xdr:row>
      <xdr:rowOff>102382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CF9679-B87B-4A80-8501-573FF2D8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699" y="43732"/>
          <a:ext cx="2365517" cy="90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6"/>
  <sheetViews>
    <sheetView tabSelected="1" topLeftCell="C1" zoomScale="80" zoomScaleNormal="80" workbookViewId="0">
      <selection activeCell="F13" sqref="F13"/>
    </sheetView>
  </sheetViews>
  <sheetFormatPr defaultColWidth="9.1796875" defaultRowHeight="14" x14ac:dyDescent="0.3"/>
  <cols>
    <col min="1" max="2" width="22.26953125" style="25" hidden="1" customWidth="1"/>
    <col min="3" max="3" width="22.26953125" style="25" customWidth="1"/>
    <col min="4" max="4" width="18.453125" style="76" customWidth="1"/>
    <col min="5" max="5" width="16.54296875" style="25" customWidth="1"/>
    <col min="6" max="6" width="64.26953125" style="25" bestFit="1" customWidth="1"/>
    <col min="7" max="7" width="19" style="76" customWidth="1"/>
    <col min="8" max="8" width="16.26953125" style="76" bestFit="1" customWidth="1"/>
    <col min="9" max="9" width="11.7265625" style="25" bestFit="1" customWidth="1"/>
    <col min="10" max="10" width="14.81640625" style="25" bestFit="1" customWidth="1"/>
    <col min="11" max="11" width="9.1796875" style="25"/>
    <col min="12" max="12" width="31.1796875" style="26" customWidth="1"/>
    <col min="13" max="13" width="6" style="26" bestFit="1" customWidth="1"/>
    <col min="14" max="14" width="8.81640625" style="26"/>
    <col min="15" max="15" width="13.1796875" style="27" bestFit="1" customWidth="1"/>
    <col min="16" max="16" width="9.54296875" style="27" bestFit="1" customWidth="1"/>
    <col min="17" max="17" width="23.54296875" style="27" bestFit="1" customWidth="1"/>
    <col min="18" max="19" width="8.81640625" style="26"/>
    <col min="20" max="16384" width="9.1796875" style="25"/>
  </cols>
  <sheetData>
    <row r="1" spans="1:17" ht="17.5" x14ac:dyDescent="0.3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3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35">
      <c r="A3" s="28"/>
      <c r="C3" s="29"/>
      <c r="D3" s="30"/>
      <c r="E3" s="31"/>
      <c r="F3" s="30"/>
      <c r="G3" s="32"/>
      <c r="H3" s="33"/>
      <c r="I3" s="34"/>
      <c r="J3" s="34"/>
    </row>
    <row r="4" spans="1:17" ht="18.5" thickBot="1" x14ac:dyDescent="0.45">
      <c r="A4" s="28" t="s">
        <v>6</v>
      </c>
      <c r="C4" s="29"/>
      <c r="D4" s="30"/>
      <c r="E4" s="31"/>
      <c r="F4" s="35"/>
      <c r="G4" s="36"/>
      <c r="H4" s="37"/>
      <c r="O4" s="38" t="s">
        <v>5</v>
      </c>
      <c r="P4" s="38" t="s">
        <v>4</v>
      </c>
      <c r="Q4" s="38" t="s">
        <v>3</v>
      </c>
    </row>
    <row r="5" spans="1:17" ht="18.5" thickBot="1" x14ac:dyDescent="0.45">
      <c r="A5" s="28"/>
      <c r="C5" s="29"/>
      <c r="D5" s="39"/>
      <c r="E5" s="31"/>
      <c r="F5" s="98"/>
      <c r="G5" s="30"/>
      <c r="H5" s="37"/>
      <c r="L5" s="99" t="s">
        <v>35</v>
      </c>
      <c r="M5" s="100"/>
      <c r="O5" s="16" t="s">
        <v>22</v>
      </c>
      <c r="P5" s="16" t="s">
        <v>28</v>
      </c>
      <c r="Q5" s="16" t="s">
        <v>99</v>
      </c>
    </row>
    <row r="6" spans="1:17" ht="20.5" thickBot="1" x14ac:dyDescent="0.4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/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" x14ac:dyDescent="0.4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53"/>
      <c r="E7" s="54"/>
      <c r="F7" s="55"/>
      <c r="G7" s="56"/>
      <c r="H7" s="61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" x14ac:dyDescent="0.4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92"/>
      <c r="F8" s="94"/>
      <c r="G8" s="56"/>
      <c r="H8" s="57"/>
      <c r="I8" s="58">
        <f t="shared" ref="I8:I39" si="1">H8*5</f>
        <v>0</v>
      </c>
      <c r="J8" s="62"/>
      <c r="L8" s="60" t="s">
        <v>34</v>
      </c>
      <c r="M8" s="63">
        <f>SUM(H7:H40)</f>
        <v>0</v>
      </c>
      <c r="O8" s="16" t="s">
        <v>61</v>
      </c>
      <c r="P8" s="16"/>
      <c r="Q8" s="16" t="s">
        <v>22</v>
      </c>
    </row>
    <row r="9" spans="1:17" ht="20.5" thickBot="1" x14ac:dyDescent="0.4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6"/>
      <c r="H9" s="61"/>
      <c r="I9" s="58">
        <f t="shared" si="1"/>
        <v>0</v>
      </c>
      <c r="J9" s="62"/>
      <c r="L9" s="64" t="s">
        <v>36</v>
      </c>
      <c r="M9" s="65">
        <f>SUM(G7:G40)</f>
        <v>0</v>
      </c>
      <c r="O9" s="16" t="s">
        <v>10</v>
      </c>
      <c r="P9" s="16"/>
      <c r="Q9" s="16" t="s">
        <v>105</v>
      </c>
    </row>
    <row r="10" spans="1:17" ht="20" x14ac:dyDescent="0.4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>H10*5</f>
        <v>0</v>
      </c>
      <c r="J10" s="62"/>
      <c r="O10" s="18" t="s">
        <v>93</v>
      </c>
      <c r="P10" s="16"/>
      <c r="Q10" s="17" t="s">
        <v>123</v>
      </c>
    </row>
    <row r="11" spans="1:17" ht="20" x14ac:dyDescent="0.4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6"/>
      <c r="H11" s="61"/>
      <c r="I11" s="58">
        <f>H11*5</f>
        <v>0</v>
      </c>
      <c r="J11" s="62"/>
      <c r="O11" s="16"/>
      <c r="P11" s="16"/>
      <c r="Q11" s="16" t="s">
        <v>104</v>
      </c>
    </row>
    <row r="12" spans="1:17" ht="20.25" customHeight="1" x14ac:dyDescent="0.4">
      <c r="A12" s="51" t="str">
        <v/>
      </c>
      <c r="B12" s="51" t="str">
        <f t="shared" si="0"/>
        <v/>
      </c>
      <c r="C12" s="101"/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>
        <v>46</v>
      </c>
      <c r="O12" s="18"/>
      <c r="P12" s="16"/>
      <c r="Q12" s="16" t="s">
        <v>124</v>
      </c>
    </row>
    <row r="13" spans="1:17" ht="20" x14ac:dyDescent="0.4">
      <c r="A13" s="51" t="str">
        <v/>
      </c>
      <c r="B13" s="51" t="str">
        <f t="shared" si="0"/>
        <v/>
      </c>
      <c r="C13" s="101"/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" x14ac:dyDescent="0.4">
      <c r="A14" s="51" t="str">
        <v/>
      </c>
      <c r="B14" s="51" t="str">
        <f t="shared" si="0"/>
        <v/>
      </c>
      <c r="C14" s="101"/>
      <c r="D14" s="53"/>
      <c r="E14" s="54"/>
      <c r="F14" s="55"/>
      <c r="G14" s="55"/>
      <c r="H14" s="57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" x14ac:dyDescent="0.4">
      <c r="A15" s="51" t="str">
        <v/>
      </c>
      <c r="B15" s="51" t="str">
        <f t="shared" si="0"/>
        <v/>
      </c>
      <c r="C15" s="101"/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" x14ac:dyDescent="0.4">
      <c r="A16" s="51" t="str">
        <v/>
      </c>
      <c r="B16" s="51" t="str">
        <f t="shared" si="0"/>
        <v/>
      </c>
      <c r="C16" s="101"/>
      <c r="D16" s="93"/>
      <c r="E16" s="54"/>
      <c r="F16" s="94"/>
      <c r="G16" s="94"/>
      <c r="H16" s="95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" x14ac:dyDescent="0.4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92"/>
      <c r="F17" s="94"/>
      <c r="G17" s="56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" x14ac:dyDescent="0.4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 t="s">
        <v>127</v>
      </c>
    </row>
    <row r="19" spans="1:19" s="71" customFormat="1" ht="20" x14ac:dyDescent="0.4">
      <c r="A19" s="69" t="str">
        <v/>
      </c>
      <c r="B19" s="69" t="str">
        <f t="shared" si="0"/>
        <v/>
      </c>
      <c r="C19" s="52" t="str">
        <f t="shared" si="2"/>
        <v/>
      </c>
      <c r="D19" s="93"/>
      <c r="E19" s="54"/>
      <c r="F19" s="94"/>
      <c r="G19" s="96"/>
      <c r="H19" s="9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" x14ac:dyDescent="0.4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92"/>
      <c r="F20" s="55"/>
      <c r="G20" s="56"/>
      <c r="H20" s="57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" x14ac:dyDescent="0.4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92"/>
      <c r="F21" s="55"/>
      <c r="G21" s="56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" x14ac:dyDescent="0.4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92"/>
      <c r="F22" s="55"/>
      <c r="G22" s="56"/>
      <c r="H22" s="57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" x14ac:dyDescent="0.4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" x14ac:dyDescent="0.4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" x14ac:dyDescent="0.4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" x14ac:dyDescent="0.4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" x14ac:dyDescent="0.4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" x14ac:dyDescent="0.4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" x14ac:dyDescent="0.4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" x14ac:dyDescent="0.4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" x14ac:dyDescent="0.4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" x14ac:dyDescent="0.4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" x14ac:dyDescent="0.4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" x14ac:dyDescent="0.4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" x14ac:dyDescent="0.4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" x14ac:dyDescent="0.4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" x14ac:dyDescent="0.4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" x14ac:dyDescent="0.4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" x14ac:dyDescent="0.4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" x14ac:dyDescent="0.4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" x14ac:dyDescent="0.4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" x14ac:dyDescent="0.4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0.5" thickBot="1" x14ac:dyDescent="0.4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1"/>
      <c r="F43" s="81"/>
      <c r="G43" s="81"/>
      <c r="H43" s="82"/>
      <c r="I43" s="58"/>
      <c r="J43" s="62"/>
    </row>
    <row r="44" spans="1:19" x14ac:dyDescent="0.3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3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3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3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3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3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3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3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3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3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3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3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3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3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3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3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3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3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3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3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3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3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3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3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3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3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3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3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3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3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3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3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3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3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3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3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3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3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3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3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3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3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3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3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3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3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3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3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3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3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3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3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3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3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3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3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3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3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3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3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3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3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3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3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3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3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3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3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3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3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3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3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3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3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3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3">
      <c r="L119" s="25"/>
      <c r="M119" s="25"/>
      <c r="N119" s="25"/>
      <c r="O119" s="85"/>
      <c r="P119" s="85"/>
      <c r="Q119" s="85"/>
      <c r="R119" s="25"/>
      <c r="S119" s="25"/>
    </row>
    <row r="120" spans="4:19" x14ac:dyDescent="0.3">
      <c r="L120" s="25"/>
      <c r="M120" s="25"/>
      <c r="N120" s="25"/>
      <c r="O120" s="85"/>
      <c r="P120" s="85"/>
      <c r="Q120" s="85"/>
      <c r="R120" s="25"/>
      <c r="S120" s="25"/>
    </row>
    <row r="121" spans="4:19" x14ac:dyDescent="0.3">
      <c r="L121" s="25"/>
      <c r="M121" s="25"/>
      <c r="N121" s="25"/>
      <c r="O121" s="85"/>
      <c r="P121" s="85"/>
      <c r="Q121" s="85"/>
      <c r="R121" s="25"/>
      <c r="S121" s="25"/>
    </row>
    <row r="122" spans="4:19" x14ac:dyDescent="0.3">
      <c r="L122" s="25"/>
      <c r="M122" s="25"/>
      <c r="N122" s="25"/>
      <c r="O122" s="85"/>
      <c r="P122" s="85"/>
      <c r="Q122" s="85"/>
      <c r="R122" s="25"/>
      <c r="S122" s="25"/>
    </row>
    <row r="123" spans="4:19" x14ac:dyDescent="0.3">
      <c r="L123" s="25"/>
      <c r="M123" s="25"/>
      <c r="N123" s="25"/>
      <c r="O123" s="85"/>
      <c r="P123" s="85"/>
      <c r="Q123" s="85"/>
      <c r="R123" s="25"/>
      <c r="S123" s="25"/>
    </row>
    <row r="124" spans="4:19" x14ac:dyDescent="0.3">
      <c r="L124" s="25"/>
      <c r="M124" s="25"/>
      <c r="N124" s="25"/>
      <c r="O124" s="85"/>
      <c r="P124" s="85"/>
      <c r="Q124" s="85"/>
      <c r="R124" s="25"/>
      <c r="S124" s="25"/>
    </row>
    <row r="125" spans="4:19" x14ac:dyDescent="0.3">
      <c r="L125" s="25"/>
      <c r="M125" s="25"/>
      <c r="N125" s="25"/>
      <c r="O125" s="85"/>
      <c r="P125" s="85"/>
      <c r="Q125" s="85"/>
      <c r="R125" s="25"/>
      <c r="S125" s="25"/>
    </row>
    <row r="126" spans="4:19" x14ac:dyDescent="0.3">
      <c r="L126" s="25"/>
      <c r="M126" s="25"/>
      <c r="N126" s="25"/>
      <c r="O126" s="85"/>
      <c r="P126" s="85"/>
      <c r="Q126" s="85"/>
      <c r="R126" s="25"/>
      <c r="S126" s="25"/>
    </row>
  </sheetData>
  <sheetProtection formatCells="0" formatColumns="0" formatRows="0"/>
  <sortState xmlns:xlrd2="http://schemas.microsoft.com/office/spreadsheetml/2017/richdata2" ref="O5:O11">
    <sortCondition ref="O5:O11"/>
  </sortState>
  <mergeCells count="2">
    <mergeCell ref="L5:M5"/>
    <mergeCell ref="C12:C16"/>
  </mergeCells>
  <dataValidations count="3">
    <dataValidation type="list" allowBlank="1" showInputMessage="1" showErrorMessage="1" sqref="D7:D43" xr:uid="{00000000-0002-0000-0000-000000000000}">
      <formula1>$O$5:$O$12</formula1>
    </dataValidation>
    <dataValidation type="list" allowBlank="1" showInputMessage="1" showErrorMessage="1" sqref="F7:F43" xr:uid="{BB5DABA6-3CF1-449A-A03C-62C8883BE333}">
      <formula1>$Q$5:$Q$32</formula1>
    </dataValidation>
    <dataValidation type="list" allowBlank="1" showInputMessage="1" showErrorMessage="1" sqref="E7:E43" xr:uid="{B7192C08-4D6F-4B72-B9C6-D3B29DDE58E1}">
      <formula1>$P$5:$P$9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r:id="rId1"/>
  <headerFooter>
    <oddFooter>&amp;L8.2.2.2.3 102 Schedule Template&amp;RCreated :2023/01/01BT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B64195-BE49-4140-9EF2-56D51ADB6F83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5D2D-D72A-4F82-B4D4-17616EBF609F}">
  <sheetPr>
    <pageSetUpPr fitToPage="1"/>
  </sheetPr>
  <dimension ref="A1:S126"/>
  <sheetViews>
    <sheetView topLeftCell="D1" zoomScale="80" zoomScaleNormal="80" workbookViewId="0">
      <selection activeCell="L13" sqref="A1:XFD1048576"/>
    </sheetView>
  </sheetViews>
  <sheetFormatPr defaultColWidth="9.1796875" defaultRowHeight="14" x14ac:dyDescent="0.3"/>
  <cols>
    <col min="1" max="2" width="22.26953125" style="25" hidden="1" customWidth="1"/>
    <col min="3" max="3" width="22.26953125" style="25" customWidth="1"/>
    <col min="4" max="4" width="18.453125" style="76" customWidth="1"/>
    <col min="5" max="5" width="16.54296875" style="25" customWidth="1"/>
    <col min="6" max="6" width="64.26953125" style="25" bestFit="1" customWidth="1"/>
    <col min="7" max="7" width="19" style="76" customWidth="1"/>
    <col min="8" max="8" width="16.26953125" style="76" bestFit="1" customWidth="1"/>
    <col min="9" max="9" width="11.7265625" style="25" bestFit="1" customWidth="1"/>
    <col min="10" max="10" width="14.81640625" style="25" bestFit="1" customWidth="1"/>
    <col min="11" max="11" width="9.1796875" style="25"/>
    <col min="12" max="12" width="31.1796875" style="26" customWidth="1"/>
    <col min="13" max="13" width="6" style="26" bestFit="1" customWidth="1"/>
    <col min="14" max="14" width="9.1796875" style="26"/>
    <col min="15" max="15" width="13.1796875" style="27" bestFit="1" customWidth="1"/>
    <col min="16" max="16" width="9.54296875" style="27" bestFit="1" customWidth="1"/>
    <col min="17" max="17" width="23.54296875" style="27" bestFit="1" customWidth="1"/>
    <col min="18" max="19" width="9.1796875" style="26"/>
    <col min="20" max="16384" width="9.1796875" style="25"/>
  </cols>
  <sheetData>
    <row r="1" spans="1:17" ht="17.5" x14ac:dyDescent="0.3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3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35">
      <c r="A3" s="28"/>
      <c r="C3" s="29"/>
      <c r="D3" s="30"/>
      <c r="E3" s="31"/>
      <c r="F3" s="30"/>
      <c r="G3" s="32"/>
      <c r="H3" s="33"/>
      <c r="I3" s="34"/>
      <c r="J3" s="34"/>
    </row>
    <row r="4" spans="1:17" ht="18.5" thickBot="1" x14ac:dyDescent="0.45">
      <c r="A4" s="28" t="s">
        <v>6</v>
      </c>
      <c r="C4" s="29"/>
      <c r="D4" s="30"/>
      <c r="E4" s="31"/>
      <c r="F4" s="35"/>
      <c r="G4" s="36"/>
      <c r="H4" s="37"/>
      <c r="O4" s="38" t="s">
        <v>5</v>
      </c>
      <c r="P4" s="38" t="s">
        <v>4</v>
      </c>
      <c r="Q4" s="38" t="s">
        <v>3</v>
      </c>
    </row>
    <row r="5" spans="1:17" ht="18.5" thickBot="1" x14ac:dyDescent="0.45">
      <c r="A5" s="28"/>
      <c r="C5" s="29"/>
      <c r="D5" s="39"/>
      <c r="E5" s="31"/>
      <c r="F5" s="98"/>
      <c r="G5" s="30"/>
      <c r="H5" s="37"/>
      <c r="L5" s="99" t="s">
        <v>35</v>
      </c>
      <c r="M5" s="100"/>
      <c r="O5" s="16" t="s">
        <v>22</v>
      </c>
      <c r="P5" s="16" t="s">
        <v>28</v>
      </c>
      <c r="Q5" s="16" t="s">
        <v>99</v>
      </c>
    </row>
    <row r="6" spans="1:17" ht="20.5" thickBot="1" x14ac:dyDescent="0.4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/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" x14ac:dyDescent="0.4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53"/>
      <c r="E7" s="54"/>
      <c r="F7" s="55"/>
      <c r="G7" s="56"/>
      <c r="H7" s="61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" x14ac:dyDescent="0.4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92"/>
      <c r="F8" s="94"/>
      <c r="G8" s="56"/>
      <c r="H8" s="57"/>
      <c r="I8" s="58">
        <f t="shared" ref="I8:I39" si="1">H8*5</f>
        <v>0</v>
      </c>
      <c r="J8" s="62"/>
      <c r="L8" s="60" t="s">
        <v>34</v>
      </c>
      <c r="M8" s="63">
        <f>SUM(H7:H40)</f>
        <v>0</v>
      </c>
      <c r="O8" s="16" t="s">
        <v>61</v>
      </c>
      <c r="P8" s="16"/>
      <c r="Q8" s="16" t="s">
        <v>22</v>
      </c>
    </row>
    <row r="9" spans="1:17" ht="20.5" thickBot="1" x14ac:dyDescent="0.4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6"/>
      <c r="H9" s="61"/>
      <c r="I9" s="58">
        <f t="shared" si="1"/>
        <v>0</v>
      </c>
      <c r="J9" s="62"/>
      <c r="L9" s="64" t="s">
        <v>36</v>
      </c>
      <c r="M9" s="65">
        <f>SUM(G7:G40)</f>
        <v>0</v>
      </c>
      <c r="O9" s="16" t="s">
        <v>10</v>
      </c>
      <c r="P9" s="16"/>
      <c r="Q9" s="16" t="s">
        <v>105</v>
      </c>
    </row>
    <row r="10" spans="1:17" ht="20" x14ac:dyDescent="0.4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>H10*5</f>
        <v>0</v>
      </c>
      <c r="J10" s="62"/>
      <c r="O10" s="18" t="s">
        <v>93</v>
      </c>
      <c r="P10" s="16"/>
      <c r="Q10" s="17" t="s">
        <v>123</v>
      </c>
    </row>
    <row r="11" spans="1:17" ht="20" x14ac:dyDescent="0.4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6"/>
      <c r="H11" s="61"/>
      <c r="I11" s="58">
        <f>H11*5</f>
        <v>0</v>
      </c>
      <c r="J11" s="62"/>
      <c r="O11" s="16"/>
      <c r="P11" s="16"/>
      <c r="Q11" s="16" t="s">
        <v>104</v>
      </c>
    </row>
    <row r="12" spans="1:17" ht="20.25" customHeight="1" x14ac:dyDescent="0.4">
      <c r="A12" s="51" t="str">
        <v/>
      </c>
      <c r="B12" s="51" t="str">
        <f t="shared" si="0"/>
        <v/>
      </c>
      <c r="C12" s="101"/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>
        <v>46</v>
      </c>
      <c r="O12" s="18"/>
      <c r="P12" s="16"/>
      <c r="Q12" s="16" t="s">
        <v>124</v>
      </c>
    </row>
    <row r="13" spans="1:17" ht="20" x14ac:dyDescent="0.4">
      <c r="A13" s="51" t="str">
        <v/>
      </c>
      <c r="B13" s="51" t="str">
        <f t="shared" si="0"/>
        <v/>
      </c>
      <c r="C13" s="101"/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" x14ac:dyDescent="0.4">
      <c r="A14" s="51" t="str">
        <v/>
      </c>
      <c r="B14" s="51" t="str">
        <f t="shared" si="0"/>
        <v/>
      </c>
      <c r="C14" s="101"/>
      <c r="D14" s="53"/>
      <c r="E14" s="54"/>
      <c r="F14" s="55"/>
      <c r="G14" s="55"/>
      <c r="H14" s="57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" x14ac:dyDescent="0.4">
      <c r="A15" s="51" t="str">
        <v/>
      </c>
      <c r="B15" s="51" t="str">
        <f t="shared" si="0"/>
        <v/>
      </c>
      <c r="C15" s="101"/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" x14ac:dyDescent="0.4">
      <c r="A16" s="51" t="str">
        <v/>
      </c>
      <c r="B16" s="51" t="str">
        <f t="shared" si="0"/>
        <v/>
      </c>
      <c r="C16" s="101"/>
      <c r="D16" s="93"/>
      <c r="E16" s="54"/>
      <c r="F16" s="94"/>
      <c r="G16" s="94"/>
      <c r="H16" s="95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" x14ac:dyDescent="0.4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92"/>
      <c r="F17" s="94"/>
      <c r="G17" s="56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" x14ac:dyDescent="0.4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 t="s">
        <v>127</v>
      </c>
    </row>
    <row r="19" spans="1:19" s="71" customFormat="1" ht="20" x14ac:dyDescent="0.4">
      <c r="A19" s="69" t="str">
        <v/>
      </c>
      <c r="B19" s="69" t="str">
        <f t="shared" si="0"/>
        <v/>
      </c>
      <c r="C19" s="52" t="str">
        <f t="shared" si="2"/>
        <v/>
      </c>
      <c r="D19" s="93"/>
      <c r="E19" s="54"/>
      <c r="F19" s="94"/>
      <c r="G19" s="96"/>
      <c r="H19" s="9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" x14ac:dyDescent="0.4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92"/>
      <c r="F20" s="55"/>
      <c r="G20" s="56"/>
      <c r="H20" s="57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" x14ac:dyDescent="0.4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92"/>
      <c r="F21" s="55"/>
      <c r="G21" s="56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" x14ac:dyDescent="0.4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92"/>
      <c r="F22" s="55"/>
      <c r="G22" s="56"/>
      <c r="H22" s="57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" x14ac:dyDescent="0.4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" x14ac:dyDescent="0.4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" x14ac:dyDescent="0.4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" x14ac:dyDescent="0.4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" x14ac:dyDescent="0.4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" x14ac:dyDescent="0.4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" x14ac:dyDescent="0.4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" x14ac:dyDescent="0.4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" x14ac:dyDescent="0.4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" x14ac:dyDescent="0.4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" x14ac:dyDescent="0.4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" x14ac:dyDescent="0.4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" x14ac:dyDescent="0.4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" x14ac:dyDescent="0.4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" x14ac:dyDescent="0.4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" x14ac:dyDescent="0.4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" x14ac:dyDescent="0.4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" x14ac:dyDescent="0.4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" x14ac:dyDescent="0.4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" x14ac:dyDescent="0.4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0.5" thickBot="1" x14ac:dyDescent="0.4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1"/>
      <c r="F43" s="81"/>
      <c r="G43" s="81"/>
      <c r="H43" s="82"/>
      <c r="I43" s="58"/>
      <c r="J43" s="62"/>
    </row>
    <row r="44" spans="1:19" x14ac:dyDescent="0.3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3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3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3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3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3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3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3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3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3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3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3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3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3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3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3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3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3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3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3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3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3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3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3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3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3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3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3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3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3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3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3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3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3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3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3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3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3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3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3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3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3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3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3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3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3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3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3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3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3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3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3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3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3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3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3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3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3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3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3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3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3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3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3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3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3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3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3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3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3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3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3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3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3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3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3">
      <c r="L119" s="25"/>
      <c r="M119" s="25"/>
      <c r="N119" s="25"/>
      <c r="O119" s="85"/>
      <c r="P119" s="85"/>
      <c r="Q119" s="85"/>
      <c r="R119" s="25"/>
      <c r="S119" s="25"/>
    </row>
    <row r="120" spans="4:19" x14ac:dyDescent="0.3">
      <c r="L120" s="25"/>
      <c r="M120" s="25"/>
      <c r="N120" s="25"/>
      <c r="O120" s="85"/>
      <c r="P120" s="85"/>
      <c r="Q120" s="85"/>
      <c r="R120" s="25"/>
      <c r="S120" s="25"/>
    </row>
    <row r="121" spans="4:19" x14ac:dyDescent="0.3">
      <c r="L121" s="25"/>
      <c r="M121" s="25"/>
      <c r="N121" s="25"/>
      <c r="O121" s="85"/>
      <c r="P121" s="85"/>
      <c r="Q121" s="85"/>
      <c r="R121" s="25"/>
      <c r="S121" s="25"/>
    </row>
    <row r="122" spans="4:19" x14ac:dyDescent="0.3">
      <c r="L122" s="25"/>
      <c r="M122" s="25"/>
      <c r="N122" s="25"/>
      <c r="O122" s="85"/>
      <c r="P122" s="85"/>
      <c r="Q122" s="85"/>
      <c r="R122" s="25"/>
      <c r="S122" s="25"/>
    </row>
    <row r="123" spans="4:19" x14ac:dyDescent="0.3">
      <c r="L123" s="25"/>
      <c r="M123" s="25"/>
      <c r="N123" s="25"/>
      <c r="O123" s="85"/>
      <c r="P123" s="85"/>
      <c r="Q123" s="85"/>
      <c r="R123" s="25"/>
      <c r="S123" s="25"/>
    </row>
    <row r="124" spans="4:19" x14ac:dyDescent="0.3">
      <c r="L124" s="25"/>
      <c r="M124" s="25"/>
      <c r="N124" s="25"/>
      <c r="O124" s="85"/>
      <c r="P124" s="85"/>
      <c r="Q124" s="85"/>
      <c r="R124" s="25"/>
      <c r="S124" s="25"/>
    </row>
    <row r="125" spans="4:19" x14ac:dyDescent="0.3">
      <c r="L125" s="25"/>
      <c r="M125" s="25"/>
      <c r="N125" s="25"/>
      <c r="O125" s="85"/>
      <c r="P125" s="85"/>
      <c r="Q125" s="85"/>
      <c r="R125" s="25"/>
      <c r="S125" s="25"/>
    </row>
    <row r="126" spans="4:19" x14ac:dyDescent="0.3">
      <c r="L126" s="25"/>
      <c r="M126" s="25"/>
      <c r="N126" s="25"/>
      <c r="O126" s="85"/>
      <c r="P126" s="85"/>
      <c r="Q126" s="85"/>
      <c r="R126" s="25"/>
      <c r="S126" s="25"/>
    </row>
  </sheetData>
  <mergeCells count="2">
    <mergeCell ref="L5:M5"/>
    <mergeCell ref="C12:C16"/>
  </mergeCells>
  <dataValidations count="3">
    <dataValidation type="list" allowBlank="1" showInputMessage="1" showErrorMessage="1" sqref="E7:E43" xr:uid="{2128312E-2F02-4B5E-B229-04D75DD179D8}">
      <formula1>$P$5:$P$9</formula1>
    </dataValidation>
    <dataValidation type="list" allowBlank="1" showInputMessage="1" showErrorMessage="1" sqref="F7:F43" xr:uid="{8026F550-C8E5-4085-961E-D9BCCE83E404}">
      <formula1>$Q$5:$Q$32</formula1>
    </dataValidation>
    <dataValidation type="list" allowBlank="1" showInputMessage="1" showErrorMessage="1" sqref="D7:D43" xr:uid="{C475C1E4-C478-4441-AE8D-8AEADFFCFFE1}">
      <formula1>$O$5:$O$12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r:id="rId1"/>
  <headerFooter>
    <oddFooter>&amp;L8.2.2.2.3 102 Schedule Template&amp;RCreated :2023/01/01BT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8E8DDE-1B01-4D00-B5EC-356782ECF097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1492-FAD0-4779-985B-39C792334DAB}">
  <sheetPr>
    <pageSetUpPr fitToPage="1"/>
  </sheetPr>
  <dimension ref="A1:S126"/>
  <sheetViews>
    <sheetView topLeftCell="G1" zoomScale="80" zoomScaleNormal="80" workbookViewId="0">
      <selection activeCell="L13" sqref="A1:XFD1048576"/>
    </sheetView>
  </sheetViews>
  <sheetFormatPr defaultColWidth="9.1796875" defaultRowHeight="14" x14ac:dyDescent="0.3"/>
  <cols>
    <col min="1" max="2" width="22.26953125" style="25" hidden="1" customWidth="1"/>
    <col min="3" max="3" width="22.26953125" style="25" customWidth="1"/>
    <col min="4" max="4" width="18.453125" style="76" customWidth="1"/>
    <col min="5" max="5" width="16.54296875" style="25" customWidth="1"/>
    <col min="6" max="6" width="64.26953125" style="25" bestFit="1" customWidth="1"/>
    <col min="7" max="7" width="19" style="76" customWidth="1"/>
    <col min="8" max="8" width="16.26953125" style="76" bestFit="1" customWidth="1"/>
    <col min="9" max="9" width="11.7265625" style="25" bestFit="1" customWidth="1"/>
    <col min="10" max="10" width="14.81640625" style="25" bestFit="1" customWidth="1"/>
    <col min="11" max="11" width="9.1796875" style="25"/>
    <col min="12" max="12" width="31.1796875" style="26" customWidth="1"/>
    <col min="13" max="13" width="6" style="26" bestFit="1" customWidth="1"/>
    <col min="14" max="14" width="9.1796875" style="26"/>
    <col min="15" max="15" width="13.1796875" style="27" bestFit="1" customWidth="1"/>
    <col min="16" max="16" width="9.54296875" style="27" bestFit="1" customWidth="1"/>
    <col min="17" max="17" width="23.54296875" style="27" bestFit="1" customWidth="1"/>
    <col min="18" max="19" width="9.1796875" style="26"/>
    <col min="20" max="16384" width="9.1796875" style="25"/>
  </cols>
  <sheetData>
    <row r="1" spans="1:17" ht="17.5" x14ac:dyDescent="0.3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3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35">
      <c r="A3" s="28"/>
      <c r="C3" s="29"/>
      <c r="D3" s="30"/>
      <c r="E3" s="31"/>
      <c r="F3" s="30"/>
      <c r="G3" s="32"/>
      <c r="H3" s="33"/>
      <c r="I3" s="34"/>
      <c r="J3" s="34"/>
    </row>
    <row r="4" spans="1:17" ht="18.5" thickBot="1" x14ac:dyDescent="0.45">
      <c r="A4" s="28" t="s">
        <v>6</v>
      </c>
      <c r="C4" s="29"/>
      <c r="D4" s="30"/>
      <c r="E4" s="31"/>
      <c r="F4" s="35"/>
      <c r="G4" s="36"/>
      <c r="H4" s="37"/>
      <c r="O4" s="38" t="s">
        <v>5</v>
      </c>
      <c r="P4" s="38" t="s">
        <v>4</v>
      </c>
      <c r="Q4" s="38" t="s">
        <v>3</v>
      </c>
    </row>
    <row r="5" spans="1:17" ht="18.5" thickBot="1" x14ac:dyDescent="0.45">
      <c r="A5" s="28"/>
      <c r="C5" s="29"/>
      <c r="D5" s="39"/>
      <c r="E5" s="31"/>
      <c r="F5" s="98"/>
      <c r="G5" s="30"/>
      <c r="H5" s="37"/>
      <c r="L5" s="99" t="s">
        <v>35</v>
      </c>
      <c r="M5" s="100"/>
      <c r="O5" s="16" t="s">
        <v>22</v>
      </c>
      <c r="P5" s="16" t="s">
        <v>28</v>
      </c>
      <c r="Q5" s="16" t="s">
        <v>99</v>
      </c>
    </row>
    <row r="6" spans="1:17" ht="20.5" thickBot="1" x14ac:dyDescent="0.4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/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" x14ac:dyDescent="0.4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53"/>
      <c r="E7" s="54"/>
      <c r="F7" s="55"/>
      <c r="G7" s="56"/>
      <c r="H7" s="61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" x14ac:dyDescent="0.4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92"/>
      <c r="F8" s="94"/>
      <c r="G8" s="56"/>
      <c r="H8" s="57"/>
      <c r="I8" s="58">
        <f t="shared" ref="I8:I39" si="1">H8*5</f>
        <v>0</v>
      </c>
      <c r="J8" s="62"/>
      <c r="L8" s="60" t="s">
        <v>34</v>
      </c>
      <c r="M8" s="63">
        <f>SUM(H7:H40)</f>
        <v>0</v>
      </c>
      <c r="O8" s="16" t="s">
        <v>61</v>
      </c>
      <c r="P8" s="16"/>
      <c r="Q8" s="16" t="s">
        <v>22</v>
      </c>
    </row>
    <row r="9" spans="1:17" ht="20.5" thickBot="1" x14ac:dyDescent="0.4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6"/>
      <c r="H9" s="61"/>
      <c r="I9" s="58">
        <f t="shared" si="1"/>
        <v>0</v>
      </c>
      <c r="J9" s="62"/>
      <c r="L9" s="64" t="s">
        <v>36</v>
      </c>
      <c r="M9" s="65">
        <f>SUM(G7:G40)</f>
        <v>0</v>
      </c>
      <c r="O9" s="16" t="s">
        <v>10</v>
      </c>
      <c r="P9" s="16"/>
      <c r="Q9" s="16" t="s">
        <v>105</v>
      </c>
    </row>
    <row r="10" spans="1:17" ht="20" x14ac:dyDescent="0.4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>H10*5</f>
        <v>0</v>
      </c>
      <c r="J10" s="62"/>
      <c r="O10" s="18" t="s">
        <v>93</v>
      </c>
      <c r="P10" s="16"/>
      <c r="Q10" s="17" t="s">
        <v>123</v>
      </c>
    </row>
    <row r="11" spans="1:17" ht="20" x14ac:dyDescent="0.4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6"/>
      <c r="H11" s="61"/>
      <c r="I11" s="58">
        <f>H11*5</f>
        <v>0</v>
      </c>
      <c r="J11" s="62"/>
      <c r="O11" s="16"/>
      <c r="P11" s="16"/>
      <c r="Q11" s="16" t="s">
        <v>104</v>
      </c>
    </row>
    <row r="12" spans="1:17" ht="20.25" customHeight="1" x14ac:dyDescent="0.4">
      <c r="A12" s="51" t="str">
        <v/>
      </c>
      <c r="B12" s="51" t="str">
        <f t="shared" si="0"/>
        <v/>
      </c>
      <c r="C12" s="101"/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>
        <v>46</v>
      </c>
      <c r="O12" s="18"/>
      <c r="P12" s="16"/>
      <c r="Q12" s="16" t="s">
        <v>124</v>
      </c>
    </row>
    <row r="13" spans="1:17" ht="20" x14ac:dyDescent="0.4">
      <c r="A13" s="51" t="str">
        <v/>
      </c>
      <c r="B13" s="51" t="str">
        <f t="shared" si="0"/>
        <v/>
      </c>
      <c r="C13" s="101"/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" x14ac:dyDescent="0.4">
      <c r="A14" s="51" t="str">
        <v/>
      </c>
      <c r="B14" s="51" t="str">
        <f t="shared" si="0"/>
        <v/>
      </c>
      <c r="C14" s="101"/>
      <c r="D14" s="53"/>
      <c r="E14" s="54"/>
      <c r="F14" s="55"/>
      <c r="G14" s="55"/>
      <c r="H14" s="57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" x14ac:dyDescent="0.4">
      <c r="A15" s="51" t="str">
        <v/>
      </c>
      <c r="B15" s="51" t="str">
        <f t="shared" si="0"/>
        <v/>
      </c>
      <c r="C15" s="101"/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" x14ac:dyDescent="0.4">
      <c r="A16" s="51" t="str">
        <v/>
      </c>
      <c r="B16" s="51" t="str">
        <f t="shared" si="0"/>
        <v/>
      </c>
      <c r="C16" s="101"/>
      <c r="D16" s="93"/>
      <c r="E16" s="54"/>
      <c r="F16" s="94"/>
      <c r="G16" s="94"/>
      <c r="H16" s="95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" x14ac:dyDescent="0.4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92"/>
      <c r="F17" s="94"/>
      <c r="G17" s="56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" x14ac:dyDescent="0.4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 t="s">
        <v>127</v>
      </c>
    </row>
    <row r="19" spans="1:19" s="71" customFormat="1" ht="20" x14ac:dyDescent="0.4">
      <c r="A19" s="69" t="str">
        <v/>
      </c>
      <c r="B19" s="69" t="str">
        <f t="shared" si="0"/>
        <v/>
      </c>
      <c r="C19" s="52" t="str">
        <f t="shared" si="2"/>
        <v/>
      </c>
      <c r="D19" s="93"/>
      <c r="E19" s="54"/>
      <c r="F19" s="94"/>
      <c r="G19" s="96"/>
      <c r="H19" s="9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" x14ac:dyDescent="0.4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92"/>
      <c r="F20" s="55"/>
      <c r="G20" s="56"/>
      <c r="H20" s="57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" x14ac:dyDescent="0.4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92"/>
      <c r="F21" s="55"/>
      <c r="G21" s="56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" x14ac:dyDescent="0.4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92"/>
      <c r="F22" s="55"/>
      <c r="G22" s="56"/>
      <c r="H22" s="57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" x14ac:dyDescent="0.4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" x14ac:dyDescent="0.4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" x14ac:dyDescent="0.4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" x14ac:dyDescent="0.4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" x14ac:dyDescent="0.4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" x14ac:dyDescent="0.4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" x14ac:dyDescent="0.4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" x14ac:dyDescent="0.4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" x14ac:dyDescent="0.4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" x14ac:dyDescent="0.4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" x14ac:dyDescent="0.4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" x14ac:dyDescent="0.4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" x14ac:dyDescent="0.4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" x14ac:dyDescent="0.4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" x14ac:dyDescent="0.4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" x14ac:dyDescent="0.4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" x14ac:dyDescent="0.4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" x14ac:dyDescent="0.4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" x14ac:dyDescent="0.4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" x14ac:dyDescent="0.4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0.5" thickBot="1" x14ac:dyDescent="0.4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1"/>
      <c r="F43" s="81"/>
      <c r="G43" s="81"/>
      <c r="H43" s="82"/>
      <c r="I43" s="58"/>
      <c r="J43" s="62"/>
    </row>
    <row r="44" spans="1:19" x14ac:dyDescent="0.3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3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3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3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3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3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3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3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3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3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3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3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3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3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3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3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3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3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3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3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3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3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3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3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3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3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3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3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3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3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3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3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3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3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3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3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3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3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3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3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3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3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3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3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3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3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3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3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3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3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3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3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3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3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3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3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3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3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3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3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3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3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3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3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3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3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3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3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3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3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3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3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3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3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3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3">
      <c r="L119" s="25"/>
      <c r="M119" s="25"/>
      <c r="N119" s="25"/>
      <c r="O119" s="85"/>
      <c r="P119" s="85"/>
      <c r="Q119" s="85"/>
      <c r="R119" s="25"/>
      <c r="S119" s="25"/>
    </row>
    <row r="120" spans="4:19" x14ac:dyDescent="0.3">
      <c r="L120" s="25"/>
      <c r="M120" s="25"/>
      <c r="N120" s="25"/>
      <c r="O120" s="85"/>
      <c r="P120" s="85"/>
      <c r="Q120" s="85"/>
      <c r="R120" s="25"/>
      <c r="S120" s="25"/>
    </row>
    <row r="121" spans="4:19" x14ac:dyDescent="0.3">
      <c r="L121" s="25"/>
      <c r="M121" s="25"/>
      <c r="N121" s="25"/>
      <c r="O121" s="85"/>
      <c r="P121" s="85"/>
      <c r="Q121" s="85"/>
      <c r="R121" s="25"/>
      <c r="S121" s="25"/>
    </row>
    <row r="122" spans="4:19" x14ac:dyDescent="0.3">
      <c r="L122" s="25"/>
      <c r="M122" s="25"/>
      <c r="N122" s="25"/>
      <c r="O122" s="85"/>
      <c r="P122" s="85"/>
      <c r="Q122" s="85"/>
      <c r="R122" s="25"/>
      <c r="S122" s="25"/>
    </row>
    <row r="123" spans="4:19" x14ac:dyDescent="0.3">
      <c r="L123" s="25"/>
      <c r="M123" s="25"/>
      <c r="N123" s="25"/>
      <c r="O123" s="85"/>
      <c r="P123" s="85"/>
      <c r="Q123" s="85"/>
      <c r="R123" s="25"/>
      <c r="S123" s="25"/>
    </row>
    <row r="124" spans="4:19" x14ac:dyDescent="0.3">
      <c r="L124" s="25"/>
      <c r="M124" s="25"/>
      <c r="N124" s="25"/>
      <c r="O124" s="85"/>
      <c r="P124" s="85"/>
      <c r="Q124" s="85"/>
      <c r="R124" s="25"/>
      <c r="S124" s="25"/>
    </row>
    <row r="125" spans="4:19" x14ac:dyDescent="0.3">
      <c r="L125" s="25"/>
      <c r="M125" s="25"/>
      <c r="N125" s="25"/>
      <c r="O125" s="85"/>
      <c r="P125" s="85"/>
      <c r="Q125" s="85"/>
      <c r="R125" s="25"/>
      <c r="S125" s="25"/>
    </row>
    <row r="126" spans="4:19" x14ac:dyDescent="0.3">
      <c r="L126" s="25"/>
      <c r="M126" s="25"/>
      <c r="N126" s="25"/>
      <c r="O126" s="85"/>
      <c r="P126" s="85"/>
      <c r="Q126" s="85"/>
      <c r="R126" s="25"/>
      <c r="S126" s="25"/>
    </row>
  </sheetData>
  <mergeCells count="2">
    <mergeCell ref="L5:M5"/>
    <mergeCell ref="C12:C16"/>
  </mergeCells>
  <dataValidations count="3">
    <dataValidation type="list" allowBlank="1" showInputMessage="1" showErrorMessage="1" sqref="E7:E43" xr:uid="{C68079DE-6CAF-40DD-AB97-48E8BED1272B}">
      <formula1>$P$5:$P$9</formula1>
    </dataValidation>
    <dataValidation type="list" allowBlank="1" showInputMessage="1" showErrorMessage="1" sqref="F7:F43" xr:uid="{F94D6849-920C-40D1-92F0-9684A00768DC}">
      <formula1>$Q$5:$Q$32</formula1>
    </dataValidation>
    <dataValidation type="list" allowBlank="1" showInputMessage="1" showErrorMessage="1" sqref="D7:D43" xr:uid="{4E19B0D8-C00A-4606-9A89-CB16CAAEAAF9}">
      <formula1>$O$5:$O$12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verticalDpi="0" r:id="rId1"/>
  <headerFooter>
    <oddFooter>&amp;L8.2.2.2.3 102 Schedule Template&amp;RCreated :2023/01/01BT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C89732-AA9C-452D-8445-5EFEE4CF3793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D9B3-41B5-4545-8833-DA0FC23829CC}">
  <sheetPr>
    <pageSetUpPr fitToPage="1"/>
  </sheetPr>
  <dimension ref="A1:S126"/>
  <sheetViews>
    <sheetView topLeftCell="G1" zoomScale="80" zoomScaleNormal="80" workbookViewId="0">
      <selection activeCell="L13" sqref="A1:XFD1048576"/>
    </sheetView>
  </sheetViews>
  <sheetFormatPr defaultColWidth="9.1796875" defaultRowHeight="14" x14ac:dyDescent="0.3"/>
  <cols>
    <col min="1" max="2" width="22.26953125" style="25" hidden="1" customWidth="1"/>
    <col min="3" max="3" width="22.26953125" style="25" customWidth="1"/>
    <col min="4" max="4" width="18.453125" style="76" customWidth="1"/>
    <col min="5" max="5" width="16.54296875" style="25" customWidth="1"/>
    <col min="6" max="6" width="64.26953125" style="25" bestFit="1" customWidth="1"/>
    <col min="7" max="7" width="19" style="76" customWidth="1"/>
    <col min="8" max="8" width="16.26953125" style="76" bestFit="1" customWidth="1"/>
    <col min="9" max="9" width="11.7265625" style="25" bestFit="1" customWidth="1"/>
    <col min="10" max="10" width="14.81640625" style="25" bestFit="1" customWidth="1"/>
    <col min="11" max="11" width="9.1796875" style="25"/>
    <col min="12" max="12" width="31.1796875" style="26" customWidth="1"/>
    <col min="13" max="13" width="6" style="26" bestFit="1" customWidth="1"/>
    <col min="14" max="14" width="9.1796875" style="26"/>
    <col min="15" max="15" width="13.1796875" style="27" bestFit="1" customWidth="1"/>
    <col min="16" max="16" width="9.54296875" style="27" bestFit="1" customWidth="1"/>
    <col min="17" max="17" width="23.54296875" style="27" bestFit="1" customWidth="1"/>
    <col min="18" max="19" width="9.1796875" style="26"/>
    <col min="20" max="16384" width="9.1796875" style="25"/>
  </cols>
  <sheetData>
    <row r="1" spans="1:17" ht="17.5" x14ac:dyDescent="0.3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3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35">
      <c r="A3" s="28"/>
      <c r="C3" s="29"/>
      <c r="D3" s="30"/>
      <c r="E3" s="31"/>
      <c r="F3" s="30"/>
      <c r="G3" s="32"/>
      <c r="H3" s="33"/>
      <c r="I3" s="34"/>
      <c r="J3" s="34"/>
    </row>
    <row r="4" spans="1:17" ht="18.5" thickBot="1" x14ac:dyDescent="0.45">
      <c r="A4" s="28" t="s">
        <v>6</v>
      </c>
      <c r="C4" s="29"/>
      <c r="D4" s="30"/>
      <c r="E4" s="31"/>
      <c r="F4" s="35"/>
      <c r="G4" s="36"/>
      <c r="H4" s="37"/>
      <c r="O4" s="38" t="s">
        <v>5</v>
      </c>
      <c r="P4" s="38" t="s">
        <v>4</v>
      </c>
      <c r="Q4" s="38" t="s">
        <v>3</v>
      </c>
    </row>
    <row r="5" spans="1:17" ht="18.5" thickBot="1" x14ac:dyDescent="0.45">
      <c r="A5" s="28"/>
      <c r="C5" s="29"/>
      <c r="D5" s="39"/>
      <c r="E5" s="31"/>
      <c r="F5" s="98"/>
      <c r="G5" s="30"/>
      <c r="H5" s="37"/>
      <c r="L5" s="99" t="s">
        <v>35</v>
      </c>
      <c r="M5" s="100"/>
      <c r="O5" s="16" t="s">
        <v>22</v>
      </c>
      <c r="P5" s="16" t="s">
        <v>28</v>
      </c>
      <c r="Q5" s="16" t="s">
        <v>99</v>
      </c>
    </row>
    <row r="6" spans="1:17" ht="20.5" thickBot="1" x14ac:dyDescent="0.4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/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" x14ac:dyDescent="0.4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53"/>
      <c r="E7" s="54"/>
      <c r="F7" s="55"/>
      <c r="G7" s="56"/>
      <c r="H7" s="61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" x14ac:dyDescent="0.4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92"/>
      <c r="F8" s="94"/>
      <c r="G8" s="56"/>
      <c r="H8" s="57"/>
      <c r="I8" s="58">
        <f t="shared" ref="I8:I39" si="1">H8*5</f>
        <v>0</v>
      </c>
      <c r="J8" s="62"/>
      <c r="L8" s="60" t="s">
        <v>34</v>
      </c>
      <c r="M8" s="63">
        <f>SUM(H7:H40)</f>
        <v>0</v>
      </c>
      <c r="O8" s="16" t="s">
        <v>61</v>
      </c>
      <c r="P8" s="16"/>
      <c r="Q8" s="16" t="s">
        <v>22</v>
      </c>
    </row>
    <row r="9" spans="1:17" ht="20.5" thickBot="1" x14ac:dyDescent="0.4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6"/>
      <c r="H9" s="61"/>
      <c r="I9" s="58">
        <f t="shared" si="1"/>
        <v>0</v>
      </c>
      <c r="J9" s="62"/>
      <c r="L9" s="64" t="s">
        <v>36</v>
      </c>
      <c r="M9" s="65">
        <f>SUM(G7:G40)</f>
        <v>0</v>
      </c>
      <c r="O9" s="16" t="s">
        <v>10</v>
      </c>
      <c r="P9" s="16"/>
      <c r="Q9" s="16" t="s">
        <v>105</v>
      </c>
    </row>
    <row r="10" spans="1:17" ht="20" x14ac:dyDescent="0.4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>H10*5</f>
        <v>0</v>
      </c>
      <c r="J10" s="62"/>
      <c r="O10" s="18" t="s">
        <v>93</v>
      </c>
      <c r="P10" s="16"/>
      <c r="Q10" s="17" t="s">
        <v>123</v>
      </c>
    </row>
    <row r="11" spans="1:17" ht="20" x14ac:dyDescent="0.4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6"/>
      <c r="H11" s="61"/>
      <c r="I11" s="58">
        <f>H11*5</f>
        <v>0</v>
      </c>
      <c r="J11" s="62"/>
      <c r="O11" s="16"/>
      <c r="P11" s="16"/>
      <c r="Q11" s="16" t="s">
        <v>104</v>
      </c>
    </row>
    <row r="12" spans="1:17" ht="20.25" customHeight="1" x14ac:dyDescent="0.4">
      <c r="A12" s="51" t="str">
        <v/>
      </c>
      <c r="B12" s="51" t="str">
        <f t="shared" si="0"/>
        <v/>
      </c>
      <c r="C12" s="101"/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>
        <v>46</v>
      </c>
      <c r="O12" s="18"/>
      <c r="P12" s="16"/>
      <c r="Q12" s="16" t="s">
        <v>124</v>
      </c>
    </row>
    <row r="13" spans="1:17" ht="20" x14ac:dyDescent="0.4">
      <c r="A13" s="51" t="str">
        <v/>
      </c>
      <c r="B13" s="51" t="str">
        <f t="shared" si="0"/>
        <v/>
      </c>
      <c r="C13" s="101"/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" x14ac:dyDescent="0.4">
      <c r="A14" s="51" t="str">
        <v/>
      </c>
      <c r="B14" s="51" t="str">
        <f t="shared" si="0"/>
        <v/>
      </c>
      <c r="C14" s="101"/>
      <c r="D14" s="53"/>
      <c r="E14" s="54"/>
      <c r="F14" s="55"/>
      <c r="G14" s="55"/>
      <c r="H14" s="57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" x14ac:dyDescent="0.4">
      <c r="A15" s="51" t="str">
        <v/>
      </c>
      <c r="B15" s="51" t="str">
        <f t="shared" si="0"/>
        <v/>
      </c>
      <c r="C15" s="101"/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" x14ac:dyDescent="0.4">
      <c r="A16" s="51" t="str">
        <v/>
      </c>
      <c r="B16" s="51" t="str">
        <f t="shared" si="0"/>
        <v/>
      </c>
      <c r="C16" s="101"/>
      <c r="D16" s="93"/>
      <c r="E16" s="54"/>
      <c r="F16" s="94"/>
      <c r="G16" s="94"/>
      <c r="H16" s="95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" x14ac:dyDescent="0.4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92"/>
      <c r="F17" s="94"/>
      <c r="G17" s="56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" x14ac:dyDescent="0.4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 t="s">
        <v>127</v>
      </c>
    </row>
    <row r="19" spans="1:19" s="71" customFormat="1" ht="20" x14ac:dyDescent="0.4">
      <c r="A19" s="69" t="str">
        <v/>
      </c>
      <c r="B19" s="69" t="str">
        <f t="shared" si="0"/>
        <v/>
      </c>
      <c r="C19" s="52" t="str">
        <f t="shared" si="2"/>
        <v/>
      </c>
      <c r="D19" s="93"/>
      <c r="E19" s="54"/>
      <c r="F19" s="94"/>
      <c r="G19" s="96"/>
      <c r="H19" s="9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" x14ac:dyDescent="0.4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92"/>
      <c r="F20" s="55"/>
      <c r="G20" s="56"/>
      <c r="H20" s="57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" x14ac:dyDescent="0.4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92"/>
      <c r="F21" s="55"/>
      <c r="G21" s="56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" x14ac:dyDescent="0.4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92"/>
      <c r="F22" s="55"/>
      <c r="G22" s="56"/>
      <c r="H22" s="57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" x14ac:dyDescent="0.4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" x14ac:dyDescent="0.4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" x14ac:dyDescent="0.4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" x14ac:dyDescent="0.4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" x14ac:dyDescent="0.4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" x14ac:dyDescent="0.4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" x14ac:dyDescent="0.4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" x14ac:dyDescent="0.4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" x14ac:dyDescent="0.4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" x14ac:dyDescent="0.4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" x14ac:dyDescent="0.4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" x14ac:dyDescent="0.4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" x14ac:dyDescent="0.4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" x14ac:dyDescent="0.4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" x14ac:dyDescent="0.4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" x14ac:dyDescent="0.4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" x14ac:dyDescent="0.4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" x14ac:dyDescent="0.4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" x14ac:dyDescent="0.4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" x14ac:dyDescent="0.4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0.5" thickBot="1" x14ac:dyDescent="0.4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1"/>
      <c r="F43" s="81"/>
      <c r="G43" s="81"/>
      <c r="H43" s="82"/>
      <c r="I43" s="58"/>
      <c r="J43" s="62"/>
    </row>
    <row r="44" spans="1:19" x14ac:dyDescent="0.3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3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3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3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3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3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3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3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3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3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3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3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3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3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3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3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3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3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3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3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3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3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3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3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3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3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3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3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3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3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3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3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3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3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3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3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3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3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3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3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3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3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3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3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3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3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3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3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3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3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3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3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3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3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3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3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3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3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3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3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3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3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3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3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3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3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3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3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3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3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3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3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3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3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3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3">
      <c r="L119" s="25"/>
      <c r="M119" s="25"/>
      <c r="N119" s="25"/>
      <c r="O119" s="85"/>
      <c r="P119" s="85"/>
      <c r="Q119" s="85"/>
      <c r="R119" s="25"/>
      <c r="S119" s="25"/>
    </row>
    <row r="120" spans="4:19" x14ac:dyDescent="0.3">
      <c r="L120" s="25"/>
      <c r="M120" s="25"/>
      <c r="N120" s="25"/>
      <c r="O120" s="85"/>
      <c r="P120" s="85"/>
      <c r="Q120" s="85"/>
      <c r="R120" s="25"/>
      <c r="S120" s="25"/>
    </row>
    <row r="121" spans="4:19" x14ac:dyDescent="0.3">
      <c r="L121" s="25"/>
      <c r="M121" s="25"/>
      <c r="N121" s="25"/>
      <c r="O121" s="85"/>
      <c r="P121" s="85"/>
      <c r="Q121" s="85"/>
      <c r="R121" s="25"/>
      <c r="S121" s="25"/>
    </row>
    <row r="122" spans="4:19" x14ac:dyDescent="0.3">
      <c r="L122" s="25"/>
      <c r="M122" s="25"/>
      <c r="N122" s="25"/>
      <c r="O122" s="85"/>
      <c r="P122" s="85"/>
      <c r="Q122" s="85"/>
      <c r="R122" s="25"/>
      <c r="S122" s="25"/>
    </row>
    <row r="123" spans="4:19" x14ac:dyDescent="0.3">
      <c r="L123" s="25"/>
      <c r="M123" s="25"/>
      <c r="N123" s="25"/>
      <c r="O123" s="85"/>
      <c r="P123" s="85"/>
      <c r="Q123" s="85"/>
      <c r="R123" s="25"/>
      <c r="S123" s="25"/>
    </row>
    <row r="124" spans="4:19" x14ac:dyDescent="0.3">
      <c r="L124" s="25"/>
      <c r="M124" s="25"/>
      <c r="N124" s="25"/>
      <c r="O124" s="85"/>
      <c r="P124" s="85"/>
      <c r="Q124" s="85"/>
      <c r="R124" s="25"/>
      <c r="S124" s="25"/>
    </row>
    <row r="125" spans="4:19" x14ac:dyDescent="0.3">
      <c r="L125" s="25"/>
      <c r="M125" s="25"/>
      <c r="N125" s="25"/>
      <c r="O125" s="85"/>
      <c r="P125" s="85"/>
      <c r="Q125" s="85"/>
      <c r="R125" s="25"/>
      <c r="S125" s="25"/>
    </row>
    <row r="126" spans="4:19" x14ac:dyDescent="0.3">
      <c r="L126" s="25"/>
      <c r="M126" s="25"/>
      <c r="N126" s="25"/>
      <c r="O126" s="85"/>
      <c r="P126" s="85"/>
      <c r="Q126" s="85"/>
      <c r="R126" s="25"/>
      <c r="S126" s="25"/>
    </row>
  </sheetData>
  <sortState xmlns:xlrd2="http://schemas.microsoft.com/office/spreadsheetml/2017/richdata2" ref="V6:V20">
    <sortCondition ref="V5:V20"/>
  </sortState>
  <mergeCells count="2">
    <mergeCell ref="L5:M5"/>
    <mergeCell ref="C12:C16"/>
  </mergeCells>
  <dataValidations count="3">
    <dataValidation type="list" allowBlank="1" showInputMessage="1" showErrorMessage="1" sqref="E7:E43" xr:uid="{E5C045B9-C347-4E6F-8AC8-23892044011B}">
      <formula1>$P$5:$P$9</formula1>
    </dataValidation>
    <dataValidation type="list" allowBlank="1" showInputMessage="1" showErrorMessage="1" sqref="F7:F43" xr:uid="{3883A6E3-B53B-45D6-838F-89CEAB3E564E}">
      <formula1>$Q$5:$Q$32</formula1>
    </dataValidation>
    <dataValidation type="list" allowBlank="1" showInputMessage="1" showErrorMessage="1" sqref="D7:D43" xr:uid="{7D1195F0-F76D-4234-84F4-BD0AB99C1F6E}">
      <formula1>$O$5:$O$12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verticalDpi="0" r:id="rId1"/>
  <headerFooter>
    <oddFooter>&amp;L8.2.2.2.3 102 Schedule Template&amp;RCreated :2023/01/01BT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1E1BEC-79AA-44FE-B0E5-0231BA1AF153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8145-3FD6-4B78-985A-D7F436A061FE}">
  <sheetPr>
    <pageSetUpPr fitToPage="1"/>
  </sheetPr>
  <dimension ref="A1:S126"/>
  <sheetViews>
    <sheetView topLeftCell="G1" zoomScale="80" zoomScaleNormal="80" workbookViewId="0">
      <selection activeCell="L13" sqref="A1:XFD1048576"/>
    </sheetView>
  </sheetViews>
  <sheetFormatPr defaultColWidth="9.1796875" defaultRowHeight="14" x14ac:dyDescent="0.3"/>
  <cols>
    <col min="1" max="2" width="22.26953125" style="25" hidden="1" customWidth="1"/>
    <col min="3" max="3" width="22.26953125" style="25" customWidth="1"/>
    <col min="4" max="4" width="18.453125" style="76" customWidth="1"/>
    <col min="5" max="5" width="16.54296875" style="25" customWidth="1"/>
    <col min="6" max="6" width="64.26953125" style="25" bestFit="1" customWidth="1"/>
    <col min="7" max="7" width="19" style="76" customWidth="1"/>
    <col min="8" max="8" width="16.26953125" style="76" bestFit="1" customWidth="1"/>
    <col min="9" max="9" width="11.7265625" style="25" bestFit="1" customWidth="1"/>
    <col min="10" max="10" width="14.81640625" style="25" bestFit="1" customWidth="1"/>
    <col min="11" max="11" width="9.1796875" style="25"/>
    <col min="12" max="12" width="31.1796875" style="26" customWidth="1"/>
    <col min="13" max="13" width="6" style="26" bestFit="1" customWidth="1"/>
    <col min="14" max="14" width="9.1796875" style="26"/>
    <col min="15" max="15" width="13.1796875" style="27" bestFit="1" customWidth="1"/>
    <col min="16" max="16" width="9.54296875" style="27" bestFit="1" customWidth="1"/>
    <col min="17" max="17" width="23.54296875" style="27" bestFit="1" customWidth="1"/>
    <col min="18" max="19" width="9.1796875" style="26"/>
    <col min="20" max="16384" width="9.1796875" style="25"/>
  </cols>
  <sheetData>
    <row r="1" spans="1:17" ht="17.5" x14ac:dyDescent="0.3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3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35">
      <c r="A3" s="28"/>
      <c r="C3" s="29"/>
      <c r="D3" s="30"/>
      <c r="E3" s="31"/>
      <c r="F3" s="30"/>
      <c r="G3" s="32"/>
      <c r="H3" s="33"/>
      <c r="I3" s="34"/>
      <c r="J3" s="34"/>
    </row>
    <row r="4" spans="1:17" ht="18.5" thickBot="1" x14ac:dyDescent="0.45">
      <c r="A4" s="28" t="s">
        <v>6</v>
      </c>
      <c r="C4" s="29"/>
      <c r="D4" s="30"/>
      <c r="E4" s="31"/>
      <c r="F4" s="35"/>
      <c r="G4" s="36"/>
      <c r="H4" s="37"/>
      <c r="O4" s="38" t="s">
        <v>5</v>
      </c>
      <c r="P4" s="38" t="s">
        <v>4</v>
      </c>
      <c r="Q4" s="38" t="s">
        <v>3</v>
      </c>
    </row>
    <row r="5" spans="1:17" ht="18.5" thickBot="1" x14ac:dyDescent="0.45">
      <c r="A5" s="28"/>
      <c r="C5" s="29"/>
      <c r="D5" s="39"/>
      <c r="E5" s="31"/>
      <c r="F5" s="98"/>
      <c r="G5" s="30"/>
      <c r="H5" s="37"/>
      <c r="L5" s="99" t="s">
        <v>35</v>
      </c>
      <c r="M5" s="100"/>
      <c r="O5" s="16" t="s">
        <v>22</v>
      </c>
      <c r="P5" s="16" t="s">
        <v>28</v>
      </c>
      <c r="Q5" s="16" t="s">
        <v>99</v>
      </c>
    </row>
    <row r="6" spans="1:17" ht="20.5" thickBot="1" x14ac:dyDescent="0.4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/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" x14ac:dyDescent="0.4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53"/>
      <c r="E7" s="54"/>
      <c r="F7" s="55"/>
      <c r="G7" s="56"/>
      <c r="H7" s="61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" x14ac:dyDescent="0.4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92"/>
      <c r="F8" s="94"/>
      <c r="G8" s="56"/>
      <c r="H8" s="57"/>
      <c r="I8" s="58">
        <f t="shared" ref="I8:I39" si="1">H8*5</f>
        <v>0</v>
      </c>
      <c r="J8" s="62"/>
      <c r="L8" s="60" t="s">
        <v>34</v>
      </c>
      <c r="M8" s="63">
        <f>SUM(H7:H40)</f>
        <v>0</v>
      </c>
      <c r="O8" s="16" t="s">
        <v>61</v>
      </c>
      <c r="P8" s="16"/>
      <c r="Q8" s="16" t="s">
        <v>22</v>
      </c>
    </row>
    <row r="9" spans="1:17" ht="20.5" thickBot="1" x14ac:dyDescent="0.4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6"/>
      <c r="H9" s="61"/>
      <c r="I9" s="58">
        <f t="shared" si="1"/>
        <v>0</v>
      </c>
      <c r="J9" s="62"/>
      <c r="L9" s="64" t="s">
        <v>36</v>
      </c>
      <c r="M9" s="65">
        <f>SUM(G7:G40)</f>
        <v>0</v>
      </c>
      <c r="O9" s="16" t="s">
        <v>10</v>
      </c>
      <c r="P9" s="16"/>
      <c r="Q9" s="16" t="s">
        <v>105</v>
      </c>
    </row>
    <row r="10" spans="1:17" ht="20" x14ac:dyDescent="0.4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>H10*5</f>
        <v>0</v>
      </c>
      <c r="J10" s="62"/>
      <c r="O10" s="18" t="s">
        <v>93</v>
      </c>
      <c r="P10" s="16"/>
      <c r="Q10" s="17" t="s">
        <v>123</v>
      </c>
    </row>
    <row r="11" spans="1:17" ht="20" x14ac:dyDescent="0.4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6"/>
      <c r="H11" s="61"/>
      <c r="I11" s="58">
        <f>H11*5</f>
        <v>0</v>
      </c>
      <c r="J11" s="62"/>
      <c r="O11" s="16"/>
      <c r="P11" s="16"/>
      <c r="Q11" s="16" t="s">
        <v>104</v>
      </c>
    </row>
    <row r="12" spans="1:17" ht="20.25" customHeight="1" x14ac:dyDescent="0.4">
      <c r="A12" s="51" t="str">
        <v/>
      </c>
      <c r="B12" s="51" t="str">
        <f t="shared" si="0"/>
        <v/>
      </c>
      <c r="C12" s="101"/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>
        <v>46</v>
      </c>
      <c r="O12" s="18"/>
      <c r="P12" s="16"/>
      <c r="Q12" s="16" t="s">
        <v>124</v>
      </c>
    </row>
    <row r="13" spans="1:17" ht="20" x14ac:dyDescent="0.4">
      <c r="A13" s="51" t="str">
        <v/>
      </c>
      <c r="B13" s="51" t="str">
        <f t="shared" si="0"/>
        <v/>
      </c>
      <c r="C13" s="101"/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" x14ac:dyDescent="0.4">
      <c r="A14" s="51" t="str">
        <v/>
      </c>
      <c r="B14" s="51" t="str">
        <f t="shared" si="0"/>
        <v/>
      </c>
      <c r="C14" s="101"/>
      <c r="D14" s="53"/>
      <c r="E14" s="54"/>
      <c r="F14" s="55"/>
      <c r="G14" s="55"/>
      <c r="H14" s="57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" x14ac:dyDescent="0.4">
      <c r="A15" s="51" t="str">
        <v/>
      </c>
      <c r="B15" s="51" t="str">
        <f t="shared" si="0"/>
        <v/>
      </c>
      <c r="C15" s="101"/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" x14ac:dyDescent="0.4">
      <c r="A16" s="51" t="str">
        <v/>
      </c>
      <c r="B16" s="51" t="str">
        <f t="shared" si="0"/>
        <v/>
      </c>
      <c r="C16" s="101"/>
      <c r="D16" s="93"/>
      <c r="E16" s="54"/>
      <c r="F16" s="94"/>
      <c r="G16" s="94"/>
      <c r="H16" s="95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" x14ac:dyDescent="0.4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92"/>
      <c r="F17" s="94"/>
      <c r="G17" s="56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" x14ac:dyDescent="0.4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 t="s">
        <v>127</v>
      </c>
    </row>
    <row r="19" spans="1:19" s="71" customFormat="1" ht="20" x14ac:dyDescent="0.4">
      <c r="A19" s="69" t="str">
        <v/>
      </c>
      <c r="B19" s="69" t="str">
        <f t="shared" si="0"/>
        <v/>
      </c>
      <c r="C19" s="52" t="str">
        <f t="shared" si="2"/>
        <v/>
      </c>
      <c r="D19" s="93"/>
      <c r="E19" s="54"/>
      <c r="F19" s="94"/>
      <c r="G19" s="96"/>
      <c r="H19" s="9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" x14ac:dyDescent="0.4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92"/>
      <c r="F20" s="55"/>
      <c r="G20" s="56"/>
      <c r="H20" s="57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" x14ac:dyDescent="0.4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92"/>
      <c r="F21" s="55"/>
      <c r="G21" s="56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" x14ac:dyDescent="0.4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92"/>
      <c r="F22" s="55"/>
      <c r="G22" s="56"/>
      <c r="H22" s="57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" x14ac:dyDescent="0.4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" x14ac:dyDescent="0.4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" x14ac:dyDescent="0.4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" x14ac:dyDescent="0.4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" x14ac:dyDescent="0.4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" x14ac:dyDescent="0.4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" x14ac:dyDescent="0.4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" x14ac:dyDescent="0.4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" x14ac:dyDescent="0.4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" x14ac:dyDescent="0.4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" x14ac:dyDescent="0.4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" x14ac:dyDescent="0.4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" x14ac:dyDescent="0.4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" x14ac:dyDescent="0.4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" x14ac:dyDescent="0.4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" x14ac:dyDescent="0.4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" x14ac:dyDescent="0.4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" x14ac:dyDescent="0.4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" x14ac:dyDescent="0.4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" x14ac:dyDescent="0.4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0.5" thickBot="1" x14ac:dyDescent="0.4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1"/>
      <c r="F43" s="81"/>
      <c r="G43" s="81"/>
      <c r="H43" s="82"/>
      <c r="I43" s="58"/>
      <c r="J43" s="62"/>
    </row>
    <row r="44" spans="1:19" x14ac:dyDescent="0.3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3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3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3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3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3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3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3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3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3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3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3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3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3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3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3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3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3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3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3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3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3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3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3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3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3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3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3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3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3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3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3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3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3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3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3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3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3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3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3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3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3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3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3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3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3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3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3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3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3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3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3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3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3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3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3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3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3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3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3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3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3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3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3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3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3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3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3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3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3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3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3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3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3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3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3">
      <c r="L119" s="25"/>
      <c r="M119" s="25"/>
      <c r="N119" s="25"/>
      <c r="O119" s="85"/>
      <c r="P119" s="85"/>
      <c r="Q119" s="85"/>
      <c r="R119" s="25"/>
      <c r="S119" s="25"/>
    </row>
    <row r="120" spans="4:19" x14ac:dyDescent="0.3">
      <c r="L120" s="25"/>
      <c r="M120" s="25"/>
      <c r="N120" s="25"/>
      <c r="O120" s="85"/>
      <c r="P120" s="85"/>
      <c r="Q120" s="85"/>
      <c r="R120" s="25"/>
      <c r="S120" s="25"/>
    </row>
    <row r="121" spans="4:19" x14ac:dyDescent="0.3">
      <c r="L121" s="25"/>
      <c r="M121" s="25"/>
      <c r="N121" s="25"/>
      <c r="O121" s="85"/>
      <c r="P121" s="85"/>
      <c r="Q121" s="85"/>
      <c r="R121" s="25"/>
      <c r="S121" s="25"/>
    </row>
    <row r="122" spans="4:19" x14ac:dyDescent="0.3">
      <c r="L122" s="25"/>
      <c r="M122" s="25"/>
      <c r="N122" s="25"/>
      <c r="O122" s="85"/>
      <c r="P122" s="85"/>
      <c r="Q122" s="85"/>
      <c r="R122" s="25"/>
      <c r="S122" s="25"/>
    </row>
    <row r="123" spans="4:19" x14ac:dyDescent="0.3">
      <c r="L123" s="25"/>
      <c r="M123" s="25"/>
      <c r="N123" s="25"/>
      <c r="O123" s="85"/>
      <c r="P123" s="85"/>
      <c r="Q123" s="85"/>
      <c r="R123" s="25"/>
      <c r="S123" s="25"/>
    </row>
    <row r="124" spans="4:19" x14ac:dyDescent="0.3">
      <c r="L124" s="25"/>
      <c r="M124" s="25"/>
      <c r="N124" s="25"/>
      <c r="O124" s="85"/>
      <c r="P124" s="85"/>
      <c r="Q124" s="85"/>
      <c r="R124" s="25"/>
      <c r="S124" s="25"/>
    </row>
    <row r="125" spans="4:19" x14ac:dyDescent="0.3">
      <c r="L125" s="25"/>
      <c r="M125" s="25"/>
      <c r="N125" s="25"/>
      <c r="O125" s="85"/>
      <c r="P125" s="85"/>
      <c r="Q125" s="85"/>
      <c r="R125" s="25"/>
      <c r="S125" s="25"/>
    </row>
    <row r="126" spans="4:19" x14ac:dyDescent="0.3">
      <c r="L126" s="25"/>
      <c r="M126" s="25"/>
      <c r="N126" s="25"/>
      <c r="O126" s="85"/>
      <c r="P126" s="85"/>
      <c r="Q126" s="85"/>
      <c r="R126" s="25"/>
      <c r="S126" s="25"/>
    </row>
  </sheetData>
  <mergeCells count="2">
    <mergeCell ref="L5:M5"/>
    <mergeCell ref="C12:C16"/>
  </mergeCells>
  <dataValidations count="3">
    <dataValidation type="list" allowBlank="1" showInputMessage="1" showErrorMessage="1" sqref="E7:E43" xr:uid="{DCE9319E-3B8B-41CB-BB8D-661F87A2A1A5}">
      <formula1>$P$5:$P$9</formula1>
    </dataValidation>
    <dataValidation type="list" allowBlank="1" showInputMessage="1" showErrorMessage="1" sqref="F7:F43" xr:uid="{6CD21E3C-5F3A-4DF9-92C8-3C6493BB9800}">
      <formula1>$Q$5:$Q$32</formula1>
    </dataValidation>
    <dataValidation type="list" allowBlank="1" showInputMessage="1" showErrorMessage="1" sqref="D7:D43" xr:uid="{576F18AF-8272-4B44-B971-1F3D020EA7BA}">
      <formula1>$O$5:$O$12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verticalDpi="0" r:id="rId1"/>
  <headerFooter>
    <oddFooter>&amp;L8.2.2.2.3 102 Schedule Template&amp;RCreated :2023/01/01BT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D9E05B-82D8-44B4-AFFE-A3605018E969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CDDA-57E1-418D-88CA-113EAA8FD584}">
  <sheetPr>
    <pageSetUpPr fitToPage="1"/>
  </sheetPr>
  <dimension ref="A1:S126"/>
  <sheetViews>
    <sheetView topLeftCell="C1" zoomScale="80" zoomScaleNormal="80" workbookViewId="0">
      <selection activeCell="L13" sqref="L13"/>
    </sheetView>
  </sheetViews>
  <sheetFormatPr defaultColWidth="9.1796875" defaultRowHeight="14" x14ac:dyDescent="0.3"/>
  <cols>
    <col min="1" max="2" width="22.26953125" style="25" hidden="1" customWidth="1"/>
    <col min="3" max="3" width="22.26953125" style="25" customWidth="1"/>
    <col min="4" max="4" width="18.453125" style="76" customWidth="1"/>
    <col min="5" max="5" width="16.54296875" style="25" customWidth="1"/>
    <col min="6" max="6" width="64.26953125" style="25" bestFit="1" customWidth="1"/>
    <col min="7" max="7" width="19" style="76" customWidth="1"/>
    <col min="8" max="8" width="16.26953125" style="76" bestFit="1" customWidth="1"/>
    <col min="9" max="9" width="11.7265625" style="25" bestFit="1" customWidth="1"/>
    <col min="10" max="10" width="14.81640625" style="25" bestFit="1" customWidth="1"/>
    <col min="11" max="11" width="9.1796875" style="25"/>
    <col min="12" max="12" width="31.1796875" style="26" customWidth="1"/>
    <col min="13" max="13" width="6" style="26" bestFit="1" customWidth="1"/>
    <col min="14" max="14" width="9.1796875" style="26"/>
    <col min="15" max="15" width="13.1796875" style="27" bestFit="1" customWidth="1"/>
    <col min="16" max="16" width="9.54296875" style="27" bestFit="1" customWidth="1"/>
    <col min="17" max="17" width="23.54296875" style="27" bestFit="1" customWidth="1"/>
    <col min="18" max="19" width="9.1796875" style="26"/>
    <col min="20" max="16384" width="9.1796875" style="25"/>
  </cols>
  <sheetData>
    <row r="1" spans="1:17" ht="17.5" x14ac:dyDescent="0.35">
      <c r="A1" s="19"/>
      <c r="B1" s="20"/>
      <c r="C1" s="21"/>
      <c r="D1" s="22"/>
      <c r="E1" s="23"/>
      <c r="F1" s="22"/>
      <c r="G1" s="22"/>
      <c r="H1" s="24"/>
    </row>
    <row r="2" spans="1:17" ht="15" customHeight="1" x14ac:dyDescent="0.35">
      <c r="A2" s="28"/>
      <c r="C2" s="29"/>
      <c r="D2" s="30"/>
      <c r="E2" s="31"/>
      <c r="F2" s="32" t="s">
        <v>7</v>
      </c>
      <c r="G2" s="30"/>
      <c r="H2" s="33"/>
      <c r="I2" s="34"/>
      <c r="J2" s="34"/>
    </row>
    <row r="3" spans="1:17" ht="15" customHeight="1" x14ac:dyDescent="0.35">
      <c r="A3" s="28"/>
      <c r="C3" s="29"/>
      <c r="D3" s="30"/>
      <c r="E3" s="31"/>
      <c r="F3" s="30"/>
      <c r="G3" s="32"/>
      <c r="H3" s="33"/>
      <c r="I3" s="34"/>
      <c r="J3" s="34"/>
    </row>
    <row r="4" spans="1:17" ht="18.5" thickBot="1" x14ac:dyDescent="0.45">
      <c r="A4" s="28" t="s">
        <v>6</v>
      </c>
      <c r="C4" s="29"/>
      <c r="D4" s="30"/>
      <c r="E4" s="31"/>
      <c r="F4" s="35">
        <f>Friday!F4+1</f>
        <v>1</v>
      </c>
      <c r="G4" s="36"/>
      <c r="H4" s="37"/>
      <c r="O4" s="38" t="s">
        <v>5</v>
      </c>
      <c r="P4" s="38" t="s">
        <v>4</v>
      </c>
      <c r="Q4" s="38" t="s">
        <v>3</v>
      </c>
    </row>
    <row r="5" spans="1:17" ht="18" thickBot="1" x14ac:dyDescent="0.4">
      <c r="A5" s="28"/>
      <c r="C5" s="29"/>
      <c r="D5" s="39"/>
      <c r="E5" s="31"/>
      <c r="F5" s="40"/>
      <c r="G5" s="30"/>
      <c r="H5" s="37"/>
      <c r="L5" s="99" t="s">
        <v>35</v>
      </c>
      <c r="M5" s="100"/>
      <c r="O5" s="16" t="s">
        <v>22</v>
      </c>
      <c r="P5" s="16" t="s">
        <v>28</v>
      </c>
      <c r="Q5" s="16" t="s">
        <v>99</v>
      </c>
    </row>
    <row r="6" spans="1:17" ht="20.5" thickBot="1" x14ac:dyDescent="0.45">
      <c r="A6" s="41" t="s">
        <v>85</v>
      </c>
      <c r="B6" s="42"/>
      <c r="C6" s="43" t="s">
        <v>85</v>
      </c>
      <c r="D6" s="44" t="s">
        <v>5</v>
      </c>
      <c r="E6" s="45" t="s">
        <v>4</v>
      </c>
      <c r="F6" s="45" t="s">
        <v>3</v>
      </c>
      <c r="G6" s="45" t="s">
        <v>2</v>
      </c>
      <c r="H6" s="46" t="s">
        <v>0</v>
      </c>
      <c r="I6" s="47" t="s">
        <v>1</v>
      </c>
      <c r="J6" s="48" t="s">
        <v>0</v>
      </c>
      <c r="L6" s="49" t="s">
        <v>38</v>
      </c>
      <c r="M6" s="50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" x14ac:dyDescent="0.4">
      <c r="A7" s="51" t="str" cm="1">
        <f t="array" ref="A7:A43">IFERROR(IF(SEARCH("LU",D7:D43,1),"JOMI Wash Prep",""),"")</f>
        <v/>
      </c>
      <c r="B7" s="51" t="str">
        <f>A7</f>
        <v/>
      </c>
      <c r="C7" s="52"/>
      <c r="D7" s="86"/>
      <c r="E7" s="87"/>
      <c r="F7" s="88"/>
      <c r="G7" s="89"/>
      <c r="H7" s="90"/>
      <c r="I7" s="58">
        <f>H7*5</f>
        <v>0</v>
      </c>
      <c r="J7" s="59"/>
      <c r="L7" s="60" t="s">
        <v>37</v>
      </c>
      <c r="M7" s="50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" x14ac:dyDescent="0.4">
      <c r="A8" s="51" t="str">
        <v/>
      </c>
      <c r="B8" s="51" t="str">
        <f t="shared" ref="B8:B43" si="0">A8</f>
        <v/>
      </c>
      <c r="C8" s="52" t="str">
        <f>IF(B8=B7,"",B8)</f>
        <v/>
      </c>
      <c r="D8" s="53"/>
      <c r="E8" s="54"/>
      <c r="F8" s="55"/>
      <c r="G8" s="56"/>
      <c r="H8" s="61"/>
      <c r="I8" s="58">
        <f t="shared" ref="I8:I39" si="1">H8*5</f>
        <v>0</v>
      </c>
      <c r="J8" s="62"/>
      <c r="L8" s="60" t="s">
        <v>34</v>
      </c>
      <c r="M8" s="63">
        <f>SUM(H7:H40)</f>
        <v>0</v>
      </c>
      <c r="O8" s="16" t="s">
        <v>61</v>
      </c>
      <c r="P8" s="16"/>
      <c r="Q8" s="16" t="s">
        <v>22</v>
      </c>
    </row>
    <row r="9" spans="1:17" ht="20.5" thickBot="1" x14ac:dyDescent="0.45">
      <c r="A9" s="51" t="str">
        <v/>
      </c>
      <c r="B9" s="51" t="str">
        <f t="shared" si="0"/>
        <v/>
      </c>
      <c r="C9" s="52" t="str">
        <f t="shared" ref="C9:C43" si="2">IF(B9=B8,"",B9)</f>
        <v/>
      </c>
      <c r="D9" s="53"/>
      <c r="E9" s="54"/>
      <c r="F9" s="55"/>
      <c r="G9" s="55"/>
      <c r="H9" s="57"/>
      <c r="I9" s="58">
        <f t="shared" si="1"/>
        <v>0</v>
      </c>
      <c r="J9" s="62"/>
      <c r="L9" s="64" t="s">
        <v>36</v>
      </c>
      <c r="M9" s="65">
        <f>SUM(G7:G40)</f>
        <v>0</v>
      </c>
      <c r="O9" s="16" t="s">
        <v>10</v>
      </c>
      <c r="P9" s="16"/>
      <c r="Q9" s="16" t="s">
        <v>105</v>
      </c>
    </row>
    <row r="10" spans="1:17" ht="20" x14ac:dyDescent="0.4">
      <c r="A10" s="51" t="str">
        <v/>
      </c>
      <c r="B10" s="51" t="str">
        <f t="shared" si="0"/>
        <v/>
      </c>
      <c r="C10" s="52" t="str">
        <f t="shared" si="2"/>
        <v/>
      </c>
      <c r="D10" s="53"/>
      <c r="E10" s="54"/>
      <c r="F10" s="55"/>
      <c r="G10" s="55"/>
      <c r="H10" s="57"/>
      <c r="I10" s="58">
        <f t="shared" si="1"/>
        <v>0</v>
      </c>
      <c r="J10" s="62"/>
      <c r="O10" s="18" t="s">
        <v>93</v>
      </c>
      <c r="P10" s="16"/>
      <c r="Q10" s="17" t="s">
        <v>123</v>
      </c>
    </row>
    <row r="11" spans="1:17" ht="20" x14ac:dyDescent="0.4">
      <c r="A11" s="51" t="str">
        <v/>
      </c>
      <c r="B11" s="51" t="str">
        <f t="shared" si="0"/>
        <v/>
      </c>
      <c r="C11" s="52" t="str">
        <f t="shared" si="2"/>
        <v/>
      </c>
      <c r="D11" s="53"/>
      <c r="E11" s="54"/>
      <c r="F11" s="55"/>
      <c r="G11" s="55"/>
      <c r="H11" s="57"/>
      <c r="I11" s="58">
        <f t="shared" si="1"/>
        <v>0</v>
      </c>
      <c r="J11" s="62"/>
      <c r="O11" s="16"/>
      <c r="P11" s="16"/>
      <c r="Q11" s="16" t="s">
        <v>104</v>
      </c>
    </row>
    <row r="12" spans="1:17" ht="20" x14ac:dyDescent="0.4">
      <c r="A12" s="51" t="str">
        <v/>
      </c>
      <c r="B12" s="51" t="str">
        <f t="shared" si="0"/>
        <v/>
      </c>
      <c r="C12" s="52" t="str">
        <f t="shared" si="2"/>
        <v/>
      </c>
      <c r="D12" s="53"/>
      <c r="E12" s="54"/>
      <c r="F12" s="55"/>
      <c r="G12" s="55"/>
      <c r="H12" s="57"/>
      <c r="I12" s="58">
        <f t="shared" si="1"/>
        <v>0</v>
      </c>
      <c r="J12" s="62"/>
      <c r="L12" s="66"/>
      <c r="M12" s="67"/>
      <c r="O12" s="18"/>
      <c r="P12" s="16"/>
      <c r="Q12" s="16" t="s">
        <v>124</v>
      </c>
    </row>
    <row r="13" spans="1:17" ht="20" x14ac:dyDescent="0.4">
      <c r="A13" s="51" t="str">
        <v/>
      </c>
      <c r="B13" s="51" t="str">
        <f t="shared" si="0"/>
        <v/>
      </c>
      <c r="C13" s="52" t="str">
        <f t="shared" si="2"/>
        <v/>
      </c>
      <c r="D13" s="53"/>
      <c r="E13" s="54"/>
      <c r="F13" s="55"/>
      <c r="G13" s="55"/>
      <c r="H13" s="57"/>
      <c r="I13" s="58">
        <f t="shared" si="1"/>
        <v>0</v>
      </c>
      <c r="J13" s="62"/>
      <c r="L13" s="67"/>
      <c r="M13" s="67"/>
      <c r="O13" s="16"/>
      <c r="P13" s="16"/>
      <c r="Q13" s="16" t="s">
        <v>106</v>
      </c>
    </row>
    <row r="14" spans="1:17" ht="20" x14ac:dyDescent="0.4">
      <c r="A14" s="51" t="str">
        <v/>
      </c>
      <c r="B14" s="51" t="str">
        <f t="shared" si="0"/>
        <v/>
      </c>
      <c r="C14" s="52" t="str">
        <f t="shared" si="2"/>
        <v/>
      </c>
      <c r="D14" s="53"/>
      <c r="E14" s="54"/>
      <c r="F14" s="55"/>
      <c r="G14" s="56"/>
      <c r="H14" s="61"/>
      <c r="I14" s="58">
        <f t="shared" si="1"/>
        <v>0</v>
      </c>
      <c r="J14" s="62"/>
      <c r="L14" s="67"/>
      <c r="M14" s="67"/>
      <c r="O14" s="16"/>
      <c r="P14" s="16"/>
      <c r="Q14" s="16" t="s">
        <v>72</v>
      </c>
    </row>
    <row r="15" spans="1:17" ht="20" x14ac:dyDescent="0.4">
      <c r="A15" s="51" t="str">
        <v/>
      </c>
      <c r="B15" s="51" t="str">
        <f t="shared" si="0"/>
        <v/>
      </c>
      <c r="C15" s="52" t="str">
        <f t="shared" si="2"/>
        <v/>
      </c>
      <c r="D15" s="53"/>
      <c r="E15" s="54"/>
      <c r="F15" s="55"/>
      <c r="G15" s="55"/>
      <c r="H15" s="57"/>
      <c r="I15" s="58">
        <f t="shared" si="1"/>
        <v>0</v>
      </c>
      <c r="J15" s="62"/>
      <c r="L15" s="67"/>
      <c r="M15" s="67"/>
      <c r="O15" s="16"/>
      <c r="P15" s="16"/>
      <c r="Q15" s="16" t="s">
        <v>9</v>
      </c>
    </row>
    <row r="16" spans="1:17" ht="20" x14ac:dyDescent="0.4">
      <c r="A16" s="51" t="str">
        <v/>
      </c>
      <c r="B16" s="51" t="str">
        <f t="shared" si="0"/>
        <v/>
      </c>
      <c r="C16" s="52" t="str">
        <f t="shared" si="2"/>
        <v/>
      </c>
      <c r="D16" s="53"/>
      <c r="E16" s="54"/>
      <c r="F16" s="55"/>
      <c r="G16" s="55"/>
      <c r="H16" s="57"/>
      <c r="I16" s="58">
        <f t="shared" si="1"/>
        <v>0</v>
      </c>
      <c r="J16" s="62"/>
      <c r="L16" s="67"/>
      <c r="M16" s="67"/>
      <c r="O16" s="16"/>
      <c r="P16" s="16"/>
      <c r="Q16" s="16" t="s">
        <v>83</v>
      </c>
    </row>
    <row r="17" spans="1:19" ht="20" x14ac:dyDescent="0.4">
      <c r="A17" s="68" t="str">
        <v/>
      </c>
      <c r="B17" s="51" t="str">
        <f t="shared" si="0"/>
        <v/>
      </c>
      <c r="C17" s="52" t="str">
        <f t="shared" si="2"/>
        <v/>
      </c>
      <c r="D17" s="53"/>
      <c r="E17" s="54"/>
      <c r="F17" s="55"/>
      <c r="G17" s="55"/>
      <c r="H17" s="57"/>
      <c r="I17" s="58">
        <f t="shared" si="1"/>
        <v>0</v>
      </c>
      <c r="J17" s="62"/>
      <c r="L17" s="67"/>
      <c r="M17" s="67"/>
      <c r="O17" s="16"/>
      <c r="P17" s="16"/>
      <c r="Q17" s="16" t="s">
        <v>92</v>
      </c>
    </row>
    <row r="18" spans="1:19" ht="20" x14ac:dyDescent="0.4">
      <c r="A18" s="51" t="str">
        <v/>
      </c>
      <c r="B18" s="51" t="str">
        <f t="shared" si="0"/>
        <v/>
      </c>
      <c r="C18" s="52" t="str">
        <f t="shared" si="2"/>
        <v/>
      </c>
      <c r="D18" s="53"/>
      <c r="E18" s="54"/>
      <c r="F18" s="55"/>
      <c r="G18" s="55"/>
      <c r="H18" s="57"/>
      <c r="I18" s="58">
        <f t="shared" si="1"/>
        <v>0</v>
      </c>
      <c r="J18" s="62"/>
      <c r="L18" s="67"/>
      <c r="M18" s="67"/>
      <c r="O18" s="16"/>
      <c r="P18" s="16"/>
      <c r="Q18" s="16"/>
    </row>
    <row r="19" spans="1:19" s="71" customFormat="1" ht="20" x14ac:dyDescent="0.4">
      <c r="A19" s="69" t="str">
        <v/>
      </c>
      <c r="B19" s="69" t="str">
        <f t="shared" si="0"/>
        <v/>
      </c>
      <c r="C19" s="52" t="str">
        <f t="shared" si="2"/>
        <v/>
      </c>
      <c r="D19" s="53"/>
      <c r="E19" s="54"/>
      <c r="F19" s="55"/>
      <c r="G19" s="55"/>
      <c r="H19" s="57"/>
      <c r="I19" s="58">
        <f t="shared" si="1"/>
        <v>0</v>
      </c>
      <c r="J19" s="70"/>
      <c r="L19" s="72"/>
      <c r="M19" s="72"/>
      <c r="N19" s="73"/>
      <c r="O19" s="16"/>
      <c r="P19" s="16"/>
      <c r="Q19" s="16"/>
      <c r="R19" s="73"/>
      <c r="S19" s="73"/>
    </row>
    <row r="20" spans="1:19" s="71" customFormat="1" ht="20" x14ac:dyDescent="0.4">
      <c r="A20" s="69" t="str">
        <v/>
      </c>
      <c r="B20" s="69" t="str">
        <f t="shared" si="0"/>
        <v/>
      </c>
      <c r="C20" s="52" t="str">
        <f t="shared" si="2"/>
        <v/>
      </c>
      <c r="D20" s="53"/>
      <c r="E20" s="54"/>
      <c r="F20" s="55"/>
      <c r="G20" s="56"/>
      <c r="H20" s="61"/>
      <c r="I20" s="58">
        <f t="shared" si="1"/>
        <v>0</v>
      </c>
      <c r="J20" s="70"/>
      <c r="L20" s="72"/>
      <c r="M20" s="72"/>
      <c r="N20" s="73"/>
      <c r="O20" s="16"/>
      <c r="P20" s="16"/>
      <c r="Q20" s="16"/>
      <c r="R20" s="73"/>
      <c r="S20" s="73"/>
    </row>
    <row r="21" spans="1:19" s="71" customFormat="1" ht="20" x14ac:dyDescent="0.4">
      <c r="A21" s="69" t="str">
        <v/>
      </c>
      <c r="B21" s="69" t="str">
        <f t="shared" si="0"/>
        <v/>
      </c>
      <c r="C21" s="52" t="str">
        <f t="shared" si="2"/>
        <v/>
      </c>
      <c r="D21" s="53"/>
      <c r="E21" s="54"/>
      <c r="F21" s="55"/>
      <c r="G21" s="55"/>
      <c r="H21" s="57"/>
      <c r="I21" s="58">
        <f t="shared" si="1"/>
        <v>0</v>
      </c>
      <c r="J21" s="70"/>
      <c r="L21" s="72"/>
      <c r="M21" s="72"/>
      <c r="N21" s="73"/>
      <c r="O21" s="18"/>
      <c r="P21" s="18"/>
      <c r="Q21" s="18"/>
      <c r="R21" s="73"/>
      <c r="S21" s="73"/>
    </row>
    <row r="22" spans="1:19" s="71" customFormat="1" ht="20" x14ac:dyDescent="0.4">
      <c r="A22" s="69" t="str">
        <v/>
      </c>
      <c r="B22" s="69" t="str">
        <f t="shared" si="0"/>
        <v/>
      </c>
      <c r="C22" s="52" t="str">
        <f t="shared" si="2"/>
        <v/>
      </c>
      <c r="D22" s="53"/>
      <c r="E22" s="54"/>
      <c r="F22" s="55"/>
      <c r="G22" s="56"/>
      <c r="H22" s="61"/>
      <c r="I22" s="58">
        <f t="shared" si="1"/>
        <v>0</v>
      </c>
      <c r="J22" s="70"/>
      <c r="L22" s="72"/>
      <c r="M22" s="72"/>
      <c r="N22" s="73"/>
      <c r="O22" s="18"/>
      <c r="P22" s="18"/>
      <c r="Q22" s="18"/>
      <c r="R22" s="73"/>
      <c r="S22" s="73"/>
    </row>
    <row r="23" spans="1:19" s="71" customFormat="1" ht="20" x14ac:dyDescent="0.4">
      <c r="A23" s="69" t="str">
        <v/>
      </c>
      <c r="B23" s="69" t="str">
        <f t="shared" si="0"/>
        <v/>
      </c>
      <c r="C23" s="52" t="str">
        <f t="shared" si="2"/>
        <v/>
      </c>
      <c r="D23" s="53"/>
      <c r="E23" s="54"/>
      <c r="F23" s="55"/>
      <c r="G23" s="55"/>
      <c r="H23" s="57"/>
      <c r="I23" s="58">
        <f t="shared" si="1"/>
        <v>0</v>
      </c>
      <c r="J23" s="70"/>
      <c r="L23" s="72"/>
      <c r="M23" s="72"/>
      <c r="N23" s="73"/>
      <c r="O23" s="18"/>
      <c r="P23" s="18"/>
      <c r="Q23" s="18"/>
      <c r="R23" s="73"/>
      <c r="S23" s="73"/>
    </row>
    <row r="24" spans="1:19" s="71" customFormat="1" ht="20" x14ac:dyDescent="0.4">
      <c r="A24" s="69" t="str">
        <v/>
      </c>
      <c r="B24" s="69" t="str">
        <f t="shared" si="0"/>
        <v/>
      </c>
      <c r="C24" s="52" t="str">
        <f t="shared" si="2"/>
        <v/>
      </c>
      <c r="D24" s="53"/>
      <c r="E24" s="54"/>
      <c r="F24" s="55"/>
      <c r="G24" s="55"/>
      <c r="H24" s="57"/>
      <c r="I24" s="58">
        <f t="shared" si="1"/>
        <v>0</v>
      </c>
      <c r="J24" s="70"/>
      <c r="L24" s="72"/>
      <c r="M24" s="72"/>
      <c r="N24" s="73"/>
      <c r="O24" s="18"/>
      <c r="P24" s="18"/>
      <c r="Q24" s="18"/>
      <c r="R24" s="73"/>
      <c r="S24" s="73"/>
    </row>
    <row r="25" spans="1:19" ht="20" x14ac:dyDescent="0.4">
      <c r="A25" s="51" t="str">
        <v/>
      </c>
      <c r="B25" s="51" t="str">
        <f t="shared" si="0"/>
        <v/>
      </c>
      <c r="C25" s="52" t="str">
        <f t="shared" si="2"/>
        <v/>
      </c>
      <c r="D25" s="53"/>
      <c r="E25" s="54"/>
      <c r="F25" s="55"/>
      <c r="G25" s="56"/>
      <c r="H25" s="61"/>
      <c r="I25" s="58">
        <f t="shared" si="1"/>
        <v>0</v>
      </c>
      <c r="J25" s="62"/>
      <c r="L25" s="67"/>
      <c r="M25" s="67"/>
      <c r="O25" s="18"/>
      <c r="P25" s="18"/>
      <c r="Q25" s="18"/>
    </row>
    <row r="26" spans="1:19" ht="20" x14ac:dyDescent="0.4">
      <c r="A26" s="51" t="str">
        <v/>
      </c>
      <c r="B26" s="51" t="str">
        <f t="shared" si="0"/>
        <v/>
      </c>
      <c r="C26" s="52" t="str">
        <f t="shared" si="2"/>
        <v/>
      </c>
      <c r="D26" s="53"/>
      <c r="E26" s="54"/>
      <c r="F26" s="55"/>
      <c r="G26" s="55"/>
      <c r="H26" s="57"/>
      <c r="I26" s="58">
        <f t="shared" si="1"/>
        <v>0</v>
      </c>
      <c r="J26" s="62"/>
      <c r="L26" s="67"/>
      <c r="M26" s="67"/>
      <c r="O26" s="18"/>
      <c r="P26" s="18"/>
      <c r="Q26" s="18"/>
    </row>
    <row r="27" spans="1:19" ht="20" x14ac:dyDescent="0.4">
      <c r="A27" s="51" t="str">
        <v/>
      </c>
      <c r="B27" s="51" t="str">
        <f t="shared" si="0"/>
        <v/>
      </c>
      <c r="C27" s="52" t="str">
        <f t="shared" si="2"/>
        <v/>
      </c>
      <c r="D27" s="53"/>
      <c r="E27" s="54"/>
      <c r="F27" s="55"/>
      <c r="G27" s="55"/>
      <c r="H27" s="57"/>
      <c r="I27" s="58">
        <f t="shared" si="1"/>
        <v>0</v>
      </c>
      <c r="J27" s="62"/>
      <c r="O27" s="18"/>
      <c r="P27" s="18"/>
      <c r="Q27" s="18"/>
    </row>
    <row r="28" spans="1:19" ht="20" x14ac:dyDescent="0.4">
      <c r="A28" s="51" t="str">
        <v/>
      </c>
      <c r="B28" s="51" t="str">
        <f t="shared" si="0"/>
        <v/>
      </c>
      <c r="C28" s="52" t="str">
        <f t="shared" si="2"/>
        <v/>
      </c>
      <c r="D28" s="53"/>
      <c r="E28" s="54"/>
      <c r="F28" s="55"/>
      <c r="G28" s="55"/>
      <c r="H28" s="57"/>
      <c r="I28" s="58">
        <f t="shared" si="1"/>
        <v>0</v>
      </c>
      <c r="J28" s="62"/>
      <c r="O28" s="18"/>
      <c r="P28" s="18"/>
      <c r="Q28" s="18"/>
    </row>
    <row r="29" spans="1:19" ht="20" x14ac:dyDescent="0.4">
      <c r="A29" s="51" t="str">
        <v/>
      </c>
      <c r="B29" s="51" t="str">
        <f t="shared" si="0"/>
        <v/>
      </c>
      <c r="C29" s="52" t="str">
        <f t="shared" si="2"/>
        <v/>
      </c>
      <c r="D29" s="53"/>
      <c r="E29" s="54"/>
      <c r="F29" s="55"/>
      <c r="G29" s="55"/>
      <c r="H29" s="57"/>
      <c r="I29" s="58">
        <f t="shared" si="1"/>
        <v>0</v>
      </c>
      <c r="J29" s="62"/>
      <c r="O29" s="18"/>
      <c r="P29" s="18"/>
      <c r="Q29" s="16"/>
    </row>
    <row r="30" spans="1:19" ht="20" x14ac:dyDescent="0.4">
      <c r="A30" s="74" t="str">
        <v/>
      </c>
      <c r="B30" s="51" t="str">
        <f t="shared" si="0"/>
        <v/>
      </c>
      <c r="C30" s="52" t="str">
        <f t="shared" si="2"/>
        <v/>
      </c>
      <c r="D30" s="53"/>
      <c r="E30" s="54"/>
      <c r="F30" s="55"/>
      <c r="G30" s="55"/>
      <c r="H30" s="57"/>
      <c r="I30" s="58">
        <f t="shared" si="1"/>
        <v>0</v>
      </c>
      <c r="J30" s="75"/>
      <c r="L30" s="76"/>
      <c r="M30" s="25"/>
      <c r="N30" s="25"/>
      <c r="O30" s="16"/>
      <c r="P30" s="16"/>
      <c r="Q30" s="18"/>
      <c r="R30" s="25"/>
      <c r="S30" s="25"/>
    </row>
    <row r="31" spans="1:19" ht="20" x14ac:dyDescent="0.4">
      <c r="A31" s="74" t="str">
        <v/>
      </c>
      <c r="B31" s="51" t="str">
        <f t="shared" si="0"/>
        <v/>
      </c>
      <c r="C31" s="52" t="str">
        <f t="shared" si="2"/>
        <v/>
      </c>
      <c r="D31" s="53"/>
      <c r="E31" s="54"/>
      <c r="F31" s="55"/>
      <c r="G31" s="55"/>
      <c r="H31" s="57"/>
      <c r="I31" s="58">
        <f t="shared" si="1"/>
        <v>0</v>
      </c>
      <c r="J31" s="75"/>
      <c r="L31" s="76"/>
      <c r="M31" s="25"/>
      <c r="N31" s="25"/>
      <c r="O31" s="16"/>
      <c r="P31" s="16"/>
      <c r="Q31" s="18"/>
      <c r="R31" s="25"/>
      <c r="S31" s="25"/>
    </row>
    <row r="32" spans="1:19" ht="20" x14ac:dyDescent="0.4">
      <c r="A32" s="74" t="str">
        <v/>
      </c>
      <c r="B32" s="51" t="str">
        <f t="shared" si="0"/>
        <v/>
      </c>
      <c r="C32" s="52" t="str">
        <f t="shared" si="2"/>
        <v/>
      </c>
      <c r="D32" s="53"/>
      <c r="E32" s="54"/>
      <c r="F32" s="55"/>
      <c r="G32" s="55"/>
      <c r="H32" s="57"/>
      <c r="I32" s="58">
        <f t="shared" si="1"/>
        <v>0</v>
      </c>
      <c r="J32" s="75"/>
      <c r="L32" s="76"/>
      <c r="M32" s="25"/>
      <c r="N32" s="25"/>
      <c r="O32" s="16"/>
      <c r="P32" s="16"/>
      <c r="Q32" s="18"/>
      <c r="R32" s="25"/>
      <c r="S32" s="25"/>
    </row>
    <row r="33" spans="1:19" ht="20" x14ac:dyDescent="0.4">
      <c r="A33" s="77" t="str">
        <v/>
      </c>
      <c r="B33" s="51" t="str">
        <f t="shared" si="0"/>
        <v/>
      </c>
      <c r="C33" s="52" t="str">
        <f t="shared" si="2"/>
        <v/>
      </c>
      <c r="D33" s="53"/>
      <c r="E33" s="54"/>
      <c r="F33" s="55"/>
      <c r="G33" s="55"/>
      <c r="H33" s="57"/>
      <c r="I33" s="58">
        <f t="shared" si="1"/>
        <v>0</v>
      </c>
      <c r="J33" s="75"/>
      <c r="L33" s="76"/>
    </row>
    <row r="34" spans="1:19" ht="20" x14ac:dyDescent="0.4">
      <c r="A34" s="77" t="str">
        <v/>
      </c>
      <c r="B34" s="51" t="str">
        <f t="shared" si="0"/>
        <v/>
      </c>
      <c r="C34" s="52" t="str">
        <f t="shared" si="2"/>
        <v/>
      </c>
      <c r="D34" s="53"/>
      <c r="E34" s="54"/>
      <c r="F34" s="55"/>
      <c r="G34" s="55"/>
      <c r="H34" s="57"/>
      <c r="I34" s="58">
        <f t="shared" si="1"/>
        <v>0</v>
      </c>
      <c r="J34" s="75"/>
      <c r="L34" s="76"/>
    </row>
    <row r="35" spans="1:19" ht="20" x14ac:dyDescent="0.4">
      <c r="A35" s="77" t="str">
        <v/>
      </c>
      <c r="B35" s="51" t="str">
        <f t="shared" si="0"/>
        <v/>
      </c>
      <c r="C35" s="52" t="str">
        <f t="shared" si="2"/>
        <v/>
      </c>
      <c r="D35" s="53"/>
      <c r="E35" s="54"/>
      <c r="F35" s="55"/>
      <c r="G35" s="55"/>
      <c r="H35" s="57"/>
      <c r="I35" s="58">
        <f t="shared" si="1"/>
        <v>0</v>
      </c>
      <c r="J35" s="75"/>
      <c r="L35" s="76"/>
    </row>
    <row r="36" spans="1:19" ht="20" x14ac:dyDescent="0.4">
      <c r="A36" s="77" t="str">
        <v/>
      </c>
      <c r="B36" s="51" t="str">
        <f t="shared" si="0"/>
        <v/>
      </c>
      <c r="C36" s="52" t="str">
        <f t="shared" si="2"/>
        <v/>
      </c>
      <c r="D36" s="53"/>
      <c r="E36" s="54"/>
      <c r="F36" s="55"/>
      <c r="G36" s="55"/>
      <c r="H36" s="57"/>
      <c r="I36" s="58">
        <f t="shared" si="1"/>
        <v>0</v>
      </c>
      <c r="J36" s="75"/>
      <c r="L36" s="76"/>
    </row>
    <row r="37" spans="1:19" ht="20" x14ac:dyDescent="0.4">
      <c r="A37" s="77" t="str">
        <v/>
      </c>
      <c r="B37" s="51" t="str">
        <f t="shared" si="0"/>
        <v/>
      </c>
      <c r="C37" s="52" t="str">
        <f t="shared" si="2"/>
        <v/>
      </c>
      <c r="D37" s="53"/>
      <c r="E37" s="54"/>
      <c r="F37" s="55"/>
      <c r="G37" s="55"/>
      <c r="H37" s="57"/>
      <c r="I37" s="58">
        <f t="shared" si="1"/>
        <v>0</v>
      </c>
      <c r="J37" s="75"/>
      <c r="L37" s="76"/>
    </row>
    <row r="38" spans="1:19" ht="20" x14ac:dyDescent="0.4">
      <c r="A38" s="77" t="str">
        <v/>
      </c>
      <c r="B38" s="51" t="str">
        <f t="shared" si="0"/>
        <v/>
      </c>
      <c r="C38" s="52" t="str">
        <f t="shared" si="2"/>
        <v/>
      </c>
      <c r="D38" s="53"/>
      <c r="E38" s="54"/>
      <c r="F38" s="55"/>
      <c r="G38" s="55"/>
      <c r="H38" s="57"/>
      <c r="I38" s="58">
        <f t="shared" si="1"/>
        <v>0</v>
      </c>
      <c r="J38" s="75"/>
      <c r="L38" s="76"/>
    </row>
    <row r="39" spans="1:19" ht="20" x14ac:dyDescent="0.4">
      <c r="A39" s="77" t="str">
        <v/>
      </c>
      <c r="B39" s="51" t="str">
        <f t="shared" si="0"/>
        <v/>
      </c>
      <c r="C39" s="52" t="str">
        <f t="shared" si="2"/>
        <v/>
      </c>
      <c r="D39" s="53"/>
      <c r="E39" s="54"/>
      <c r="F39" s="55"/>
      <c r="G39" s="55"/>
      <c r="H39" s="57"/>
      <c r="I39" s="58">
        <f t="shared" si="1"/>
        <v>0</v>
      </c>
      <c r="J39" s="75"/>
      <c r="L39" s="76"/>
    </row>
    <row r="40" spans="1:19" ht="20" x14ac:dyDescent="0.4">
      <c r="A40" s="77" t="str">
        <v/>
      </c>
      <c r="B40" s="51" t="str">
        <f t="shared" si="0"/>
        <v/>
      </c>
      <c r="C40" s="52" t="str">
        <f t="shared" si="2"/>
        <v/>
      </c>
      <c r="D40" s="53"/>
      <c r="E40" s="54"/>
      <c r="F40" s="55"/>
      <c r="G40" s="55" t="s">
        <v>126</v>
      </c>
      <c r="H40" s="57"/>
      <c r="I40" s="58" t="str">
        <f>IFERROR(INDEX(MasterTimeRef!G2:AE17,MATCH(Monday!D40,MasterTimeRef!F2:F17,0),MATCH(Monday!F40,MasterTimeRef!G1:AF1,0))*H40,"")</f>
        <v/>
      </c>
      <c r="J40" s="75"/>
      <c r="L40" s="76"/>
    </row>
    <row r="41" spans="1:19" ht="20" x14ac:dyDescent="0.4">
      <c r="A41" s="77" t="str">
        <v/>
      </c>
      <c r="B41" s="51" t="str">
        <f t="shared" si="0"/>
        <v/>
      </c>
      <c r="C41" s="52" t="str">
        <f t="shared" si="2"/>
        <v/>
      </c>
      <c r="D41" s="53"/>
      <c r="E41" s="54"/>
      <c r="F41" s="55"/>
      <c r="G41" s="55" t="s">
        <v>125</v>
      </c>
      <c r="H41" s="57"/>
      <c r="I41" s="58" t="str">
        <f>IFERROR(INDEX(MasterTimeRef!G2:AE17,MATCH(Monday!D41,MasterTimeRef!F2:F17,0),MATCH(Monday!F41,MasterTimeRef!G1:AF1,0))*H41,"")</f>
        <v/>
      </c>
      <c r="J41" s="75"/>
      <c r="L41" s="76"/>
    </row>
    <row r="42" spans="1:19" ht="20" x14ac:dyDescent="0.4">
      <c r="A42" s="77" t="str">
        <v/>
      </c>
      <c r="B42" s="51" t="str">
        <f t="shared" si="0"/>
        <v/>
      </c>
      <c r="C42" s="52" t="str">
        <f t="shared" si="2"/>
        <v/>
      </c>
      <c r="D42" s="53"/>
      <c r="E42" s="54"/>
      <c r="F42" s="55"/>
      <c r="G42" s="55"/>
      <c r="H42" s="57">
        <f>G42*15</f>
        <v>0</v>
      </c>
      <c r="I42" s="58">
        <f>H42</f>
        <v>0</v>
      </c>
      <c r="J42" s="75"/>
      <c r="L42" s="76"/>
    </row>
    <row r="43" spans="1:19" ht="20.5" thickBot="1" x14ac:dyDescent="0.45">
      <c r="A43" s="78" t="str">
        <v/>
      </c>
      <c r="B43" s="51" t="str">
        <f t="shared" si="0"/>
        <v/>
      </c>
      <c r="C43" s="79" t="str">
        <f t="shared" si="2"/>
        <v/>
      </c>
      <c r="D43" s="80"/>
      <c r="E43" s="91"/>
      <c r="F43" s="81"/>
      <c r="G43" s="81"/>
      <c r="H43" s="82"/>
      <c r="I43" s="58"/>
      <c r="J43" s="62"/>
    </row>
    <row r="44" spans="1:19" x14ac:dyDescent="0.3">
      <c r="A44" s="83"/>
      <c r="B44" s="83"/>
      <c r="C44" s="83"/>
      <c r="D44" s="84"/>
      <c r="E44" s="83"/>
      <c r="F44" s="83"/>
      <c r="G44" s="84"/>
      <c r="H44" s="84"/>
      <c r="I44" s="83"/>
      <c r="J44" s="83"/>
      <c r="K44" s="83"/>
      <c r="L44" s="25"/>
      <c r="M44" s="25"/>
      <c r="N44" s="25"/>
      <c r="O44" s="85"/>
      <c r="P44" s="85"/>
      <c r="Q44" s="85"/>
      <c r="R44" s="25"/>
      <c r="S44" s="25"/>
    </row>
    <row r="45" spans="1:19" x14ac:dyDescent="0.3">
      <c r="A45" s="83"/>
      <c r="B45" s="83"/>
      <c r="C45" s="83"/>
      <c r="D45" s="84"/>
      <c r="E45" s="83"/>
      <c r="F45" s="83"/>
      <c r="G45" s="84"/>
      <c r="H45" s="84"/>
      <c r="I45" s="83"/>
      <c r="J45" s="83"/>
      <c r="K45" s="83"/>
      <c r="L45" s="25"/>
      <c r="M45" s="25"/>
      <c r="N45" s="25"/>
      <c r="O45" s="85"/>
      <c r="P45" s="85"/>
      <c r="Q45" s="85"/>
      <c r="R45" s="25"/>
      <c r="S45" s="25"/>
    </row>
    <row r="46" spans="1:19" x14ac:dyDescent="0.3">
      <c r="A46" s="83"/>
      <c r="B46" s="83"/>
      <c r="C46" s="83"/>
      <c r="D46" s="84"/>
      <c r="E46" s="83"/>
      <c r="F46" s="83"/>
      <c r="G46" s="84"/>
      <c r="H46" s="84"/>
      <c r="I46" s="83"/>
      <c r="J46" s="83"/>
      <c r="K46" s="83"/>
      <c r="L46" s="25"/>
      <c r="M46" s="25"/>
      <c r="N46" s="25"/>
      <c r="O46" s="85"/>
      <c r="P46" s="85"/>
      <c r="Q46" s="85"/>
      <c r="R46" s="25"/>
      <c r="S46" s="25"/>
    </row>
    <row r="47" spans="1:19" x14ac:dyDescent="0.3">
      <c r="A47" s="83"/>
      <c r="B47" s="83"/>
      <c r="C47" s="83"/>
      <c r="D47" s="84"/>
      <c r="E47" s="83"/>
      <c r="F47" s="83"/>
      <c r="G47" s="84"/>
      <c r="H47" s="84"/>
      <c r="I47" s="83"/>
      <c r="J47" s="83"/>
      <c r="K47" s="83"/>
      <c r="L47" s="25"/>
      <c r="M47" s="25"/>
      <c r="N47" s="25"/>
      <c r="O47" s="85"/>
      <c r="P47" s="85"/>
      <c r="Q47" s="85"/>
      <c r="R47" s="25"/>
      <c r="S47" s="25"/>
    </row>
    <row r="48" spans="1:19" x14ac:dyDescent="0.3">
      <c r="A48" s="83"/>
      <c r="B48" s="83"/>
      <c r="C48" s="83"/>
      <c r="D48" s="84"/>
      <c r="E48" s="83"/>
      <c r="F48" s="83"/>
      <c r="G48" s="84"/>
      <c r="H48" s="84"/>
      <c r="I48" s="83"/>
      <c r="J48" s="83"/>
      <c r="K48" s="83"/>
      <c r="L48" s="25"/>
      <c r="M48" s="25"/>
      <c r="N48" s="25"/>
      <c r="O48" s="85"/>
      <c r="P48" s="85"/>
      <c r="Q48" s="85"/>
      <c r="R48" s="25"/>
      <c r="S48" s="25"/>
    </row>
    <row r="49" spans="1:19" x14ac:dyDescent="0.3">
      <c r="A49" s="83"/>
      <c r="B49" s="83"/>
      <c r="C49" s="83"/>
      <c r="D49" s="84"/>
      <c r="E49" s="83"/>
      <c r="F49" s="83"/>
      <c r="G49" s="84"/>
      <c r="H49" s="84"/>
      <c r="I49" s="83"/>
      <c r="J49" s="83"/>
      <c r="K49" s="83"/>
      <c r="L49" s="25"/>
      <c r="M49" s="25"/>
      <c r="N49" s="25"/>
      <c r="O49" s="85"/>
      <c r="P49" s="85"/>
      <c r="Q49" s="85"/>
      <c r="R49" s="25"/>
      <c r="S49" s="25"/>
    </row>
    <row r="50" spans="1:19" x14ac:dyDescent="0.3">
      <c r="A50" s="83"/>
      <c r="B50" s="83"/>
      <c r="C50" s="83"/>
      <c r="D50" s="84"/>
      <c r="E50" s="83"/>
      <c r="F50" s="83"/>
      <c r="G50" s="84"/>
      <c r="H50" s="84"/>
      <c r="I50" s="83"/>
      <c r="J50" s="83"/>
      <c r="K50" s="83"/>
      <c r="L50" s="25"/>
      <c r="M50" s="25"/>
      <c r="N50" s="25"/>
      <c r="O50" s="85"/>
      <c r="P50" s="85"/>
      <c r="Q50" s="85"/>
      <c r="R50" s="25"/>
      <c r="S50" s="25"/>
    </row>
    <row r="51" spans="1:19" x14ac:dyDescent="0.3">
      <c r="A51" s="83"/>
      <c r="B51" s="83"/>
      <c r="C51" s="83"/>
      <c r="D51" s="84"/>
      <c r="E51" s="83"/>
      <c r="F51" s="83"/>
      <c r="G51" s="84"/>
      <c r="H51" s="84"/>
      <c r="I51" s="83"/>
      <c r="J51" s="83"/>
      <c r="K51" s="83"/>
      <c r="L51" s="25"/>
      <c r="M51" s="25"/>
      <c r="N51" s="25"/>
      <c r="O51" s="85"/>
      <c r="P51" s="85"/>
      <c r="Q51" s="85"/>
      <c r="R51" s="25"/>
      <c r="S51" s="25"/>
    </row>
    <row r="52" spans="1:19" x14ac:dyDescent="0.3">
      <c r="A52" s="83"/>
      <c r="B52" s="83"/>
      <c r="C52" s="83"/>
      <c r="D52" s="84"/>
      <c r="E52" s="83"/>
      <c r="F52" s="83"/>
      <c r="G52" s="84"/>
      <c r="H52" s="84"/>
      <c r="I52" s="83"/>
      <c r="J52" s="83"/>
      <c r="K52" s="83"/>
      <c r="L52" s="25"/>
      <c r="M52" s="25"/>
      <c r="N52" s="25"/>
      <c r="O52" s="85"/>
      <c r="P52" s="85"/>
      <c r="Q52" s="85"/>
      <c r="R52" s="25"/>
      <c r="S52" s="25"/>
    </row>
    <row r="53" spans="1:19" x14ac:dyDescent="0.3">
      <c r="A53" s="83"/>
      <c r="B53" s="83"/>
      <c r="C53" s="83"/>
      <c r="D53" s="84"/>
      <c r="E53" s="83"/>
      <c r="F53" s="83"/>
      <c r="G53" s="84"/>
      <c r="H53" s="84"/>
      <c r="I53" s="83"/>
      <c r="J53" s="83"/>
      <c r="K53" s="83"/>
      <c r="L53" s="25"/>
      <c r="M53" s="25"/>
      <c r="N53" s="25"/>
      <c r="O53" s="85"/>
      <c r="P53" s="85"/>
      <c r="Q53" s="85"/>
      <c r="R53" s="25"/>
      <c r="S53" s="25"/>
    </row>
    <row r="54" spans="1:19" x14ac:dyDescent="0.3">
      <c r="A54" s="83"/>
      <c r="B54" s="83"/>
      <c r="C54" s="83"/>
      <c r="D54" s="84"/>
      <c r="E54" s="83"/>
      <c r="F54" s="83"/>
      <c r="G54" s="84"/>
      <c r="H54" s="84"/>
      <c r="I54" s="83"/>
      <c r="J54" s="83"/>
      <c r="K54" s="83"/>
      <c r="L54" s="25"/>
      <c r="M54" s="25"/>
      <c r="N54" s="25"/>
      <c r="O54" s="85"/>
      <c r="P54" s="85"/>
      <c r="Q54" s="85"/>
      <c r="R54" s="25"/>
      <c r="S54" s="25"/>
    </row>
    <row r="55" spans="1:19" x14ac:dyDescent="0.3">
      <c r="A55" s="83"/>
      <c r="B55" s="83"/>
      <c r="C55" s="83"/>
      <c r="D55" s="84"/>
      <c r="E55" s="83"/>
      <c r="F55" s="83"/>
      <c r="G55" s="84"/>
      <c r="H55" s="84"/>
      <c r="I55" s="83"/>
      <c r="J55" s="83"/>
      <c r="K55" s="83"/>
      <c r="L55" s="25"/>
      <c r="M55" s="25"/>
      <c r="N55" s="25"/>
      <c r="O55" s="85"/>
      <c r="P55" s="85"/>
      <c r="Q55" s="85"/>
      <c r="R55" s="25"/>
      <c r="S55" s="25"/>
    </row>
    <row r="56" spans="1:19" x14ac:dyDescent="0.3">
      <c r="A56" s="83"/>
      <c r="B56" s="83"/>
      <c r="C56" s="83"/>
      <c r="D56" s="84"/>
      <c r="E56" s="83"/>
      <c r="F56" s="83"/>
      <c r="G56" s="84"/>
      <c r="H56" s="84"/>
      <c r="I56" s="83"/>
      <c r="J56" s="83"/>
      <c r="K56" s="83"/>
      <c r="L56" s="25"/>
      <c r="M56" s="25"/>
      <c r="N56" s="25"/>
      <c r="O56" s="85"/>
      <c r="P56" s="85"/>
      <c r="Q56" s="85"/>
      <c r="R56" s="25"/>
      <c r="S56" s="25"/>
    </row>
    <row r="57" spans="1:19" x14ac:dyDescent="0.3">
      <c r="A57" s="83"/>
      <c r="B57" s="83"/>
      <c r="C57" s="83"/>
      <c r="D57" s="84"/>
      <c r="E57" s="83"/>
      <c r="F57" s="83"/>
      <c r="G57" s="84"/>
      <c r="H57" s="84"/>
      <c r="I57" s="83"/>
      <c r="J57" s="83"/>
      <c r="K57" s="83"/>
      <c r="L57" s="25"/>
      <c r="M57" s="25"/>
      <c r="N57" s="25"/>
      <c r="O57" s="85"/>
      <c r="P57" s="85"/>
      <c r="Q57" s="85"/>
      <c r="R57" s="25"/>
      <c r="S57" s="25"/>
    </row>
    <row r="58" spans="1:19" x14ac:dyDescent="0.3">
      <c r="A58" s="83"/>
      <c r="B58" s="83"/>
      <c r="C58" s="83"/>
      <c r="D58" s="84"/>
      <c r="E58" s="83"/>
      <c r="F58" s="83"/>
      <c r="G58" s="84"/>
      <c r="H58" s="84"/>
      <c r="I58" s="83"/>
      <c r="J58" s="83"/>
      <c r="K58" s="83"/>
      <c r="L58" s="25"/>
      <c r="M58" s="25"/>
      <c r="N58" s="25"/>
      <c r="O58" s="85"/>
      <c r="P58" s="85"/>
      <c r="Q58" s="85"/>
      <c r="R58" s="25"/>
      <c r="S58" s="25"/>
    </row>
    <row r="59" spans="1:19" x14ac:dyDescent="0.3">
      <c r="A59" s="83"/>
      <c r="B59" s="83"/>
      <c r="C59" s="83"/>
      <c r="D59" s="84"/>
      <c r="E59" s="83"/>
      <c r="F59" s="83"/>
      <c r="G59" s="84"/>
      <c r="H59" s="84"/>
      <c r="I59" s="83"/>
      <c r="J59" s="83"/>
      <c r="K59" s="83"/>
      <c r="L59" s="25"/>
      <c r="M59" s="25"/>
      <c r="N59" s="25"/>
      <c r="O59" s="85"/>
      <c r="P59" s="85"/>
      <c r="Q59" s="85"/>
      <c r="R59" s="25"/>
      <c r="S59" s="25"/>
    </row>
    <row r="60" spans="1:19" x14ac:dyDescent="0.3">
      <c r="A60" s="83"/>
      <c r="B60" s="83"/>
      <c r="C60" s="83"/>
      <c r="D60" s="84"/>
      <c r="E60" s="83"/>
      <c r="F60" s="83"/>
      <c r="G60" s="84"/>
      <c r="H60" s="84"/>
      <c r="I60" s="83"/>
      <c r="J60" s="83"/>
      <c r="K60" s="83"/>
      <c r="L60" s="25"/>
      <c r="M60" s="25"/>
      <c r="N60" s="25"/>
      <c r="O60" s="85"/>
      <c r="P60" s="85"/>
      <c r="Q60" s="85"/>
      <c r="R60" s="25"/>
      <c r="S60" s="25"/>
    </row>
    <row r="61" spans="1:19" x14ac:dyDescent="0.3">
      <c r="A61" s="83"/>
      <c r="B61" s="83"/>
      <c r="C61" s="83"/>
      <c r="D61" s="84"/>
      <c r="E61" s="83"/>
      <c r="F61" s="83"/>
      <c r="G61" s="84"/>
      <c r="H61" s="84"/>
      <c r="I61" s="83"/>
      <c r="J61" s="83"/>
      <c r="K61" s="83"/>
      <c r="L61" s="25"/>
      <c r="M61" s="25"/>
      <c r="N61" s="25"/>
      <c r="O61" s="85"/>
      <c r="P61" s="85"/>
      <c r="Q61" s="85"/>
      <c r="R61" s="25"/>
      <c r="S61" s="25"/>
    </row>
    <row r="62" spans="1:19" x14ac:dyDescent="0.3">
      <c r="A62" s="83"/>
      <c r="B62" s="83"/>
      <c r="C62" s="83"/>
      <c r="D62" s="84"/>
      <c r="E62" s="83"/>
      <c r="F62" s="83"/>
      <c r="G62" s="84"/>
      <c r="H62" s="84"/>
      <c r="I62" s="83"/>
      <c r="J62" s="83"/>
      <c r="K62" s="83"/>
      <c r="L62" s="25"/>
      <c r="M62" s="25"/>
      <c r="N62" s="25"/>
      <c r="O62" s="85"/>
      <c r="P62" s="85"/>
      <c r="Q62" s="85"/>
      <c r="R62" s="25"/>
      <c r="S62" s="25"/>
    </row>
    <row r="63" spans="1:19" x14ac:dyDescent="0.3">
      <c r="A63" s="83"/>
      <c r="B63" s="83"/>
      <c r="C63" s="83"/>
      <c r="D63" s="84"/>
      <c r="E63" s="83"/>
      <c r="F63" s="83"/>
      <c r="G63" s="84"/>
      <c r="H63" s="84"/>
      <c r="I63" s="83"/>
      <c r="J63" s="83"/>
      <c r="K63" s="83"/>
      <c r="L63" s="25"/>
      <c r="M63" s="25"/>
      <c r="N63" s="25"/>
      <c r="O63" s="85"/>
      <c r="P63" s="85"/>
      <c r="Q63" s="85"/>
      <c r="R63" s="25"/>
      <c r="S63" s="25"/>
    </row>
    <row r="64" spans="1:19" x14ac:dyDescent="0.3">
      <c r="A64" s="83"/>
      <c r="B64" s="83"/>
      <c r="C64" s="83"/>
      <c r="D64" s="84"/>
      <c r="E64" s="83"/>
      <c r="F64" s="83"/>
      <c r="G64" s="84"/>
      <c r="H64" s="84"/>
      <c r="I64" s="83"/>
      <c r="J64" s="83"/>
      <c r="K64" s="83"/>
      <c r="L64" s="25"/>
      <c r="M64" s="25"/>
      <c r="N64" s="25"/>
      <c r="O64" s="85"/>
      <c r="P64" s="85"/>
      <c r="Q64" s="85"/>
      <c r="R64" s="25"/>
      <c r="S64" s="25"/>
    </row>
    <row r="65" spans="1:19" x14ac:dyDescent="0.3">
      <c r="A65" s="83"/>
      <c r="B65" s="83"/>
      <c r="C65" s="83"/>
      <c r="D65" s="84"/>
      <c r="E65" s="83"/>
      <c r="F65" s="83"/>
      <c r="G65" s="84"/>
      <c r="H65" s="84"/>
      <c r="I65" s="83"/>
      <c r="J65" s="83"/>
      <c r="K65" s="83"/>
      <c r="L65" s="25"/>
      <c r="M65" s="25"/>
      <c r="N65" s="25"/>
      <c r="O65" s="85"/>
      <c r="P65" s="85"/>
      <c r="Q65" s="85"/>
      <c r="R65" s="25"/>
      <c r="S65" s="25"/>
    </row>
    <row r="66" spans="1:19" x14ac:dyDescent="0.3">
      <c r="A66" s="83"/>
      <c r="B66" s="83"/>
      <c r="C66" s="83"/>
      <c r="D66" s="84"/>
      <c r="E66" s="83"/>
      <c r="F66" s="83"/>
      <c r="G66" s="84"/>
      <c r="H66" s="84"/>
      <c r="I66" s="83"/>
      <c r="J66" s="83"/>
      <c r="K66" s="83"/>
      <c r="L66" s="25"/>
      <c r="M66" s="25"/>
      <c r="N66" s="25"/>
      <c r="O66" s="85"/>
      <c r="P66" s="85"/>
      <c r="Q66" s="85"/>
      <c r="R66" s="25"/>
      <c r="S66" s="25"/>
    </row>
    <row r="67" spans="1:19" x14ac:dyDescent="0.3">
      <c r="A67" s="83"/>
      <c r="B67" s="83"/>
      <c r="C67" s="83"/>
      <c r="D67" s="84"/>
      <c r="E67" s="83"/>
      <c r="F67" s="83"/>
      <c r="G67" s="84"/>
      <c r="H67" s="84"/>
      <c r="I67" s="83"/>
      <c r="J67" s="83"/>
      <c r="K67" s="83"/>
      <c r="L67" s="25"/>
      <c r="M67" s="25"/>
      <c r="N67" s="25"/>
      <c r="O67" s="85"/>
      <c r="P67" s="85"/>
      <c r="Q67" s="85"/>
      <c r="R67" s="25"/>
      <c r="S67" s="25"/>
    </row>
    <row r="68" spans="1:19" x14ac:dyDescent="0.3">
      <c r="A68" s="83"/>
      <c r="B68" s="83"/>
      <c r="C68" s="83"/>
      <c r="D68" s="84"/>
      <c r="E68" s="83"/>
      <c r="F68" s="83"/>
      <c r="G68" s="84"/>
      <c r="H68" s="84"/>
      <c r="I68" s="83"/>
      <c r="J68" s="83"/>
      <c r="K68" s="83"/>
      <c r="L68" s="25"/>
      <c r="M68" s="25"/>
      <c r="N68" s="25"/>
      <c r="O68" s="85"/>
      <c r="P68" s="85"/>
      <c r="Q68" s="85"/>
      <c r="R68" s="25"/>
      <c r="S68" s="25"/>
    </row>
    <row r="69" spans="1:19" x14ac:dyDescent="0.3">
      <c r="A69" s="83"/>
      <c r="B69" s="83"/>
      <c r="C69" s="83"/>
      <c r="D69" s="84"/>
      <c r="E69" s="83"/>
      <c r="F69" s="83"/>
      <c r="G69" s="84"/>
      <c r="H69" s="84"/>
      <c r="I69" s="83"/>
      <c r="J69" s="83"/>
      <c r="K69" s="83"/>
      <c r="L69" s="25"/>
      <c r="M69" s="25"/>
      <c r="N69" s="25"/>
      <c r="O69" s="85"/>
      <c r="P69" s="85"/>
      <c r="Q69" s="85"/>
      <c r="R69" s="25"/>
      <c r="S69" s="25"/>
    </row>
    <row r="70" spans="1:19" x14ac:dyDescent="0.3">
      <c r="A70" s="83"/>
      <c r="B70" s="83"/>
      <c r="C70" s="83"/>
      <c r="D70" s="84"/>
      <c r="E70" s="83"/>
      <c r="F70" s="83"/>
      <c r="G70" s="84"/>
      <c r="H70" s="84"/>
      <c r="I70" s="83"/>
      <c r="J70" s="83"/>
      <c r="K70" s="83"/>
      <c r="L70" s="25"/>
      <c r="M70" s="25"/>
      <c r="N70" s="25"/>
      <c r="O70" s="85"/>
      <c r="P70" s="85"/>
      <c r="Q70" s="85"/>
      <c r="R70" s="25"/>
      <c r="S70" s="25"/>
    </row>
    <row r="71" spans="1:19" x14ac:dyDescent="0.3">
      <c r="A71" s="83"/>
      <c r="B71" s="83"/>
      <c r="C71" s="83"/>
      <c r="D71" s="84"/>
      <c r="E71" s="83"/>
      <c r="F71" s="83"/>
      <c r="G71" s="84"/>
      <c r="H71" s="84"/>
      <c r="I71" s="83"/>
      <c r="J71" s="83"/>
      <c r="K71" s="83"/>
      <c r="L71" s="25"/>
      <c r="M71" s="25"/>
      <c r="N71" s="25"/>
      <c r="O71" s="85"/>
      <c r="P71" s="85"/>
      <c r="Q71" s="85"/>
      <c r="R71" s="25"/>
      <c r="S71" s="25"/>
    </row>
    <row r="72" spans="1:19" x14ac:dyDescent="0.3">
      <c r="A72" s="83"/>
      <c r="B72" s="83"/>
      <c r="C72" s="83"/>
      <c r="D72" s="84"/>
      <c r="E72" s="83"/>
      <c r="F72" s="83"/>
      <c r="G72" s="84"/>
      <c r="H72" s="84"/>
      <c r="I72" s="83"/>
      <c r="J72" s="83"/>
      <c r="K72" s="83"/>
      <c r="L72" s="25"/>
      <c r="M72" s="25"/>
      <c r="N72" s="25"/>
      <c r="O72" s="85"/>
      <c r="P72" s="85"/>
      <c r="Q72" s="85"/>
      <c r="R72" s="25"/>
      <c r="S72" s="25"/>
    </row>
    <row r="73" spans="1:19" x14ac:dyDescent="0.3">
      <c r="A73" s="83"/>
      <c r="B73" s="83"/>
      <c r="C73" s="83"/>
      <c r="D73" s="84"/>
      <c r="E73" s="83"/>
      <c r="F73" s="83"/>
      <c r="G73" s="84"/>
      <c r="H73" s="84"/>
      <c r="I73" s="83"/>
      <c r="J73" s="83"/>
      <c r="K73" s="83"/>
      <c r="L73" s="25"/>
      <c r="M73" s="25"/>
      <c r="N73" s="25"/>
      <c r="O73" s="85"/>
      <c r="P73" s="85"/>
      <c r="Q73" s="85"/>
      <c r="R73" s="25"/>
      <c r="S73" s="25"/>
    </row>
    <row r="74" spans="1:19" x14ac:dyDescent="0.3">
      <c r="A74" s="83"/>
      <c r="B74" s="83"/>
      <c r="C74" s="83"/>
      <c r="D74" s="84"/>
      <c r="E74" s="83"/>
      <c r="F74" s="83"/>
      <c r="G74" s="84"/>
      <c r="H74" s="84"/>
      <c r="I74" s="83"/>
      <c r="J74" s="83"/>
      <c r="K74" s="83"/>
      <c r="L74" s="25"/>
      <c r="M74" s="25"/>
      <c r="N74" s="25"/>
      <c r="O74" s="85"/>
      <c r="P74" s="85"/>
      <c r="Q74" s="85"/>
      <c r="R74" s="25"/>
      <c r="S74" s="25"/>
    </row>
    <row r="75" spans="1:19" x14ac:dyDescent="0.3">
      <c r="A75" s="83"/>
      <c r="B75" s="83"/>
      <c r="C75" s="83"/>
      <c r="D75" s="84"/>
      <c r="E75" s="83"/>
      <c r="F75" s="83"/>
      <c r="G75" s="84"/>
      <c r="H75" s="84"/>
      <c r="I75" s="83"/>
      <c r="J75" s="83"/>
      <c r="K75" s="83"/>
      <c r="L75" s="25"/>
      <c r="M75" s="25"/>
      <c r="N75" s="25"/>
      <c r="O75" s="85"/>
      <c r="P75" s="85"/>
      <c r="Q75" s="85"/>
      <c r="R75" s="25"/>
      <c r="S75" s="25"/>
    </row>
    <row r="76" spans="1:19" x14ac:dyDescent="0.3">
      <c r="A76" s="83"/>
      <c r="B76" s="83"/>
      <c r="C76" s="83"/>
      <c r="D76" s="84"/>
      <c r="E76" s="83"/>
      <c r="F76" s="83"/>
      <c r="G76" s="84"/>
      <c r="H76" s="84"/>
      <c r="I76" s="83"/>
      <c r="J76" s="83"/>
      <c r="K76" s="83"/>
      <c r="L76" s="25"/>
      <c r="M76" s="25"/>
      <c r="N76" s="25"/>
      <c r="O76" s="85"/>
      <c r="P76" s="85"/>
      <c r="Q76" s="85"/>
      <c r="R76" s="25"/>
      <c r="S76" s="25"/>
    </row>
    <row r="77" spans="1:19" x14ac:dyDescent="0.3">
      <c r="A77" s="83"/>
      <c r="B77" s="83"/>
      <c r="C77" s="83"/>
      <c r="D77" s="84"/>
      <c r="E77" s="83"/>
      <c r="F77" s="83"/>
      <c r="G77" s="84"/>
      <c r="H77" s="84"/>
      <c r="I77" s="83"/>
      <c r="J77" s="83"/>
      <c r="K77" s="83"/>
      <c r="L77" s="25"/>
      <c r="M77" s="25"/>
      <c r="N77" s="25"/>
      <c r="O77" s="85"/>
      <c r="P77" s="85"/>
      <c r="Q77" s="85"/>
      <c r="R77" s="25"/>
      <c r="S77" s="25"/>
    </row>
    <row r="78" spans="1:19" x14ac:dyDescent="0.3">
      <c r="A78" s="83"/>
      <c r="B78" s="83"/>
      <c r="C78" s="83"/>
      <c r="D78" s="84"/>
      <c r="E78" s="83"/>
      <c r="F78" s="83"/>
      <c r="G78" s="84"/>
      <c r="H78" s="84"/>
      <c r="I78" s="83"/>
      <c r="J78" s="83"/>
      <c r="K78" s="83"/>
      <c r="L78" s="25"/>
      <c r="M78" s="25"/>
      <c r="N78" s="25"/>
      <c r="O78" s="85"/>
      <c r="P78" s="85"/>
      <c r="Q78" s="85"/>
      <c r="R78" s="25"/>
      <c r="S78" s="25"/>
    </row>
    <row r="79" spans="1:19" x14ac:dyDescent="0.3">
      <c r="A79" s="83"/>
      <c r="B79" s="83"/>
      <c r="C79" s="83"/>
      <c r="D79" s="84"/>
      <c r="E79" s="83"/>
      <c r="F79" s="83"/>
      <c r="G79" s="84"/>
      <c r="H79" s="84"/>
      <c r="I79" s="83"/>
      <c r="J79" s="83"/>
      <c r="K79" s="83"/>
      <c r="L79" s="25"/>
      <c r="M79" s="25"/>
      <c r="N79" s="25"/>
      <c r="O79" s="85"/>
      <c r="P79" s="85"/>
      <c r="Q79" s="85"/>
      <c r="R79" s="25"/>
      <c r="S79" s="25"/>
    </row>
    <row r="80" spans="1:19" x14ac:dyDescent="0.3">
      <c r="A80" s="83"/>
      <c r="B80" s="83"/>
      <c r="C80" s="83"/>
      <c r="D80" s="84"/>
      <c r="E80" s="83"/>
      <c r="F80" s="83"/>
      <c r="G80" s="84"/>
      <c r="H80" s="84"/>
      <c r="I80" s="83"/>
      <c r="J80" s="83"/>
      <c r="K80" s="83"/>
      <c r="L80" s="25"/>
      <c r="M80" s="25"/>
      <c r="N80" s="25"/>
      <c r="O80" s="85"/>
      <c r="P80" s="85"/>
      <c r="Q80" s="85"/>
      <c r="R80" s="25"/>
      <c r="S80" s="25"/>
    </row>
    <row r="81" spans="1:19" x14ac:dyDescent="0.3">
      <c r="A81" s="83"/>
      <c r="B81" s="83"/>
      <c r="C81" s="83"/>
      <c r="D81" s="84"/>
      <c r="E81" s="83"/>
      <c r="F81" s="83"/>
      <c r="G81" s="84"/>
      <c r="H81" s="84"/>
      <c r="I81" s="83"/>
      <c r="J81" s="83"/>
      <c r="K81" s="83"/>
      <c r="L81" s="25"/>
      <c r="M81" s="25"/>
      <c r="N81" s="25"/>
      <c r="O81" s="85"/>
      <c r="P81" s="85"/>
      <c r="Q81" s="85"/>
      <c r="R81" s="25"/>
      <c r="S81" s="25"/>
    </row>
    <row r="82" spans="1:19" x14ac:dyDescent="0.3">
      <c r="A82" s="83"/>
      <c r="B82" s="83"/>
      <c r="C82" s="83"/>
      <c r="D82" s="84"/>
      <c r="E82" s="83"/>
      <c r="F82" s="83"/>
      <c r="G82" s="84"/>
      <c r="H82" s="84"/>
      <c r="I82" s="83"/>
      <c r="J82" s="83"/>
      <c r="K82" s="83"/>
      <c r="L82" s="25"/>
      <c r="M82" s="25"/>
      <c r="N82" s="25"/>
      <c r="O82" s="85"/>
      <c r="P82" s="85"/>
      <c r="Q82" s="85"/>
      <c r="R82" s="25"/>
      <c r="S82" s="25"/>
    </row>
    <row r="83" spans="1:19" x14ac:dyDescent="0.3">
      <c r="A83" s="83"/>
      <c r="B83" s="83"/>
      <c r="C83" s="83"/>
      <c r="D83" s="84"/>
      <c r="E83" s="83"/>
      <c r="F83" s="83"/>
      <c r="G83" s="84"/>
      <c r="H83" s="84"/>
      <c r="I83" s="83"/>
      <c r="J83" s="83"/>
      <c r="K83" s="83"/>
      <c r="L83" s="25"/>
      <c r="M83" s="25"/>
      <c r="N83" s="25"/>
      <c r="O83" s="85"/>
      <c r="P83" s="85"/>
      <c r="Q83" s="85"/>
      <c r="R83" s="25"/>
      <c r="S83" s="25"/>
    </row>
    <row r="84" spans="1:19" x14ac:dyDescent="0.3">
      <c r="A84" s="83"/>
      <c r="B84" s="83"/>
      <c r="C84" s="83"/>
      <c r="D84" s="84"/>
      <c r="E84" s="83"/>
      <c r="F84" s="83"/>
      <c r="G84" s="84"/>
      <c r="H84" s="84"/>
      <c r="I84" s="83"/>
      <c r="J84" s="83"/>
      <c r="K84" s="83"/>
      <c r="L84" s="25"/>
      <c r="M84" s="25"/>
      <c r="N84" s="25"/>
      <c r="O84" s="85"/>
      <c r="P84" s="85"/>
      <c r="Q84" s="85"/>
      <c r="R84" s="25"/>
      <c r="S84" s="25"/>
    </row>
    <row r="85" spans="1:19" x14ac:dyDescent="0.3">
      <c r="A85" s="83"/>
      <c r="B85" s="83"/>
      <c r="C85" s="83"/>
      <c r="D85" s="84"/>
      <c r="E85" s="83"/>
      <c r="F85" s="83"/>
      <c r="G85" s="84"/>
      <c r="H85" s="84"/>
      <c r="I85" s="83"/>
      <c r="J85" s="83"/>
      <c r="K85" s="83"/>
      <c r="L85" s="25"/>
      <c r="M85" s="25"/>
      <c r="N85" s="25"/>
      <c r="O85" s="85"/>
      <c r="P85" s="85"/>
      <c r="Q85" s="85"/>
      <c r="R85" s="25"/>
      <c r="S85" s="25"/>
    </row>
    <row r="86" spans="1:19" x14ac:dyDescent="0.3">
      <c r="A86" s="83"/>
      <c r="B86" s="83"/>
      <c r="C86" s="83"/>
      <c r="D86" s="84"/>
      <c r="E86" s="83"/>
      <c r="F86" s="83"/>
      <c r="G86" s="84"/>
      <c r="H86" s="84"/>
      <c r="I86" s="83"/>
      <c r="J86" s="83"/>
      <c r="K86" s="83"/>
      <c r="L86" s="25"/>
      <c r="M86" s="25"/>
      <c r="N86" s="25"/>
      <c r="O86" s="85"/>
      <c r="P86" s="85"/>
      <c r="Q86" s="85"/>
      <c r="R86" s="25"/>
      <c r="S86" s="25"/>
    </row>
    <row r="87" spans="1:19" x14ac:dyDescent="0.3">
      <c r="A87" s="83"/>
      <c r="B87" s="83"/>
      <c r="C87" s="83"/>
      <c r="D87" s="84"/>
      <c r="E87" s="83"/>
      <c r="F87" s="83"/>
      <c r="G87" s="84"/>
      <c r="H87" s="84"/>
      <c r="I87" s="83"/>
      <c r="J87" s="83"/>
      <c r="K87" s="83"/>
      <c r="L87" s="25"/>
      <c r="M87" s="25"/>
      <c r="N87" s="25"/>
      <c r="O87" s="85"/>
      <c r="P87" s="85"/>
      <c r="Q87" s="85"/>
      <c r="R87" s="25"/>
      <c r="S87" s="25"/>
    </row>
    <row r="88" spans="1:19" x14ac:dyDescent="0.3">
      <c r="A88" s="83"/>
      <c r="B88" s="83"/>
      <c r="C88" s="83"/>
      <c r="D88" s="84"/>
      <c r="E88" s="83"/>
      <c r="F88" s="83"/>
      <c r="G88" s="84"/>
      <c r="H88" s="84"/>
      <c r="I88" s="83"/>
      <c r="J88" s="83"/>
      <c r="K88" s="83"/>
      <c r="L88" s="25"/>
      <c r="M88" s="25"/>
      <c r="N88" s="25"/>
      <c r="O88" s="85"/>
      <c r="P88" s="85"/>
      <c r="Q88" s="85"/>
      <c r="R88" s="25"/>
      <c r="S88" s="25"/>
    </row>
    <row r="89" spans="1:19" x14ac:dyDescent="0.3">
      <c r="A89" s="83"/>
      <c r="B89" s="83"/>
      <c r="C89" s="83"/>
      <c r="D89" s="84"/>
      <c r="E89" s="83"/>
      <c r="F89" s="83"/>
      <c r="G89" s="84"/>
      <c r="H89" s="84"/>
      <c r="I89" s="83"/>
      <c r="J89" s="83"/>
      <c r="K89" s="83"/>
      <c r="L89" s="25"/>
      <c r="M89" s="25"/>
      <c r="N89" s="25"/>
      <c r="O89" s="85"/>
      <c r="P89" s="85"/>
      <c r="Q89" s="85"/>
      <c r="R89" s="25"/>
      <c r="S89" s="25"/>
    </row>
    <row r="90" spans="1:19" x14ac:dyDescent="0.3">
      <c r="A90" s="83"/>
      <c r="B90" s="83"/>
      <c r="C90" s="83"/>
      <c r="D90" s="84"/>
      <c r="E90" s="83"/>
      <c r="F90" s="83"/>
      <c r="G90" s="84"/>
      <c r="H90" s="84"/>
      <c r="I90" s="83"/>
      <c r="J90" s="83"/>
      <c r="K90" s="83"/>
      <c r="L90" s="25"/>
      <c r="M90" s="25"/>
      <c r="N90" s="25"/>
      <c r="O90" s="85"/>
      <c r="P90" s="85"/>
      <c r="Q90" s="85"/>
      <c r="R90" s="25"/>
      <c r="S90" s="25"/>
    </row>
    <row r="91" spans="1:19" x14ac:dyDescent="0.3">
      <c r="A91" s="83"/>
      <c r="B91" s="83"/>
      <c r="C91" s="83"/>
      <c r="D91" s="84"/>
      <c r="E91" s="83"/>
      <c r="F91" s="83"/>
      <c r="G91" s="84"/>
      <c r="H91" s="84"/>
      <c r="I91" s="83"/>
      <c r="J91" s="83"/>
      <c r="K91" s="83"/>
      <c r="L91" s="25"/>
      <c r="M91" s="25"/>
      <c r="N91" s="25"/>
      <c r="O91" s="85"/>
      <c r="P91" s="85"/>
      <c r="Q91" s="85"/>
      <c r="R91" s="25"/>
      <c r="S91" s="25"/>
    </row>
    <row r="92" spans="1:19" x14ac:dyDescent="0.3">
      <c r="A92" s="83"/>
      <c r="B92" s="83"/>
      <c r="C92" s="83"/>
      <c r="D92" s="84"/>
      <c r="E92" s="83"/>
      <c r="F92" s="83"/>
      <c r="G92" s="84"/>
      <c r="H92" s="84"/>
      <c r="I92" s="83"/>
      <c r="J92" s="83"/>
      <c r="K92" s="83"/>
      <c r="L92" s="25"/>
      <c r="M92" s="25"/>
      <c r="N92" s="25"/>
      <c r="O92" s="85"/>
      <c r="P92" s="85"/>
      <c r="Q92" s="85"/>
      <c r="R92" s="25"/>
      <c r="S92" s="25"/>
    </row>
    <row r="93" spans="1:19" x14ac:dyDescent="0.3">
      <c r="A93" s="83"/>
      <c r="B93" s="83"/>
      <c r="C93" s="83"/>
      <c r="D93" s="84"/>
      <c r="E93" s="83"/>
      <c r="F93" s="83"/>
      <c r="G93" s="84"/>
      <c r="H93" s="84"/>
      <c r="I93" s="83"/>
      <c r="J93" s="83"/>
      <c r="K93" s="83"/>
      <c r="L93" s="25"/>
      <c r="M93" s="25"/>
      <c r="N93" s="25"/>
      <c r="O93" s="85"/>
      <c r="P93" s="85"/>
      <c r="Q93" s="85"/>
      <c r="R93" s="25"/>
      <c r="S93" s="25"/>
    </row>
    <row r="94" spans="1:19" x14ac:dyDescent="0.3">
      <c r="A94" s="83"/>
      <c r="B94" s="83"/>
      <c r="C94" s="83"/>
      <c r="D94" s="84"/>
      <c r="E94" s="83"/>
      <c r="F94" s="83"/>
      <c r="G94" s="84"/>
      <c r="H94" s="84"/>
      <c r="I94" s="83"/>
      <c r="J94" s="83"/>
      <c r="K94" s="83"/>
      <c r="L94" s="25"/>
      <c r="M94" s="25"/>
      <c r="N94" s="25"/>
      <c r="O94" s="85"/>
      <c r="P94" s="85"/>
      <c r="Q94" s="85"/>
      <c r="R94" s="25"/>
      <c r="S94" s="25"/>
    </row>
    <row r="95" spans="1:19" x14ac:dyDescent="0.3">
      <c r="A95" s="83"/>
      <c r="B95" s="83"/>
      <c r="C95" s="83"/>
      <c r="D95" s="84"/>
      <c r="E95" s="83"/>
      <c r="F95" s="83"/>
      <c r="G95" s="84"/>
      <c r="H95" s="84"/>
      <c r="I95" s="83"/>
      <c r="J95" s="83"/>
      <c r="K95" s="83"/>
      <c r="L95" s="25"/>
      <c r="M95" s="25"/>
      <c r="N95" s="25"/>
      <c r="O95" s="85"/>
      <c r="P95" s="85"/>
      <c r="Q95" s="85"/>
      <c r="R95" s="25"/>
      <c r="S95" s="25"/>
    </row>
    <row r="96" spans="1:19" x14ac:dyDescent="0.3">
      <c r="A96" s="83"/>
      <c r="B96" s="83"/>
      <c r="C96" s="83"/>
      <c r="D96" s="84"/>
      <c r="E96" s="83"/>
      <c r="F96" s="83"/>
      <c r="G96" s="84"/>
      <c r="H96" s="84"/>
      <c r="I96" s="83"/>
      <c r="J96" s="83"/>
      <c r="K96" s="83"/>
      <c r="L96" s="25"/>
      <c r="M96" s="25"/>
      <c r="N96" s="25"/>
      <c r="O96" s="85"/>
      <c r="P96" s="85"/>
      <c r="Q96" s="85"/>
      <c r="R96" s="25"/>
      <c r="S96" s="25"/>
    </row>
    <row r="97" spans="1:19" x14ac:dyDescent="0.3">
      <c r="A97" s="83"/>
      <c r="B97" s="83"/>
      <c r="C97" s="83"/>
      <c r="D97" s="84"/>
      <c r="E97" s="83"/>
      <c r="F97" s="83"/>
      <c r="G97" s="84"/>
      <c r="H97" s="84"/>
      <c r="I97" s="83"/>
      <c r="J97" s="83"/>
      <c r="K97" s="83"/>
      <c r="L97" s="25"/>
      <c r="M97" s="25"/>
      <c r="N97" s="25"/>
      <c r="O97" s="85"/>
      <c r="P97" s="85"/>
      <c r="Q97" s="85"/>
      <c r="R97" s="25"/>
      <c r="S97" s="25"/>
    </row>
    <row r="98" spans="1:19" x14ac:dyDescent="0.3">
      <c r="A98" s="83"/>
      <c r="B98" s="83"/>
      <c r="C98" s="83"/>
      <c r="D98" s="84"/>
      <c r="E98" s="83"/>
      <c r="F98" s="83"/>
      <c r="G98" s="84"/>
      <c r="H98" s="84"/>
      <c r="I98" s="83"/>
      <c r="J98" s="83"/>
      <c r="K98" s="83"/>
      <c r="L98" s="25"/>
      <c r="M98" s="25"/>
      <c r="N98" s="25"/>
      <c r="O98" s="85"/>
      <c r="P98" s="85"/>
      <c r="Q98" s="85"/>
      <c r="R98" s="25"/>
      <c r="S98" s="25"/>
    </row>
    <row r="99" spans="1:19" x14ac:dyDescent="0.3">
      <c r="A99" s="83"/>
      <c r="B99" s="83"/>
      <c r="C99" s="83"/>
      <c r="D99" s="84"/>
      <c r="E99" s="83"/>
      <c r="F99" s="83"/>
      <c r="G99" s="84"/>
      <c r="H99" s="84"/>
      <c r="I99" s="83"/>
      <c r="J99" s="83"/>
      <c r="K99" s="83"/>
      <c r="L99" s="25"/>
      <c r="M99" s="25"/>
      <c r="N99" s="25"/>
      <c r="O99" s="85"/>
      <c r="P99" s="85"/>
      <c r="Q99" s="85"/>
      <c r="R99" s="25"/>
      <c r="S99" s="25"/>
    </row>
    <row r="100" spans="1:19" x14ac:dyDescent="0.3">
      <c r="A100" s="83"/>
      <c r="B100" s="83"/>
      <c r="C100" s="83"/>
      <c r="D100" s="84"/>
      <c r="E100" s="83"/>
      <c r="F100" s="83"/>
      <c r="G100" s="84"/>
      <c r="H100" s="84"/>
      <c r="I100" s="83"/>
      <c r="J100" s="83"/>
      <c r="K100" s="83"/>
      <c r="L100" s="25"/>
      <c r="M100" s="25"/>
      <c r="N100" s="25"/>
      <c r="O100" s="85"/>
      <c r="P100" s="85"/>
      <c r="Q100" s="85"/>
      <c r="R100" s="25"/>
      <c r="S100" s="25"/>
    </row>
    <row r="101" spans="1:19" x14ac:dyDescent="0.3">
      <c r="A101" s="83"/>
      <c r="B101" s="83"/>
      <c r="C101" s="83"/>
      <c r="D101" s="84"/>
      <c r="E101" s="83"/>
      <c r="F101" s="83"/>
      <c r="G101" s="84"/>
      <c r="H101" s="84"/>
      <c r="I101" s="83"/>
      <c r="J101" s="83"/>
      <c r="K101" s="83"/>
      <c r="L101" s="25"/>
      <c r="M101" s="25"/>
      <c r="N101" s="25"/>
      <c r="O101" s="85"/>
      <c r="P101" s="85"/>
      <c r="Q101" s="85"/>
      <c r="R101" s="25"/>
      <c r="S101" s="25"/>
    </row>
    <row r="102" spans="1:19" x14ac:dyDescent="0.3">
      <c r="A102" s="83"/>
      <c r="B102" s="83"/>
      <c r="C102" s="83"/>
      <c r="D102" s="84"/>
      <c r="E102" s="83"/>
      <c r="F102" s="83"/>
      <c r="G102" s="84"/>
      <c r="H102" s="84"/>
      <c r="I102" s="83"/>
      <c r="J102" s="83"/>
      <c r="K102" s="83"/>
      <c r="L102" s="25"/>
      <c r="M102" s="25"/>
      <c r="N102" s="25"/>
      <c r="O102" s="85"/>
      <c r="P102" s="85"/>
      <c r="Q102" s="85"/>
      <c r="R102" s="25"/>
      <c r="S102" s="25"/>
    </row>
    <row r="103" spans="1:19" x14ac:dyDescent="0.3">
      <c r="A103" s="83"/>
      <c r="B103" s="83"/>
      <c r="C103" s="83"/>
      <c r="D103" s="84"/>
      <c r="E103" s="83"/>
      <c r="F103" s="83"/>
      <c r="G103" s="84"/>
      <c r="H103" s="84"/>
      <c r="I103" s="83"/>
      <c r="J103" s="83"/>
      <c r="K103" s="83"/>
      <c r="L103" s="25"/>
      <c r="M103" s="25"/>
      <c r="N103" s="25"/>
      <c r="O103" s="85"/>
      <c r="P103" s="85"/>
      <c r="Q103" s="85"/>
      <c r="R103" s="25"/>
      <c r="S103" s="25"/>
    </row>
    <row r="104" spans="1:19" x14ac:dyDescent="0.3">
      <c r="A104" s="83"/>
      <c r="B104" s="83"/>
      <c r="C104" s="83"/>
      <c r="D104" s="84"/>
      <c r="E104" s="83"/>
      <c r="F104" s="83"/>
      <c r="G104" s="84"/>
      <c r="H104" s="84"/>
      <c r="I104" s="83"/>
      <c r="J104" s="83"/>
      <c r="K104" s="83"/>
      <c r="L104" s="25"/>
      <c r="M104" s="25"/>
      <c r="N104" s="25"/>
      <c r="O104" s="85"/>
      <c r="P104" s="85"/>
      <c r="Q104" s="85"/>
      <c r="R104" s="25"/>
      <c r="S104" s="25"/>
    </row>
    <row r="105" spans="1:19" x14ac:dyDescent="0.3">
      <c r="A105" s="83"/>
      <c r="B105" s="83"/>
      <c r="C105" s="83"/>
      <c r="D105" s="84"/>
      <c r="E105" s="83"/>
      <c r="F105" s="83"/>
      <c r="G105" s="84"/>
      <c r="H105" s="84"/>
      <c r="I105" s="83"/>
      <c r="J105" s="83"/>
      <c r="K105" s="83"/>
      <c r="L105" s="25"/>
      <c r="M105" s="25"/>
      <c r="N105" s="25"/>
      <c r="O105" s="85"/>
      <c r="P105" s="85"/>
      <c r="Q105" s="85"/>
      <c r="R105" s="25"/>
      <c r="S105" s="25"/>
    </row>
    <row r="106" spans="1:19" x14ac:dyDescent="0.3">
      <c r="A106" s="83"/>
      <c r="B106" s="83"/>
      <c r="C106" s="83"/>
      <c r="D106" s="84"/>
      <c r="E106" s="83"/>
      <c r="F106" s="83"/>
      <c r="G106" s="84"/>
      <c r="H106" s="84"/>
      <c r="I106" s="83"/>
      <c r="J106" s="83"/>
      <c r="K106" s="83"/>
      <c r="L106" s="25"/>
      <c r="M106" s="25"/>
      <c r="N106" s="25"/>
      <c r="O106" s="85"/>
      <c r="P106" s="85"/>
      <c r="Q106" s="85"/>
      <c r="R106" s="25"/>
      <c r="S106" s="25"/>
    </row>
    <row r="107" spans="1:19" x14ac:dyDescent="0.3">
      <c r="A107" s="83"/>
      <c r="B107" s="83"/>
      <c r="C107" s="83"/>
      <c r="D107" s="84"/>
      <c r="E107" s="83"/>
      <c r="F107" s="83"/>
      <c r="G107" s="84"/>
      <c r="H107" s="84"/>
      <c r="I107" s="83"/>
      <c r="J107" s="83"/>
      <c r="K107" s="83"/>
      <c r="L107" s="25"/>
      <c r="M107" s="25"/>
      <c r="N107" s="25"/>
      <c r="O107" s="85"/>
      <c r="P107" s="85"/>
      <c r="Q107" s="85"/>
      <c r="R107" s="25"/>
      <c r="S107" s="25"/>
    </row>
    <row r="108" spans="1:19" x14ac:dyDescent="0.3">
      <c r="A108" s="83"/>
      <c r="B108" s="83"/>
      <c r="C108" s="83"/>
      <c r="D108" s="84"/>
      <c r="E108" s="83"/>
      <c r="F108" s="83"/>
      <c r="G108" s="84"/>
      <c r="H108" s="84"/>
      <c r="I108" s="83"/>
      <c r="J108" s="83"/>
      <c r="K108" s="83"/>
      <c r="L108" s="25"/>
      <c r="M108" s="25"/>
      <c r="N108" s="25"/>
      <c r="O108" s="85"/>
      <c r="P108" s="85"/>
      <c r="Q108" s="85"/>
      <c r="R108" s="25"/>
      <c r="S108" s="25"/>
    </row>
    <row r="109" spans="1:19" x14ac:dyDescent="0.3">
      <c r="A109" s="83"/>
      <c r="B109" s="83"/>
      <c r="C109" s="83"/>
      <c r="D109" s="84"/>
      <c r="E109" s="83"/>
      <c r="F109" s="83"/>
      <c r="G109" s="84"/>
      <c r="H109" s="84"/>
      <c r="I109" s="83"/>
      <c r="J109" s="83"/>
      <c r="K109" s="83"/>
      <c r="L109" s="25"/>
      <c r="M109" s="25"/>
      <c r="N109" s="25"/>
      <c r="O109" s="85"/>
      <c r="P109" s="85"/>
      <c r="Q109" s="85"/>
      <c r="R109" s="25"/>
      <c r="S109" s="25"/>
    </row>
    <row r="110" spans="1:19" x14ac:dyDescent="0.3">
      <c r="A110" s="83"/>
      <c r="B110" s="83"/>
      <c r="C110" s="83"/>
      <c r="D110" s="84"/>
      <c r="E110" s="83"/>
      <c r="F110" s="83"/>
      <c r="G110" s="84"/>
      <c r="H110" s="84"/>
      <c r="I110" s="83"/>
      <c r="J110" s="83"/>
      <c r="K110" s="83"/>
      <c r="L110" s="25"/>
      <c r="M110" s="25"/>
      <c r="N110" s="25"/>
      <c r="O110" s="85"/>
      <c r="P110" s="85"/>
      <c r="Q110" s="85"/>
      <c r="R110" s="25"/>
      <c r="S110" s="25"/>
    </row>
    <row r="111" spans="1:19" x14ac:dyDescent="0.3">
      <c r="D111" s="84"/>
      <c r="E111" s="83"/>
      <c r="F111" s="83"/>
      <c r="G111" s="84"/>
      <c r="H111" s="84"/>
      <c r="I111" s="83"/>
      <c r="J111" s="83"/>
      <c r="L111" s="25"/>
      <c r="M111" s="25"/>
      <c r="N111" s="25"/>
      <c r="O111" s="85"/>
      <c r="P111" s="85"/>
      <c r="Q111" s="85"/>
      <c r="R111" s="25"/>
      <c r="S111" s="25"/>
    </row>
    <row r="112" spans="1:19" x14ac:dyDescent="0.3">
      <c r="D112" s="84"/>
      <c r="E112" s="83"/>
      <c r="F112" s="83"/>
      <c r="G112" s="84"/>
      <c r="H112" s="84"/>
      <c r="L112" s="25"/>
      <c r="M112" s="25"/>
      <c r="N112" s="25"/>
      <c r="O112" s="85"/>
      <c r="P112" s="85"/>
      <c r="Q112" s="85"/>
      <c r="R112" s="25"/>
      <c r="S112" s="25"/>
    </row>
    <row r="113" spans="4:19" x14ac:dyDescent="0.3">
      <c r="D113" s="84"/>
      <c r="E113" s="83"/>
      <c r="F113" s="83"/>
      <c r="G113" s="84"/>
      <c r="H113" s="84"/>
      <c r="L113" s="25"/>
      <c r="M113" s="25"/>
      <c r="N113" s="25"/>
      <c r="O113" s="85"/>
      <c r="P113" s="85"/>
      <c r="Q113" s="85"/>
      <c r="R113" s="25"/>
      <c r="S113" s="25"/>
    </row>
    <row r="114" spans="4:19" x14ac:dyDescent="0.3">
      <c r="D114" s="84"/>
      <c r="E114" s="83"/>
      <c r="F114" s="83"/>
      <c r="G114" s="84"/>
      <c r="H114" s="84"/>
      <c r="L114" s="25"/>
      <c r="M114" s="25"/>
      <c r="N114" s="25"/>
      <c r="O114" s="85"/>
      <c r="P114" s="85"/>
      <c r="Q114" s="85"/>
      <c r="R114" s="25"/>
      <c r="S114" s="25"/>
    </row>
    <row r="115" spans="4:19" x14ac:dyDescent="0.3">
      <c r="D115" s="84"/>
      <c r="E115" s="83"/>
      <c r="F115" s="83"/>
      <c r="G115" s="84"/>
      <c r="H115" s="84"/>
      <c r="L115" s="25"/>
      <c r="M115" s="25"/>
      <c r="N115" s="25"/>
      <c r="O115" s="85"/>
      <c r="P115" s="85"/>
      <c r="Q115" s="85"/>
      <c r="R115" s="25"/>
      <c r="S115" s="25"/>
    </row>
    <row r="116" spans="4:19" x14ac:dyDescent="0.3">
      <c r="D116" s="84"/>
      <c r="E116" s="83"/>
      <c r="F116" s="83"/>
      <c r="G116" s="84"/>
      <c r="H116" s="84"/>
      <c r="L116" s="25"/>
      <c r="M116" s="25"/>
      <c r="N116" s="25"/>
      <c r="O116" s="85"/>
      <c r="P116" s="85"/>
      <c r="Q116" s="85"/>
      <c r="R116" s="25"/>
      <c r="S116" s="25"/>
    </row>
    <row r="117" spans="4:19" x14ac:dyDescent="0.3">
      <c r="D117" s="84"/>
      <c r="E117" s="83"/>
      <c r="F117" s="83"/>
      <c r="G117" s="84"/>
      <c r="H117" s="84"/>
      <c r="L117" s="25"/>
      <c r="M117" s="25"/>
      <c r="N117" s="25"/>
      <c r="O117" s="85"/>
      <c r="P117" s="85"/>
      <c r="Q117" s="85"/>
      <c r="R117" s="25"/>
      <c r="S117" s="25"/>
    </row>
    <row r="118" spans="4:19" x14ac:dyDescent="0.3">
      <c r="D118" s="84"/>
      <c r="E118" s="83"/>
      <c r="F118" s="83"/>
      <c r="G118" s="84"/>
      <c r="H118" s="84"/>
      <c r="L118" s="25"/>
      <c r="M118" s="25"/>
      <c r="N118" s="25"/>
      <c r="O118" s="85"/>
      <c r="P118" s="85"/>
      <c r="Q118" s="85"/>
      <c r="R118" s="25"/>
      <c r="S118" s="25"/>
    </row>
    <row r="119" spans="4:19" x14ac:dyDescent="0.3">
      <c r="L119" s="25"/>
      <c r="M119" s="25"/>
      <c r="N119" s="25"/>
      <c r="O119" s="85"/>
      <c r="P119" s="85"/>
      <c r="Q119" s="85"/>
      <c r="R119" s="25"/>
      <c r="S119" s="25"/>
    </row>
    <row r="120" spans="4:19" x14ac:dyDescent="0.3">
      <c r="L120" s="25"/>
      <c r="M120" s="25"/>
      <c r="N120" s="25"/>
      <c r="O120" s="85"/>
      <c r="P120" s="85"/>
      <c r="Q120" s="85"/>
      <c r="R120" s="25"/>
      <c r="S120" s="25"/>
    </row>
    <row r="121" spans="4:19" x14ac:dyDescent="0.3">
      <c r="L121" s="25"/>
      <c r="M121" s="25"/>
      <c r="N121" s="25"/>
      <c r="O121" s="85"/>
      <c r="P121" s="85"/>
      <c r="Q121" s="85"/>
      <c r="R121" s="25"/>
      <c r="S121" s="25"/>
    </row>
    <row r="122" spans="4:19" x14ac:dyDescent="0.3">
      <c r="L122" s="25"/>
      <c r="M122" s="25"/>
      <c r="N122" s="25"/>
      <c r="O122" s="85"/>
      <c r="P122" s="85"/>
      <c r="Q122" s="85"/>
      <c r="R122" s="25"/>
      <c r="S122" s="25"/>
    </row>
    <row r="123" spans="4:19" x14ac:dyDescent="0.3">
      <c r="L123" s="25"/>
      <c r="M123" s="25"/>
      <c r="N123" s="25"/>
      <c r="O123" s="85"/>
      <c r="P123" s="85"/>
      <c r="Q123" s="85"/>
      <c r="R123" s="25"/>
      <c r="S123" s="25"/>
    </row>
    <row r="124" spans="4:19" x14ac:dyDescent="0.3">
      <c r="L124" s="25"/>
      <c r="M124" s="25"/>
      <c r="N124" s="25"/>
      <c r="O124" s="85"/>
      <c r="P124" s="85"/>
      <c r="Q124" s="85"/>
      <c r="R124" s="25"/>
      <c r="S124" s="25"/>
    </row>
    <row r="125" spans="4:19" x14ac:dyDescent="0.3">
      <c r="L125" s="25"/>
      <c r="M125" s="25"/>
      <c r="N125" s="25"/>
      <c r="O125" s="85"/>
      <c r="P125" s="85"/>
      <c r="Q125" s="85"/>
      <c r="R125" s="25"/>
      <c r="S125" s="25"/>
    </row>
    <row r="126" spans="4:19" x14ac:dyDescent="0.3">
      <c r="L126" s="25"/>
      <c r="M126" s="25"/>
      <c r="N126" s="25"/>
      <c r="O126" s="85"/>
      <c r="P126" s="85"/>
      <c r="Q126" s="85"/>
      <c r="R126" s="25"/>
      <c r="S126" s="25"/>
    </row>
  </sheetData>
  <mergeCells count="1">
    <mergeCell ref="L5:M5"/>
  </mergeCells>
  <dataValidations count="3">
    <dataValidation type="list" allowBlank="1" showInputMessage="1" showErrorMessage="1" sqref="E15:E43 E7:E13" xr:uid="{5B41BB76-482B-43FC-98E3-F7FE64E0EF19}">
      <formula1>$P$5:$P$9</formula1>
    </dataValidation>
    <dataValidation type="list" allowBlank="1" showInputMessage="1" showErrorMessage="1" sqref="F7:F43" xr:uid="{78AFE3E6-03FE-4213-BB44-32A56018A0AA}">
      <formula1>$Q$5:$Q$32</formula1>
    </dataValidation>
    <dataValidation type="list" allowBlank="1" showInputMessage="1" showErrorMessage="1" sqref="D7:D43" xr:uid="{A4F4E50B-FD9D-4FF8-B930-53C80F406881}">
      <formula1>$O$5:$O$12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horizontalDpi="0" verticalDpi="0" r:id="rId1"/>
  <headerFooter>
    <oddFooter>&amp;L8.2.2.2.3 102 Schedule Template&amp;RCreated :2023/01/01BT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E346D7-6EFA-4122-965F-5D6B426C81D9}">
          <x14:formula1>
            <xm:f>ScheduleMasterRef!$A$2:$A$16</xm:f>
          </x14:formula1>
          <xm:sqref>D7 D26:D43 D23:D24 D21 D9:D13 D15:D19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D21" sqref="D21"/>
    </sheetView>
  </sheetViews>
  <sheetFormatPr defaultRowHeight="14.5" x14ac:dyDescent="0.35"/>
  <cols>
    <col min="1" max="1" width="11.26953125" bestFit="1" customWidth="1"/>
    <col min="2" max="2" width="10.7265625" bestFit="1" customWidth="1"/>
    <col min="3" max="3" width="11.7265625" bestFit="1" customWidth="1"/>
  </cols>
  <sheetData>
    <row r="1" spans="1:3" x14ac:dyDescent="0.35">
      <c r="A1" t="s">
        <v>5</v>
      </c>
      <c r="B1" t="s">
        <v>4</v>
      </c>
      <c r="C1" t="s">
        <v>3</v>
      </c>
    </row>
    <row r="2" spans="1:3" x14ac:dyDescent="0.35">
      <c r="A2" t="s">
        <v>11</v>
      </c>
      <c r="B2" t="s">
        <v>8</v>
      </c>
      <c r="C2" t="s">
        <v>27</v>
      </c>
    </row>
    <row r="3" spans="1:3" x14ac:dyDescent="0.35">
      <c r="A3" t="s">
        <v>10</v>
      </c>
      <c r="B3" t="s">
        <v>28</v>
      </c>
      <c r="C3" t="s">
        <v>9</v>
      </c>
    </row>
    <row r="4" spans="1:3" x14ac:dyDescent="0.35">
      <c r="A4" t="s">
        <v>60</v>
      </c>
      <c r="B4" t="s">
        <v>88</v>
      </c>
      <c r="C4" t="s">
        <v>83</v>
      </c>
    </row>
    <row r="5" spans="1:3" x14ac:dyDescent="0.35">
      <c r="A5" t="s">
        <v>61</v>
      </c>
      <c r="B5" t="s">
        <v>14</v>
      </c>
      <c r="C5" t="s">
        <v>12</v>
      </c>
    </row>
    <row r="6" spans="1:3" x14ac:dyDescent="0.35">
      <c r="A6" t="s">
        <v>29</v>
      </c>
      <c r="B6" t="s">
        <v>15</v>
      </c>
      <c r="C6" t="s">
        <v>22</v>
      </c>
    </row>
    <row r="7" spans="1:3" x14ac:dyDescent="0.35">
      <c r="A7" t="s">
        <v>30</v>
      </c>
      <c r="B7" t="s">
        <v>16</v>
      </c>
      <c r="C7" s="13" t="s">
        <v>13</v>
      </c>
    </row>
    <row r="8" spans="1:3" x14ac:dyDescent="0.35">
      <c r="A8" t="s">
        <v>31</v>
      </c>
      <c r="B8" t="s">
        <v>84</v>
      </c>
      <c r="C8" t="s">
        <v>18</v>
      </c>
    </row>
    <row r="9" spans="1:3" x14ac:dyDescent="0.35">
      <c r="A9" t="s">
        <v>32</v>
      </c>
      <c r="B9" t="s">
        <v>89</v>
      </c>
    </row>
    <row r="10" spans="1:3" x14ac:dyDescent="0.35">
      <c r="A10" t="s">
        <v>17</v>
      </c>
      <c r="B10" t="s">
        <v>90</v>
      </c>
    </row>
    <row r="11" spans="1:3" x14ac:dyDescent="0.35">
      <c r="A11" t="s">
        <v>19</v>
      </c>
    </row>
    <row r="12" spans="1:3" x14ac:dyDescent="0.35">
      <c r="A12" t="s">
        <v>20</v>
      </c>
    </row>
    <row r="13" spans="1:3" x14ac:dyDescent="0.35">
      <c r="A13" t="s">
        <v>23</v>
      </c>
    </row>
    <row r="14" spans="1:3" x14ac:dyDescent="0.35">
      <c r="A14" t="s">
        <v>33</v>
      </c>
    </row>
    <row r="15" spans="1:3" x14ac:dyDescent="0.35">
      <c r="A15" t="s">
        <v>21</v>
      </c>
    </row>
    <row r="16" spans="1:3" x14ac:dyDescent="0.35">
      <c r="A16" t="s">
        <v>22</v>
      </c>
    </row>
  </sheetData>
  <sheetProtection password="D40C" sheet="1" objects="1" scenarios="1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1:AF17"/>
  <sheetViews>
    <sheetView topLeftCell="D1" workbookViewId="0">
      <selection activeCell="N2" sqref="N2:N11"/>
    </sheetView>
  </sheetViews>
  <sheetFormatPr defaultRowHeight="14.5" x14ac:dyDescent="0.35"/>
  <cols>
    <col min="1" max="1" width="12" bestFit="1" customWidth="1"/>
    <col min="2" max="2" width="16.81640625" bestFit="1" customWidth="1"/>
    <col min="3" max="3" width="11.1796875" bestFit="1" customWidth="1"/>
    <col min="6" max="6" width="12" bestFit="1" customWidth="1"/>
    <col min="7" max="7" width="6.26953125" bestFit="1" customWidth="1"/>
    <col min="8" max="8" width="9.54296875" bestFit="1" customWidth="1"/>
    <col min="9" max="9" width="15.26953125" bestFit="1" customWidth="1"/>
    <col min="10" max="10" width="5.54296875" bestFit="1" customWidth="1"/>
    <col min="11" max="11" width="7.1796875" bestFit="1" customWidth="1"/>
    <col min="12" max="12" width="11.26953125" bestFit="1" customWidth="1"/>
    <col min="13" max="13" width="16.81640625" bestFit="1" customWidth="1"/>
    <col min="14" max="14" width="16.81640625" customWidth="1"/>
    <col min="15" max="15" width="10.26953125" bestFit="1" customWidth="1"/>
    <col min="16" max="16" width="8.1796875" bestFit="1" customWidth="1"/>
    <col min="17" max="17" width="8.1796875" customWidth="1"/>
    <col min="18" max="18" width="10.54296875" bestFit="1" customWidth="1"/>
    <col min="19" max="30" width="10.54296875" customWidth="1"/>
    <col min="31" max="31" width="11.7265625" bestFit="1" customWidth="1"/>
    <col min="32" max="32" width="10.54296875" bestFit="1" customWidth="1"/>
  </cols>
  <sheetData>
    <row r="1" spans="6:32" x14ac:dyDescent="0.35">
      <c r="F1" t="s">
        <v>5</v>
      </c>
      <c r="G1" t="s">
        <v>18</v>
      </c>
      <c r="H1" t="s">
        <v>95</v>
      </c>
      <c r="I1" t="s">
        <v>119</v>
      </c>
      <c r="J1" t="s">
        <v>12</v>
      </c>
      <c r="K1" t="s">
        <v>27</v>
      </c>
      <c r="L1" t="s">
        <v>26</v>
      </c>
      <c r="M1" t="s">
        <v>25</v>
      </c>
      <c r="N1" t="s">
        <v>91</v>
      </c>
      <c r="O1" t="s">
        <v>9</v>
      </c>
      <c r="P1" t="s">
        <v>22</v>
      </c>
      <c r="Q1" t="s">
        <v>92</v>
      </c>
      <c r="R1" t="s">
        <v>83</v>
      </c>
      <c r="S1" t="s">
        <v>96</v>
      </c>
      <c r="T1" t="s">
        <v>83</v>
      </c>
      <c r="U1" t="s">
        <v>99</v>
      </c>
      <c r="V1" t="s">
        <v>97</v>
      </c>
      <c r="W1" t="s">
        <v>100</v>
      </c>
      <c r="X1" t="s">
        <v>98</v>
      </c>
      <c r="Y1" t="s">
        <v>101</v>
      </c>
      <c r="Z1" t="s">
        <v>102</v>
      </c>
      <c r="AA1" t="s">
        <v>103</v>
      </c>
      <c r="AB1" t="s">
        <v>106</v>
      </c>
      <c r="AC1" t="s">
        <v>104</v>
      </c>
      <c r="AD1" s="15" t="s">
        <v>13</v>
      </c>
      <c r="AE1" t="s">
        <v>105</v>
      </c>
      <c r="AF1" s="15"/>
    </row>
    <row r="2" spans="6:32" x14ac:dyDescent="0.35">
      <c r="F2" t="s">
        <v>29</v>
      </c>
      <c r="G2">
        <v>4</v>
      </c>
      <c r="H2">
        <v>4</v>
      </c>
      <c r="I2">
        <v>4</v>
      </c>
      <c r="L2">
        <v>4</v>
      </c>
      <c r="M2">
        <v>4</v>
      </c>
      <c r="N2">
        <v>4</v>
      </c>
      <c r="Q2">
        <v>4</v>
      </c>
    </row>
    <row r="3" spans="6:32" x14ac:dyDescent="0.35">
      <c r="F3" t="s">
        <v>30</v>
      </c>
      <c r="G3">
        <v>4</v>
      </c>
      <c r="H3">
        <v>4</v>
      </c>
      <c r="I3">
        <v>4</v>
      </c>
      <c r="L3">
        <v>4</v>
      </c>
      <c r="M3">
        <v>4</v>
      </c>
      <c r="N3">
        <v>4</v>
      </c>
      <c r="Q3">
        <v>4</v>
      </c>
    </row>
    <row r="4" spans="6:32" x14ac:dyDescent="0.35">
      <c r="F4" t="s">
        <v>31</v>
      </c>
      <c r="G4">
        <v>1.3</v>
      </c>
      <c r="J4">
        <v>4</v>
      </c>
      <c r="L4">
        <v>4</v>
      </c>
      <c r="M4">
        <v>4</v>
      </c>
      <c r="N4">
        <v>4</v>
      </c>
      <c r="Q4">
        <v>4</v>
      </c>
    </row>
    <row r="5" spans="6:32" x14ac:dyDescent="0.35">
      <c r="F5" t="s">
        <v>32</v>
      </c>
      <c r="G5">
        <v>1.3</v>
      </c>
      <c r="J5">
        <v>4</v>
      </c>
      <c r="L5">
        <v>4</v>
      </c>
      <c r="M5">
        <v>4</v>
      </c>
      <c r="N5">
        <v>4</v>
      </c>
      <c r="Q5">
        <v>4</v>
      </c>
    </row>
    <row r="6" spans="6:32" x14ac:dyDescent="0.35">
      <c r="F6" t="s">
        <v>17</v>
      </c>
      <c r="G6">
        <v>1.3</v>
      </c>
      <c r="J6">
        <v>4</v>
      </c>
      <c r="L6">
        <v>4</v>
      </c>
      <c r="M6">
        <v>4</v>
      </c>
      <c r="N6">
        <v>4</v>
      </c>
      <c r="Q6">
        <v>4</v>
      </c>
    </row>
    <row r="7" spans="6:32" x14ac:dyDescent="0.35">
      <c r="F7" t="s">
        <v>19</v>
      </c>
      <c r="G7">
        <v>1.3</v>
      </c>
      <c r="J7">
        <v>4</v>
      </c>
      <c r="L7">
        <v>4</v>
      </c>
      <c r="M7">
        <v>4</v>
      </c>
      <c r="N7">
        <v>4</v>
      </c>
      <c r="Q7">
        <v>4</v>
      </c>
    </row>
    <row r="8" spans="6:32" x14ac:dyDescent="0.35">
      <c r="F8" t="s">
        <v>20</v>
      </c>
      <c r="G8">
        <v>1.3</v>
      </c>
      <c r="J8">
        <v>4</v>
      </c>
      <c r="L8">
        <v>4</v>
      </c>
      <c r="M8">
        <v>4</v>
      </c>
      <c r="N8">
        <v>4</v>
      </c>
      <c r="Q8">
        <v>4</v>
      </c>
    </row>
    <row r="9" spans="6:32" x14ac:dyDescent="0.35">
      <c r="F9" t="s">
        <v>23</v>
      </c>
      <c r="G9">
        <v>1.3</v>
      </c>
      <c r="J9">
        <v>4</v>
      </c>
      <c r="L9">
        <v>4</v>
      </c>
      <c r="M9">
        <v>4</v>
      </c>
      <c r="N9">
        <v>4</v>
      </c>
      <c r="Q9">
        <v>4</v>
      </c>
    </row>
    <row r="10" spans="6:32" x14ac:dyDescent="0.35">
      <c r="F10" t="s">
        <v>33</v>
      </c>
      <c r="G10">
        <v>1.3</v>
      </c>
      <c r="J10">
        <v>4</v>
      </c>
      <c r="L10">
        <v>4</v>
      </c>
      <c r="M10">
        <v>4</v>
      </c>
      <c r="N10">
        <v>4</v>
      </c>
      <c r="Q10">
        <v>4</v>
      </c>
    </row>
    <row r="11" spans="6:32" x14ac:dyDescent="0.35">
      <c r="F11" t="s">
        <v>21</v>
      </c>
      <c r="G11">
        <v>1.3</v>
      </c>
      <c r="J11">
        <v>4</v>
      </c>
      <c r="L11">
        <v>4</v>
      </c>
      <c r="M11">
        <v>4</v>
      </c>
      <c r="N11">
        <v>4</v>
      </c>
      <c r="Q11">
        <v>4</v>
      </c>
    </row>
    <row r="12" spans="6:32" x14ac:dyDescent="0.35">
      <c r="F12" t="s">
        <v>24</v>
      </c>
      <c r="G12">
        <v>4</v>
      </c>
      <c r="L12">
        <v>4</v>
      </c>
      <c r="M12">
        <v>4</v>
      </c>
      <c r="Q12">
        <v>4</v>
      </c>
    </row>
    <row r="13" spans="6:32" x14ac:dyDescent="0.35">
      <c r="F13" t="s">
        <v>11</v>
      </c>
      <c r="G13">
        <v>4</v>
      </c>
      <c r="O13">
        <v>7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</row>
    <row r="14" spans="6:32" x14ac:dyDescent="0.35">
      <c r="F14" t="s">
        <v>10</v>
      </c>
      <c r="G14">
        <v>4</v>
      </c>
      <c r="O14">
        <v>7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</row>
    <row r="15" spans="6:32" x14ac:dyDescent="0.35">
      <c r="F15" t="s">
        <v>22</v>
      </c>
      <c r="P15">
        <v>4</v>
      </c>
      <c r="Q15">
        <v>4</v>
      </c>
    </row>
    <row r="16" spans="6:32" x14ac:dyDescent="0.35">
      <c r="F16" t="s">
        <v>60</v>
      </c>
      <c r="K16">
        <v>4</v>
      </c>
      <c r="Q16">
        <v>4</v>
      </c>
    </row>
    <row r="17" spans="6:17" x14ac:dyDescent="0.35">
      <c r="F17" t="s">
        <v>61</v>
      </c>
      <c r="K17">
        <v>4</v>
      </c>
      <c r="Q17">
        <v>4</v>
      </c>
    </row>
  </sheetData>
  <sheetProtection algorithmName="SHA-512" hashValue="7Hkxp7H9/mpOsPxAfyCJ+oFVAefzPEawv+xyWD2StwZNLE1HO53Pf8bNA31Qf9N3wCcn7XTsCeeSnpB+mQTmYg==" saltValue="BWe5NTcnzVk1fMdGdj4OWg==" spinCount="100000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0"/>
  <sheetViews>
    <sheetView topLeftCell="A25" workbookViewId="0">
      <selection activeCell="A43" sqref="A43"/>
    </sheetView>
  </sheetViews>
  <sheetFormatPr defaultRowHeight="14.5" x14ac:dyDescent="0.35"/>
  <cols>
    <col min="1" max="1" width="16.1796875" bestFit="1" customWidth="1"/>
    <col min="2" max="2" width="11.453125" bestFit="1" customWidth="1"/>
    <col min="3" max="3" width="12.1796875" bestFit="1" customWidth="1"/>
    <col min="4" max="4" width="21.453125" bestFit="1" customWidth="1"/>
    <col min="5" max="5" width="19.7265625" bestFit="1" customWidth="1"/>
    <col min="6" max="6" width="11.26953125" bestFit="1" customWidth="1"/>
    <col min="7" max="7" width="16.81640625" bestFit="1" customWidth="1"/>
    <col min="8" max="8" width="16.81640625" customWidth="1"/>
    <col min="9" max="9" width="12.54296875" bestFit="1" customWidth="1"/>
    <col min="10" max="10" width="21.81640625" bestFit="1" customWidth="1"/>
    <col min="11" max="11" width="20.1796875" bestFit="1" customWidth="1"/>
    <col min="12" max="14" width="20.1796875" customWidth="1"/>
    <col min="15" max="15" width="20.1796875" bestFit="1" customWidth="1"/>
    <col min="16" max="16" width="20.1796875" customWidth="1"/>
    <col min="17" max="17" width="9.81640625" bestFit="1" customWidth="1"/>
  </cols>
  <sheetData>
    <row r="1" spans="1:17" x14ac:dyDescent="0.35">
      <c r="A1" s="10" t="s">
        <v>62</v>
      </c>
      <c r="B1" s="5"/>
    </row>
    <row r="2" spans="1:17" x14ac:dyDescent="0.35">
      <c r="A2" t="s">
        <v>5</v>
      </c>
      <c r="B2" t="s">
        <v>18</v>
      </c>
      <c r="C2" t="s">
        <v>95</v>
      </c>
      <c r="D2" t="s">
        <v>12</v>
      </c>
      <c r="E2" t="s">
        <v>27</v>
      </c>
      <c r="F2" t="s">
        <v>26</v>
      </c>
      <c r="G2" t="s">
        <v>25</v>
      </c>
      <c r="H2" t="s">
        <v>91</v>
      </c>
      <c r="I2" t="s">
        <v>9</v>
      </c>
      <c r="J2" t="s">
        <v>22</v>
      </c>
      <c r="K2" t="s">
        <v>13</v>
      </c>
      <c r="L2" t="s">
        <v>92</v>
      </c>
      <c r="M2" t="s">
        <v>119</v>
      </c>
      <c r="N2" t="s">
        <v>100</v>
      </c>
      <c r="O2" t="s">
        <v>72</v>
      </c>
      <c r="P2" t="s">
        <v>112</v>
      </c>
      <c r="Q2" t="s">
        <v>83</v>
      </c>
    </row>
    <row r="3" spans="1:17" x14ac:dyDescent="0.35">
      <c r="A3" t="s">
        <v>29</v>
      </c>
      <c r="B3" t="s">
        <v>107</v>
      </c>
      <c r="C3" t="s">
        <v>107</v>
      </c>
      <c r="G3" t="s">
        <v>107</v>
      </c>
      <c r="L3" t="s">
        <v>52</v>
      </c>
      <c r="M3" t="s">
        <v>107</v>
      </c>
      <c r="P3" t="s">
        <v>107</v>
      </c>
    </row>
    <row r="4" spans="1:17" x14ac:dyDescent="0.35">
      <c r="A4" t="s">
        <v>30</v>
      </c>
      <c r="B4">
        <v>903</v>
      </c>
      <c r="C4">
        <v>903</v>
      </c>
      <c r="G4">
        <v>903</v>
      </c>
      <c r="L4" t="s">
        <v>52</v>
      </c>
      <c r="M4">
        <v>903</v>
      </c>
      <c r="P4">
        <v>903</v>
      </c>
    </row>
    <row r="5" spans="1:17" x14ac:dyDescent="0.35">
      <c r="A5" t="s">
        <v>31</v>
      </c>
      <c r="B5">
        <v>146</v>
      </c>
      <c r="D5">
        <v>161</v>
      </c>
      <c r="G5">
        <v>161</v>
      </c>
      <c r="H5">
        <v>156</v>
      </c>
      <c r="L5" t="s">
        <v>52</v>
      </c>
    </row>
    <row r="6" spans="1:17" x14ac:dyDescent="0.35">
      <c r="A6" t="s">
        <v>32</v>
      </c>
      <c r="B6">
        <v>146</v>
      </c>
      <c r="D6">
        <v>160</v>
      </c>
      <c r="G6">
        <v>160</v>
      </c>
      <c r="H6">
        <v>156</v>
      </c>
      <c r="L6" t="s">
        <v>52</v>
      </c>
    </row>
    <row r="7" spans="1:17" x14ac:dyDescent="0.35">
      <c r="A7" t="s">
        <v>17</v>
      </c>
      <c r="B7">
        <v>105</v>
      </c>
      <c r="D7">
        <v>205</v>
      </c>
      <c r="G7">
        <v>205</v>
      </c>
      <c r="H7">
        <v>205</v>
      </c>
      <c r="L7" t="s">
        <v>52</v>
      </c>
    </row>
    <row r="8" spans="1:17" x14ac:dyDescent="0.35">
      <c r="A8" t="s">
        <v>19</v>
      </c>
      <c r="B8">
        <v>106</v>
      </c>
      <c r="D8">
        <v>206</v>
      </c>
      <c r="G8">
        <v>206</v>
      </c>
      <c r="H8">
        <v>206</v>
      </c>
      <c r="L8" t="s">
        <v>52</v>
      </c>
    </row>
    <row r="9" spans="1:17" x14ac:dyDescent="0.35">
      <c r="A9" t="s">
        <v>20</v>
      </c>
      <c r="B9">
        <v>107</v>
      </c>
      <c r="D9">
        <v>207</v>
      </c>
      <c r="G9">
        <v>207</v>
      </c>
      <c r="H9">
        <v>207</v>
      </c>
      <c r="L9" t="s">
        <v>52</v>
      </c>
    </row>
    <row r="10" spans="1:17" x14ac:dyDescent="0.35">
      <c r="A10" t="s">
        <v>23</v>
      </c>
      <c r="B10">
        <v>108</v>
      </c>
      <c r="D10">
        <v>208</v>
      </c>
      <c r="G10">
        <v>208</v>
      </c>
      <c r="H10">
        <v>208</v>
      </c>
      <c r="L10" t="s">
        <v>52</v>
      </c>
    </row>
    <row r="11" spans="1:17" x14ac:dyDescent="0.35">
      <c r="A11" t="s">
        <v>33</v>
      </c>
      <c r="B11">
        <v>109</v>
      </c>
      <c r="D11">
        <v>209</v>
      </c>
      <c r="G11">
        <v>209</v>
      </c>
      <c r="H11">
        <v>209</v>
      </c>
      <c r="L11" t="s">
        <v>52</v>
      </c>
    </row>
    <row r="12" spans="1:17" x14ac:dyDescent="0.35">
      <c r="A12" t="s">
        <v>21</v>
      </c>
      <c r="B12">
        <v>110</v>
      </c>
      <c r="D12">
        <v>210</v>
      </c>
      <c r="G12">
        <v>210</v>
      </c>
      <c r="H12">
        <v>210</v>
      </c>
      <c r="L12" t="s">
        <v>52</v>
      </c>
    </row>
    <row r="13" spans="1:17" x14ac:dyDescent="0.35">
      <c r="A13" t="s">
        <v>24</v>
      </c>
      <c r="B13" t="s">
        <v>52</v>
      </c>
      <c r="F13" t="s">
        <v>52</v>
      </c>
      <c r="G13" t="s">
        <v>52</v>
      </c>
      <c r="L13" t="s">
        <v>52</v>
      </c>
    </row>
    <row r="14" spans="1:17" x14ac:dyDescent="0.35">
      <c r="A14" t="s">
        <v>11</v>
      </c>
      <c r="B14">
        <v>33</v>
      </c>
      <c r="I14">
        <v>55</v>
      </c>
      <c r="K14" s="12" t="s">
        <v>80</v>
      </c>
      <c r="L14" t="s">
        <v>52</v>
      </c>
      <c r="N14">
        <v>33</v>
      </c>
      <c r="O14" s="12" t="s">
        <v>80</v>
      </c>
      <c r="P14" s="12"/>
      <c r="Q14">
        <v>33</v>
      </c>
    </row>
    <row r="15" spans="1:17" x14ac:dyDescent="0.35">
      <c r="A15" t="s">
        <v>10</v>
      </c>
      <c r="B15">
        <v>3</v>
      </c>
      <c r="I15">
        <v>5</v>
      </c>
      <c r="K15" s="12" t="s">
        <v>79</v>
      </c>
      <c r="L15" t="s">
        <v>52</v>
      </c>
      <c r="N15">
        <v>3</v>
      </c>
      <c r="O15" s="12" t="s">
        <v>79</v>
      </c>
      <c r="P15" s="12"/>
      <c r="Q15">
        <v>3</v>
      </c>
    </row>
    <row r="16" spans="1:17" x14ac:dyDescent="0.35">
      <c r="A16" t="s">
        <v>94</v>
      </c>
      <c r="B16" s="12" t="s">
        <v>80</v>
      </c>
      <c r="K16" s="12"/>
      <c r="O16" s="12"/>
      <c r="P16" s="12"/>
    </row>
    <row r="17" spans="1:16" x14ac:dyDescent="0.35">
      <c r="A17" t="s">
        <v>93</v>
      </c>
      <c r="B17" s="12" t="s">
        <v>80</v>
      </c>
      <c r="K17" s="12"/>
      <c r="O17" s="12"/>
      <c r="P17" s="12"/>
    </row>
    <row r="18" spans="1:16" x14ac:dyDescent="0.35">
      <c r="A18" t="s">
        <v>22</v>
      </c>
      <c r="J18">
        <v>95</v>
      </c>
      <c r="L18" t="s">
        <v>52</v>
      </c>
    </row>
    <row r="19" spans="1:16" x14ac:dyDescent="0.35">
      <c r="A19" t="s">
        <v>60</v>
      </c>
      <c r="E19">
        <v>36</v>
      </c>
      <c r="L19" t="s">
        <v>52</v>
      </c>
    </row>
    <row r="20" spans="1:16" x14ac:dyDescent="0.35">
      <c r="A20" t="s">
        <v>61</v>
      </c>
      <c r="E20">
        <v>35</v>
      </c>
      <c r="L20" t="s">
        <v>52</v>
      </c>
    </row>
    <row r="21" spans="1:16" x14ac:dyDescent="0.35">
      <c r="L21" t="s">
        <v>52</v>
      </c>
    </row>
    <row r="22" spans="1:16" x14ac:dyDescent="0.35">
      <c r="L22" t="s">
        <v>52</v>
      </c>
    </row>
    <row r="23" spans="1:16" x14ac:dyDescent="0.35">
      <c r="L23" t="s">
        <v>52</v>
      </c>
    </row>
    <row r="24" spans="1:16" x14ac:dyDescent="0.35">
      <c r="L24" t="s">
        <v>52</v>
      </c>
    </row>
    <row r="29" spans="1:16" ht="15" thickBot="1" x14ac:dyDescent="0.4"/>
    <row r="30" spans="1:16" ht="15" thickBot="1" x14ac:dyDescent="0.4">
      <c r="A30" s="6" t="s">
        <v>39</v>
      </c>
      <c r="B30" s="7" t="s">
        <v>40</v>
      </c>
      <c r="C30" s="6" t="s">
        <v>41</v>
      </c>
      <c r="D30" s="6" t="s">
        <v>42</v>
      </c>
      <c r="E30" s="6" t="s">
        <v>43</v>
      </c>
      <c r="F30" s="6" t="s">
        <v>44</v>
      </c>
      <c r="G30" s="6" t="s">
        <v>45</v>
      </c>
      <c r="H30" s="6"/>
      <c r="I30" s="6" t="s">
        <v>46</v>
      </c>
      <c r="J30" s="6" t="s">
        <v>47</v>
      </c>
      <c r="K30" s="11" t="s">
        <v>48</v>
      </c>
      <c r="L30" s="5"/>
      <c r="M30" s="5"/>
      <c r="N30" s="5"/>
    </row>
    <row r="31" spans="1:16" x14ac:dyDescent="0.35">
      <c r="A31" s="1" t="s">
        <v>107</v>
      </c>
      <c r="B31" s="1">
        <v>4</v>
      </c>
      <c r="C31" s="8" t="s">
        <v>53</v>
      </c>
      <c r="D31" s="1" t="s">
        <v>63</v>
      </c>
      <c r="E31" s="1" t="s">
        <v>118</v>
      </c>
      <c r="F31" s="1" t="s">
        <v>107</v>
      </c>
      <c r="G31" s="1">
        <v>1</v>
      </c>
      <c r="H31" s="1"/>
      <c r="I31" s="8" t="s">
        <v>53</v>
      </c>
      <c r="J31" s="2" t="s">
        <v>49</v>
      </c>
      <c r="K31" s="9" t="s">
        <v>117</v>
      </c>
      <c r="L31" s="3"/>
      <c r="M31" s="3"/>
      <c r="N31" s="3"/>
    </row>
    <row r="32" spans="1:16" x14ac:dyDescent="0.35">
      <c r="A32" s="1">
        <v>101</v>
      </c>
      <c r="B32" s="1">
        <v>4</v>
      </c>
      <c r="C32" s="1">
        <v>2</v>
      </c>
      <c r="D32" s="1" t="s">
        <v>63</v>
      </c>
      <c r="E32" s="1" t="s">
        <v>64</v>
      </c>
      <c r="F32" s="1">
        <v>102</v>
      </c>
      <c r="G32" s="1">
        <v>1</v>
      </c>
      <c r="H32" s="1"/>
      <c r="I32" s="1">
        <v>2</v>
      </c>
      <c r="J32" s="1" t="s">
        <v>49</v>
      </c>
      <c r="K32" s="9" t="s">
        <v>114</v>
      </c>
      <c r="L32" s="3"/>
      <c r="M32" s="3"/>
      <c r="N32" s="3"/>
    </row>
    <row r="33" spans="1:14" x14ac:dyDescent="0.35">
      <c r="A33" s="4">
        <v>903</v>
      </c>
      <c r="B33" s="4">
        <v>4</v>
      </c>
      <c r="C33" s="8" t="s">
        <v>53</v>
      </c>
      <c r="D33" s="1" t="s">
        <v>63</v>
      </c>
      <c r="E33" s="1" t="s">
        <v>118</v>
      </c>
      <c r="F33" s="8" t="s">
        <v>115</v>
      </c>
      <c r="G33" s="8" t="s">
        <v>50</v>
      </c>
      <c r="H33" s="8"/>
      <c r="I33" s="8" t="s">
        <v>53</v>
      </c>
      <c r="J33" s="1" t="s">
        <v>51</v>
      </c>
      <c r="K33" s="9" t="s">
        <v>71</v>
      </c>
      <c r="L33" s="14"/>
      <c r="M33" s="14"/>
      <c r="N33" s="14"/>
    </row>
    <row r="34" spans="1:14" x14ac:dyDescent="0.35">
      <c r="A34" s="4">
        <v>146</v>
      </c>
      <c r="B34" s="4">
        <v>4</v>
      </c>
      <c r="C34" s="1">
        <v>1</v>
      </c>
      <c r="D34" s="1" t="s">
        <v>63</v>
      </c>
      <c r="E34" s="1" t="s">
        <v>64</v>
      </c>
      <c r="F34" s="1">
        <v>95</v>
      </c>
      <c r="G34" s="1">
        <v>1</v>
      </c>
      <c r="H34" s="1"/>
      <c r="I34" s="1" t="s">
        <v>52</v>
      </c>
      <c r="J34" s="1" t="s">
        <v>52</v>
      </c>
      <c r="K34" s="4" t="s">
        <v>52</v>
      </c>
      <c r="L34" s="3"/>
      <c r="M34" s="3"/>
      <c r="N34" s="3"/>
    </row>
    <row r="35" spans="1:14" x14ac:dyDescent="0.35">
      <c r="A35" s="4">
        <v>146</v>
      </c>
      <c r="B35" s="1">
        <v>4</v>
      </c>
      <c r="C35" s="1">
        <v>1</v>
      </c>
      <c r="D35" s="1" t="s">
        <v>63</v>
      </c>
      <c r="E35" s="1" t="s">
        <v>64</v>
      </c>
      <c r="F35" s="1">
        <v>95</v>
      </c>
      <c r="G35" s="1">
        <v>1</v>
      </c>
      <c r="H35" s="1"/>
      <c r="I35" s="1" t="s">
        <v>52</v>
      </c>
      <c r="J35" s="1" t="s">
        <v>52</v>
      </c>
      <c r="K35" s="4" t="s">
        <v>52</v>
      </c>
      <c r="L35" s="3"/>
      <c r="M35" s="3"/>
      <c r="N35" s="3"/>
    </row>
    <row r="36" spans="1:14" x14ac:dyDescent="0.35">
      <c r="A36" s="4">
        <v>105</v>
      </c>
      <c r="B36" s="1">
        <v>4</v>
      </c>
      <c r="C36" s="4">
        <v>1</v>
      </c>
      <c r="D36" s="1" t="s">
        <v>63</v>
      </c>
      <c r="E36" s="1" t="s">
        <v>64</v>
      </c>
      <c r="F36" s="4">
        <v>95</v>
      </c>
      <c r="G36" s="4">
        <v>1</v>
      </c>
      <c r="H36" s="4"/>
      <c r="I36" s="4" t="s">
        <v>52</v>
      </c>
      <c r="J36" s="4" t="s">
        <v>52</v>
      </c>
      <c r="K36" s="4" t="s">
        <v>52</v>
      </c>
      <c r="L36" s="3"/>
      <c r="M36" s="3"/>
      <c r="N36" s="3"/>
    </row>
    <row r="37" spans="1:14" x14ac:dyDescent="0.35">
      <c r="A37" s="4">
        <v>106</v>
      </c>
      <c r="B37" s="1">
        <v>4</v>
      </c>
      <c r="C37" s="4">
        <v>1</v>
      </c>
      <c r="D37" s="1" t="s">
        <v>63</v>
      </c>
      <c r="E37" s="1" t="s">
        <v>64</v>
      </c>
      <c r="F37" s="4">
        <v>95</v>
      </c>
      <c r="G37" s="4">
        <v>1</v>
      </c>
      <c r="H37" s="4"/>
      <c r="I37" s="4" t="s">
        <v>52</v>
      </c>
      <c r="J37" s="4" t="s">
        <v>52</v>
      </c>
      <c r="K37" s="4" t="s">
        <v>52</v>
      </c>
      <c r="L37" s="3"/>
      <c r="M37" s="3"/>
      <c r="N37" s="3"/>
    </row>
    <row r="38" spans="1:14" x14ac:dyDescent="0.35">
      <c r="A38" s="1">
        <v>107</v>
      </c>
      <c r="B38" s="4">
        <v>4</v>
      </c>
      <c r="C38" s="1">
        <v>1</v>
      </c>
      <c r="D38" s="1" t="s">
        <v>63</v>
      </c>
      <c r="E38" s="1" t="s">
        <v>64</v>
      </c>
      <c r="F38" s="1">
        <v>95</v>
      </c>
      <c r="G38" s="1">
        <v>1</v>
      </c>
      <c r="H38" s="1"/>
      <c r="I38" s="1" t="s">
        <v>52</v>
      </c>
      <c r="J38" s="1" t="s">
        <v>52</v>
      </c>
      <c r="K38" s="4" t="s">
        <v>52</v>
      </c>
      <c r="L38" s="3"/>
      <c r="M38" s="3"/>
      <c r="N38" s="3"/>
    </row>
    <row r="39" spans="1:14" x14ac:dyDescent="0.35">
      <c r="A39" s="1">
        <v>108</v>
      </c>
      <c r="B39" s="1">
        <v>4</v>
      </c>
      <c r="C39" s="1">
        <v>1</v>
      </c>
      <c r="D39" s="1" t="s">
        <v>63</v>
      </c>
      <c r="E39" s="1" t="s">
        <v>64</v>
      </c>
      <c r="F39" s="1">
        <v>95</v>
      </c>
      <c r="G39" s="1">
        <v>1</v>
      </c>
      <c r="H39" s="1"/>
      <c r="I39" s="1" t="s">
        <v>52</v>
      </c>
      <c r="J39" s="1" t="s">
        <v>52</v>
      </c>
      <c r="K39" s="4" t="s">
        <v>52</v>
      </c>
      <c r="L39" s="3"/>
      <c r="M39" s="3"/>
      <c r="N39" s="3"/>
    </row>
    <row r="40" spans="1:14" x14ac:dyDescent="0.35">
      <c r="A40" s="1">
        <v>109</v>
      </c>
      <c r="B40" s="1">
        <v>4</v>
      </c>
      <c r="C40" s="1">
        <v>1</v>
      </c>
      <c r="D40" s="1" t="s">
        <v>63</v>
      </c>
      <c r="E40" s="1" t="s">
        <v>64</v>
      </c>
      <c r="F40" s="1">
        <v>95</v>
      </c>
      <c r="G40" s="1">
        <v>1</v>
      </c>
      <c r="H40" s="1"/>
      <c r="I40" s="1" t="s">
        <v>52</v>
      </c>
      <c r="J40" s="1" t="s">
        <v>52</v>
      </c>
      <c r="K40" s="4" t="s">
        <v>52</v>
      </c>
      <c r="L40" s="3"/>
      <c r="M40" s="3"/>
      <c r="N40" s="3"/>
    </row>
    <row r="41" spans="1:14" x14ac:dyDescent="0.35">
      <c r="A41" s="1">
        <v>110</v>
      </c>
      <c r="B41" s="1">
        <v>4</v>
      </c>
      <c r="C41" s="1">
        <v>1</v>
      </c>
      <c r="D41" s="1" t="s">
        <v>63</v>
      </c>
      <c r="E41" s="1" t="s">
        <v>64</v>
      </c>
      <c r="F41" s="1">
        <v>95</v>
      </c>
      <c r="G41" s="1">
        <v>1</v>
      </c>
      <c r="H41" s="1"/>
      <c r="I41" s="1" t="s">
        <v>52</v>
      </c>
      <c r="J41" s="1" t="s">
        <v>52</v>
      </c>
      <c r="K41" s="4" t="s">
        <v>52</v>
      </c>
      <c r="L41" s="3"/>
      <c r="M41" s="3"/>
      <c r="N41" s="3"/>
    </row>
    <row r="42" spans="1:14" x14ac:dyDescent="0.35">
      <c r="A42" s="1">
        <v>156</v>
      </c>
      <c r="B42" s="1">
        <v>1</v>
      </c>
      <c r="C42" s="1">
        <v>1</v>
      </c>
      <c r="D42" s="1" t="s">
        <v>63</v>
      </c>
      <c r="E42" s="1" t="s">
        <v>120</v>
      </c>
      <c r="F42" s="1">
        <v>304</v>
      </c>
      <c r="G42" s="1">
        <v>1</v>
      </c>
      <c r="H42" s="1"/>
      <c r="I42" s="1">
        <v>1</v>
      </c>
      <c r="J42" s="1" t="s">
        <v>121</v>
      </c>
      <c r="K42" s="1" t="s">
        <v>122</v>
      </c>
      <c r="L42" s="3"/>
      <c r="M42" s="3"/>
      <c r="N42" s="3"/>
    </row>
    <row r="43" spans="1:14" x14ac:dyDescent="0.35">
      <c r="A43" s="4">
        <v>161</v>
      </c>
      <c r="B43" s="1">
        <v>1</v>
      </c>
      <c r="C43" s="8" t="s">
        <v>53</v>
      </c>
      <c r="D43" s="8" t="s">
        <v>54</v>
      </c>
      <c r="E43" s="8" t="s">
        <v>116</v>
      </c>
      <c r="F43" s="8" t="s">
        <v>108</v>
      </c>
      <c r="G43" s="8" t="s">
        <v>50</v>
      </c>
      <c r="H43" s="8"/>
      <c r="I43" s="8" t="s">
        <v>53</v>
      </c>
      <c r="J43" s="8" t="s">
        <v>110</v>
      </c>
      <c r="K43" s="8" t="s">
        <v>109</v>
      </c>
      <c r="L43" s="14"/>
      <c r="M43" s="14"/>
      <c r="N43" s="14"/>
    </row>
    <row r="44" spans="1:14" x14ac:dyDescent="0.35">
      <c r="A44" s="4">
        <v>160</v>
      </c>
      <c r="B44" s="1">
        <v>1</v>
      </c>
      <c r="C44" s="8" t="s">
        <v>53</v>
      </c>
      <c r="D44" s="8" t="s">
        <v>54</v>
      </c>
      <c r="E44" s="8" t="s">
        <v>116</v>
      </c>
      <c r="F44" s="8" t="s">
        <v>108</v>
      </c>
      <c r="G44" s="8" t="s">
        <v>50</v>
      </c>
      <c r="H44" s="8"/>
      <c r="I44" s="8" t="s">
        <v>53</v>
      </c>
      <c r="J44" s="8" t="s">
        <v>110</v>
      </c>
      <c r="K44" s="8" t="s">
        <v>109</v>
      </c>
      <c r="L44" s="14"/>
      <c r="M44" s="14"/>
      <c r="N44" s="14"/>
    </row>
    <row r="45" spans="1:14" x14ac:dyDescent="0.35">
      <c r="A45" s="4">
        <v>205</v>
      </c>
      <c r="B45" s="4">
        <v>1</v>
      </c>
      <c r="C45" s="8" t="s">
        <v>53</v>
      </c>
      <c r="D45" s="8" t="s">
        <v>54</v>
      </c>
      <c r="E45" s="8" t="s">
        <v>55</v>
      </c>
      <c r="F45" s="8" t="s">
        <v>56</v>
      </c>
      <c r="G45" s="8" t="s">
        <v>50</v>
      </c>
      <c r="H45" s="8"/>
      <c r="I45" s="8" t="s">
        <v>53</v>
      </c>
      <c r="J45" s="8" t="s">
        <v>49</v>
      </c>
      <c r="K45" s="9" t="s">
        <v>113</v>
      </c>
      <c r="L45" s="14"/>
      <c r="M45" s="14"/>
      <c r="N45" s="14"/>
    </row>
    <row r="46" spans="1:14" x14ac:dyDescent="0.35">
      <c r="A46" s="4">
        <v>206</v>
      </c>
      <c r="B46" s="4">
        <v>1</v>
      </c>
      <c r="C46" s="8" t="s">
        <v>53</v>
      </c>
      <c r="D46" s="8" t="s">
        <v>54</v>
      </c>
      <c r="E46" s="8" t="s">
        <v>55</v>
      </c>
      <c r="F46" s="8" t="s">
        <v>57</v>
      </c>
      <c r="G46" s="8" t="s">
        <v>50</v>
      </c>
      <c r="H46" s="8"/>
      <c r="I46" s="8" t="s">
        <v>53</v>
      </c>
      <c r="J46" s="8" t="s">
        <v>49</v>
      </c>
      <c r="K46" s="9" t="s">
        <v>113</v>
      </c>
      <c r="L46" s="14"/>
      <c r="M46" s="14"/>
      <c r="N46" s="14"/>
    </row>
    <row r="47" spans="1:14" x14ac:dyDescent="0.35">
      <c r="A47" s="1">
        <v>207</v>
      </c>
      <c r="B47" s="1">
        <v>1</v>
      </c>
      <c r="C47" s="8" t="s">
        <v>53</v>
      </c>
      <c r="D47" s="8" t="s">
        <v>54</v>
      </c>
      <c r="E47" s="8" t="s">
        <v>55</v>
      </c>
      <c r="F47" s="8" t="s">
        <v>86</v>
      </c>
      <c r="G47" s="8" t="s">
        <v>50</v>
      </c>
      <c r="H47" s="8"/>
      <c r="I47" s="8" t="s">
        <v>53</v>
      </c>
      <c r="J47" s="8" t="s">
        <v>49</v>
      </c>
      <c r="K47" s="9" t="s">
        <v>113</v>
      </c>
      <c r="L47" s="14"/>
      <c r="M47" s="14"/>
      <c r="N47" s="14"/>
    </row>
    <row r="48" spans="1:14" x14ac:dyDescent="0.35">
      <c r="A48" s="1">
        <v>208</v>
      </c>
      <c r="B48" s="1">
        <v>1</v>
      </c>
      <c r="C48" s="8" t="s">
        <v>53</v>
      </c>
      <c r="D48" s="8" t="s">
        <v>54</v>
      </c>
      <c r="E48" s="8" t="s">
        <v>55</v>
      </c>
      <c r="F48" s="8" t="s">
        <v>58</v>
      </c>
      <c r="G48" s="8" t="s">
        <v>50</v>
      </c>
      <c r="H48" s="8"/>
      <c r="I48" s="8" t="s">
        <v>53</v>
      </c>
      <c r="J48" s="8" t="s">
        <v>49</v>
      </c>
      <c r="K48" s="9" t="s">
        <v>113</v>
      </c>
      <c r="L48" s="14"/>
      <c r="M48" s="14"/>
      <c r="N48" s="14"/>
    </row>
    <row r="49" spans="1:14" x14ac:dyDescent="0.35">
      <c r="A49" s="1">
        <v>209</v>
      </c>
      <c r="B49" s="1">
        <v>1</v>
      </c>
      <c r="C49" s="8" t="s">
        <v>53</v>
      </c>
      <c r="D49" s="8" t="s">
        <v>54</v>
      </c>
      <c r="E49" s="8" t="s">
        <v>55</v>
      </c>
      <c r="F49" s="8" t="s">
        <v>87</v>
      </c>
      <c r="G49" s="8" t="s">
        <v>50</v>
      </c>
      <c r="H49" s="8"/>
      <c r="I49" s="8" t="s">
        <v>53</v>
      </c>
      <c r="J49" s="8" t="s">
        <v>49</v>
      </c>
      <c r="K49" s="9" t="s">
        <v>113</v>
      </c>
      <c r="L49" s="14"/>
      <c r="M49" s="14"/>
      <c r="N49" s="14"/>
    </row>
    <row r="50" spans="1:14" x14ac:dyDescent="0.35">
      <c r="A50" s="1">
        <v>210</v>
      </c>
      <c r="B50" s="1">
        <v>1</v>
      </c>
      <c r="C50" s="8" t="s">
        <v>53</v>
      </c>
      <c r="D50" s="8" t="s">
        <v>54</v>
      </c>
      <c r="E50" s="8" t="s">
        <v>55</v>
      </c>
      <c r="F50" s="8" t="s">
        <v>59</v>
      </c>
      <c r="G50" s="8" t="s">
        <v>50</v>
      </c>
      <c r="H50" s="8"/>
      <c r="I50" s="8" t="s">
        <v>53</v>
      </c>
      <c r="J50" s="8" t="s">
        <v>49</v>
      </c>
      <c r="K50" s="9" t="s">
        <v>113</v>
      </c>
      <c r="L50" s="14"/>
      <c r="M50" s="14"/>
      <c r="N50" s="14"/>
    </row>
    <row r="51" spans="1:14" x14ac:dyDescent="0.35">
      <c r="A51" s="1">
        <v>33</v>
      </c>
      <c r="B51" s="1">
        <v>1</v>
      </c>
      <c r="C51" s="8" t="s">
        <v>53</v>
      </c>
      <c r="D51" s="8" t="s">
        <v>51</v>
      </c>
      <c r="E51" s="8" t="s">
        <v>74</v>
      </c>
      <c r="F51" s="8" t="s">
        <v>75</v>
      </c>
      <c r="G51" s="8" t="s">
        <v>50</v>
      </c>
      <c r="H51" s="8"/>
      <c r="I51" s="8" t="s">
        <v>53</v>
      </c>
      <c r="J51" s="8" t="s">
        <v>70</v>
      </c>
      <c r="K51" s="9" t="s">
        <v>71</v>
      </c>
      <c r="L51" s="14"/>
      <c r="M51" s="14"/>
      <c r="N51" s="14"/>
    </row>
    <row r="52" spans="1:14" x14ac:dyDescent="0.35">
      <c r="A52" s="1">
        <v>3</v>
      </c>
      <c r="B52" s="1">
        <v>1</v>
      </c>
      <c r="C52" s="8" t="s">
        <v>53</v>
      </c>
      <c r="D52" s="8" t="s">
        <v>51</v>
      </c>
      <c r="E52" s="8" t="s">
        <v>74</v>
      </c>
      <c r="F52" s="8" t="s">
        <v>76</v>
      </c>
      <c r="G52" s="8" t="s">
        <v>50</v>
      </c>
      <c r="H52" s="8"/>
      <c r="I52" s="8" t="s">
        <v>53</v>
      </c>
      <c r="J52" s="8" t="s">
        <v>70</v>
      </c>
      <c r="K52" s="9" t="s">
        <v>71</v>
      </c>
      <c r="L52" s="14"/>
      <c r="M52" s="14"/>
      <c r="N52" s="14"/>
    </row>
    <row r="53" spans="1:14" x14ac:dyDescent="0.35">
      <c r="A53" s="1">
        <v>35</v>
      </c>
      <c r="B53" s="1">
        <v>21</v>
      </c>
      <c r="C53" s="8" t="s">
        <v>53</v>
      </c>
      <c r="D53" s="8" t="s">
        <v>66</v>
      </c>
      <c r="E53" s="8" t="s">
        <v>67</v>
      </c>
      <c r="F53" s="8" t="s">
        <v>111</v>
      </c>
      <c r="G53" s="8" t="s">
        <v>50</v>
      </c>
      <c r="H53" s="8"/>
      <c r="I53" s="8" t="s">
        <v>53</v>
      </c>
      <c r="J53" s="8" t="s">
        <v>66</v>
      </c>
      <c r="K53" s="8" t="s">
        <v>114</v>
      </c>
      <c r="L53" s="14"/>
      <c r="M53" s="14"/>
      <c r="N53" s="14"/>
    </row>
    <row r="54" spans="1:14" x14ac:dyDescent="0.35">
      <c r="A54" s="1">
        <v>36</v>
      </c>
      <c r="B54" s="1">
        <v>21</v>
      </c>
      <c r="C54" s="8" t="s">
        <v>53</v>
      </c>
      <c r="D54" s="8" t="s">
        <v>66</v>
      </c>
      <c r="E54" s="8" t="s">
        <v>67</v>
      </c>
      <c r="F54" s="8" t="s">
        <v>68</v>
      </c>
      <c r="G54" s="8" t="s">
        <v>50</v>
      </c>
      <c r="H54" s="8"/>
      <c r="I54" s="8" t="s">
        <v>53</v>
      </c>
      <c r="J54" s="8" t="s">
        <v>66</v>
      </c>
      <c r="K54" s="8" t="s">
        <v>114</v>
      </c>
      <c r="L54" s="14"/>
      <c r="M54" s="14"/>
      <c r="N54" s="14"/>
    </row>
    <row r="55" spans="1:14" x14ac:dyDescent="0.35">
      <c r="A55" s="1">
        <v>55</v>
      </c>
      <c r="B55" s="1">
        <v>1</v>
      </c>
      <c r="C55" s="8" t="s">
        <v>53</v>
      </c>
      <c r="D55" s="8" t="s">
        <v>51</v>
      </c>
      <c r="E55" s="8" t="s">
        <v>73</v>
      </c>
      <c r="F55" s="8" t="s">
        <v>77</v>
      </c>
      <c r="G55" s="8" t="s">
        <v>69</v>
      </c>
      <c r="H55" s="8"/>
      <c r="I55" s="8" t="s">
        <v>53</v>
      </c>
      <c r="J55" s="8" t="s">
        <v>70</v>
      </c>
      <c r="K55" s="9" t="s">
        <v>71</v>
      </c>
      <c r="L55" s="14"/>
      <c r="M55" s="14"/>
      <c r="N55" s="14"/>
    </row>
    <row r="56" spans="1:14" x14ac:dyDescent="0.35">
      <c r="A56" s="1">
        <v>5</v>
      </c>
      <c r="B56" s="1">
        <v>1</v>
      </c>
      <c r="C56" s="8" t="s">
        <v>53</v>
      </c>
      <c r="D56" s="8" t="s">
        <v>51</v>
      </c>
      <c r="E56" s="8" t="s">
        <v>73</v>
      </c>
      <c r="F56" s="8" t="s">
        <v>78</v>
      </c>
      <c r="G56" s="8" t="s">
        <v>69</v>
      </c>
      <c r="H56" s="8"/>
      <c r="I56" s="8" t="s">
        <v>53</v>
      </c>
      <c r="J56" s="8" t="s">
        <v>70</v>
      </c>
      <c r="K56" s="9" t="s">
        <v>71</v>
      </c>
      <c r="L56" s="14"/>
      <c r="M56" s="14"/>
      <c r="N56" s="14"/>
    </row>
    <row r="57" spans="1:14" x14ac:dyDescent="0.35">
      <c r="A57" s="1" t="s">
        <v>80</v>
      </c>
      <c r="B57" s="1">
        <v>21</v>
      </c>
      <c r="C57" s="8" t="s">
        <v>53</v>
      </c>
      <c r="D57" s="8" t="s">
        <v>81</v>
      </c>
      <c r="E57" s="8" t="s">
        <v>82</v>
      </c>
      <c r="F57" s="8" t="s">
        <v>65</v>
      </c>
      <c r="G57" s="8" t="s">
        <v>50</v>
      </c>
      <c r="H57" s="8"/>
      <c r="I57" s="8" t="s">
        <v>52</v>
      </c>
      <c r="J57" s="8" t="s">
        <v>52</v>
      </c>
      <c r="K57" s="9" t="s">
        <v>52</v>
      </c>
      <c r="L57" s="14"/>
      <c r="M57" s="14"/>
      <c r="N57" s="14"/>
    </row>
    <row r="58" spans="1:14" x14ac:dyDescent="0.35">
      <c r="A58" s="1" t="s">
        <v>79</v>
      </c>
      <c r="B58" s="1">
        <v>21</v>
      </c>
      <c r="C58" s="8" t="s">
        <v>53</v>
      </c>
      <c r="D58" s="8" t="s">
        <v>81</v>
      </c>
      <c r="E58" s="8" t="s">
        <v>82</v>
      </c>
      <c r="F58" s="8" t="s">
        <v>65</v>
      </c>
      <c r="G58" s="8" t="s">
        <v>50</v>
      </c>
      <c r="H58" s="8"/>
      <c r="I58" s="8" t="s">
        <v>52</v>
      </c>
      <c r="J58" s="8" t="s">
        <v>52</v>
      </c>
      <c r="K58" s="9" t="s">
        <v>52</v>
      </c>
      <c r="L58" s="14"/>
      <c r="M58" s="14"/>
      <c r="N58" s="14"/>
    </row>
    <row r="59" spans="1:14" x14ac:dyDescent="0.35">
      <c r="A59" s="1" t="s">
        <v>52</v>
      </c>
      <c r="B59" s="1" t="s">
        <v>52</v>
      </c>
      <c r="C59" s="8" t="s">
        <v>52</v>
      </c>
      <c r="D59" s="8" t="s">
        <v>52</v>
      </c>
      <c r="E59" s="8" t="s">
        <v>52</v>
      </c>
      <c r="F59" s="8" t="s">
        <v>52</v>
      </c>
      <c r="G59" s="8" t="s">
        <v>52</v>
      </c>
      <c r="H59" s="8"/>
      <c r="I59" s="8" t="s">
        <v>52</v>
      </c>
      <c r="J59" s="8" t="s">
        <v>52</v>
      </c>
      <c r="K59" s="9" t="s">
        <v>52</v>
      </c>
      <c r="L59" s="14"/>
      <c r="M59" s="14"/>
      <c r="N59" s="14"/>
    </row>
    <row r="60" spans="1:14" x14ac:dyDescent="0.35">
      <c r="A60" s="1">
        <v>95</v>
      </c>
      <c r="B60" s="1">
        <v>1</v>
      </c>
      <c r="C60" s="8" t="s">
        <v>52</v>
      </c>
      <c r="D60" s="8" t="s">
        <v>52</v>
      </c>
      <c r="E60" s="8" t="s">
        <v>52</v>
      </c>
      <c r="F60" s="8" t="s">
        <v>65</v>
      </c>
      <c r="G60" s="8" t="s">
        <v>50</v>
      </c>
      <c r="H60" s="8"/>
      <c r="I60" s="8" t="s">
        <v>52</v>
      </c>
      <c r="J60" s="8" t="s">
        <v>52</v>
      </c>
      <c r="K60" s="9" t="s">
        <v>52</v>
      </c>
      <c r="L60" s="14"/>
      <c r="M60" s="14"/>
      <c r="N60" s="14"/>
    </row>
  </sheetData>
  <sheetProtection algorithmName="SHA-512" hashValue="iYJq+6pXh5j9tuyMDn0K1RTH2pkrE8WB6X3RfCkK5xsLMVT9F2UXu0mynd4a2GgGZhvy51UL+/k6GICTUt2lGQ==" saltValue="VNNr2TJAJgIiIBADHYMltw==" spinCount="100000" sheet="1" objects="1" scenarios="1"/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DCE2C9-622F-49C3-9BD8-747F994CC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Monday</vt:lpstr>
      <vt:lpstr>Tuesday</vt:lpstr>
      <vt:lpstr>Wednesday</vt:lpstr>
      <vt:lpstr>Thursday</vt:lpstr>
      <vt:lpstr>Friday</vt:lpstr>
      <vt:lpstr>Saturday</vt:lpstr>
      <vt:lpstr>ScheduleMasterRef</vt:lpstr>
      <vt:lpstr>MasterTimeRef</vt:lpstr>
      <vt:lpstr>MasterJobRef</vt:lpstr>
      <vt:lpstr>Friday!Print_Area</vt:lpstr>
      <vt:lpstr>Monday!Print_Area</vt:lpstr>
      <vt:lpstr>Saturday!Print_Area</vt:lpstr>
      <vt:lpstr>Thursday!Print_Area</vt:lpstr>
      <vt:lpstr>Tuesday!Print_Area</vt:lpstr>
      <vt:lpstr>Wednesday!Print_Area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Megan Moore</cp:lastModifiedBy>
  <cp:lastPrinted>2024-01-07T16:03:32Z</cp:lastPrinted>
  <dcterms:created xsi:type="dcterms:W3CDTF">2020-07-15T09:22:27Z</dcterms:created>
  <dcterms:modified xsi:type="dcterms:W3CDTF">2024-01-07T16:06:42Z</dcterms:modified>
</cp:coreProperties>
</file>