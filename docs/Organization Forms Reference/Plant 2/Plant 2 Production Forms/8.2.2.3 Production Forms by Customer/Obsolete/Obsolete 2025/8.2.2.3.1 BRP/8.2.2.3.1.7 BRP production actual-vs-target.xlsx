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1 BRP\"/>
    </mc:Choice>
  </mc:AlternateContent>
  <xr:revisionPtr revIDLastSave="0" documentId="13_ncr:1_{9FC3848B-C0B8-40A9-ABAF-5A00A3874623}" xr6:coauthVersionLast="47" xr6:coauthVersionMax="47" xr10:uidLastSave="{00000000-0000-0000-0000-000000000000}"/>
  <bookViews>
    <workbookView xWindow="-110" yWindow="-110" windowWidth="38620" windowHeight="21100" activeTab="2" xr2:uid="{39EF48CB-102F-44D1-BE30-8106C9AC3EFC}"/>
  </bookViews>
  <sheets>
    <sheet name="instructions" sheetId="2" r:id="rId1"/>
    <sheet name="Template" sheetId="1" r:id="rId2"/>
    <sheet name="2024-12-30" sheetId="3" r:id="rId3"/>
  </sheets>
  <externalReferences>
    <externalReference r:id="rId4"/>
  </externalReferences>
  <definedNames>
    <definedName name="_xlnm._FilterDatabase" localSheetId="2" hidden="1">'2024-12-30'!$A$7:$M$85</definedName>
    <definedName name="_xlnm._FilterDatabase" localSheetId="1" hidden="1">Template!$A$7:$M$85</definedName>
    <definedName name="_xlnm.Print_Titles" localSheetId="2">'2024-12-30'!$1:$7</definedName>
    <definedName name="_xlnm.Print_Titles" localSheetId="1">Template!$1:$7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22" i="3"/>
  <c r="K85" i="3"/>
  <c r="D85" i="3"/>
  <c r="L85" i="3" s="1"/>
  <c r="M85" i="3" s="1"/>
  <c r="K84" i="3"/>
  <c r="D84" i="3"/>
  <c r="L84" i="3" s="1"/>
  <c r="M84" i="3" s="1"/>
  <c r="K83" i="3"/>
  <c r="D83" i="3"/>
  <c r="L83" i="3" s="1"/>
  <c r="M83" i="3" s="1"/>
  <c r="K82" i="3"/>
  <c r="D82" i="3"/>
  <c r="L82" i="3" s="1"/>
  <c r="M82" i="3" s="1"/>
  <c r="K81" i="3"/>
  <c r="D81" i="3"/>
  <c r="L81" i="3" s="1"/>
  <c r="M81" i="3" s="1"/>
  <c r="K80" i="3"/>
  <c r="D80" i="3"/>
  <c r="L80" i="3" s="1"/>
  <c r="M80" i="3" s="1"/>
  <c r="K79" i="3"/>
  <c r="D79" i="3"/>
  <c r="L79" i="3" s="1"/>
  <c r="M79" i="3" s="1"/>
  <c r="K78" i="3"/>
  <c r="D78" i="3"/>
  <c r="L78" i="3" s="1"/>
  <c r="M78" i="3" s="1"/>
  <c r="K77" i="3"/>
  <c r="D77" i="3"/>
  <c r="L77" i="3" s="1"/>
  <c r="M77" i="3" s="1"/>
  <c r="K76" i="3"/>
  <c r="D76" i="3"/>
  <c r="L76" i="3" s="1"/>
  <c r="M76" i="3" s="1"/>
  <c r="K75" i="3"/>
  <c r="D75" i="3"/>
  <c r="L75" i="3" s="1"/>
  <c r="M75" i="3" s="1"/>
  <c r="K74" i="3"/>
  <c r="D74" i="3"/>
  <c r="L74" i="3" s="1"/>
  <c r="M74" i="3" s="1"/>
  <c r="K73" i="3"/>
  <c r="D73" i="3"/>
  <c r="L73" i="3" s="1"/>
  <c r="M73" i="3" s="1"/>
  <c r="K72" i="3"/>
  <c r="D72" i="3"/>
  <c r="L72" i="3" s="1"/>
  <c r="M72" i="3" s="1"/>
  <c r="K71" i="3"/>
  <c r="D71" i="3"/>
  <c r="L71" i="3" s="1"/>
  <c r="M71" i="3" s="1"/>
  <c r="K70" i="3"/>
  <c r="D70" i="3"/>
  <c r="K69" i="3"/>
  <c r="D69" i="3"/>
  <c r="L69" i="3" s="1"/>
  <c r="M69" i="3" s="1"/>
  <c r="K68" i="3"/>
  <c r="D68" i="3"/>
  <c r="K67" i="3"/>
  <c r="D67" i="3"/>
  <c r="L67" i="3" s="1"/>
  <c r="M67" i="3" s="1"/>
  <c r="K66" i="3"/>
  <c r="D66" i="3"/>
  <c r="K65" i="3"/>
  <c r="D65" i="3"/>
  <c r="K64" i="3"/>
  <c r="D64" i="3"/>
  <c r="K63" i="3"/>
  <c r="D63" i="3"/>
  <c r="K62" i="3"/>
  <c r="D62" i="3"/>
  <c r="L62" i="3" s="1"/>
  <c r="M62" i="3" s="1"/>
  <c r="K61" i="3"/>
  <c r="D61" i="3"/>
  <c r="L61" i="3" s="1"/>
  <c r="M61" i="3" s="1"/>
  <c r="K60" i="3"/>
  <c r="D60" i="3"/>
  <c r="L60" i="3" s="1"/>
  <c r="M60" i="3" s="1"/>
  <c r="K59" i="3"/>
  <c r="D59" i="3"/>
  <c r="L59" i="3" s="1"/>
  <c r="M59" i="3" s="1"/>
  <c r="K58" i="3"/>
  <c r="D58" i="3"/>
  <c r="L58" i="3" s="1"/>
  <c r="M58" i="3" s="1"/>
  <c r="K57" i="3"/>
  <c r="D57" i="3"/>
  <c r="L57" i="3" s="1"/>
  <c r="M57" i="3" s="1"/>
  <c r="K56" i="3"/>
  <c r="D56" i="3"/>
  <c r="L56" i="3" s="1"/>
  <c r="M56" i="3" s="1"/>
  <c r="K55" i="3"/>
  <c r="D55" i="3"/>
  <c r="L55" i="3" s="1"/>
  <c r="M55" i="3" s="1"/>
  <c r="K54" i="3"/>
  <c r="D54" i="3"/>
  <c r="L54" i="3" s="1"/>
  <c r="M54" i="3" s="1"/>
  <c r="K53" i="3"/>
  <c r="D53" i="3"/>
  <c r="K52" i="3"/>
  <c r="D52" i="3"/>
  <c r="L52" i="3" s="1"/>
  <c r="M52" i="3" s="1"/>
  <c r="K51" i="3"/>
  <c r="D51" i="3"/>
  <c r="L51" i="3" s="1"/>
  <c r="M51" i="3" s="1"/>
  <c r="K50" i="3"/>
  <c r="D50" i="3"/>
  <c r="L50" i="3" s="1"/>
  <c r="M50" i="3" s="1"/>
  <c r="K49" i="3"/>
  <c r="D49" i="3"/>
  <c r="L49" i="3" s="1"/>
  <c r="M49" i="3" s="1"/>
  <c r="K48" i="3"/>
  <c r="D48" i="3"/>
  <c r="L48" i="3" s="1"/>
  <c r="M48" i="3" s="1"/>
  <c r="K47" i="3"/>
  <c r="D47" i="3"/>
  <c r="L47" i="3" s="1"/>
  <c r="M47" i="3" s="1"/>
  <c r="K46" i="3"/>
  <c r="D46" i="3"/>
  <c r="L46" i="3" s="1"/>
  <c r="M46" i="3" s="1"/>
  <c r="K45" i="3"/>
  <c r="D45" i="3"/>
  <c r="L45" i="3" s="1"/>
  <c r="M45" i="3" s="1"/>
  <c r="K44" i="3"/>
  <c r="D44" i="3"/>
  <c r="K43" i="3"/>
  <c r="D43" i="3"/>
  <c r="L43" i="3" s="1"/>
  <c r="M43" i="3" s="1"/>
  <c r="K42" i="3"/>
  <c r="D42" i="3"/>
  <c r="L42" i="3" s="1"/>
  <c r="M42" i="3" s="1"/>
  <c r="K41" i="3"/>
  <c r="D41" i="3"/>
  <c r="L41" i="3" s="1"/>
  <c r="M41" i="3" s="1"/>
  <c r="K40" i="3"/>
  <c r="D40" i="3"/>
  <c r="L40" i="3" s="1"/>
  <c r="M40" i="3" s="1"/>
  <c r="K39" i="3"/>
  <c r="D39" i="3"/>
  <c r="L39" i="3" s="1"/>
  <c r="M39" i="3" s="1"/>
  <c r="K38" i="3"/>
  <c r="D38" i="3"/>
  <c r="L38" i="3" s="1"/>
  <c r="M38" i="3" s="1"/>
  <c r="K37" i="3"/>
  <c r="D37" i="3"/>
  <c r="L37" i="3" s="1"/>
  <c r="M37" i="3" s="1"/>
  <c r="K36" i="3"/>
  <c r="D36" i="3"/>
  <c r="L36" i="3" s="1"/>
  <c r="M36" i="3" s="1"/>
  <c r="K35" i="3"/>
  <c r="D35" i="3"/>
  <c r="K34" i="3"/>
  <c r="D34" i="3"/>
  <c r="K33" i="3"/>
  <c r="D33" i="3"/>
  <c r="K32" i="3"/>
  <c r="D32" i="3"/>
  <c r="K31" i="3"/>
  <c r="D31" i="3"/>
  <c r="K30" i="3"/>
  <c r="D30" i="3"/>
  <c r="L30" i="3" s="1"/>
  <c r="M30" i="3" s="1"/>
  <c r="K29" i="3"/>
  <c r="D29" i="3"/>
  <c r="K28" i="3"/>
  <c r="D28" i="3"/>
  <c r="K27" i="3"/>
  <c r="D27" i="3"/>
  <c r="K26" i="3"/>
  <c r="D26" i="3"/>
  <c r="K25" i="3"/>
  <c r="D25" i="3"/>
  <c r="L25" i="3" s="1"/>
  <c r="M25" i="3" s="1"/>
  <c r="K24" i="3"/>
  <c r="D24" i="3"/>
  <c r="L24" i="3" s="1"/>
  <c r="M24" i="3" s="1"/>
  <c r="K23" i="3"/>
  <c r="D23" i="3"/>
  <c r="K22" i="3"/>
  <c r="D22" i="3"/>
  <c r="K21" i="3"/>
  <c r="D21" i="3"/>
  <c r="L21" i="3" s="1"/>
  <c r="M21" i="3" s="1"/>
  <c r="K20" i="3"/>
  <c r="D20" i="3"/>
  <c r="L20" i="3" s="1"/>
  <c r="M20" i="3" s="1"/>
  <c r="K19" i="3"/>
  <c r="D19" i="3"/>
  <c r="L19" i="3" s="1"/>
  <c r="M19" i="3" s="1"/>
  <c r="K18" i="3"/>
  <c r="D18" i="3"/>
  <c r="L18" i="3" s="1"/>
  <c r="M18" i="3" s="1"/>
  <c r="K17" i="3"/>
  <c r="D17" i="3"/>
  <c r="K16" i="3"/>
  <c r="D16" i="3"/>
  <c r="L16" i="3" s="1"/>
  <c r="M16" i="3" s="1"/>
  <c r="K15" i="3"/>
  <c r="D15" i="3"/>
  <c r="K14" i="3"/>
  <c r="D14" i="3"/>
  <c r="K13" i="3"/>
  <c r="D13" i="3"/>
  <c r="L13" i="3" s="1"/>
  <c r="M13" i="3" s="1"/>
  <c r="K12" i="3"/>
  <c r="D12" i="3"/>
  <c r="L12" i="3" s="1"/>
  <c r="M12" i="3" s="1"/>
  <c r="K11" i="3"/>
  <c r="D11" i="3"/>
  <c r="K10" i="3"/>
  <c r="D10" i="3"/>
  <c r="L10" i="3" s="1"/>
  <c r="M10" i="3" s="1"/>
  <c r="K9" i="3"/>
  <c r="D9" i="3"/>
  <c r="L9" i="3" s="1"/>
  <c r="M9" i="3" s="1"/>
  <c r="K8" i="3"/>
  <c r="D8" i="3"/>
  <c r="L8" i="3" s="1"/>
  <c r="M8" i="3" s="1"/>
  <c r="E7" i="3"/>
  <c r="F7" i="3" s="1"/>
  <c r="F6" i="3" s="1"/>
  <c r="E6" i="3"/>
  <c r="J4" i="3"/>
  <c r="I4" i="3"/>
  <c r="H4" i="3"/>
  <c r="G4" i="3"/>
  <c r="F4" i="3"/>
  <c r="E4" i="3"/>
  <c r="F4" i="1"/>
  <c r="G4" i="1"/>
  <c r="H4" i="1"/>
  <c r="I4" i="1"/>
  <c r="J4" i="1"/>
  <c r="L22" i="3" l="1"/>
  <c r="M22" i="3" s="1"/>
  <c r="L23" i="3"/>
  <c r="M23" i="3" s="1"/>
  <c r="L68" i="3"/>
  <c r="M68" i="3" s="1"/>
  <c r="L70" i="3"/>
  <c r="M70" i="3" s="1"/>
  <c r="L66" i="3"/>
  <c r="M66" i="3" s="1"/>
  <c r="L64" i="3"/>
  <c r="M64" i="3" s="1"/>
  <c r="L63" i="3"/>
  <c r="M63" i="3" s="1"/>
  <c r="L11" i="3"/>
  <c r="M11" i="3" s="1"/>
  <c r="L33" i="3"/>
  <c r="M33" i="3" s="1"/>
  <c r="L28" i="3"/>
  <c r="M28" i="3" s="1"/>
  <c r="L27" i="3"/>
  <c r="M27" i="3" s="1"/>
  <c r="L26" i="3"/>
  <c r="M26" i="3" s="1"/>
  <c r="L35" i="3"/>
  <c r="M35" i="3" s="1"/>
  <c r="L34" i="3"/>
  <c r="M34" i="3" s="1"/>
  <c r="L32" i="3"/>
  <c r="M32" i="3" s="1"/>
  <c r="L31" i="3"/>
  <c r="M31" i="3" s="1"/>
  <c r="L14" i="3"/>
  <c r="M14" i="3" s="1"/>
  <c r="L44" i="3"/>
  <c r="M44" i="3" s="1"/>
  <c r="L17" i="3"/>
  <c r="M17" i="3" s="1"/>
  <c r="L29" i="3"/>
  <c r="M29" i="3" s="1"/>
  <c r="L53" i="3"/>
  <c r="M53" i="3" s="1"/>
  <c r="L65" i="3"/>
  <c r="M65" i="3" s="1"/>
  <c r="L15" i="3"/>
  <c r="M15" i="3" s="1"/>
  <c r="K6" i="3"/>
  <c r="G7" i="3"/>
  <c r="D6" i="3"/>
  <c r="E5" i="3" s="1"/>
  <c r="F5" i="3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" i="1"/>
  <c r="M6" i="3" l="1"/>
  <c r="L6" i="3"/>
  <c r="F2" i="3"/>
  <c r="E2" i="3"/>
  <c r="E3" i="3" s="1"/>
  <c r="G5" i="3"/>
  <c r="H5" i="3" s="1"/>
  <c r="I5" i="3" s="1"/>
  <c r="J5" i="3" s="1"/>
  <c r="I2" i="3"/>
  <c r="H2" i="3"/>
  <c r="J2" i="3"/>
  <c r="G6" i="3"/>
  <c r="H7" i="3"/>
  <c r="K6" i="1"/>
  <c r="F3" i="3" l="1"/>
  <c r="G3" i="3" s="1"/>
  <c r="I7" i="3"/>
  <c r="H6" i="3"/>
  <c r="H3" i="3"/>
  <c r="I3" i="3" s="1"/>
  <c r="J7" i="3" l="1"/>
  <c r="J6" i="3" s="1"/>
  <c r="I6" i="3"/>
  <c r="E7" i="1" l="1"/>
  <c r="E4" i="1"/>
  <c r="D72" i="1"/>
  <c r="L72" i="1" s="1"/>
  <c r="M72" i="1" s="1"/>
  <c r="D73" i="1"/>
  <c r="L73" i="1" s="1"/>
  <c r="M73" i="1" s="1"/>
  <c r="D74" i="1"/>
  <c r="L74" i="1" s="1"/>
  <c r="M74" i="1" s="1"/>
  <c r="D75" i="1"/>
  <c r="L75" i="1" s="1"/>
  <c r="M75" i="1" s="1"/>
  <c r="D76" i="1"/>
  <c r="L76" i="1" s="1"/>
  <c r="M76" i="1" s="1"/>
  <c r="D77" i="1"/>
  <c r="L77" i="1" s="1"/>
  <c r="M77" i="1" s="1"/>
  <c r="D78" i="1"/>
  <c r="L78" i="1" s="1"/>
  <c r="M78" i="1" s="1"/>
  <c r="D79" i="1"/>
  <c r="L79" i="1" s="1"/>
  <c r="M79" i="1" s="1"/>
  <c r="D80" i="1"/>
  <c r="L80" i="1" s="1"/>
  <c r="M80" i="1" s="1"/>
  <c r="D81" i="1"/>
  <c r="L81" i="1" s="1"/>
  <c r="M81" i="1" s="1"/>
  <c r="D82" i="1"/>
  <c r="L82" i="1" s="1"/>
  <c r="M82" i="1" s="1"/>
  <c r="D83" i="1"/>
  <c r="L83" i="1" s="1"/>
  <c r="M83" i="1" s="1"/>
  <c r="D84" i="1"/>
  <c r="L84" i="1" s="1"/>
  <c r="M84" i="1" s="1"/>
  <c r="D85" i="1"/>
  <c r="L85" i="1" s="1"/>
  <c r="M85" i="1" s="1"/>
  <c r="D42" i="1"/>
  <c r="L42" i="1" s="1"/>
  <c r="M42" i="1" s="1"/>
  <c r="D43" i="1"/>
  <c r="L43" i="1" s="1"/>
  <c r="M43" i="1" s="1"/>
  <c r="D44" i="1"/>
  <c r="L44" i="1" s="1"/>
  <c r="M44" i="1" s="1"/>
  <c r="D45" i="1"/>
  <c r="L45" i="1" s="1"/>
  <c r="M45" i="1" s="1"/>
  <c r="D46" i="1"/>
  <c r="L46" i="1" s="1"/>
  <c r="M46" i="1" s="1"/>
  <c r="D47" i="1"/>
  <c r="L47" i="1" s="1"/>
  <c r="M47" i="1" s="1"/>
  <c r="D48" i="1"/>
  <c r="L48" i="1" s="1"/>
  <c r="M48" i="1" s="1"/>
  <c r="D49" i="1"/>
  <c r="L49" i="1" s="1"/>
  <c r="M49" i="1" s="1"/>
  <c r="D50" i="1"/>
  <c r="L50" i="1" s="1"/>
  <c r="M50" i="1" s="1"/>
  <c r="D51" i="1"/>
  <c r="L51" i="1" s="1"/>
  <c r="M51" i="1" s="1"/>
  <c r="D52" i="1"/>
  <c r="L52" i="1" s="1"/>
  <c r="M52" i="1" s="1"/>
  <c r="D53" i="1"/>
  <c r="L53" i="1" s="1"/>
  <c r="M53" i="1" s="1"/>
  <c r="D54" i="1"/>
  <c r="L54" i="1" s="1"/>
  <c r="M54" i="1" s="1"/>
  <c r="D55" i="1"/>
  <c r="L55" i="1" s="1"/>
  <c r="M55" i="1" s="1"/>
  <c r="D56" i="1"/>
  <c r="L56" i="1" s="1"/>
  <c r="M56" i="1" s="1"/>
  <c r="D57" i="1"/>
  <c r="L57" i="1" s="1"/>
  <c r="M57" i="1" s="1"/>
  <c r="D58" i="1"/>
  <c r="L58" i="1" s="1"/>
  <c r="M58" i="1" s="1"/>
  <c r="D59" i="1"/>
  <c r="L59" i="1" s="1"/>
  <c r="M59" i="1" s="1"/>
  <c r="D60" i="1"/>
  <c r="L60" i="1" s="1"/>
  <c r="M60" i="1" s="1"/>
  <c r="D61" i="1"/>
  <c r="L61" i="1" s="1"/>
  <c r="M61" i="1" s="1"/>
  <c r="D62" i="1"/>
  <c r="L62" i="1" s="1"/>
  <c r="M62" i="1" s="1"/>
  <c r="D63" i="1"/>
  <c r="L63" i="1" s="1"/>
  <c r="M63" i="1" s="1"/>
  <c r="D64" i="1"/>
  <c r="L64" i="1" s="1"/>
  <c r="M64" i="1" s="1"/>
  <c r="D65" i="1"/>
  <c r="L65" i="1" s="1"/>
  <c r="M65" i="1" s="1"/>
  <c r="D66" i="1"/>
  <c r="L66" i="1" s="1"/>
  <c r="M66" i="1" s="1"/>
  <c r="D67" i="1"/>
  <c r="L67" i="1" s="1"/>
  <c r="M67" i="1" s="1"/>
  <c r="D68" i="1"/>
  <c r="L68" i="1" s="1"/>
  <c r="M68" i="1" s="1"/>
  <c r="D69" i="1"/>
  <c r="L69" i="1" s="1"/>
  <c r="M69" i="1" s="1"/>
  <c r="D70" i="1"/>
  <c r="L70" i="1" s="1"/>
  <c r="M70" i="1" s="1"/>
  <c r="D71" i="1"/>
  <c r="L71" i="1" s="1"/>
  <c r="M71" i="1" s="1"/>
  <c r="D27" i="1"/>
  <c r="L27" i="1" s="1"/>
  <c r="M27" i="1" s="1"/>
  <c r="D28" i="1"/>
  <c r="L28" i="1" s="1"/>
  <c r="M28" i="1" s="1"/>
  <c r="D29" i="1"/>
  <c r="L29" i="1" s="1"/>
  <c r="M29" i="1" s="1"/>
  <c r="D30" i="1"/>
  <c r="L30" i="1" s="1"/>
  <c r="M30" i="1" s="1"/>
  <c r="D31" i="1"/>
  <c r="L31" i="1" s="1"/>
  <c r="M31" i="1" s="1"/>
  <c r="D32" i="1"/>
  <c r="L32" i="1" s="1"/>
  <c r="M32" i="1" s="1"/>
  <c r="D33" i="1"/>
  <c r="L33" i="1" s="1"/>
  <c r="M33" i="1" s="1"/>
  <c r="D34" i="1"/>
  <c r="L34" i="1" s="1"/>
  <c r="M34" i="1" s="1"/>
  <c r="D35" i="1"/>
  <c r="L35" i="1" s="1"/>
  <c r="M35" i="1" s="1"/>
  <c r="D36" i="1"/>
  <c r="L36" i="1" s="1"/>
  <c r="M36" i="1" s="1"/>
  <c r="D37" i="1"/>
  <c r="L37" i="1" s="1"/>
  <c r="M37" i="1" s="1"/>
  <c r="D38" i="1"/>
  <c r="L38" i="1" s="1"/>
  <c r="M38" i="1" s="1"/>
  <c r="D39" i="1"/>
  <c r="L39" i="1" s="1"/>
  <c r="M39" i="1" s="1"/>
  <c r="D40" i="1"/>
  <c r="L40" i="1" s="1"/>
  <c r="M40" i="1" s="1"/>
  <c r="D41" i="1"/>
  <c r="L41" i="1" s="1"/>
  <c r="M41" i="1" s="1"/>
  <c r="D9" i="1"/>
  <c r="L9" i="1" s="1"/>
  <c r="M9" i="1" s="1"/>
  <c r="D10" i="1"/>
  <c r="L10" i="1" s="1"/>
  <c r="M10" i="1" s="1"/>
  <c r="D11" i="1"/>
  <c r="L11" i="1" s="1"/>
  <c r="M11" i="1" s="1"/>
  <c r="D12" i="1"/>
  <c r="L12" i="1" s="1"/>
  <c r="M12" i="1" s="1"/>
  <c r="D13" i="1"/>
  <c r="L13" i="1" s="1"/>
  <c r="M13" i="1" s="1"/>
  <c r="D14" i="1"/>
  <c r="L14" i="1" s="1"/>
  <c r="M14" i="1" s="1"/>
  <c r="D15" i="1"/>
  <c r="L15" i="1" s="1"/>
  <c r="M15" i="1" s="1"/>
  <c r="D16" i="1"/>
  <c r="L16" i="1" s="1"/>
  <c r="M16" i="1" s="1"/>
  <c r="D17" i="1"/>
  <c r="L17" i="1" s="1"/>
  <c r="M17" i="1" s="1"/>
  <c r="D18" i="1"/>
  <c r="L18" i="1" s="1"/>
  <c r="M18" i="1" s="1"/>
  <c r="D19" i="1"/>
  <c r="L19" i="1" s="1"/>
  <c r="M19" i="1" s="1"/>
  <c r="D20" i="1"/>
  <c r="L20" i="1" s="1"/>
  <c r="M20" i="1" s="1"/>
  <c r="D21" i="1"/>
  <c r="L21" i="1" s="1"/>
  <c r="M21" i="1" s="1"/>
  <c r="D22" i="1"/>
  <c r="L22" i="1" s="1"/>
  <c r="M22" i="1" s="1"/>
  <c r="D23" i="1"/>
  <c r="L23" i="1" s="1"/>
  <c r="M23" i="1" s="1"/>
  <c r="D24" i="1"/>
  <c r="L24" i="1" s="1"/>
  <c r="M24" i="1" s="1"/>
  <c r="D25" i="1"/>
  <c r="L25" i="1" s="1"/>
  <c r="M25" i="1" s="1"/>
  <c r="D26" i="1"/>
  <c r="L26" i="1" s="1"/>
  <c r="M26" i="1" s="1"/>
  <c r="D8" i="1"/>
  <c r="L8" i="1" s="1"/>
  <c r="M8" i="1" s="1"/>
  <c r="M6" i="1" l="1"/>
  <c r="L6" i="1"/>
  <c r="F7" i="1"/>
  <c r="G7" i="1" s="1"/>
  <c r="H7" i="1" s="1"/>
  <c r="E6" i="1"/>
  <c r="D6" i="1"/>
  <c r="E5" i="1" l="1"/>
  <c r="F5" i="1" s="1"/>
  <c r="G5" i="1" s="1"/>
  <c r="H5" i="1" s="1"/>
  <c r="I5" i="1" s="1"/>
  <c r="J5" i="1" s="1"/>
  <c r="F6" i="1"/>
  <c r="F2" i="1"/>
  <c r="H2" i="1"/>
  <c r="I2" i="1"/>
  <c r="J2" i="1"/>
  <c r="E2" i="1"/>
  <c r="E3" i="1" s="1"/>
  <c r="H6" i="1"/>
  <c r="G6" i="1"/>
  <c r="I7" i="1"/>
  <c r="J7" i="1" s="1"/>
  <c r="F3" i="1" l="1"/>
  <c r="G3" i="1" s="1"/>
  <c r="H3" i="1" s="1"/>
  <c r="I3" i="1" s="1"/>
  <c r="J3" i="1" s="1"/>
  <c r="I6" i="1"/>
  <c r="J6" i="1"/>
</calcChain>
</file>

<file path=xl/sharedStrings.xml><?xml version="1.0" encoding="utf-8"?>
<sst xmlns="http://schemas.openxmlformats.org/spreadsheetml/2006/main" count="348" uniqueCount="65">
  <si>
    <t>New Tank Cover</t>
  </si>
  <si>
    <t>Deep Black</t>
  </si>
  <si>
    <t>LH Fender</t>
  </si>
  <si>
    <t>RH Fender</t>
  </si>
  <si>
    <t>LH Scoop</t>
  </si>
  <si>
    <t>RH Scoop</t>
  </si>
  <si>
    <t>Tail Fairing</t>
  </si>
  <si>
    <t>RH Consol Fairing</t>
  </si>
  <si>
    <t>LH Consol Fairing</t>
  </si>
  <si>
    <t>LH Mirror Shell</t>
  </si>
  <si>
    <t>RH Mirror Shell</t>
  </si>
  <si>
    <t>New Nose Fairing</t>
  </si>
  <si>
    <t>New Tail Fairing</t>
  </si>
  <si>
    <t>LH Access Panel</t>
  </si>
  <si>
    <t>RH Access Panel</t>
  </si>
  <si>
    <t>LH Mirror Shell - No Hole</t>
  </si>
  <si>
    <t>RH Mirror Shell - No Hole</t>
  </si>
  <si>
    <t>LH Console Panel</t>
  </si>
  <si>
    <t>RH Console Panel</t>
  </si>
  <si>
    <t>LH Upper Fairing</t>
  </si>
  <si>
    <t>Hyper Silver</t>
  </si>
  <si>
    <t>RH Upper Fairing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</si>
  <si>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</si>
  <si>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</si>
  <si>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</si>
  <si>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</si>
  <si>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</si>
  <si>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</si>
  <si>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</si>
  <si>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>RH F3T Panel</t>
  </si>
  <si>
    <t>LH F3T Low Fairing</t>
  </si>
  <si>
    <t>Vegas White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</si>
  <si>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</si>
  <si>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</si>
  <si>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</si>
  <si>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</si>
  <si>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</si>
  <si>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</si>
  <si>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</si>
  <si>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</si>
  <si>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</si>
  <si>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Satin Vegas White</t>
  </si>
  <si>
    <t>Central Cover</t>
  </si>
  <si>
    <t>British Green</t>
  </si>
  <si>
    <t>ACTUAL PRODUCTION</t>
  </si>
  <si>
    <t>TOTAL QUANTITY BRP PARTS TO PRODUCE</t>
  </si>
  <si>
    <t>extra</t>
  </si>
  <si>
    <t>Qty</t>
  </si>
  <si>
    <t>Part#</t>
  </si>
  <si>
    <t>Description</t>
  </si>
  <si>
    <t>Colour</t>
  </si>
  <si>
    <t>week of</t>
  </si>
  <si>
    <t>Total daily production</t>
  </si>
  <si>
    <t>Target daily production</t>
  </si>
  <si>
    <t>Percent target cummulative</t>
  </si>
  <si>
    <t>Percent produced cummulative</t>
  </si>
  <si>
    <t>Enter daily production by part number in the corresponding cell</t>
  </si>
  <si>
    <t>Update the week by entering the Monday date in B1</t>
  </si>
  <si>
    <t>The sheet is protected with the exception of data entry and filters</t>
  </si>
  <si>
    <t>To unprotect and edit the sheet use password BRP</t>
  </si>
  <si>
    <t>working days</t>
  </si>
  <si>
    <t>TOTAL PRODUCED</t>
  </si>
  <si>
    <t>LEFT TO BE PRODUCED</t>
  </si>
  <si>
    <t>ABOVE SCHEDULE</t>
  </si>
  <si>
    <t>Duplicate the tab Template and rename as current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</si>
</sst>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2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4378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3" xfId="0" applyFont="1" applyBorder="1" applyAlignment="1">
      <alignment horizontal="right" vertical="center" indent="1"/>
    </xf>
    <xf numFmtId="1" fontId="3" fillId="0" borderId="0" xfId="0" applyNumberFormat="1" applyFont="1" applyAlignment="1">
      <alignment horizontal="right" vertical="center"/>
    </xf>
    <xf numFmtId="164" fontId="5" fillId="0" borderId="1" xfId="1" applyNumberFormat="1" applyFont="1" applyBorder="1" applyAlignment="1">
      <alignment vertical="center"/>
    </xf>
    <xf numFmtId="0" fontId="0" fillId="0" borderId="7" xfId="0" applyBorder="1"/>
    <xf numFmtId="1" fontId="2" fillId="3" borderId="6" xfId="0" applyNumberFormat="1" applyFont="1" applyFill="1" applyBorder="1" applyAlignment="1">
      <alignment vertical="center"/>
    </xf>
    <xf numFmtId="0" fontId="0" fillId="0" borderId="0" xfId="0" applyAlignment="1">
      <alignment horizontal="right" vertical="center" indent="1"/>
    </xf>
    <xf numFmtId="1" fontId="7" fillId="0" borderId="3" xfId="0" applyNumberFormat="1" applyFont="1" applyBorder="1" applyAlignment="1">
      <alignment vertical="center"/>
    </xf>
    <xf numFmtId="9" fontId="3" fillId="0" borderId="13" xfId="0" applyNumberFormat="1" applyFont="1" applyBorder="1" applyAlignment="1">
      <alignment horizontal="center" vertical="center"/>
    </xf>
    <xf numFmtId="16" fontId="0" fillId="0" borderId="14" xfId="0" applyNumberFormat="1" applyBorder="1" applyAlignment="1">
      <alignment vertical="top"/>
    </xf>
    <xf numFmtId="16" fontId="0" fillId="0" borderId="15" xfId="0" applyNumberFormat="1" applyBorder="1" applyAlignment="1">
      <alignment vertical="top"/>
    </xf>
    <xf numFmtId="16" fontId="0" fillId="0" borderId="16" xfId="0" applyNumberFormat="1" applyBorder="1" applyAlignment="1">
      <alignment vertical="top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Protection="1">
      <protection locked="0"/>
    </xf>
    <xf numFmtId="0" fontId="0" fillId="0" borderId="5" xfId="0" applyBorder="1" applyProtection="1">
      <protection locked="0"/>
    </xf>
    <xf numFmtId="16" fontId="6" fillId="2" borderId="0" xfId="0" applyNumberFormat="1" applyFont="1" applyFill="1" applyAlignment="1" applyProtection="1">
      <alignment horizontal="center" vertical="top"/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 applyProtection="1">
      <alignment horizontal="center" vertical="center"/>
      <protection locked="0"/>
    </xf>
    <xf numFmtId="9" fontId="3" fillId="0" borderId="12" xfId="1" applyFont="1" applyBorder="1" applyAlignment="1">
      <alignment vertical="center"/>
    </xf>
    <xf numFmtId="1" fontId="5" fillId="0" borderId="1" xfId="1" applyNumberFormat="1" applyFont="1" applyBorder="1" applyAlignment="1">
      <alignment vertical="center"/>
    </xf>
    <xf numFmtId="1" fontId="0" fillId="3" borderId="6" xfId="0" applyNumberFormat="1" applyFill="1" applyBorder="1" applyAlignment="1">
      <alignment vertical="center"/>
    </xf>
    <xf numFmtId="0" fontId="11" fillId="0" borderId="0" xfId="0" applyFont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0" fontId="11" fillId="0" borderId="0" xfId="0" applyFont="1"/>
    <xf numFmtId="1" fontId="9" fillId="0" borderId="17" xfId="0" applyNumberFormat="1" applyFont="1" applyBorder="1" applyAlignment="1">
      <alignment horizontal="center" vertical="top" wrapText="1"/>
    </xf>
    <xf numFmtId="1" fontId="12" fillId="0" borderId="17" xfId="0" applyNumberFormat="1" applyFont="1" applyBorder="1" applyAlignment="1">
      <alignment horizontal="center" vertical="top" wrapText="1"/>
    </xf>
    <xf numFmtId="9" fontId="3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ont>
        <b val="0"/>
        <i/>
        <color theme="1" tint="0.499984740745262"/>
      </font>
    </dxf>
    <dxf>
      <font>
        <color rgb="FFFF0000"/>
      </font>
      <fill>
        <patternFill>
          <bgColor rgb="FFFF9797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9797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color rgb="FFFF0000"/>
      </font>
      <fill>
        <patternFill>
          <bgColor rgb="FFFF9797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9797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FF9797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8.0%20Production\8.10%20Releases\Plant%202\BRP\MY25\BRP%20MY25%20Shipping%20schedule%20-%20CURRENT.xlsx" TargetMode="External"/><Relationship Id="rId1" Type="http://schemas.openxmlformats.org/officeDocument/2006/relationships/externalLinkPath" Target="/8.0%20Production/8.10%20Releases/Plant%202/BRP/MY25/BRP%20MY25%20Shipping%20schedule%20-%20CUR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G Shipped to P4"/>
      <sheetName val="FG Shipped to BRP"/>
      <sheetName val="Raw Received from BRP"/>
      <sheetName val="Raw Requirements"/>
      <sheetName val="Raw Shipped to P2"/>
      <sheetName val="Shipping Schedule"/>
      <sheetName val="Production Plan"/>
      <sheetName val="Paint Consumption"/>
      <sheetName val="Raw Release Data"/>
      <sheetName val="MRP"/>
      <sheetName val="Capacity"/>
      <sheetName val="Vlookup"/>
    </sheetNames>
    <sheetDataSet>
      <sheetData sheetId="0"/>
      <sheetData sheetId="1"/>
      <sheetData sheetId="2"/>
      <sheetData sheetId="3"/>
      <sheetData sheetId="4"/>
      <sheetData sheetId="5"/>
      <sheetData sheetId="6">
        <row r="174">
          <cell r="A174"/>
          <cell r="B174"/>
          <cell r="C174"/>
          <cell r="D174" t="str">
            <v>Total</v>
          </cell>
          <cell r="E174">
            <v>45383</v>
          </cell>
          <cell r="F174">
            <v>45390</v>
          </cell>
          <cell r="G174">
            <v>45397</v>
          </cell>
          <cell r="H174">
            <v>45404</v>
          </cell>
          <cell r="I174">
            <v>45411</v>
          </cell>
          <cell r="J174">
            <v>45418</v>
          </cell>
          <cell r="K174">
            <v>45425</v>
          </cell>
          <cell r="L174">
            <v>45432</v>
          </cell>
          <cell r="M174">
            <v>45439</v>
          </cell>
          <cell r="N174">
            <v>45446</v>
          </cell>
          <cell r="O174">
            <v>45453</v>
          </cell>
          <cell r="P174">
            <v>45460</v>
          </cell>
          <cell r="Q174">
            <v>45467</v>
          </cell>
          <cell r="R174">
            <v>45474</v>
          </cell>
          <cell r="S174">
            <v>45481</v>
          </cell>
          <cell r="T174">
            <v>45488</v>
          </cell>
          <cell r="U174">
            <v>45495</v>
          </cell>
          <cell r="V174">
            <v>45502</v>
          </cell>
          <cell r="W174">
            <v>45509</v>
          </cell>
          <cell r="X174">
            <v>45516</v>
          </cell>
          <cell r="Y174">
            <v>45523</v>
          </cell>
          <cell r="Z174">
            <v>45530</v>
          </cell>
          <cell r="AA174">
            <v>45537</v>
          </cell>
          <cell r="AB174">
            <v>45544</v>
          </cell>
          <cell r="AC174">
            <v>45551</v>
          </cell>
          <cell r="AD174">
            <v>45558</v>
          </cell>
          <cell r="AE174">
            <v>45565</v>
          </cell>
          <cell r="AF174">
            <v>45572</v>
          </cell>
          <cell r="AG174">
            <v>45579</v>
          </cell>
          <cell r="AH174">
            <v>45586</v>
          </cell>
          <cell r="AI174">
            <v>45593</v>
          </cell>
          <cell r="AJ174">
            <v>45600</v>
          </cell>
          <cell r="AK174">
            <v>45607</v>
          </cell>
          <cell r="AL174">
            <v>45614</v>
          </cell>
          <cell r="AM174">
            <v>45621</v>
          </cell>
          <cell r="AN174">
            <v>45628</v>
          </cell>
          <cell r="AO174">
            <v>45635</v>
          </cell>
          <cell r="AP174">
            <v>45642</v>
          </cell>
          <cell r="AQ174">
            <v>45649</v>
          </cell>
          <cell r="AR174">
            <v>45656</v>
          </cell>
          <cell r="AS174">
            <v>45663</v>
          </cell>
          <cell r="AT174">
            <v>45670</v>
          </cell>
          <cell r="AU174">
            <v>45677</v>
          </cell>
          <cell r="AV174">
            <v>45684</v>
          </cell>
          <cell r="AW174">
            <v>45691</v>
          </cell>
          <cell r="AX174">
            <v>45698</v>
          </cell>
          <cell r="AY174">
            <v>45705</v>
          </cell>
          <cell r="AZ174">
            <v>45712</v>
          </cell>
          <cell r="BA174">
            <v>45719</v>
          </cell>
          <cell r="BB174">
            <v>45726</v>
          </cell>
          <cell r="BC174">
            <v>45733</v>
          </cell>
          <cell r="BD174">
            <v>45740</v>
          </cell>
          <cell r="BE174">
            <v>45747</v>
          </cell>
          <cell r="BF174">
            <v>45754</v>
          </cell>
          <cell r="BG174">
            <v>45761</v>
          </cell>
          <cell r="BH174">
            <v>45768</v>
          </cell>
          <cell r="BI174">
            <v>45775</v>
          </cell>
          <cell r="BJ174">
            <v>45782</v>
          </cell>
          <cell r="BK174">
            <v>45789</v>
          </cell>
          <cell r="BL174">
            <v>45796</v>
          </cell>
          <cell r="BM174">
            <v>45803</v>
          </cell>
          <cell r="BN174">
            <v>45810</v>
          </cell>
          <cell r="BO174">
            <v>45817</v>
          </cell>
          <cell r="BP174">
            <v>45824</v>
          </cell>
          <cell r="BQ174">
            <v>45831</v>
          </cell>
          <cell r="BR174">
            <v>45838</v>
          </cell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</row>
        <row r="176">
          <cell r="A176">
            <v>705019194</v>
          </cell>
          <cell r="B176" t="str">
            <v>New Tank Cover</v>
          </cell>
          <cell r="C176" t="str">
            <v>Deep Black</v>
          </cell>
          <cell r="D176">
            <v>732</v>
          </cell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>
            <v>60</v>
          </cell>
          <cell r="AA176">
            <v>0</v>
          </cell>
          <cell r="AB176">
            <v>0</v>
          </cell>
          <cell r="AC176">
            <v>20</v>
          </cell>
          <cell r="AD176">
            <v>0</v>
          </cell>
          <cell r="AE176">
            <v>30</v>
          </cell>
          <cell r="AF176">
            <v>20</v>
          </cell>
          <cell r="AG176">
            <v>20</v>
          </cell>
          <cell r="AH176">
            <v>70</v>
          </cell>
          <cell r="AI176">
            <v>150</v>
          </cell>
          <cell r="AJ176">
            <v>10</v>
          </cell>
          <cell r="AK176"/>
          <cell r="AL176"/>
          <cell r="AM176">
            <v>0</v>
          </cell>
          <cell r="AN176">
            <v>0</v>
          </cell>
          <cell r="AO176">
            <v>10</v>
          </cell>
          <cell r="AP176">
            <v>30</v>
          </cell>
          <cell r="AQ176"/>
          <cell r="AR176"/>
          <cell r="AS176"/>
          <cell r="AT176"/>
          <cell r="AU176">
            <v>50</v>
          </cell>
          <cell r="AV176">
            <v>60</v>
          </cell>
          <cell r="AW176">
            <v>60</v>
          </cell>
          <cell r="AX176">
            <v>60</v>
          </cell>
          <cell r="AY176">
            <v>30</v>
          </cell>
          <cell r="AZ176">
            <v>52</v>
          </cell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</row>
        <row r="177">
          <cell r="A177">
            <v>705019325</v>
          </cell>
          <cell r="B177" t="str">
            <v>LH Fender</v>
          </cell>
          <cell r="C177" t="str">
            <v>Deep Black</v>
          </cell>
          <cell r="D177">
            <v>732</v>
          </cell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>
            <v>96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48</v>
          </cell>
          <cell r="AF177">
            <v>48</v>
          </cell>
          <cell r="AG177"/>
          <cell r="AH177">
            <v>0</v>
          </cell>
          <cell r="AI177">
            <v>48</v>
          </cell>
          <cell r="AJ177"/>
          <cell r="AK177"/>
          <cell r="AL177"/>
          <cell r="AM177">
            <v>0</v>
          </cell>
          <cell r="AN177">
            <v>0</v>
          </cell>
          <cell r="AO177"/>
          <cell r="AP177"/>
          <cell r="AQ177"/>
          <cell r="AR177"/>
          <cell r="AS177"/>
          <cell r="AT177"/>
          <cell r="AU177">
            <v>96</v>
          </cell>
          <cell r="AV177">
            <v>96</v>
          </cell>
          <cell r="AW177">
            <v>48</v>
          </cell>
          <cell r="AX177">
            <v>48</v>
          </cell>
          <cell r="AY177">
            <v>48</v>
          </cell>
          <cell r="AZ177">
            <v>48</v>
          </cell>
          <cell r="BA177">
            <v>48</v>
          </cell>
          <cell r="BB177">
            <v>60</v>
          </cell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</row>
        <row r="178">
          <cell r="A178">
            <v>705019326</v>
          </cell>
          <cell r="B178" t="str">
            <v>RH Fender</v>
          </cell>
          <cell r="C178" t="str">
            <v>Deep Black</v>
          </cell>
          <cell r="D178">
            <v>732</v>
          </cell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>
            <v>96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48</v>
          </cell>
          <cell r="AF178">
            <v>48</v>
          </cell>
          <cell r="AG178">
            <v>48</v>
          </cell>
          <cell r="AH178">
            <v>0</v>
          </cell>
          <cell r="AI178">
            <v>48</v>
          </cell>
          <cell r="AJ178"/>
          <cell r="AK178"/>
          <cell r="AL178"/>
          <cell r="AM178">
            <v>0</v>
          </cell>
          <cell r="AN178">
            <v>0</v>
          </cell>
          <cell r="AO178"/>
          <cell r="AP178"/>
          <cell r="AQ178"/>
          <cell r="AR178"/>
          <cell r="AS178"/>
          <cell r="AT178"/>
          <cell r="AU178">
            <v>48</v>
          </cell>
          <cell r="AV178">
            <v>96</v>
          </cell>
          <cell r="AW178">
            <v>48</v>
          </cell>
          <cell r="AX178">
            <v>48</v>
          </cell>
          <cell r="AY178">
            <v>48</v>
          </cell>
          <cell r="AZ178">
            <v>48</v>
          </cell>
          <cell r="BA178">
            <v>48</v>
          </cell>
          <cell r="BB178">
            <v>60</v>
          </cell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</row>
        <row r="179">
          <cell r="A179">
            <v>705019327</v>
          </cell>
          <cell r="B179" t="str">
            <v>LH Scoop</v>
          </cell>
          <cell r="C179" t="str">
            <v>Deep Black</v>
          </cell>
          <cell r="D179">
            <v>990</v>
          </cell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>
            <v>60</v>
          </cell>
          <cell r="AA179">
            <v>30</v>
          </cell>
          <cell r="AB179">
            <v>0</v>
          </cell>
          <cell r="AC179">
            <v>0</v>
          </cell>
          <cell r="AD179">
            <v>0</v>
          </cell>
          <cell r="AE179">
            <v>90</v>
          </cell>
          <cell r="AF179"/>
          <cell r="AG179"/>
          <cell r="AH179">
            <v>0</v>
          </cell>
          <cell r="AI179"/>
          <cell r="AJ179"/>
          <cell r="AK179"/>
          <cell r="AL179"/>
          <cell r="AM179">
            <v>0</v>
          </cell>
          <cell r="AN179">
            <v>0</v>
          </cell>
          <cell r="AO179"/>
          <cell r="AP179">
            <v>30</v>
          </cell>
          <cell r="AQ179">
            <v>30</v>
          </cell>
          <cell r="AR179"/>
          <cell r="AS179"/>
          <cell r="AT179">
            <v>90</v>
          </cell>
          <cell r="AU179">
            <v>120</v>
          </cell>
          <cell r="AV179">
            <v>150</v>
          </cell>
          <cell r="AW179">
            <v>60</v>
          </cell>
          <cell r="AX179">
            <v>60</v>
          </cell>
          <cell r="AY179">
            <v>30</v>
          </cell>
          <cell r="AZ179">
            <v>60</v>
          </cell>
          <cell r="BA179">
            <v>60</v>
          </cell>
          <cell r="BB179">
            <v>60</v>
          </cell>
          <cell r="BC179">
            <v>60</v>
          </cell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</row>
        <row r="180">
          <cell r="A180">
            <v>705019328</v>
          </cell>
          <cell r="B180" t="str">
            <v>RH Scoop</v>
          </cell>
          <cell r="C180" t="str">
            <v>Deep Black</v>
          </cell>
          <cell r="D180">
            <v>990</v>
          </cell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>
            <v>90</v>
          </cell>
          <cell r="AA180">
            <v>0</v>
          </cell>
          <cell r="AB180">
            <v>0</v>
          </cell>
          <cell r="AC180">
            <v>0</v>
          </cell>
          <cell r="AD180">
            <v>30</v>
          </cell>
          <cell r="AE180">
            <v>120</v>
          </cell>
          <cell r="AF180">
            <v>30</v>
          </cell>
          <cell r="AG180"/>
          <cell r="AH180">
            <v>30</v>
          </cell>
          <cell r="AI180"/>
          <cell r="AJ180"/>
          <cell r="AK180"/>
          <cell r="AL180"/>
          <cell r="AM180">
            <v>0</v>
          </cell>
          <cell r="AN180">
            <v>0</v>
          </cell>
          <cell r="AO180"/>
          <cell r="AP180">
            <v>30</v>
          </cell>
          <cell r="AQ180">
            <v>60</v>
          </cell>
          <cell r="AR180"/>
          <cell r="AS180"/>
          <cell r="AT180"/>
          <cell r="AU180">
            <v>60</v>
          </cell>
          <cell r="AV180">
            <v>150</v>
          </cell>
          <cell r="AW180">
            <v>60</v>
          </cell>
          <cell r="AX180">
            <v>60</v>
          </cell>
          <cell r="AY180">
            <v>30</v>
          </cell>
          <cell r="AZ180">
            <v>60</v>
          </cell>
          <cell r="BA180">
            <v>60</v>
          </cell>
          <cell r="BB180">
            <v>60</v>
          </cell>
          <cell r="BC180">
            <v>60</v>
          </cell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</row>
        <row r="181">
          <cell r="A181">
            <v>708302912</v>
          </cell>
          <cell r="B181" t="str">
            <v>Tail Fairing</v>
          </cell>
          <cell r="C181" t="str">
            <v>Deep Black</v>
          </cell>
          <cell r="D181">
            <v>237</v>
          </cell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>
            <v>16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16</v>
          </cell>
          <cell r="AG181"/>
          <cell r="AH181">
            <v>0</v>
          </cell>
          <cell r="AI181"/>
          <cell r="AJ181"/>
          <cell r="AK181"/>
          <cell r="AL181"/>
          <cell r="AM181">
            <v>0</v>
          </cell>
          <cell r="AN181">
            <v>0</v>
          </cell>
          <cell r="AO181"/>
          <cell r="AP181">
            <v>16</v>
          </cell>
          <cell r="AQ181"/>
          <cell r="AR181"/>
          <cell r="AS181"/>
          <cell r="AT181">
            <v>32</v>
          </cell>
          <cell r="AU181">
            <v>48</v>
          </cell>
          <cell r="AV181">
            <v>64</v>
          </cell>
          <cell r="AW181">
            <v>16</v>
          </cell>
          <cell r="AX181">
            <v>16</v>
          </cell>
          <cell r="AY181">
            <v>13</v>
          </cell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</row>
        <row r="182">
          <cell r="A182">
            <v>708400338</v>
          </cell>
          <cell r="B182" t="str">
            <v>RH Consol Fairing</v>
          </cell>
          <cell r="C182" t="str">
            <v>Deep Black</v>
          </cell>
          <cell r="D182">
            <v>237</v>
          </cell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50</v>
          </cell>
          <cell r="AF182"/>
          <cell r="AG182"/>
          <cell r="AH182">
            <v>0</v>
          </cell>
          <cell r="AI182"/>
          <cell r="AJ182"/>
          <cell r="AK182"/>
          <cell r="AL182"/>
          <cell r="AM182">
            <v>0</v>
          </cell>
          <cell r="AN182">
            <v>0</v>
          </cell>
          <cell r="AO182">
            <v>25</v>
          </cell>
          <cell r="AP182">
            <v>25</v>
          </cell>
          <cell r="AQ182">
            <v>25</v>
          </cell>
          <cell r="AR182"/>
          <cell r="AS182"/>
          <cell r="AT182"/>
          <cell r="AU182">
            <v>25</v>
          </cell>
          <cell r="AV182">
            <v>50</v>
          </cell>
          <cell r="AW182">
            <v>25</v>
          </cell>
          <cell r="AX182">
            <v>12</v>
          </cell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</row>
        <row r="183">
          <cell r="A183">
            <v>708400340</v>
          </cell>
          <cell r="B183" t="str">
            <v>LH Consol Fairing</v>
          </cell>
          <cell r="C183" t="str">
            <v>Deep Black</v>
          </cell>
          <cell r="D183">
            <v>233</v>
          </cell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25</v>
          </cell>
          <cell r="AF183">
            <v>25</v>
          </cell>
          <cell r="AG183"/>
          <cell r="AH183">
            <v>25</v>
          </cell>
          <cell r="AI183"/>
          <cell r="AJ183"/>
          <cell r="AK183"/>
          <cell r="AL183"/>
          <cell r="AM183">
            <v>0</v>
          </cell>
          <cell r="AN183">
            <v>0</v>
          </cell>
          <cell r="AO183"/>
          <cell r="AP183"/>
          <cell r="AQ183">
            <v>25</v>
          </cell>
          <cell r="AR183"/>
          <cell r="AS183"/>
          <cell r="AT183"/>
          <cell r="AU183">
            <v>25</v>
          </cell>
          <cell r="AV183">
            <v>75</v>
          </cell>
          <cell r="AW183">
            <v>25</v>
          </cell>
          <cell r="AX183">
            <v>8</v>
          </cell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</row>
        <row r="184">
          <cell r="A184">
            <v>708400505</v>
          </cell>
          <cell r="B184" t="str">
            <v>LH Mirror Shell</v>
          </cell>
          <cell r="C184" t="str">
            <v>Deep Black</v>
          </cell>
          <cell r="D184">
            <v>0</v>
          </cell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/>
          <cell r="AG184"/>
          <cell r="AH184">
            <v>0</v>
          </cell>
          <cell r="AI184"/>
          <cell r="AJ184"/>
          <cell r="AK184"/>
          <cell r="AL184"/>
          <cell r="AM184">
            <v>0</v>
          </cell>
          <cell r="AN184">
            <v>0</v>
          </cell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</row>
        <row r="185">
          <cell r="A185">
            <v>708400506</v>
          </cell>
          <cell r="B185" t="str">
            <v>RH Mirror Shell</v>
          </cell>
          <cell r="C185" t="str">
            <v>Deep Black</v>
          </cell>
          <cell r="D185">
            <v>0</v>
          </cell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/>
          <cell r="AG185"/>
          <cell r="AH185">
            <v>0</v>
          </cell>
          <cell r="AI185"/>
          <cell r="AJ185"/>
          <cell r="AK185"/>
          <cell r="AL185"/>
          <cell r="AM185">
            <v>0</v>
          </cell>
          <cell r="AN185">
            <v>0</v>
          </cell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</row>
        <row r="186">
          <cell r="A186">
            <v>708400723</v>
          </cell>
          <cell r="B186" t="str">
            <v>New Nose Fairing</v>
          </cell>
          <cell r="C186" t="str">
            <v>Deep Black</v>
          </cell>
          <cell r="D186">
            <v>237</v>
          </cell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>
            <v>20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20</v>
          </cell>
          <cell r="AG186"/>
          <cell r="AH186">
            <v>0</v>
          </cell>
          <cell r="AI186"/>
          <cell r="AJ186"/>
          <cell r="AK186"/>
          <cell r="AL186"/>
          <cell r="AM186">
            <v>0</v>
          </cell>
          <cell r="AN186">
            <v>0</v>
          </cell>
          <cell r="AO186"/>
          <cell r="AP186">
            <v>20</v>
          </cell>
          <cell r="AQ186">
            <v>20</v>
          </cell>
          <cell r="AR186"/>
          <cell r="AS186"/>
          <cell r="AT186"/>
          <cell r="AU186">
            <v>60</v>
          </cell>
          <cell r="AV186">
            <v>60</v>
          </cell>
          <cell r="AW186">
            <v>20</v>
          </cell>
          <cell r="AX186">
            <v>17</v>
          </cell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</row>
        <row r="187">
          <cell r="A187">
            <v>708400826</v>
          </cell>
          <cell r="B187" t="str">
            <v>New Tail Fairing</v>
          </cell>
          <cell r="C187" t="str">
            <v>Deep Black</v>
          </cell>
          <cell r="D187">
            <v>459</v>
          </cell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>
            <v>0</v>
          </cell>
          <cell r="AA187">
            <v>0</v>
          </cell>
          <cell r="AB187">
            <v>0</v>
          </cell>
          <cell r="AC187">
            <v>64</v>
          </cell>
          <cell r="AD187">
            <v>0</v>
          </cell>
          <cell r="AE187">
            <v>64</v>
          </cell>
          <cell r="AF187"/>
          <cell r="AG187"/>
          <cell r="AH187">
            <v>128</v>
          </cell>
          <cell r="AI187">
            <v>128</v>
          </cell>
          <cell r="AJ187"/>
          <cell r="AK187"/>
          <cell r="AL187"/>
          <cell r="AM187">
            <v>0</v>
          </cell>
          <cell r="AN187">
            <v>0</v>
          </cell>
          <cell r="AO187"/>
          <cell r="AP187"/>
          <cell r="AQ187"/>
          <cell r="AR187"/>
          <cell r="AS187"/>
          <cell r="AT187"/>
          <cell r="AU187">
            <v>75</v>
          </cell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</row>
        <row r="188">
          <cell r="A188">
            <v>708400948</v>
          </cell>
          <cell r="B188" t="str">
            <v>LH Access Panel</v>
          </cell>
          <cell r="C188" t="str">
            <v>Deep Black</v>
          </cell>
          <cell r="D188">
            <v>728</v>
          </cell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/>
          <cell r="AG188"/>
          <cell r="AH188">
            <v>0</v>
          </cell>
          <cell r="AI188">
            <v>180</v>
          </cell>
          <cell r="AJ188"/>
          <cell r="AK188"/>
          <cell r="AL188"/>
          <cell r="AM188">
            <v>0</v>
          </cell>
          <cell r="AN188">
            <v>0</v>
          </cell>
          <cell r="AO188"/>
          <cell r="AP188"/>
          <cell r="AQ188">
            <v>180</v>
          </cell>
          <cell r="AR188"/>
          <cell r="AS188"/>
          <cell r="AT188"/>
          <cell r="AU188"/>
          <cell r="AV188">
            <v>180</v>
          </cell>
          <cell r="AW188"/>
          <cell r="AX188"/>
          <cell r="AY188"/>
          <cell r="AZ188">
            <v>80</v>
          </cell>
          <cell r="BA188">
            <v>8</v>
          </cell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</row>
        <row r="189">
          <cell r="A189">
            <v>708400949</v>
          </cell>
          <cell r="B189" t="str">
            <v>RH Access Panel</v>
          </cell>
          <cell r="C189" t="str">
            <v>Deep Black</v>
          </cell>
          <cell r="D189">
            <v>731</v>
          </cell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>
            <v>100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/>
          <cell r="AG189">
            <v>180</v>
          </cell>
          <cell r="AH189">
            <v>0</v>
          </cell>
          <cell r="AI189"/>
          <cell r="AJ189"/>
          <cell r="AK189"/>
          <cell r="AL189"/>
          <cell r="AM189">
            <v>0</v>
          </cell>
          <cell r="AN189">
            <v>0</v>
          </cell>
          <cell r="AO189"/>
          <cell r="AP189"/>
          <cell r="AQ189"/>
          <cell r="AR189"/>
          <cell r="AS189"/>
          <cell r="AT189"/>
          <cell r="AU189">
            <v>180</v>
          </cell>
          <cell r="AV189">
            <v>180</v>
          </cell>
          <cell r="AW189"/>
          <cell r="AX189"/>
          <cell r="AY189"/>
          <cell r="AZ189">
            <v>80</v>
          </cell>
          <cell r="BA189">
            <v>11</v>
          </cell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</row>
        <row r="190">
          <cell r="A190">
            <v>708400950</v>
          </cell>
          <cell r="B190" t="str">
            <v>LH Mirror Shell - No Hole</v>
          </cell>
          <cell r="C190" t="str">
            <v>Deep Black</v>
          </cell>
          <cell r="D190">
            <v>2495</v>
          </cell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>
            <v>80</v>
          </cell>
          <cell r="AA190">
            <v>0</v>
          </cell>
          <cell r="AB190">
            <v>0</v>
          </cell>
          <cell r="AC190">
            <v>80</v>
          </cell>
          <cell r="AD190">
            <v>0</v>
          </cell>
          <cell r="AE190">
            <v>160</v>
          </cell>
          <cell r="AF190"/>
          <cell r="AG190">
            <v>80</v>
          </cell>
          <cell r="AH190">
            <v>80</v>
          </cell>
          <cell r="AI190">
            <v>160</v>
          </cell>
          <cell r="AJ190"/>
          <cell r="AK190"/>
          <cell r="AL190"/>
          <cell r="AM190">
            <v>0</v>
          </cell>
          <cell r="AN190">
            <v>0</v>
          </cell>
          <cell r="AO190">
            <v>160</v>
          </cell>
          <cell r="AP190">
            <v>0</v>
          </cell>
          <cell r="AQ190">
            <v>160</v>
          </cell>
          <cell r="AR190">
            <v>400</v>
          </cell>
          <cell r="AS190">
            <v>480</v>
          </cell>
          <cell r="AT190">
            <v>80</v>
          </cell>
          <cell r="AU190">
            <v>80</v>
          </cell>
          <cell r="AV190">
            <v>80</v>
          </cell>
          <cell r="AW190">
            <v>80</v>
          </cell>
          <cell r="AX190">
            <v>80</v>
          </cell>
          <cell r="AY190">
            <v>80</v>
          </cell>
          <cell r="AZ190">
            <v>80</v>
          </cell>
          <cell r="BA190">
            <v>80</v>
          </cell>
          <cell r="BB190">
            <v>15</v>
          </cell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</row>
        <row r="191">
          <cell r="A191">
            <v>708400951</v>
          </cell>
          <cell r="B191" t="str">
            <v>RH Mirror Shell - No Hole</v>
          </cell>
          <cell r="C191" t="str">
            <v>Deep Black</v>
          </cell>
          <cell r="D191">
            <v>2495</v>
          </cell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>
            <v>80</v>
          </cell>
          <cell r="AA191">
            <v>0</v>
          </cell>
          <cell r="AB191">
            <v>0</v>
          </cell>
          <cell r="AC191">
            <v>80</v>
          </cell>
          <cell r="AD191">
            <v>0</v>
          </cell>
          <cell r="AE191">
            <v>80</v>
          </cell>
          <cell r="AF191"/>
          <cell r="AG191">
            <v>80</v>
          </cell>
          <cell r="AH191">
            <v>80</v>
          </cell>
          <cell r="AI191">
            <v>160</v>
          </cell>
          <cell r="AJ191"/>
          <cell r="AK191"/>
          <cell r="AL191"/>
          <cell r="AM191">
            <v>0</v>
          </cell>
          <cell r="AN191">
            <v>0</v>
          </cell>
          <cell r="AO191">
            <v>160</v>
          </cell>
          <cell r="AP191">
            <v>80</v>
          </cell>
          <cell r="AQ191">
            <v>80</v>
          </cell>
          <cell r="AR191">
            <v>480</v>
          </cell>
          <cell r="AS191">
            <v>480</v>
          </cell>
          <cell r="AT191">
            <v>80</v>
          </cell>
          <cell r="AU191">
            <v>80</v>
          </cell>
          <cell r="AV191">
            <v>80</v>
          </cell>
          <cell r="AW191">
            <v>80</v>
          </cell>
          <cell r="AX191">
            <v>80</v>
          </cell>
          <cell r="AY191">
            <v>80</v>
          </cell>
          <cell r="AZ191">
            <v>80</v>
          </cell>
          <cell r="BA191">
            <v>80</v>
          </cell>
          <cell r="BB191">
            <v>15</v>
          </cell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</row>
        <row r="192">
          <cell r="A192">
            <v>708400958</v>
          </cell>
          <cell r="B192" t="str">
            <v>LH Console Panel</v>
          </cell>
          <cell r="C192" t="str">
            <v>Deep Black</v>
          </cell>
          <cell r="D192">
            <v>495</v>
          </cell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24</v>
          </cell>
          <cell r="AF192">
            <v>24</v>
          </cell>
          <cell r="AG192"/>
          <cell r="AH192">
            <v>0</v>
          </cell>
          <cell r="AI192"/>
          <cell r="AJ192"/>
          <cell r="AK192"/>
          <cell r="AL192"/>
          <cell r="AM192">
            <v>0</v>
          </cell>
          <cell r="AN192">
            <v>0</v>
          </cell>
          <cell r="AO192"/>
          <cell r="AP192"/>
          <cell r="AQ192"/>
          <cell r="AR192"/>
          <cell r="AS192"/>
          <cell r="AT192"/>
          <cell r="AU192">
            <v>144</v>
          </cell>
          <cell r="AV192">
            <v>168</v>
          </cell>
          <cell r="AW192">
            <v>48</v>
          </cell>
          <cell r="AX192">
            <v>48</v>
          </cell>
          <cell r="AY192">
            <v>24</v>
          </cell>
          <cell r="AZ192"/>
          <cell r="BA192">
            <v>15</v>
          </cell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</row>
        <row r="193">
          <cell r="A193">
            <v>708400959</v>
          </cell>
          <cell r="B193" t="str">
            <v>RH Console Panel</v>
          </cell>
          <cell r="C193" t="str">
            <v>Deep Black</v>
          </cell>
          <cell r="D193">
            <v>489</v>
          </cell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24</v>
          </cell>
          <cell r="AF193"/>
          <cell r="AG193"/>
          <cell r="AH193">
            <v>0</v>
          </cell>
          <cell r="AI193"/>
          <cell r="AJ193"/>
          <cell r="AK193"/>
          <cell r="AL193">
            <v>24</v>
          </cell>
          <cell r="AM193">
            <v>0</v>
          </cell>
          <cell r="AN193">
            <v>0</v>
          </cell>
          <cell r="AO193"/>
          <cell r="AP193"/>
          <cell r="AQ193"/>
          <cell r="AR193"/>
          <cell r="AS193"/>
          <cell r="AT193"/>
          <cell r="AU193">
            <v>120</v>
          </cell>
          <cell r="AV193">
            <v>168</v>
          </cell>
          <cell r="AW193">
            <v>48</v>
          </cell>
          <cell r="AX193">
            <v>48</v>
          </cell>
          <cell r="AY193">
            <v>48</v>
          </cell>
          <cell r="AZ193"/>
          <cell r="BA193">
            <v>9</v>
          </cell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</row>
        <row r="194">
          <cell r="A194">
            <v>0</v>
          </cell>
          <cell r="B194">
            <v>0</v>
          </cell>
          <cell r="C194">
            <v>0</v>
          </cell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>
            <v>0</v>
          </cell>
          <cell r="AN194">
            <v>0</v>
          </cell>
          <cell r="AO194"/>
          <cell r="AP194"/>
          <cell r="AQ194">
            <v>0</v>
          </cell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</row>
        <row r="195">
          <cell r="A195">
            <v>705016725</v>
          </cell>
          <cell r="B195" t="str">
            <v>LH Upper Fairing</v>
          </cell>
          <cell r="C195" t="str">
            <v>Hyper Silver</v>
          </cell>
          <cell r="D195">
            <v>337</v>
          </cell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>
            <v>80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/>
          <cell r="AG195"/>
          <cell r="AH195">
            <v>0</v>
          </cell>
          <cell r="AI195">
            <v>40</v>
          </cell>
          <cell r="AJ195"/>
          <cell r="AK195"/>
          <cell r="AL195"/>
          <cell r="AM195">
            <v>0</v>
          </cell>
          <cell r="AN195">
            <v>40</v>
          </cell>
          <cell r="AO195">
            <v>40</v>
          </cell>
          <cell r="AP195"/>
          <cell r="AQ195">
            <v>40</v>
          </cell>
          <cell r="AR195"/>
          <cell r="AS195">
            <v>40</v>
          </cell>
          <cell r="AT195">
            <v>40</v>
          </cell>
          <cell r="AU195"/>
          <cell r="AV195"/>
          <cell r="AW195"/>
          <cell r="AX195"/>
          <cell r="AY195">
            <v>17</v>
          </cell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</row>
        <row r="196">
          <cell r="A196">
            <v>705016726</v>
          </cell>
          <cell r="B196" t="str">
            <v>RH Upper Fairing</v>
          </cell>
          <cell r="C196" t="str">
            <v>Hyper Silver</v>
          </cell>
          <cell r="D196">
            <v>329</v>
          </cell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>
            <v>40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/>
          <cell r="AG196"/>
          <cell r="AH196">
            <v>0</v>
          </cell>
          <cell r="AI196">
            <v>80</v>
          </cell>
          <cell r="AJ196"/>
          <cell r="AK196"/>
          <cell r="AL196"/>
          <cell r="AM196">
            <v>0</v>
          </cell>
          <cell r="AN196">
            <v>0</v>
          </cell>
          <cell r="AO196">
            <v>40</v>
          </cell>
          <cell r="AP196"/>
          <cell r="AQ196">
            <v>40</v>
          </cell>
          <cell r="AR196"/>
          <cell r="AS196">
            <v>80</v>
          </cell>
          <cell r="AT196"/>
          <cell r="AU196"/>
          <cell r="AV196"/>
          <cell r="AW196"/>
          <cell r="AX196"/>
          <cell r="AY196">
            <v>49</v>
          </cell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</row>
        <row r="197">
          <cell r="A197">
            <v>705016733</v>
          </cell>
          <cell r="B197" t="str">
            <v>LH Fender</v>
          </cell>
          <cell r="C197" t="str">
            <v>Hyper Silver</v>
          </cell>
          <cell r="D197">
            <v>370</v>
          </cell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>
            <v>48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/>
          <cell r="AG197"/>
          <cell r="AH197">
            <v>0</v>
          </cell>
          <cell r="AI197"/>
          <cell r="AJ197"/>
          <cell r="AK197"/>
          <cell r="AL197"/>
          <cell r="AM197">
            <v>0</v>
          </cell>
          <cell r="AN197">
            <v>96</v>
          </cell>
          <cell r="AO197">
            <v>48</v>
          </cell>
          <cell r="AP197"/>
          <cell r="AQ197">
            <v>48</v>
          </cell>
          <cell r="AR197"/>
          <cell r="AS197">
            <v>96</v>
          </cell>
          <cell r="AT197"/>
          <cell r="AU197"/>
          <cell r="AV197"/>
          <cell r="AW197"/>
          <cell r="AX197"/>
          <cell r="AY197">
            <v>34</v>
          </cell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</row>
        <row r="198">
          <cell r="A198">
            <v>705016734</v>
          </cell>
          <cell r="B198" t="str">
            <v>RH Fender</v>
          </cell>
          <cell r="C198" t="str">
            <v>Hyper Silver</v>
          </cell>
          <cell r="D198">
            <v>346</v>
          </cell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>
            <v>48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/>
          <cell r="AG198"/>
          <cell r="AH198">
            <v>0</v>
          </cell>
          <cell r="AI198"/>
          <cell r="AJ198"/>
          <cell r="AK198"/>
          <cell r="AL198"/>
          <cell r="AM198">
            <v>0</v>
          </cell>
          <cell r="AN198">
            <v>48</v>
          </cell>
          <cell r="AO198">
            <v>48</v>
          </cell>
          <cell r="AP198"/>
          <cell r="AQ198"/>
          <cell r="AR198">
            <v>48</v>
          </cell>
          <cell r="AS198">
            <v>96</v>
          </cell>
          <cell r="AT198">
            <v>48</v>
          </cell>
          <cell r="AU198"/>
          <cell r="AV198"/>
          <cell r="AW198"/>
          <cell r="AX198"/>
          <cell r="AY198">
            <v>10</v>
          </cell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</row>
        <row r="199">
          <cell r="A199">
            <v>708003404</v>
          </cell>
          <cell r="B199" t="str">
            <v>Rear Fairing</v>
          </cell>
          <cell r="C199" t="str">
            <v>Hyper Silver</v>
          </cell>
          <cell r="D199">
            <v>56</v>
          </cell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/>
          <cell r="AG199"/>
          <cell r="AH199">
            <v>0</v>
          </cell>
          <cell r="AI199"/>
          <cell r="AJ199"/>
          <cell r="AK199"/>
          <cell r="AL199">
            <v>12</v>
          </cell>
          <cell r="AM199">
            <v>0</v>
          </cell>
          <cell r="AN199">
            <v>12</v>
          </cell>
          <cell r="AO199">
            <v>12</v>
          </cell>
          <cell r="AP199"/>
          <cell r="AQ199"/>
          <cell r="AR199"/>
          <cell r="AS199">
            <v>12</v>
          </cell>
          <cell r="AT199"/>
          <cell r="AU199"/>
          <cell r="AV199"/>
          <cell r="AW199"/>
          <cell r="AX199"/>
          <cell r="AY199">
            <v>8</v>
          </cell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</row>
        <row r="200">
          <cell r="A200">
            <v>708201135</v>
          </cell>
          <cell r="B200" t="str">
            <v>LH Front Fairing</v>
          </cell>
          <cell r="C200" t="str">
            <v>Hyper Silver</v>
          </cell>
          <cell r="D200">
            <v>339</v>
          </cell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>
            <v>80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/>
          <cell r="AG200"/>
          <cell r="AH200">
            <v>0</v>
          </cell>
          <cell r="AI200">
            <v>32</v>
          </cell>
          <cell r="AJ200"/>
          <cell r="AK200"/>
          <cell r="AL200"/>
          <cell r="AM200">
            <v>0</v>
          </cell>
          <cell r="AN200">
            <v>0</v>
          </cell>
          <cell r="AO200">
            <v>16</v>
          </cell>
          <cell r="AP200">
            <v>16</v>
          </cell>
          <cell r="AQ200">
            <v>16</v>
          </cell>
          <cell r="AR200">
            <v>64</v>
          </cell>
          <cell r="AS200">
            <v>64</v>
          </cell>
          <cell r="AT200"/>
          <cell r="AU200"/>
          <cell r="AV200"/>
          <cell r="AW200"/>
          <cell r="AX200"/>
          <cell r="AY200">
            <v>51</v>
          </cell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</row>
        <row r="201">
          <cell r="A201">
            <v>708201136</v>
          </cell>
          <cell r="B201" t="str">
            <v>RH Front Fairing</v>
          </cell>
          <cell r="C201" t="str">
            <v>Hyper Silver</v>
          </cell>
          <cell r="D201">
            <v>345</v>
          </cell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>
            <v>64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/>
          <cell r="AG201"/>
          <cell r="AH201">
            <v>0</v>
          </cell>
          <cell r="AI201">
            <v>32</v>
          </cell>
          <cell r="AJ201"/>
          <cell r="AK201"/>
          <cell r="AL201">
            <v>16</v>
          </cell>
          <cell r="AM201">
            <v>0</v>
          </cell>
          <cell r="AN201">
            <v>0</v>
          </cell>
          <cell r="AO201">
            <v>48</v>
          </cell>
          <cell r="AP201">
            <v>0</v>
          </cell>
          <cell r="AQ201">
            <v>16</v>
          </cell>
          <cell r="AR201">
            <v>48</v>
          </cell>
          <cell r="AS201">
            <v>64</v>
          </cell>
          <cell r="AT201">
            <v>16</v>
          </cell>
          <cell r="AU201"/>
          <cell r="AV201"/>
          <cell r="AW201"/>
          <cell r="AX201"/>
          <cell r="AY201">
            <v>41</v>
          </cell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</row>
        <row r="202">
          <cell r="A202">
            <v>708201142</v>
          </cell>
          <cell r="B202" t="str">
            <v>R66 Hood</v>
          </cell>
          <cell r="C202" t="str">
            <v>Hyper Silver</v>
          </cell>
          <cell r="D202">
            <v>357</v>
          </cell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18</v>
          </cell>
          <cell r="AG202"/>
          <cell r="AH202">
            <v>0</v>
          </cell>
          <cell r="AI202">
            <v>36</v>
          </cell>
          <cell r="AJ202"/>
          <cell r="AK202"/>
          <cell r="AL202">
            <v>18</v>
          </cell>
          <cell r="AM202">
            <v>0</v>
          </cell>
          <cell r="AN202">
            <v>36</v>
          </cell>
          <cell r="AO202">
            <v>36</v>
          </cell>
          <cell r="AP202">
            <v>18</v>
          </cell>
          <cell r="AQ202">
            <v>18</v>
          </cell>
          <cell r="AR202">
            <v>54</v>
          </cell>
          <cell r="AS202">
            <v>72</v>
          </cell>
          <cell r="AT202"/>
          <cell r="AU202"/>
          <cell r="AV202"/>
          <cell r="AW202"/>
          <cell r="AX202"/>
          <cell r="AY202">
            <v>51</v>
          </cell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</row>
        <row r="203">
          <cell r="A203">
            <v>708304085</v>
          </cell>
          <cell r="B203" t="str">
            <v>LH Box Cover</v>
          </cell>
          <cell r="C203" t="str">
            <v>Hyper Silver</v>
          </cell>
          <cell r="D203">
            <v>314</v>
          </cell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>
            <v>90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/>
          <cell r="AG203"/>
          <cell r="AH203">
            <v>0</v>
          </cell>
          <cell r="AI203">
            <v>30</v>
          </cell>
          <cell r="AJ203"/>
          <cell r="AK203"/>
          <cell r="AL203"/>
          <cell r="AM203">
            <v>0</v>
          </cell>
          <cell r="AN203">
            <v>30</v>
          </cell>
          <cell r="AO203">
            <v>30</v>
          </cell>
          <cell r="AP203"/>
          <cell r="AQ203"/>
          <cell r="AR203">
            <v>30</v>
          </cell>
          <cell r="AS203">
            <v>60</v>
          </cell>
          <cell r="AT203"/>
          <cell r="AU203"/>
          <cell r="AV203"/>
          <cell r="AW203"/>
          <cell r="AX203"/>
          <cell r="AY203">
            <v>44</v>
          </cell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</row>
        <row r="204">
          <cell r="A204">
            <v>708304092</v>
          </cell>
          <cell r="B204" t="str">
            <v>RH Box Cover</v>
          </cell>
          <cell r="C204" t="str">
            <v>Hyper Silver</v>
          </cell>
          <cell r="D204">
            <v>322</v>
          </cell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>
            <v>60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/>
          <cell r="AG204"/>
          <cell r="AH204">
            <v>0</v>
          </cell>
          <cell r="AI204">
            <v>60</v>
          </cell>
          <cell r="AJ204"/>
          <cell r="AK204"/>
          <cell r="AL204"/>
          <cell r="AM204">
            <v>0</v>
          </cell>
          <cell r="AN204">
            <v>30</v>
          </cell>
          <cell r="AO204">
            <v>30</v>
          </cell>
          <cell r="AP204"/>
          <cell r="AQ204"/>
          <cell r="AR204">
            <v>30</v>
          </cell>
          <cell r="AS204">
            <v>60</v>
          </cell>
          <cell r="AT204"/>
          <cell r="AU204"/>
          <cell r="AV204"/>
          <cell r="AW204"/>
          <cell r="AX204"/>
          <cell r="AY204">
            <v>52</v>
          </cell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</row>
        <row r="205">
          <cell r="A205">
            <v>708304097</v>
          </cell>
          <cell r="B205" t="str">
            <v>LH F3T Panel</v>
          </cell>
          <cell r="C205" t="str">
            <v>Hyper Silver</v>
          </cell>
          <cell r="D205">
            <v>260</v>
          </cell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>
            <v>30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/>
          <cell r="AG205"/>
          <cell r="AH205">
            <v>0</v>
          </cell>
          <cell r="AI205">
            <v>30</v>
          </cell>
          <cell r="AJ205"/>
          <cell r="AK205"/>
          <cell r="AL205">
            <v>30</v>
          </cell>
          <cell r="AM205">
            <v>0</v>
          </cell>
          <cell r="AN205">
            <v>0</v>
          </cell>
          <cell r="AO205">
            <v>30</v>
          </cell>
          <cell r="AP205"/>
          <cell r="AQ205">
            <v>30</v>
          </cell>
          <cell r="AR205"/>
          <cell r="AS205">
            <v>60</v>
          </cell>
          <cell r="AT205">
            <v>30</v>
          </cell>
          <cell r="AU205"/>
          <cell r="AV205"/>
          <cell r="AW205"/>
          <cell r="AX205"/>
          <cell r="AY205">
            <v>20</v>
          </cell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</row>
        <row r="206">
          <cell r="A206">
            <v>708304101</v>
          </cell>
          <cell r="B206" t="str">
            <v>RH F3T Panel</v>
          </cell>
          <cell r="C206" t="str">
            <v>Hyper Silver</v>
          </cell>
          <cell r="D206">
            <v>257</v>
          </cell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>
            <v>30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/>
          <cell r="AG206"/>
          <cell r="AH206">
            <v>0</v>
          </cell>
          <cell r="AI206">
            <v>30</v>
          </cell>
          <cell r="AJ206"/>
          <cell r="AK206"/>
          <cell r="AL206"/>
          <cell r="AM206">
            <v>0</v>
          </cell>
          <cell r="AN206">
            <v>30</v>
          </cell>
          <cell r="AO206">
            <v>60</v>
          </cell>
          <cell r="AP206"/>
          <cell r="AQ206"/>
          <cell r="AR206"/>
          <cell r="AS206">
            <v>60</v>
          </cell>
          <cell r="AT206">
            <v>30</v>
          </cell>
          <cell r="AU206"/>
          <cell r="AV206"/>
          <cell r="AW206"/>
          <cell r="AX206"/>
          <cell r="AY206">
            <v>17</v>
          </cell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</row>
        <row r="207">
          <cell r="A207">
            <v>708400558</v>
          </cell>
          <cell r="B207" t="str">
            <v>LH Mirror Shell</v>
          </cell>
          <cell r="C207" t="str">
            <v>Hyper Silver</v>
          </cell>
          <cell r="D207">
            <v>76</v>
          </cell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/>
          <cell r="AG207"/>
          <cell r="AH207">
            <v>0</v>
          </cell>
          <cell r="AI207"/>
          <cell r="AJ207"/>
          <cell r="AK207"/>
          <cell r="AL207"/>
          <cell r="AM207">
            <v>0</v>
          </cell>
          <cell r="AN207">
            <v>73</v>
          </cell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>
            <v>3</v>
          </cell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</row>
        <row r="208">
          <cell r="A208">
            <v>708400559</v>
          </cell>
          <cell r="B208" t="str">
            <v>RH Mirror Shell</v>
          </cell>
          <cell r="C208" t="str">
            <v>Hyper Silver</v>
          </cell>
          <cell r="D208">
            <v>81</v>
          </cell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/>
          <cell r="AG208"/>
          <cell r="AH208">
            <v>0</v>
          </cell>
          <cell r="AI208"/>
          <cell r="AJ208"/>
          <cell r="AK208"/>
          <cell r="AL208">
            <v>55</v>
          </cell>
          <cell r="AM208">
            <v>0</v>
          </cell>
          <cell r="AN208">
            <v>0</v>
          </cell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>
            <v>26</v>
          </cell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</row>
        <row r="209">
          <cell r="A209">
            <v>0</v>
          </cell>
          <cell r="B209">
            <v>0</v>
          </cell>
          <cell r="C209">
            <v>0</v>
          </cell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>
            <v>0</v>
          </cell>
          <cell r="AN209">
            <v>0</v>
          </cell>
          <cell r="AO209"/>
          <cell r="AP209"/>
          <cell r="AQ209">
            <v>0</v>
          </cell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</row>
        <row r="210">
          <cell r="A210">
            <v>705009924</v>
          </cell>
          <cell r="B210" t="str">
            <v>LH F3T Low Fairing</v>
          </cell>
          <cell r="C210" t="str">
            <v>Vegas White</v>
          </cell>
          <cell r="D210">
            <v>178</v>
          </cell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/>
          <cell r="AG210"/>
          <cell r="AH210">
            <v>0</v>
          </cell>
          <cell r="AI210"/>
          <cell r="AJ210"/>
          <cell r="AK210"/>
          <cell r="AL210"/>
          <cell r="AM210">
            <v>0</v>
          </cell>
          <cell r="AN210">
            <v>0</v>
          </cell>
          <cell r="AO210"/>
          <cell r="AP210"/>
          <cell r="AQ210"/>
          <cell r="AR210"/>
          <cell r="AS210">
            <v>40</v>
          </cell>
          <cell r="AT210">
            <v>80</v>
          </cell>
          <cell r="AU210"/>
          <cell r="AV210"/>
          <cell r="AW210"/>
          <cell r="AX210"/>
          <cell r="AY210">
            <v>58</v>
          </cell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</row>
        <row r="211">
          <cell r="A211">
            <v>705009925</v>
          </cell>
          <cell r="B211" t="str">
            <v>RH F3T Low Fairing</v>
          </cell>
          <cell r="C211" t="str">
            <v>Vegas White</v>
          </cell>
          <cell r="D211">
            <v>174</v>
          </cell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/>
          <cell r="AG211"/>
          <cell r="AH211">
            <v>0</v>
          </cell>
          <cell r="AI211"/>
          <cell r="AJ211"/>
          <cell r="AK211"/>
          <cell r="AL211"/>
          <cell r="AM211">
            <v>0</v>
          </cell>
          <cell r="AN211">
            <v>0</v>
          </cell>
          <cell r="AO211"/>
          <cell r="AP211"/>
          <cell r="AQ211"/>
          <cell r="AR211"/>
          <cell r="AS211">
            <v>40</v>
          </cell>
          <cell r="AT211">
            <v>80</v>
          </cell>
          <cell r="AU211"/>
          <cell r="AV211"/>
          <cell r="AW211"/>
          <cell r="AX211"/>
          <cell r="AY211">
            <v>54</v>
          </cell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</row>
        <row r="212">
          <cell r="A212">
            <v>705010836</v>
          </cell>
          <cell r="B212" t="str">
            <v>RH Fairing</v>
          </cell>
          <cell r="C212" t="str">
            <v>Vegas White</v>
          </cell>
          <cell r="D212">
            <v>184</v>
          </cell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/>
          <cell r="AG212"/>
          <cell r="AH212">
            <v>0</v>
          </cell>
          <cell r="AI212"/>
          <cell r="AJ212"/>
          <cell r="AK212"/>
          <cell r="AL212"/>
          <cell r="AM212">
            <v>0</v>
          </cell>
          <cell r="AN212">
            <v>0</v>
          </cell>
          <cell r="AO212"/>
          <cell r="AP212"/>
          <cell r="AQ212"/>
          <cell r="AR212"/>
          <cell r="AS212">
            <v>45</v>
          </cell>
          <cell r="AT212">
            <v>60</v>
          </cell>
          <cell r="AU212"/>
          <cell r="AV212"/>
          <cell r="AW212"/>
          <cell r="AX212">
            <v>45</v>
          </cell>
          <cell r="AY212">
            <v>34</v>
          </cell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</row>
        <row r="213">
          <cell r="A213">
            <v>705010844</v>
          </cell>
          <cell r="B213" t="str">
            <v>LH Fairing</v>
          </cell>
          <cell r="C213" t="str">
            <v>Vegas White</v>
          </cell>
          <cell r="D213">
            <v>180</v>
          </cell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/>
          <cell r="AG213"/>
          <cell r="AH213">
            <v>0</v>
          </cell>
          <cell r="AI213"/>
          <cell r="AJ213"/>
          <cell r="AK213"/>
          <cell r="AL213"/>
          <cell r="AM213">
            <v>0</v>
          </cell>
          <cell r="AN213">
            <v>0</v>
          </cell>
          <cell r="AO213"/>
          <cell r="AP213"/>
          <cell r="AQ213"/>
          <cell r="AR213"/>
          <cell r="AS213">
            <v>45</v>
          </cell>
          <cell r="AT213">
            <v>60</v>
          </cell>
          <cell r="AU213"/>
          <cell r="AV213"/>
          <cell r="AW213"/>
          <cell r="AX213">
            <v>45</v>
          </cell>
          <cell r="AY213"/>
          <cell r="AZ213"/>
          <cell r="BA213"/>
          <cell r="BB213"/>
          <cell r="BC213"/>
          <cell r="BD213">
            <v>30</v>
          </cell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</row>
        <row r="214">
          <cell r="A214">
            <v>705013326</v>
          </cell>
          <cell r="B214" t="str">
            <v>LH Fender</v>
          </cell>
          <cell r="C214" t="str">
            <v>Vegas White</v>
          </cell>
          <cell r="D214">
            <v>240</v>
          </cell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>
            <v>48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/>
          <cell r="AG214"/>
          <cell r="AH214">
            <v>0</v>
          </cell>
          <cell r="AI214"/>
          <cell r="AJ214"/>
          <cell r="AK214"/>
          <cell r="AL214"/>
          <cell r="AM214">
            <v>0</v>
          </cell>
          <cell r="AN214">
            <v>0</v>
          </cell>
          <cell r="AO214"/>
          <cell r="AP214"/>
          <cell r="AQ214"/>
          <cell r="AR214"/>
          <cell r="AS214">
            <v>48</v>
          </cell>
          <cell r="AT214">
            <v>96</v>
          </cell>
          <cell r="AU214"/>
          <cell r="AV214"/>
          <cell r="AW214"/>
          <cell r="AX214">
            <v>48</v>
          </cell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</row>
        <row r="215">
          <cell r="A215">
            <v>705013566</v>
          </cell>
          <cell r="B215" t="str">
            <v>RH Fender</v>
          </cell>
          <cell r="C215" t="str">
            <v>Vegas White</v>
          </cell>
          <cell r="D215">
            <v>240</v>
          </cell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/>
          <cell r="AG215"/>
          <cell r="AH215">
            <v>0</v>
          </cell>
          <cell r="AI215"/>
          <cell r="AJ215"/>
          <cell r="AK215"/>
          <cell r="AL215"/>
          <cell r="AM215">
            <v>0</v>
          </cell>
          <cell r="AN215">
            <v>0</v>
          </cell>
          <cell r="AO215"/>
          <cell r="AP215"/>
          <cell r="AQ215"/>
          <cell r="AR215"/>
          <cell r="AS215">
            <v>48</v>
          </cell>
          <cell r="AT215">
            <v>96</v>
          </cell>
          <cell r="AU215"/>
          <cell r="AV215"/>
          <cell r="AW215"/>
          <cell r="AX215">
            <v>96</v>
          </cell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</row>
        <row r="216">
          <cell r="A216">
            <v>708200677</v>
          </cell>
          <cell r="B216" t="str">
            <v>Hood</v>
          </cell>
          <cell r="C216" t="str">
            <v>Vegas White</v>
          </cell>
          <cell r="D216">
            <v>177</v>
          </cell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/>
          <cell r="AG216"/>
          <cell r="AH216">
            <v>0</v>
          </cell>
          <cell r="AI216"/>
          <cell r="AJ216"/>
          <cell r="AK216"/>
          <cell r="AL216"/>
          <cell r="AM216">
            <v>0</v>
          </cell>
          <cell r="AN216">
            <v>0</v>
          </cell>
          <cell r="AO216"/>
          <cell r="AP216"/>
          <cell r="AQ216"/>
          <cell r="AR216"/>
          <cell r="AS216">
            <v>36</v>
          </cell>
          <cell r="AT216">
            <v>54</v>
          </cell>
          <cell r="AU216"/>
          <cell r="AV216"/>
          <cell r="AW216"/>
          <cell r="AX216">
            <v>54</v>
          </cell>
          <cell r="AY216">
            <v>33</v>
          </cell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</row>
        <row r="217">
          <cell r="A217">
            <v>708200679</v>
          </cell>
          <cell r="B217" t="str">
            <v>LH Vent Panel</v>
          </cell>
          <cell r="C217" t="str">
            <v>Vegas White</v>
          </cell>
          <cell r="D217">
            <v>179</v>
          </cell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/>
          <cell r="AG217"/>
          <cell r="AH217">
            <v>0</v>
          </cell>
          <cell r="AI217"/>
          <cell r="AJ217"/>
          <cell r="AK217"/>
          <cell r="AL217"/>
          <cell r="AM217">
            <v>0</v>
          </cell>
          <cell r="AN217">
            <v>0</v>
          </cell>
          <cell r="AO217"/>
          <cell r="AP217"/>
          <cell r="AQ217"/>
          <cell r="AR217"/>
          <cell r="AS217">
            <v>40</v>
          </cell>
          <cell r="AT217">
            <v>60</v>
          </cell>
          <cell r="AU217"/>
          <cell r="AV217"/>
          <cell r="AW217"/>
          <cell r="AX217">
            <v>79</v>
          </cell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</row>
        <row r="218">
          <cell r="A218">
            <v>708200680</v>
          </cell>
          <cell r="B218" t="str">
            <v>RH Vent Panel</v>
          </cell>
          <cell r="C218" t="str">
            <v>Vegas White</v>
          </cell>
          <cell r="D218">
            <v>177</v>
          </cell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/>
          <cell r="AG218"/>
          <cell r="AH218">
            <v>0</v>
          </cell>
          <cell r="AI218"/>
          <cell r="AJ218"/>
          <cell r="AK218"/>
          <cell r="AL218"/>
          <cell r="AM218">
            <v>0</v>
          </cell>
          <cell r="AN218">
            <v>0</v>
          </cell>
          <cell r="AO218"/>
          <cell r="AP218"/>
          <cell r="AQ218"/>
          <cell r="AR218"/>
          <cell r="AS218">
            <v>40</v>
          </cell>
          <cell r="AT218">
            <v>60</v>
          </cell>
          <cell r="AU218"/>
          <cell r="AV218"/>
          <cell r="AW218"/>
          <cell r="AX218">
            <v>40</v>
          </cell>
          <cell r="AY218">
            <v>37</v>
          </cell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</row>
        <row r="219">
          <cell r="A219">
            <v>708200691</v>
          </cell>
          <cell r="B219" t="str">
            <v>Fascia</v>
          </cell>
          <cell r="C219" t="str">
            <v>Vegas White</v>
          </cell>
          <cell r="D219">
            <v>197</v>
          </cell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/>
          <cell r="AG219"/>
          <cell r="AH219">
            <v>0</v>
          </cell>
          <cell r="AI219"/>
          <cell r="AJ219"/>
          <cell r="AK219"/>
          <cell r="AL219"/>
          <cell r="AM219">
            <v>0</v>
          </cell>
          <cell r="AN219">
            <v>0</v>
          </cell>
          <cell r="AO219"/>
          <cell r="AP219"/>
          <cell r="AQ219"/>
          <cell r="AR219"/>
          <cell r="AS219">
            <v>40</v>
          </cell>
          <cell r="AT219">
            <v>72</v>
          </cell>
          <cell r="AU219"/>
          <cell r="AV219"/>
          <cell r="AW219"/>
          <cell r="AX219">
            <v>72</v>
          </cell>
          <cell r="AY219">
            <v>13</v>
          </cell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</row>
        <row r="220">
          <cell r="A220">
            <v>708301917</v>
          </cell>
          <cell r="B220" t="str">
            <v>LH Cover</v>
          </cell>
          <cell r="C220" t="str">
            <v>Vegas White</v>
          </cell>
          <cell r="D220">
            <v>170</v>
          </cell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>
            <v>20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/>
          <cell r="AG220"/>
          <cell r="AH220">
            <v>0</v>
          </cell>
          <cell r="AI220"/>
          <cell r="AJ220"/>
          <cell r="AK220"/>
          <cell r="AL220"/>
          <cell r="AM220">
            <v>0</v>
          </cell>
          <cell r="AN220">
            <v>0</v>
          </cell>
          <cell r="AO220"/>
          <cell r="AP220"/>
          <cell r="AQ220"/>
          <cell r="AR220"/>
          <cell r="AS220">
            <v>20</v>
          </cell>
          <cell r="AT220">
            <v>60</v>
          </cell>
          <cell r="AU220"/>
          <cell r="AV220"/>
          <cell r="AW220"/>
          <cell r="AX220">
            <v>60</v>
          </cell>
          <cell r="AY220">
            <v>10</v>
          </cell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</row>
        <row r="221">
          <cell r="A221">
            <v>708301922</v>
          </cell>
          <cell r="B221" t="str">
            <v>RH Cover</v>
          </cell>
          <cell r="C221" t="str">
            <v>Vegas White</v>
          </cell>
          <cell r="D221">
            <v>200</v>
          </cell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/>
          <cell r="AG221"/>
          <cell r="AH221">
            <v>0</v>
          </cell>
          <cell r="AI221"/>
          <cell r="AJ221"/>
          <cell r="AK221"/>
          <cell r="AL221"/>
          <cell r="AM221">
            <v>0</v>
          </cell>
          <cell r="AN221">
            <v>0</v>
          </cell>
          <cell r="AO221"/>
          <cell r="AP221"/>
          <cell r="AQ221"/>
          <cell r="AR221"/>
          <cell r="AS221">
            <v>40</v>
          </cell>
          <cell r="AT221">
            <v>80</v>
          </cell>
          <cell r="AU221"/>
          <cell r="AV221"/>
          <cell r="AW221"/>
          <cell r="AX221">
            <v>60</v>
          </cell>
          <cell r="AY221"/>
          <cell r="AZ221"/>
          <cell r="BA221"/>
          <cell r="BB221"/>
          <cell r="BC221"/>
          <cell r="BD221">
            <v>20</v>
          </cell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</row>
        <row r="222">
          <cell r="A222">
            <v>705019418</v>
          </cell>
          <cell r="B222" t="str">
            <v>LH Upper Fairing</v>
          </cell>
          <cell r="C222" t="str">
            <v>Vegas White</v>
          </cell>
          <cell r="D222">
            <v>100</v>
          </cell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>
            <v>0</v>
          </cell>
          <cell r="AI222"/>
          <cell r="AJ222"/>
          <cell r="AK222"/>
          <cell r="AL222"/>
          <cell r="AM222">
            <v>0</v>
          </cell>
          <cell r="AN222">
            <v>0</v>
          </cell>
          <cell r="AO222"/>
          <cell r="AP222"/>
          <cell r="AQ222"/>
          <cell r="AR222"/>
          <cell r="AS222"/>
          <cell r="AT222"/>
          <cell r="AU222"/>
          <cell r="AV222"/>
          <cell r="AW222"/>
          <cell r="AX222">
            <v>40</v>
          </cell>
          <cell r="AY222">
            <v>60</v>
          </cell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</row>
        <row r="223">
          <cell r="A223">
            <v>705019419</v>
          </cell>
          <cell r="B223" t="str">
            <v>RH Upper Fairing</v>
          </cell>
          <cell r="C223" t="str">
            <v>Vegas White</v>
          </cell>
          <cell r="D223">
            <v>100</v>
          </cell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>
            <v>0</v>
          </cell>
          <cell r="AI223"/>
          <cell r="AJ223"/>
          <cell r="AK223"/>
          <cell r="AL223"/>
          <cell r="AM223">
            <v>0</v>
          </cell>
          <cell r="AN223">
            <v>0</v>
          </cell>
          <cell r="AO223"/>
          <cell r="AP223"/>
          <cell r="AQ223"/>
          <cell r="AR223"/>
          <cell r="AS223"/>
          <cell r="AT223"/>
          <cell r="AU223"/>
          <cell r="AV223"/>
          <cell r="AW223"/>
          <cell r="AX223">
            <v>40</v>
          </cell>
          <cell r="AY223">
            <v>60</v>
          </cell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</row>
        <row r="224">
          <cell r="A224">
            <v>708201405</v>
          </cell>
          <cell r="B224" t="str">
            <v>LH Front Fairing</v>
          </cell>
          <cell r="C224" t="str">
            <v>Vegas White</v>
          </cell>
          <cell r="D224">
            <v>100</v>
          </cell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>
            <v>0</v>
          </cell>
          <cell r="AI224"/>
          <cell r="AJ224"/>
          <cell r="AK224"/>
          <cell r="AL224"/>
          <cell r="AM224">
            <v>0</v>
          </cell>
          <cell r="AN224">
            <v>0</v>
          </cell>
          <cell r="AO224"/>
          <cell r="AP224"/>
          <cell r="AQ224"/>
          <cell r="AR224"/>
          <cell r="AS224"/>
          <cell r="AT224"/>
          <cell r="AU224"/>
          <cell r="AV224"/>
          <cell r="AW224"/>
          <cell r="AX224">
            <v>48</v>
          </cell>
          <cell r="AY224">
            <v>52</v>
          </cell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</row>
        <row r="225">
          <cell r="A225">
            <v>708201406</v>
          </cell>
          <cell r="B225" t="str">
            <v>RH Front Fairing</v>
          </cell>
          <cell r="C225" t="str">
            <v>Vegas White</v>
          </cell>
          <cell r="D225">
            <v>100</v>
          </cell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>
            <v>0</v>
          </cell>
          <cell r="AI225"/>
          <cell r="AJ225"/>
          <cell r="AK225"/>
          <cell r="AL225"/>
          <cell r="AM225">
            <v>0</v>
          </cell>
          <cell r="AN225">
            <v>0</v>
          </cell>
          <cell r="AO225"/>
          <cell r="AP225"/>
          <cell r="AQ225"/>
          <cell r="AR225"/>
          <cell r="AS225"/>
          <cell r="AT225"/>
          <cell r="AU225"/>
          <cell r="AV225"/>
          <cell r="AW225"/>
          <cell r="AX225">
            <v>48</v>
          </cell>
          <cell r="AY225">
            <v>52</v>
          </cell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</row>
        <row r="226">
          <cell r="A226">
            <v>708201409</v>
          </cell>
          <cell r="B226" t="str">
            <v>R66 Hood</v>
          </cell>
          <cell r="C226" t="str">
            <v>Vegas White</v>
          </cell>
          <cell r="D226">
            <v>100</v>
          </cell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>
            <v>0</v>
          </cell>
          <cell r="AI226"/>
          <cell r="AJ226"/>
          <cell r="AK226"/>
          <cell r="AL226"/>
          <cell r="AM226">
            <v>0</v>
          </cell>
          <cell r="AN226">
            <v>0</v>
          </cell>
          <cell r="AO226"/>
          <cell r="AP226"/>
          <cell r="AQ226"/>
          <cell r="AR226"/>
          <cell r="AS226"/>
          <cell r="AT226"/>
          <cell r="AU226"/>
          <cell r="AV226"/>
          <cell r="AW226"/>
          <cell r="AX226">
            <v>36</v>
          </cell>
          <cell r="AY226">
            <v>64</v>
          </cell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</row>
        <row r="227">
          <cell r="A227">
            <v>708305094</v>
          </cell>
          <cell r="B227" t="str">
            <v>LH Box Cover</v>
          </cell>
          <cell r="C227" t="str">
            <v>Vegas White</v>
          </cell>
          <cell r="D227">
            <v>100</v>
          </cell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>
            <v>0</v>
          </cell>
          <cell r="AI227"/>
          <cell r="AJ227"/>
          <cell r="AK227"/>
          <cell r="AL227"/>
          <cell r="AM227">
            <v>0</v>
          </cell>
          <cell r="AN227">
            <v>0</v>
          </cell>
          <cell r="AO227"/>
          <cell r="AP227"/>
          <cell r="AQ227"/>
          <cell r="AR227"/>
          <cell r="AS227"/>
          <cell r="AT227"/>
          <cell r="AU227"/>
          <cell r="AV227"/>
          <cell r="AW227"/>
          <cell r="AX227">
            <v>30</v>
          </cell>
          <cell r="AY227">
            <v>70</v>
          </cell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</row>
        <row r="228">
          <cell r="A228">
            <v>708305095</v>
          </cell>
          <cell r="B228" t="str">
            <v>RH Box Cover</v>
          </cell>
          <cell r="C228" t="str">
            <v>Vegas White</v>
          </cell>
          <cell r="D228">
            <v>100</v>
          </cell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>
            <v>0</v>
          </cell>
          <cell r="AI228"/>
          <cell r="AJ228"/>
          <cell r="AK228"/>
          <cell r="AL228"/>
          <cell r="AM228">
            <v>0</v>
          </cell>
          <cell r="AN228">
            <v>0</v>
          </cell>
          <cell r="AO228"/>
          <cell r="AP228"/>
          <cell r="AQ228"/>
          <cell r="AR228"/>
          <cell r="AS228"/>
          <cell r="AT228"/>
          <cell r="AU228"/>
          <cell r="AV228"/>
          <cell r="AW228"/>
          <cell r="AX228">
            <v>30</v>
          </cell>
          <cell r="AY228">
            <v>70</v>
          </cell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>
            <v>0</v>
          </cell>
          <cell r="AN229">
            <v>0</v>
          </cell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</row>
        <row r="230">
          <cell r="A230">
            <v>705018578</v>
          </cell>
          <cell r="B230" t="str">
            <v>LH Fender</v>
          </cell>
          <cell r="C230" t="str">
            <v>Satin Vegas White</v>
          </cell>
          <cell r="D230">
            <v>672</v>
          </cell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/>
          <cell r="AG230"/>
          <cell r="AH230">
            <v>48</v>
          </cell>
          <cell r="AI230"/>
          <cell r="AJ230">
            <v>48</v>
          </cell>
          <cell r="AK230">
            <v>48</v>
          </cell>
          <cell r="AL230">
            <v>96</v>
          </cell>
          <cell r="AM230">
            <v>96</v>
          </cell>
          <cell r="AN230">
            <v>48</v>
          </cell>
          <cell r="AO230">
            <v>48</v>
          </cell>
          <cell r="AP230"/>
          <cell r="AQ230"/>
          <cell r="AR230">
            <v>48</v>
          </cell>
          <cell r="AS230">
            <v>48</v>
          </cell>
          <cell r="AT230"/>
          <cell r="AU230"/>
          <cell r="AV230"/>
          <cell r="AW230"/>
          <cell r="AX230"/>
          <cell r="AY230">
            <v>48</v>
          </cell>
          <cell r="AZ230">
            <v>48</v>
          </cell>
          <cell r="BA230">
            <v>48</v>
          </cell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</row>
        <row r="231">
          <cell r="A231">
            <v>705018579</v>
          </cell>
          <cell r="B231" t="str">
            <v>RH Fender</v>
          </cell>
          <cell r="C231" t="str">
            <v>Satin Vegas White</v>
          </cell>
          <cell r="D231">
            <v>672</v>
          </cell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/>
          <cell r="AG231"/>
          <cell r="AH231">
            <v>48</v>
          </cell>
          <cell r="AI231"/>
          <cell r="AJ231">
            <v>48</v>
          </cell>
          <cell r="AK231">
            <v>48</v>
          </cell>
          <cell r="AL231"/>
          <cell r="AM231">
            <v>96</v>
          </cell>
          <cell r="AN231">
            <v>96</v>
          </cell>
          <cell r="AO231"/>
          <cell r="AP231">
            <v>48</v>
          </cell>
          <cell r="AQ231"/>
          <cell r="AR231">
            <v>48</v>
          </cell>
          <cell r="AS231">
            <v>96</v>
          </cell>
          <cell r="AT231"/>
          <cell r="AU231"/>
          <cell r="AV231"/>
          <cell r="AW231"/>
          <cell r="AX231"/>
          <cell r="AY231">
            <v>48</v>
          </cell>
          <cell r="AZ231">
            <v>48</v>
          </cell>
          <cell r="BA231">
            <v>48</v>
          </cell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</row>
        <row r="232">
          <cell r="A232">
            <v>705018580</v>
          </cell>
          <cell r="B232" t="str">
            <v>LH Upper Fairing</v>
          </cell>
          <cell r="C232" t="str">
            <v>Satin Vegas White</v>
          </cell>
          <cell r="D232">
            <v>680</v>
          </cell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/>
          <cell r="AG232">
            <v>40</v>
          </cell>
          <cell r="AH232">
            <v>40</v>
          </cell>
          <cell r="AI232">
            <v>40</v>
          </cell>
          <cell r="AJ232">
            <v>40</v>
          </cell>
          <cell r="AK232">
            <v>40</v>
          </cell>
          <cell r="AL232">
            <v>40</v>
          </cell>
          <cell r="AM232">
            <v>40</v>
          </cell>
          <cell r="AN232">
            <v>80</v>
          </cell>
          <cell r="AO232">
            <v>40</v>
          </cell>
          <cell r="AP232"/>
          <cell r="AQ232"/>
          <cell r="AR232">
            <v>40</v>
          </cell>
          <cell r="AS232">
            <v>80</v>
          </cell>
          <cell r="AT232"/>
          <cell r="AU232"/>
          <cell r="AV232"/>
          <cell r="AW232"/>
          <cell r="AX232"/>
          <cell r="AY232">
            <v>40</v>
          </cell>
          <cell r="AZ232">
            <v>40</v>
          </cell>
          <cell r="BA232">
            <v>40</v>
          </cell>
          <cell r="BB232">
            <v>40</v>
          </cell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</row>
        <row r="233">
          <cell r="A233">
            <v>705018581</v>
          </cell>
          <cell r="B233" t="str">
            <v>RH Upper Fairing</v>
          </cell>
          <cell r="C233" t="str">
            <v>Satin Vegas White</v>
          </cell>
          <cell r="D233">
            <v>680</v>
          </cell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/>
          <cell r="AG233"/>
          <cell r="AH233">
            <v>40</v>
          </cell>
          <cell r="AI233">
            <v>40</v>
          </cell>
          <cell r="AJ233">
            <v>40</v>
          </cell>
          <cell r="AK233">
            <v>80</v>
          </cell>
          <cell r="AL233">
            <v>40</v>
          </cell>
          <cell r="AM233">
            <v>40</v>
          </cell>
          <cell r="AN233">
            <v>80</v>
          </cell>
          <cell r="AO233"/>
          <cell r="AP233"/>
          <cell r="AQ233"/>
          <cell r="AR233">
            <v>80</v>
          </cell>
          <cell r="AS233">
            <v>80</v>
          </cell>
          <cell r="AT233"/>
          <cell r="AU233"/>
          <cell r="AV233"/>
          <cell r="AW233"/>
          <cell r="AX233"/>
          <cell r="AY233">
            <v>40</v>
          </cell>
          <cell r="AZ233">
            <v>40</v>
          </cell>
          <cell r="BA233">
            <v>40</v>
          </cell>
          <cell r="BB233">
            <v>40</v>
          </cell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</row>
        <row r="234">
          <cell r="A234">
            <v>708003728</v>
          </cell>
          <cell r="B234" t="str">
            <v>Rear Fairing</v>
          </cell>
          <cell r="C234" t="str">
            <v>Satin Vegas White</v>
          </cell>
          <cell r="D234">
            <v>588</v>
          </cell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/>
          <cell r="AG234">
            <v>48</v>
          </cell>
          <cell r="AH234">
            <v>48</v>
          </cell>
          <cell r="AI234">
            <v>12</v>
          </cell>
          <cell r="AJ234">
            <v>0</v>
          </cell>
          <cell r="AK234">
            <v>96</v>
          </cell>
          <cell r="AL234">
            <v>60</v>
          </cell>
          <cell r="AM234">
            <v>48</v>
          </cell>
          <cell r="AN234">
            <v>12</v>
          </cell>
          <cell r="AO234">
            <v>12</v>
          </cell>
          <cell r="AP234">
            <v>48</v>
          </cell>
          <cell r="AQ234">
            <v>24</v>
          </cell>
          <cell r="AR234">
            <v>72</v>
          </cell>
          <cell r="AS234"/>
          <cell r="AT234"/>
          <cell r="AU234"/>
          <cell r="AV234"/>
          <cell r="AW234">
            <v>48</v>
          </cell>
          <cell r="AX234">
            <v>60</v>
          </cell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</row>
        <row r="235">
          <cell r="A235">
            <v>708201292</v>
          </cell>
          <cell r="B235" t="str">
            <v>LH Front Fairing</v>
          </cell>
          <cell r="C235" t="str">
            <v>Satin Vegas White</v>
          </cell>
          <cell r="D235">
            <v>656</v>
          </cell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/>
          <cell r="AG235">
            <v>32</v>
          </cell>
          <cell r="AH235">
            <v>16</v>
          </cell>
          <cell r="AI235">
            <v>32</v>
          </cell>
          <cell r="AJ235">
            <v>48</v>
          </cell>
          <cell r="AK235">
            <v>64</v>
          </cell>
          <cell r="AL235">
            <v>64</v>
          </cell>
          <cell r="AM235">
            <v>96</v>
          </cell>
          <cell r="AN235">
            <v>64</v>
          </cell>
          <cell r="AO235">
            <v>16</v>
          </cell>
          <cell r="AP235"/>
          <cell r="AQ235">
            <v>16</v>
          </cell>
          <cell r="AR235">
            <v>48</v>
          </cell>
          <cell r="AS235"/>
          <cell r="AT235">
            <v>16</v>
          </cell>
          <cell r="AU235"/>
          <cell r="AV235"/>
          <cell r="AW235"/>
          <cell r="AX235"/>
          <cell r="AY235">
            <v>48</v>
          </cell>
          <cell r="AZ235">
            <v>32</v>
          </cell>
          <cell r="BA235">
            <v>32</v>
          </cell>
          <cell r="BB235">
            <v>32</v>
          </cell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</row>
        <row r="236">
          <cell r="A236">
            <v>708201293</v>
          </cell>
          <cell r="B236" t="str">
            <v>RH Front Fairing</v>
          </cell>
          <cell r="C236" t="str">
            <v>Satin Vegas White</v>
          </cell>
          <cell r="D236">
            <v>656</v>
          </cell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/>
          <cell r="AG236">
            <v>32</v>
          </cell>
          <cell r="AH236">
            <v>16</v>
          </cell>
          <cell r="AI236">
            <v>16</v>
          </cell>
          <cell r="AJ236">
            <v>32</v>
          </cell>
          <cell r="AK236">
            <v>64</v>
          </cell>
          <cell r="AL236">
            <v>80</v>
          </cell>
          <cell r="AM236">
            <v>96</v>
          </cell>
          <cell r="AN236">
            <v>48</v>
          </cell>
          <cell r="AO236">
            <v>32</v>
          </cell>
          <cell r="AP236"/>
          <cell r="AQ236">
            <v>16</v>
          </cell>
          <cell r="AR236">
            <v>64</v>
          </cell>
          <cell r="AS236"/>
          <cell r="AT236">
            <v>32</v>
          </cell>
          <cell r="AU236"/>
          <cell r="AV236"/>
          <cell r="AW236"/>
          <cell r="AX236"/>
          <cell r="AY236">
            <v>32</v>
          </cell>
          <cell r="AZ236">
            <v>32</v>
          </cell>
          <cell r="BA236">
            <v>32</v>
          </cell>
          <cell r="BB236">
            <v>32</v>
          </cell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</row>
        <row r="237">
          <cell r="A237">
            <v>708201295</v>
          </cell>
          <cell r="B237" t="str">
            <v>R66 Hood</v>
          </cell>
          <cell r="C237" t="str">
            <v>Satin Vegas White</v>
          </cell>
          <cell r="D237">
            <v>666</v>
          </cell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/>
          <cell r="AG237">
            <v>18</v>
          </cell>
          <cell r="AH237">
            <v>18</v>
          </cell>
          <cell r="AI237">
            <v>18</v>
          </cell>
          <cell r="AJ237">
            <v>54</v>
          </cell>
          <cell r="AK237">
            <v>36</v>
          </cell>
          <cell r="AL237">
            <v>36</v>
          </cell>
          <cell r="AM237">
            <v>72</v>
          </cell>
          <cell r="AN237">
            <v>54</v>
          </cell>
          <cell r="AO237">
            <v>18</v>
          </cell>
          <cell r="AP237"/>
          <cell r="AQ237">
            <v>18</v>
          </cell>
          <cell r="AR237">
            <v>108</v>
          </cell>
          <cell r="AS237">
            <v>54</v>
          </cell>
          <cell r="AT237">
            <v>18</v>
          </cell>
          <cell r="AU237"/>
          <cell r="AV237"/>
          <cell r="AW237"/>
          <cell r="AX237"/>
          <cell r="AY237">
            <v>36</v>
          </cell>
          <cell r="AZ237">
            <v>36</v>
          </cell>
          <cell r="BA237">
            <v>36</v>
          </cell>
          <cell r="BB237">
            <v>36</v>
          </cell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</row>
        <row r="238">
          <cell r="A238">
            <v>708304714</v>
          </cell>
          <cell r="B238" t="str">
            <v>Central Cover</v>
          </cell>
          <cell r="C238" t="str">
            <v>Satin Vegas White</v>
          </cell>
          <cell r="D238">
            <v>672</v>
          </cell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/>
          <cell r="AG238">
            <v>14</v>
          </cell>
          <cell r="AH238">
            <v>14</v>
          </cell>
          <cell r="AI238">
            <v>28</v>
          </cell>
          <cell r="AJ238">
            <v>28</v>
          </cell>
          <cell r="AK238">
            <v>14</v>
          </cell>
          <cell r="AL238">
            <v>42</v>
          </cell>
          <cell r="AM238">
            <v>56</v>
          </cell>
          <cell r="AN238">
            <v>28</v>
          </cell>
          <cell r="AO238">
            <v>14</v>
          </cell>
          <cell r="AP238">
            <v>28</v>
          </cell>
          <cell r="AQ238">
            <v>14</v>
          </cell>
          <cell r="AR238">
            <v>140</v>
          </cell>
          <cell r="AS238">
            <v>112</v>
          </cell>
          <cell r="AT238"/>
          <cell r="AU238"/>
          <cell r="AV238"/>
          <cell r="AW238"/>
          <cell r="AX238"/>
          <cell r="AY238">
            <v>42</v>
          </cell>
          <cell r="AZ238">
            <v>42</v>
          </cell>
          <cell r="BA238">
            <v>42</v>
          </cell>
          <cell r="BB238">
            <v>14</v>
          </cell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</row>
        <row r="239">
          <cell r="A239">
            <v>708304715</v>
          </cell>
          <cell r="B239" t="str">
            <v>LH F3T Panel</v>
          </cell>
          <cell r="C239" t="str">
            <v>Satin Vegas White</v>
          </cell>
          <cell r="D239">
            <v>660</v>
          </cell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/>
          <cell r="AG239"/>
          <cell r="AH239">
            <v>30</v>
          </cell>
          <cell r="AI239">
            <v>60</v>
          </cell>
          <cell r="AJ239">
            <v>60</v>
          </cell>
          <cell r="AK239"/>
          <cell r="AL239">
            <v>30</v>
          </cell>
          <cell r="AM239">
            <v>30</v>
          </cell>
          <cell r="AN239">
            <v>90</v>
          </cell>
          <cell r="AO239">
            <v>30</v>
          </cell>
          <cell r="AP239">
            <v>30</v>
          </cell>
          <cell r="AQ239">
            <v>30</v>
          </cell>
          <cell r="AR239">
            <v>60</v>
          </cell>
          <cell r="AS239">
            <v>60</v>
          </cell>
          <cell r="AT239">
            <v>30</v>
          </cell>
          <cell r="AU239"/>
          <cell r="AV239"/>
          <cell r="AW239"/>
          <cell r="AX239"/>
          <cell r="AY239">
            <v>30</v>
          </cell>
          <cell r="AZ239">
            <v>30</v>
          </cell>
          <cell r="BA239">
            <v>30</v>
          </cell>
          <cell r="BB239">
            <v>30</v>
          </cell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</row>
        <row r="240">
          <cell r="A240">
            <v>708304716</v>
          </cell>
          <cell r="B240" t="str">
            <v>RH F3T Panel</v>
          </cell>
          <cell r="C240" t="str">
            <v>Satin Vegas White</v>
          </cell>
          <cell r="D240">
            <v>660</v>
          </cell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/>
          <cell r="AG240"/>
          <cell r="AH240">
            <v>30</v>
          </cell>
          <cell r="AI240">
            <v>60</v>
          </cell>
          <cell r="AJ240">
            <v>60</v>
          </cell>
          <cell r="AK240"/>
          <cell r="AL240">
            <v>30</v>
          </cell>
          <cell r="AM240">
            <v>30</v>
          </cell>
          <cell r="AN240">
            <v>60</v>
          </cell>
          <cell r="AO240">
            <v>30</v>
          </cell>
          <cell r="AP240">
            <v>30</v>
          </cell>
          <cell r="AQ240">
            <v>30</v>
          </cell>
          <cell r="AR240">
            <v>60</v>
          </cell>
          <cell r="AS240">
            <v>90</v>
          </cell>
          <cell r="AT240"/>
          <cell r="AU240"/>
          <cell r="AV240"/>
          <cell r="AW240"/>
          <cell r="AX240"/>
          <cell r="AY240">
            <v>60</v>
          </cell>
          <cell r="AZ240">
            <v>30</v>
          </cell>
          <cell r="BA240">
            <v>30</v>
          </cell>
          <cell r="BB240">
            <v>30</v>
          </cell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</row>
        <row r="241">
          <cell r="A241">
            <v>708304717</v>
          </cell>
          <cell r="B241" t="str">
            <v>LH Box Cover</v>
          </cell>
          <cell r="C241" t="str">
            <v>Satin Vegas White</v>
          </cell>
          <cell r="D241">
            <v>660</v>
          </cell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/>
          <cell r="AG241"/>
          <cell r="AH241">
            <v>30</v>
          </cell>
          <cell r="AI241">
            <v>30</v>
          </cell>
          <cell r="AJ241">
            <v>60</v>
          </cell>
          <cell r="AK241">
            <v>30</v>
          </cell>
          <cell r="AL241">
            <v>60</v>
          </cell>
          <cell r="AM241">
            <v>60</v>
          </cell>
          <cell r="AN241">
            <v>30</v>
          </cell>
          <cell r="AO241">
            <v>30</v>
          </cell>
          <cell r="AP241"/>
          <cell r="AQ241"/>
          <cell r="AR241">
            <v>60</v>
          </cell>
          <cell r="AS241">
            <v>90</v>
          </cell>
          <cell r="AT241">
            <v>30</v>
          </cell>
          <cell r="AU241"/>
          <cell r="AV241"/>
          <cell r="AW241"/>
          <cell r="AX241"/>
          <cell r="AY241">
            <v>60</v>
          </cell>
          <cell r="AZ241">
            <v>30</v>
          </cell>
          <cell r="BA241">
            <v>30</v>
          </cell>
          <cell r="BB241">
            <v>30</v>
          </cell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</row>
        <row r="242">
          <cell r="A242">
            <v>708304718</v>
          </cell>
          <cell r="B242" t="str">
            <v>RH Box Cover</v>
          </cell>
          <cell r="C242" t="str">
            <v>Satin Vegas White</v>
          </cell>
          <cell r="D242">
            <v>630</v>
          </cell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/>
          <cell r="AG242">
            <v>30</v>
          </cell>
          <cell r="AH242">
            <v>0</v>
          </cell>
          <cell r="AI242">
            <v>60</v>
          </cell>
          <cell r="AJ242">
            <v>30</v>
          </cell>
          <cell r="AK242">
            <v>60</v>
          </cell>
          <cell r="AL242">
            <v>30</v>
          </cell>
          <cell r="AM242">
            <v>90</v>
          </cell>
          <cell r="AN242">
            <v>30</v>
          </cell>
          <cell r="AO242">
            <v>30</v>
          </cell>
          <cell r="AP242"/>
          <cell r="AQ242"/>
          <cell r="AR242">
            <v>60</v>
          </cell>
          <cell r="AS242">
            <v>60</v>
          </cell>
          <cell r="AT242">
            <v>30</v>
          </cell>
          <cell r="AU242"/>
          <cell r="AV242"/>
          <cell r="AW242"/>
          <cell r="AX242"/>
          <cell r="AY242">
            <v>30</v>
          </cell>
          <cell r="AZ242">
            <v>30</v>
          </cell>
          <cell r="BA242">
            <v>30</v>
          </cell>
          <cell r="BB242">
            <v>30</v>
          </cell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</row>
        <row r="243">
          <cell r="A243">
            <v>0</v>
          </cell>
          <cell r="B243">
            <v>0</v>
          </cell>
          <cell r="C243">
            <v>0</v>
          </cell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>
            <v>0</v>
          </cell>
          <cell r="AN243">
            <v>0</v>
          </cell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</row>
        <row r="244">
          <cell r="A244">
            <v>705019146</v>
          </cell>
          <cell r="B244" t="str">
            <v>LH Fender</v>
          </cell>
          <cell r="C244" t="str">
            <v>British Green</v>
          </cell>
          <cell r="D244">
            <v>303</v>
          </cell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>
            <v>96</v>
          </cell>
          <cell r="AA244">
            <v>0</v>
          </cell>
          <cell r="AB244">
            <v>0</v>
          </cell>
          <cell r="AC244">
            <v>0</v>
          </cell>
          <cell r="AD244">
            <v>17</v>
          </cell>
          <cell r="AE244">
            <v>0</v>
          </cell>
          <cell r="AF244"/>
          <cell r="AG244"/>
          <cell r="AH244">
            <v>0</v>
          </cell>
          <cell r="AI244"/>
          <cell r="AJ244"/>
          <cell r="AK244"/>
          <cell r="AL244"/>
          <cell r="AM244">
            <v>0</v>
          </cell>
          <cell r="AN244">
            <v>0</v>
          </cell>
          <cell r="AO244"/>
          <cell r="AP244"/>
          <cell r="AQ244"/>
          <cell r="AR244"/>
          <cell r="AS244"/>
          <cell r="AT244">
            <v>48</v>
          </cell>
          <cell r="AU244">
            <v>96</v>
          </cell>
          <cell r="AV244"/>
          <cell r="AW244"/>
          <cell r="AX244"/>
          <cell r="AY244"/>
          <cell r="AZ244">
            <v>46</v>
          </cell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</row>
        <row r="245">
          <cell r="A245">
            <v>705019147</v>
          </cell>
          <cell r="B245" t="str">
            <v>RH Fender</v>
          </cell>
          <cell r="C245" t="str">
            <v>British Green</v>
          </cell>
          <cell r="D245">
            <v>303</v>
          </cell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>
            <v>96</v>
          </cell>
          <cell r="AA245">
            <v>0</v>
          </cell>
          <cell r="AB245">
            <v>0</v>
          </cell>
          <cell r="AC245">
            <v>0</v>
          </cell>
          <cell r="AD245">
            <v>8</v>
          </cell>
          <cell r="AE245">
            <v>0</v>
          </cell>
          <cell r="AF245"/>
          <cell r="AG245"/>
          <cell r="AH245">
            <v>0</v>
          </cell>
          <cell r="AI245"/>
          <cell r="AJ245"/>
          <cell r="AK245"/>
          <cell r="AL245"/>
          <cell r="AM245">
            <v>0</v>
          </cell>
          <cell r="AN245">
            <v>0</v>
          </cell>
          <cell r="AO245"/>
          <cell r="AP245"/>
          <cell r="AQ245"/>
          <cell r="AR245"/>
          <cell r="AS245"/>
          <cell r="AT245">
            <v>48</v>
          </cell>
          <cell r="AU245">
            <v>96</v>
          </cell>
          <cell r="AV245"/>
          <cell r="AW245"/>
          <cell r="AX245"/>
          <cell r="AY245"/>
          <cell r="AZ245">
            <v>55</v>
          </cell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</row>
        <row r="246">
          <cell r="A246">
            <v>705019161</v>
          </cell>
          <cell r="B246" t="str">
            <v>LH F3T Low Fairing</v>
          </cell>
          <cell r="C246" t="str">
            <v>British Green</v>
          </cell>
          <cell r="D246">
            <v>303</v>
          </cell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>
            <v>80</v>
          </cell>
          <cell r="AA246">
            <v>0</v>
          </cell>
          <cell r="AB246">
            <v>0</v>
          </cell>
          <cell r="AC246">
            <v>0</v>
          </cell>
          <cell r="AD246">
            <v>37</v>
          </cell>
          <cell r="AE246">
            <v>0</v>
          </cell>
          <cell r="AF246"/>
          <cell r="AG246"/>
          <cell r="AH246">
            <v>0</v>
          </cell>
          <cell r="AI246"/>
          <cell r="AJ246"/>
          <cell r="AK246"/>
          <cell r="AL246"/>
          <cell r="AM246">
            <v>0</v>
          </cell>
          <cell r="AN246">
            <v>0</v>
          </cell>
          <cell r="AO246"/>
          <cell r="AP246"/>
          <cell r="AQ246"/>
          <cell r="AR246"/>
          <cell r="AS246"/>
          <cell r="AT246">
            <v>40</v>
          </cell>
          <cell r="AU246">
            <v>80</v>
          </cell>
          <cell r="AV246">
            <v>40</v>
          </cell>
          <cell r="AW246"/>
          <cell r="AX246"/>
          <cell r="AY246"/>
          <cell r="AZ246">
            <v>26</v>
          </cell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</row>
        <row r="247">
          <cell r="A247">
            <v>705019162</v>
          </cell>
          <cell r="B247" t="str">
            <v>RH F3T Low Fairing</v>
          </cell>
          <cell r="C247" t="str">
            <v>British Green</v>
          </cell>
          <cell r="D247">
            <v>302</v>
          </cell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>
            <v>80</v>
          </cell>
          <cell r="AA247">
            <v>0</v>
          </cell>
          <cell r="AB247">
            <v>0</v>
          </cell>
          <cell r="AC247">
            <v>40</v>
          </cell>
          <cell r="AD247">
            <v>10</v>
          </cell>
          <cell r="AE247">
            <v>0</v>
          </cell>
          <cell r="AF247"/>
          <cell r="AG247"/>
          <cell r="AH247">
            <v>0</v>
          </cell>
          <cell r="AI247"/>
          <cell r="AJ247"/>
          <cell r="AK247"/>
          <cell r="AL247"/>
          <cell r="AM247">
            <v>0</v>
          </cell>
          <cell r="AN247">
            <v>0</v>
          </cell>
          <cell r="AO247"/>
          <cell r="AP247"/>
          <cell r="AQ247"/>
          <cell r="AR247"/>
          <cell r="AS247"/>
          <cell r="AT247">
            <v>40</v>
          </cell>
          <cell r="AU247">
            <v>80</v>
          </cell>
          <cell r="AV247">
            <v>40</v>
          </cell>
          <cell r="AW247"/>
          <cell r="AX247"/>
          <cell r="AY247"/>
          <cell r="AZ247">
            <v>12</v>
          </cell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</row>
        <row r="248">
          <cell r="A248">
            <v>705019165</v>
          </cell>
          <cell r="B248" t="str">
            <v>LH Fairing</v>
          </cell>
          <cell r="C248" t="str">
            <v>British Green</v>
          </cell>
          <cell r="D248">
            <v>303</v>
          </cell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>
            <v>45</v>
          </cell>
          <cell r="AA248">
            <v>45</v>
          </cell>
          <cell r="AB248">
            <v>0</v>
          </cell>
          <cell r="AC248">
            <v>0</v>
          </cell>
          <cell r="AD248">
            <v>11</v>
          </cell>
          <cell r="AE248">
            <v>0</v>
          </cell>
          <cell r="AF248"/>
          <cell r="AG248"/>
          <cell r="AH248">
            <v>0</v>
          </cell>
          <cell r="AI248"/>
          <cell r="AJ248"/>
          <cell r="AK248"/>
          <cell r="AL248"/>
          <cell r="AM248">
            <v>0</v>
          </cell>
          <cell r="AN248">
            <v>0</v>
          </cell>
          <cell r="AO248"/>
          <cell r="AP248"/>
          <cell r="AQ248"/>
          <cell r="AR248"/>
          <cell r="AS248"/>
          <cell r="AT248">
            <v>30</v>
          </cell>
          <cell r="AU248">
            <v>75</v>
          </cell>
          <cell r="AV248">
            <v>45</v>
          </cell>
          <cell r="AW248"/>
          <cell r="AX248"/>
          <cell r="AY248"/>
          <cell r="AZ248">
            <v>52</v>
          </cell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</row>
        <row r="249">
          <cell r="A249">
            <v>705019166</v>
          </cell>
          <cell r="B249" t="str">
            <v>RH Fairing</v>
          </cell>
          <cell r="C249" t="str">
            <v>British Green</v>
          </cell>
          <cell r="D249">
            <v>303</v>
          </cell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>
            <v>75</v>
          </cell>
          <cell r="AA249">
            <v>15</v>
          </cell>
          <cell r="AB249">
            <v>0</v>
          </cell>
          <cell r="AC249">
            <v>0</v>
          </cell>
          <cell r="AD249">
            <v>7</v>
          </cell>
          <cell r="AE249">
            <v>0</v>
          </cell>
          <cell r="AF249"/>
          <cell r="AG249"/>
          <cell r="AH249">
            <v>0</v>
          </cell>
          <cell r="AI249"/>
          <cell r="AJ249"/>
          <cell r="AK249"/>
          <cell r="AL249"/>
          <cell r="AM249">
            <v>0</v>
          </cell>
          <cell r="AN249">
            <v>0</v>
          </cell>
          <cell r="AO249"/>
          <cell r="AP249"/>
          <cell r="AQ249"/>
          <cell r="AR249"/>
          <cell r="AS249"/>
          <cell r="AT249">
            <v>30</v>
          </cell>
          <cell r="AU249">
            <v>75</v>
          </cell>
          <cell r="AV249">
            <v>45</v>
          </cell>
          <cell r="AW249"/>
          <cell r="AX249"/>
          <cell r="AY249"/>
          <cell r="AZ249">
            <v>56</v>
          </cell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</row>
        <row r="250">
          <cell r="A250">
            <v>708201336</v>
          </cell>
          <cell r="B250" t="str">
            <v>Hood</v>
          </cell>
          <cell r="C250" t="str">
            <v>British Green</v>
          </cell>
          <cell r="D250">
            <v>306</v>
          </cell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>
            <v>72</v>
          </cell>
          <cell r="AA250">
            <v>27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/>
          <cell r="AG250"/>
          <cell r="AH250">
            <v>0</v>
          </cell>
          <cell r="AI250"/>
          <cell r="AJ250"/>
          <cell r="AK250"/>
          <cell r="AL250"/>
          <cell r="AM250">
            <v>0</v>
          </cell>
          <cell r="AN250">
            <v>0</v>
          </cell>
          <cell r="AO250"/>
          <cell r="AP250"/>
          <cell r="AQ250"/>
          <cell r="AR250"/>
          <cell r="AS250"/>
          <cell r="AT250">
            <v>27</v>
          </cell>
          <cell r="AU250">
            <v>72</v>
          </cell>
          <cell r="AV250">
            <v>36</v>
          </cell>
          <cell r="AW250"/>
          <cell r="AX250"/>
          <cell r="AY250"/>
          <cell r="AZ250">
            <v>72</v>
          </cell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</row>
        <row r="251">
          <cell r="A251">
            <v>708201337</v>
          </cell>
          <cell r="B251" t="str">
            <v>LH Vent Panel</v>
          </cell>
          <cell r="C251" t="str">
            <v>British Green</v>
          </cell>
          <cell r="D251">
            <v>303</v>
          </cell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>
            <v>100</v>
          </cell>
          <cell r="AA251">
            <v>0</v>
          </cell>
          <cell r="AB251">
            <v>0</v>
          </cell>
          <cell r="AC251">
            <v>0</v>
          </cell>
          <cell r="AD251">
            <v>12</v>
          </cell>
          <cell r="AE251">
            <v>0</v>
          </cell>
          <cell r="AF251"/>
          <cell r="AG251"/>
          <cell r="AH251">
            <v>0</v>
          </cell>
          <cell r="AI251"/>
          <cell r="AJ251"/>
          <cell r="AK251"/>
          <cell r="AL251"/>
          <cell r="AM251">
            <v>0</v>
          </cell>
          <cell r="AN251">
            <v>0</v>
          </cell>
          <cell r="AO251"/>
          <cell r="AP251"/>
          <cell r="AQ251"/>
          <cell r="AR251"/>
          <cell r="AS251"/>
          <cell r="AT251">
            <v>40</v>
          </cell>
          <cell r="AU251">
            <v>80</v>
          </cell>
          <cell r="AV251">
            <v>20</v>
          </cell>
          <cell r="AW251"/>
          <cell r="AX251"/>
          <cell r="AY251"/>
          <cell r="AZ251">
            <v>51</v>
          </cell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</row>
        <row r="252">
          <cell r="A252">
            <v>708201338</v>
          </cell>
          <cell r="B252" t="str">
            <v>RH Vent Panel</v>
          </cell>
          <cell r="C252" t="str">
            <v>British Green</v>
          </cell>
          <cell r="D252">
            <v>303</v>
          </cell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>
            <v>100</v>
          </cell>
          <cell r="AA252">
            <v>0</v>
          </cell>
          <cell r="AB252">
            <v>0</v>
          </cell>
          <cell r="AC252">
            <v>0</v>
          </cell>
          <cell r="AD252">
            <v>16</v>
          </cell>
          <cell r="AE252">
            <v>0</v>
          </cell>
          <cell r="AF252"/>
          <cell r="AG252"/>
          <cell r="AH252">
            <v>0</v>
          </cell>
          <cell r="AI252"/>
          <cell r="AJ252"/>
          <cell r="AK252"/>
          <cell r="AL252"/>
          <cell r="AM252">
            <v>0</v>
          </cell>
          <cell r="AN252">
            <v>0</v>
          </cell>
          <cell r="AO252"/>
          <cell r="AP252"/>
          <cell r="AQ252"/>
          <cell r="AR252"/>
          <cell r="AS252"/>
          <cell r="AT252">
            <v>40</v>
          </cell>
          <cell r="AU252">
            <v>80</v>
          </cell>
          <cell r="AV252">
            <v>20</v>
          </cell>
          <cell r="AW252"/>
          <cell r="AX252"/>
          <cell r="AY252"/>
          <cell r="AZ252">
            <v>47</v>
          </cell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</row>
        <row r="253">
          <cell r="A253">
            <v>708201339</v>
          </cell>
          <cell r="B253" t="str">
            <v>Fascia</v>
          </cell>
          <cell r="C253" t="str">
            <v>British Green</v>
          </cell>
          <cell r="D253">
            <v>304</v>
          </cell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>
            <v>56</v>
          </cell>
          <cell r="AA253">
            <v>40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/>
          <cell r="AG253"/>
          <cell r="AH253">
            <v>0</v>
          </cell>
          <cell r="AI253"/>
          <cell r="AJ253"/>
          <cell r="AK253"/>
          <cell r="AL253"/>
          <cell r="AM253">
            <v>0</v>
          </cell>
          <cell r="AN253">
            <v>0</v>
          </cell>
          <cell r="AO253"/>
          <cell r="AP253"/>
          <cell r="AQ253"/>
          <cell r="AR253"/>
          <cell r="AS253"/>
          <cell r="AT253">
            <v>32</v>
          </cell>
          <cell r="AU253">
            <v>80</v>
          </cell>
          <cell r="AV253">
            <v>32</v>
          </cell>
          <cell r="AW253"/>
          <cell r="AX253"/>
          <cell r="AY253"/>
          <cell r="AZ253">
            <v>63</v>
          </cell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</row>
        <row r="254">
          <cell r="A254">
            <v>708304979</v>
          </cell>
          <cell r="B254" t="str">
            <v>LH Cover</v>
          </cell>
          <cell r="C254" t="str">
            <v>British Green</v>
          </cell>
          <cell r="D254">
            <v>308</v>
          </cell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>
            <v>100</v>
          </cell>
          <cell r="AA254">
            <v>0</v>
          </cell>
          <cell r="AB254">
            <v>0</v>
          </cell>
          <cell r="AC254">
            <v>0</v>
          </cell>
          <cell r="AD254">
            <v>16</v>
          </cell>
          <cell r="AE254">
            <v>0</v>
          </cell>
          <cell r="AF254"/>
          <cell r="AG254"/>
          <cell r="AH254">
            <v>0</v>
          </cell>
          <cell r="AI254"/>
          <cell r="AJ254"/>
          <cell r="AK254"/>
          <cell r="AL254"/>
          <cell r="AM254">
            <v>0</v>
          </cell>
          <cell r="AN254">
            <v>0</v>
          </cell>
          <cell r="AO254"/>
          <cell r="AP254"/>
          <cell r="AQ254"/>
          <cell r="AR254"/>
          <cell r="AS254"/>
          <cell r="AT254">
            <v>40</v>
          </cell>
          <cell r="AU254">
            <v>80</v>
          </cell>
          <cell r="AV254">
            <v>20</v>
          </cell>
          <cell r="AW254"/>
          <cell r="AX254"/>
          <cell r="AY254"/>
          <cell r="AZ254">
            <v>52</v>
          </cell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</row>
        <row r="255">
          <cell r="A255">
            <v>708304980</v>
          </cell>
          <cell r="B255" t="str">
            <v>RH Cover</v>
          </cell>
          <cell r="C255" t="str">
            <v>British Green</v>
          </cell>
          <cell r="D255">
            <v>303</v>
          </cell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>
            <v>60</v>
          </cell>
          <cell r="AA255">
            <v>40</v>
          </cell>
          <cell r="AB255">
            <v>0</v>
          </cell>
          <cell r="AC255">
            <v>0</v>
          </cell>
          <cell r="AD255">
            <v>2</v>
          </cell>
          <cell r="AE255">
            <v>0</v>
          </cell>
          <cell r="AF255"/>
          <cell r="AG255"/>
          <cell r="AH255">
            <v>0</v>
          </cell>
          <cell r="AI255"/>
          <cell r="AJ255"/>
          <cell r="AK255"/>
          <cell r="AL255"/>
          <cell r="AM255">
            <v>0</v>
          </cell>
          <cell r="AN255">
            <v>0</v>
          </cell>
          <cell r="AO255"/>
          <cell r="AP255"/>
          <cell r="AQ255"/>
          <cell r="AR255"/>
          <cell r="AS255"/>
          <cell r="AT255">
            <v>40</v>
          </cell>
          <cell r="AU255">
            <v>80</v>
          </cell>
          <cell r="AV255">
            <v>20</v>
          </cell>
          <cell r="AW255"/>
          <cell r="AX255"/>
          <cell r="AY255"/>
          <cell r="AZ255">
            <v>61</v>
          </cell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</row>
        <row r="256">
          <cell r="A256">
            <v>708304987</v>
          </cell>
          <cell r="B256" t="str">
            <v>LH F3T Panel</v>
          </cell>
          <cell r="C256" t="str">
            <v>British Green</v>
          </cell>
          <cell r="D256">
            <v>303</v>
          </cell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>
            <v>90</v>
          </cell>
          <cell r="AA256">
            <v>0</v>
          </cell>
          <cell r="AB256">
            <v>0</v>
          </cell>
          <cell r="AC256">
            <v>0</v>
          </cell>
          <cell r="AD256">
            <v>7</v>
          </cell>
          <cell r="AE256">
            <v>0</v>
          </cell>
          <cell r="AF256"/>
          <cell r="AG256"/>
          <cell r="AH256">
            <v>0</v>
          </cell>
          <cell r="AI256"/>
          <cell r="AJ256"/>
          <cell r="AK256"/>
          <cell r="AL256"/>
          <cell r="AM256">
            <v>0</v>
          </cell>
          <cell r="AN256">
            <v>0</v>
          </cell>
          <cell r="AO256"/>
          <cell r="AP256"/>
          <cell r="AQ256"/>
          <cell r="AR256"/>
          <cell r="AS256"/>
          <cell r="AT256">
            <v>60</v>
          </cell>
          <cell r="AU256">
            <v>60</v>
          </cell>
          <cell r="AV256">
            <v>30</v>
          </cell>
          <cell r="AW256"/>
          <cell r="AX256"/>
          <cell r="AY256"/>
          <cell r="AZ256">
            <v>56</v>
          </cell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</row>
        <row r="257">
          <cell r="A257">
            <v>708304988</v>
          </cell>
          <cell r="B257" t="str">
            <v>RH F3T Panel</v>
          </cell>
          <cell r="C257" t="str">
            <v>British Green</v>
          </cell>
          <cell r="D257">
            <v>303</v>
          </cell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>
            <v>60</v>
          </cell>
          <cell r="AA257">
            <v>30</v>
          </cell>
          <cell r="AB257">
            <v>0</v>
          </cell>
          <cell r="AC257">
            <v>0</v>
          </cell>
          <cell r="AD257">
            <v>9</v>
          </cell>
          <cell r="AE257">
            <v>0</v>
          </cell>
          <cell r="AF257"/>
          <cell r="AG257"/>
          <cell r="AH257">
            <v>0</v>
          </cell>
          <cell r="AI257"/>
          <cell r="AJ257"/>
          <cell r="AK257"/>
          <cell r="AL257"/>
          <cell r="AM257">
            <v>0</v>
          </cell>
          <cell r="AN257">
            <v>0</v>
          </cell>
          <cell r="AO257"/>
          <cell r="AP257"/>
          <cell r="AQ257"/>
          <cell r="AR257"/>
          <cell r="AS257"/>
          <cell r="AT257">
            <v>60</v>
          </cell>
          <cell r="AU257">
            <v>60</v>
          </cell>
          <cell r="AV257">
            <v>30</v>
          </cell>
          <cell r="AW257"/>
          <cell r="AX257"/>
          <cell r="AY257"/>
          <cell r="AZ257">
            <v>54</v>
          </cell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AC57-C160-4C9E-8144-E9DC17F2D671}">
  <dimension ref="A3:A7"/>
  <sheetViews>
    <sheetView zoomScale="120" zoomScaleNormal="120" workbookViewId="0">
      <selection activeCell="B15" sqref="B15"/>
    </sheetView>
  </sheetViews>
  <sheetFormatPr defaultRowHeight="14.5" x14ac:dyDescent="0.35"/>
  <sheetData>
    <row r="3" spans="1:1" s="1" customFormat="1" ht="21.75" customHeight="1" x14ac:dyDescent="0.35">
      <c r="A3" s="6" t="s">
        <v>64</v>
      </c>
    </row>
    <row r="4" spans="1:1" s="1" customFormat="1" ht="21.75" customHeight="1" x14ac:dyDescent="0.35">
      <c r="A4" s="6" t="s">
        <v>57</v>
      </c>
    </row>
    <row r="5" spans="1:1" s="1" customFormat="1" ht="21.75" customHeight="1" x14ac:dyDescent="0.35">
      <c r="A5" s="6" t="s">
        <v>56</v>
      </c>
    </row>
    <row r="6" spans="1:1" s="1" customFormat="1" ht="21.75" customHeight="1" x14ac:dyDescent="0.35">
      <c r="A6" s="6" t="s">
        <v>58</v>
      </c>
    </row>
    <row r="7" spans="1:1" s="1" customFormat="1" ht="21.75" customHeight="1" x14ac:dyDescent="0.35">
      <c r="A7" s="6" t="s">
        <v>59</v>
      </c>
    </row>
  </sheetData>
  <pageMargins left="0.7" right="0.7" top="0.75" bottom="0.75" header="0.3" footer="0.3"/>
  <pageSetup orientation="portrait" verticalDpi="0" r:id="rId1"/>
  <headerFooter>
    <oddFooter>&amp;L8.2.2.3.1.7 BRP actual vs target&amp;RCreated:12/30/24 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4CCF-52DF-42DA-AEFB-86C9421F8C76}">
  <dimension ref="A1:M85"/>
  <sheetViews>
    <sheetView zoomScaleNormal="100" workbookViewId="0">
      <selection activeCell="B15" sqref="B15"/>
    </sheetView>
  </sheetViews>
  <sheetFormatPr defaultRowHeight="16" x14ac:dyDescent="0.4"/>
  <cols>
    <col min="1" max="1" width="12.1796875" customWidth="1"/>
    <col min="2" max="2" width="23" bestFit="1" customWidth="1"/>
    <col min="3" max="3" width="16.7265625" bestFit="1" customWidth="1"/>
    <col min="4" max="4" width="12.1796875" style="7" bestFit="1" customWidth="1"/>
    <col min="5" max="10" width="11.453125" bestFit="1" customWidth="1"/>
    <col min="11" max="12" width="13.54296875" customWidth="1"/>
    <col min="13" max="13" width="13.54296875" style="32" customWidth="1"/>
  </cols>
  <sheetData>
    <row r="1" spans="1:13" s="1" customFormat="1" ht="26.5" thickBot="1" x14ac:dyDescent="0.4">
      <c r="A1" s="13" t="s">
        <v>51</v>
      </c>
      <c r="B1" s="26">
        <v>1</v>
      </c>
      <c r="D1" s="6"/>
      <c r="E1" s="45" t="s">
        <v>44</v>
      </c>
      <c r="F1" s="46"/>
      <c r="G1" s="46"/>
      <c r="H1" s="46"/>
      <c r="I1" s="46"/>
      <c r="J1" s="47"/>
      <c r="M1" s="30"/>
    </row>
    <row r="2" spans="1:13" s="1" customFormat="1" ht="35.25" customHeight="1" thickBot="1" x14ac:dyDescent="0.4">
      <c r="A2" s="1" t="s">
        <v>60</v>
      </c>
      <c r="B2" s="25">
        <v>4</v>
      </c>
      <c r="D2" s="9" t="s">
        <v>53</v>
      </c>
      <c r="E2" s="5">
        <f>$D$6/$B$2</f>
        <v>0</v>
      </c>
      <c r="F2" s="5">
        <f>$D$6/$B$2</f>
        <v>0</v>
      </c>
      <c r="G2" s="5">
        <v>0</v>
      </c>
      <c r="H2" s="5">
        <f>$D$6/$B$2</f>
        <v>0</v>
      </c>
      <c r="I2" s="5">
        <f>$D$6/$B$2</f>
        <v>0</v>
      </c>
      <c r="J2" s="5">
        <f>$D$6/$B$2</f>
        <v>0</v>
      </c>
      <c r="K2" s="36"/>
      <c r="L2" s="36"/>
      <c r="M2" s="37"/>
    </row>
    <row r="3" spans="1:13" s="1" customFormat="1" ht="22.5" customHeight="1" thickBot="1" x14ac:dyDescent="0.4">
      <c r="D3" s="9" t="s">
        <v>54</v>
      </c>
      <c r="E3" s="27">
        <f>IFERROR(E$2/$D$6,0)</f>
        <v>0</v>
      </c>
      <c r="F3" s="41">
        <f>IFERROR(F$2/$D$6+E3,0)</f>
        <v>0</v>
      </c>
      <c r="G3" s="41">
        <f t="shared" ref="G3:J3" si="0">IFERROR(G$2/$D$6+F3,0)</f>
        <v>0</v>
      </c>
      <c r="H3" s="41">
        <f t="shared" si="0"/>
        <v>0</v>
      </c>
      <c r="I3" s="41">
        <f t="shared" si="0"/>
        <v>0</v>
      </c>
      <c r="J3" s="41">
        <f t="shared" si="0"/>
        <v>0</v>
      </c>
      <c r="K3" s="35"/>
      <c r="L3" s="35"/>
      <c r="M3" s="38"/>
    </row>
    <row r="4" spans="1:13" s="1" customFormat="1" ht="22.5" customHeight="1" thickBot="1" x14ac:dyDescent="0.4">
      <c r="D4" s="9" t="s">
        <v>52</v>
      </c>
      <c r="E4" s="28">
        <f t="shared" ref="E4:J4" si="1">SUM(E8:E88)</f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L4" s="39"/>
      <c r="M4" s="40"/>
    </row>
    <row r="5" spans="1:13" s="1" customFormat="1" ht="22.5" customHeight="1" thickBot="1" x14ac:dyDescent="0.4">
      <c r="D5" s="9" t="s">
        <v>55</v>
      </c>
      <c r="E5" s="10">
        <f>IFERROR((E4/$D$6),0)</f>
        <v>0</v>
      </c>
      <c r="F5" s="10">
        <f>IFERROR(((E4+F4)/$D$6+E5),0)</f>
        <v>0</v>
      </c>
      <c r="G5" s="10">
        <f t="shared" ref="G5:J5" si="2">IFERROR(((F4+G4)/$D$6+F5),0)</f>
        <v>0</v>
      </c>
      <c r="H5" s="10">
        <f t="shared" si="2"/>
        <v>0</v>
      </c>
      <c r="I5" s="10">
        <f t="shared" si="2"/>
        <v>0</v>
      </c>
      <c r="J5" s="10">
        <f t="shared" si="2"/>
        <v>0</v>
      </c>
      <c r="K5" s="39"/>
      <c r="L5" s="39"/>
      <c r="M5" s="40"/>
    </row>
    <row r="6" spans="1:13" s="1" customFormat="1" ht="35" thickBot="1" x14ac:dyDescent="0.4">
      <c r="A6" s="3"/>
      <c r="B6" s="4"/>
      <c r="C6" s="8" t="s">
        <v>45</v>
      </c>
      <c r="D6" s="14">
        <f>SUM(D8:D89)</f>
        <v>0</v>
      </c>
      <c r="E6" s="19" t="str">
        <f>CHOOSE(WEEKDAY(E7),"Sun","Mon","Tue","Wed","Thu","Fri","Sat")</f>
        <v>Sun</v>
      </c>
      <c r="F6" s="20" t="str">
        <f t="shared" ref="F6:J6" si="3">CHOOSE(WEEKDAY(F7),"Sun","Mon","Tue","Wed","Thu","Fri","Sat")</f>
        <v>Mon</v>
      </c>
      <c r="G6" s="20" t="str">
        <f t="shared" si="3"/>
        <v>Tue</v>
      </c>
      <c r="H6" s="20" t="str">
        <f t="shared" si="3"/>
        <v>Wed</v>
      </c>
      <c r="I6" s="20" t="str">
        <f t="shared" si="3"/>
        <v>Thu</v>
      </c>
      <c r="J6" s="21" t="str">
        <f t="shared" si="3"/>
        <v>Fri</v>
      </c>
      <c r="K6" s="42">
        <f>SUM(K8:K89)</f>
        <v>0</v>
      </c>
      <c r="L6" s="43">
        <f>SUM(L8:L89)</f>
        <v>0</v>
      </c>
      <c r="M6" s="44">
        <f>SUM(M8:M89)</f>
        <v>0</v>
      </c>
    </row>
    <row r="7" spans="1:13" s="2" customFormat="1" ht="45.75" customHeight="1" thickBot="1" x14ac:dyDescent="0.4">
      <c r="A7" s="24" t="s">
        <v>48</v>
      </c>
      <c r="B7" s="24" t="s">
        <v>49</v>
      </c>
      <c r="C7" s="24" t="s">
        <v>50</v>
      </c>
      <c r="D7" s="24" t="s">
        <v>47</v>
      </c>
      <c r="E7" s="16">
        <f>B1</f>
        <v>1</v>
      </c>
      <c r="F7" s="17">
        <f>E7+1</f>
        <v>2</v>
      </c>
      <c r="G7" s="17">
        <f t="shared" ref="G7:J7" si="4">F7+1</f>
        <v>3</v>
      </c>
      <c r="H7" s="17">
        <f t="shared" si="4"/>
        <v>4</v>
      </c>
      <c r="I7" s="17">
        <f t="shared" si="4"/>
        <v>5</v>
      </c>
      <c r="J7" s="18">
        <f t="shared" si="4"/>
        <v>6</v>
      </c>
      <c r="K7" s="33" t="s">
        <v>61</v>
      </c>
      <c r="L7" s="33" t="s">
        <v>62</v>
      </c>
      <c r="M7" s="34" t="s">
        <v>63</v>
      </c>
    </row>
    <row r="8" spans="1:13" x14ac:dyDescent="0.35">
      <c r="A8" s="11">
        <v>705019194</v>
      </c>
      <c r="B8" s="11" t="s">
        <v>0</v>
      </c>
      <c r="C8" s="11" t="s">
        <v>1</v>
      </c>
      <c r="D8" s="12">
        <f>IFERROR(INDEX('[1]Production Plan'!$A$174:$BR$257,MATCH($A8,'[1]Production Plan'!$A$174:$A$257,0),MATCH(B$1,'[1]Production Plan'!$A$174:$BR$174,0)),0)</f>
        <v>0</v>
      </c>
      <c r="E8" s="22"/>
      <c r="F8" s="22"/>
      <c r="G8" s="22"/>
      <c r="H8" s="22"/>
      <c r="I8" s="22"/>
      <c r="J8" s="22"/>
      <c r="K8" s="29">
        <f>SUM(E8:J8)</f>
        <v>0</v>
      </c>
      <c r="L8" s="29">
        <f>D8-K8</f>
        <v>0</v>
      </c>
      <c r="M8" s="31">
        <f>IF(L8&lt;0,(-1*L8),0)</f>
        <v>0</v>
      </c>
    </row>
    <row r="9" spans="1:13" x14ac:dyDescent="0.35">
      <c r="A9" s="11">
        <v>705019325</v>
      </c>
      <c r="B9" s="11" t="s">
        <v>2</v>
      </c>
      <c r="C9" s="11" t="s">
        <v>1</v>
      </c>
      <c r="D9" s="12">
        <f>IFERROR(INDEX('[1]Production Plan'!$A$174:$BR$257,MATCH($A9,'[1]Production Plan'!$A$174:$A$257,0),MATCH(B$1,'[1]Production Plan'!$A$174:$BR$174,0)),0)</f>
        <v>0</v>
      </c>
      <c r="E9" s="23"/>
      <c r="F9" s="23"/>
      <c r="G9" s="23"/>
      <c r="H9" s="23"/>
      <c r="I9" s="23"/>
      <c r="J9" s="23"/>
      <c r="K9" s="29">
        <f t="shared" ref="K9:K72" si="5">SUM(E9:J9)</f>
        <v>0</v>
      </c>
      <c r="L9" s="29">
        <f t="shared" ref="L9:L72" si="6">D9-K9</f>
        <v>0</v>
      </c>
      <c r="M9" s="31">
        <f t="shared" ref="M9:M72" si="7">IF(L9&lt;0,(-1*L9),0)</f>
        <v>0</v>
      </c>
    </row>
    <row r="10" spans="1:13" x14ac:dyDescent="0.35">
      <c r="A10" s="11">
        <v>705019326</v>
      </c>
      <c r="B10" s="11" t="s">
        <v>3</v>
      </c>
      <c r="C10" s="11" t="s">
        <v>1</v>
      </c>
      <c r="D10" s="12">
        <f>IFERROR(INDEX('[1]Production Plan'!$A$174:$BR$257,MATCH($A10,'[1]Production Plan'!$A$174:$A$257,0),MATCH(B$1,'[1]Production Plan'!$A$174:$BR$174,0)),0)</f>
        <v>0</v>
      </c>
      <c r="E10" s="23"/>
      <c r="F10" s="23"/>
      <c r="G10" s="23"/>
      <c r="H10" s="23"/>
      <c r="I10" s="23"/>
      <c r="J10" s="23"/>
      <c r="K10" s="29">
        <f t="shared" si="5"/>
        <v>0</v>
      </c>
      <c r="L10" s="29">
        <f t="shared" si="6"/>
        <v>0</v>
      </c>
      <c r="M10" s="31">
        <f t="shared" si="7"/>
        <v>0</v>
      </c>
    </row>
    <row r="11" spans="1:13" x14ac:dyDescent="0.35">
      <c r="A11" s="11">
        <v>705019327</v>
      </c>
      <c r="B11" s="11" t="s">
        <v>4</v>
      </c>
      <c r="C11" s="11" t="s">
        <v>1</v>
      </c>
      <c r="D11" s="12">
        <f>IFERROR(INDEX('[1]Production Plan'!$A$174:$BR$257,MATCH($A11,'[1]Production Plan'!$A$174:$A$257,0),MATCH(B$1,'[1]Production Plan'!$A$174:$BR$174,0)),0)</f>
        <v>0</v>
      </c>
      <c r="E11" s="23"/>
      <c r="F11" s="23"/>
      <c r="G11" s="23"/>
      <c r="H11" s="23"/>
      <c r="I11" s="23"/>
      <c r="J11" s="23"/>
      <c r="K11" s="29">
        <f t="shared" si="5"/>
        <v>0</v>
      </c>
      <c r="L11" s="29">
        <f t="shared" si="6"/>
        <v>0</v>
      </c>
      <c r="M11" s="31">
        <f t="shared" si="7"/>
        <v>0</v>
      </c>
    </row>
    <row r="12" spans="1:13" x14ac:dyDescent="0.35">
      <c r="A12" s="11">
        <v>705019328</v>
      </c>
      <c r="B12" s="11" t="s">
        <v>5</v>
      </c>
      <c r="C12" s="11" t="s">
        <v>1</v>
      </c>
      <c r="D12" s="12">
        <f>IFERROR(INDEX('[1]Production Plan'!$A$174:$BR$257,MATCH($A12,'[1]Production Plan'!$A$174:$A$257,0),MATCH(B$1,'[1]Production Plan'!$A$174:$BR$174,0)),0)</f>
        <v>0</v>
      </c>
      <c r="E12" s="23"/>
      <c r="F12" s="23"/>
      <c r="G12" s="23"/>
      <c r="H12" s="23"/>
      <c r="I12" s="23"/>
      <c r="J12" s="23"/>
      <c r="K12" s="29">
        <f t="shared" si="5"/>
        <v>0</v>
      </c>
      <c r="L12" s="29">
        <f t="shared" si="6"/>
        <v>0</v>
      </c>
      <c r="M12" s="31">
        <f t="shared" si="7"/>
        <v>0</v>
      </c>
    </row>
    <row r="13" spans="1:13" x14ac:dyDescent="0.35">
      <c r="A13" s="11">
        <v>708302912</v>
      </c>
      <c r="B13" s="11" t="s">
        <v>6</v>
      </c>
      <c r="C13" s="11" t="s">
        <v>1</v>
      </c>
      <c r="D13" s="12">
        <f>IFERROR(INDEX('[1]Production Plan'!$A$174:$BR$257,MATCH($A13,'[1]Production Plan'!$A$174:$A$257,0),MATCH(B$1,'[1]Production Plan'!$A$174:$BR$174,0)),0)</f>
        <v>0</v>
      </c>
      <c r="E13" s="23"/>
      <c r="F13" s="23"/>
      <c r="G13" s="23"/>
      <c r="H13" s="23"/>
      <c r="I13" s="23"/>
      <c r="J13" s="23"/>
      <c r="K13" s="29">
        <f t="shared" si="5"/>
        <v>0</v>
      </c>
      <c r="L13" s="29">
        <f t="shared" si="6"/>
        <v>0</v>
      </c>
      <c r="M13" s="31">
        <f t="shared" si="7"/>
        <v>0</v>
      </c>
    </row>
    <row r="14" spans="1:13" x14ac:dyDescent="0.35">
      <c r="A14" s="11">
        <v>708400338</v>
      </c>
      <c r="B14" s="11" t="s">
        <v>7</v>
      </c>
      <c r="C14" s="11" t="s">
        <v>1</v>
      </c>
      <c r="D14" s="12">
        <f>IFERROR(INDEX('[1]Production Plan'!$A$174:$BR$257,MATCH($A14,'[1]Production Plan'!$A$174:$A$257,0),MATCH(B$1,'[1]Production Plan'!$A$174:$BR$174,0)),0)</f>
        <v>0</v>
      </c>
      <c r="E14" s="23"/>
      <c r="F14" s="23"/>
      <c r="G14" s="23"/>
      <c r="H14" s="23"/>
      <c r="I14" s="23"/>
      <c r="J14" s="23"/>
      <c r="K14" s="29">
        <f t="shared" si="5"/>
        <v>0</v>
      </c>
      <c r="L14" s="29">
        <f t="shared" si="6"/>
        <v>0</v>
      </c>
      <c r="M14" s="31">
        <f t="shared" si="7"/>
        <v>0</v>
      </c>
    </row>
    <row r="15" spans="1:13" x14ac:dyDescent="0.35">
      <c r="A15" s="11">
        <v>708400340</v>
      </c>
      <c r="B15" s="11" t="s">
        <v>8</v>
      </c>
      <c r="C15" s="11" t="s">
        <v>1</v>
      </c>
      <c r="D15" s="12">
        <f>IFERROR(INDEX('[1]Production Plan'!$A$174:$BR$257,MATCH($A15,'[1]Production Plan'!$A$174:$A$257,0),MATCH(B$1,'[1]Production Plan'!$A$174:$BR$174,0)),0)</f>
        <v>0</v>
      </c>
      <c r="E15" s="23"/>
      <c r="F15" s="23"/>
      <c r="G15" s="23"/>
      <c r="H15" s="23"/>
      <c r="I15" s="23"/>
      <c r="J15" s="23"/>
      <c r="K15" s="29">
        <f t="shared" si="5"/>
        <v>0</v>
      </c>
      <c r="L15" s="29">
        <f t="shared" si="6"/>
        <v>0</v>
      </c>
      <c r="M15" s="31">
        <f t="shared" si="7"/>
        <v>0</v>
      </c>
    </row>
    <row r="16" spans="1:13" x14ac:dyDescent="0.35">
      <c r="A16" s="11">
        <v>708400505</v>
      </c>
      <c r="B16" s="11" t="s">
        <v>9</v>
      </c>
      <c r="C16" s="11" t="s">
        <v>1</v>
      </c>
      <c r="D16" s="12">
        <f>IFERROR(INDEX('[1]Production Plan'!$A$174:$BR$257,MATCH($A16,'[1]Production Plan'!$A$174:$A$257,0),MATCH(B$1,'[1]Production Plan'!$A$174:$BR$174,0)),0)</f>
        <v>0</v>
      </c>
      <c r="E16" s="23"/>
      <c r="F16" s="23"/>
      <c r="G16" s="23"/>
      <c r="H16" s="23"/>
      <c r="I16" s="23"/>
      <c r="J16" s="23"/>
      <c r="K16" s="29">
        <f t="shared" si="5"/>
        <v>0</v>
      </c>
      <c r="L16" s="29">
        <f t="shared" si="6"/>
        <v>0</v>
      </c>
      <c r="M16" s="31">
        <f t="shared" si="7"/>
        <v>0</v>
      </c>
    </row>
    <row r="17" spans="1:13" x14ac:dyDescent="0.35">
      <c r="A17" s="11">
        <v>708400506</v>
      </c>
      <c r="B17" s="11" t="s">
        <v>10</v>
      </c>
      <c r="C17" s="11" t="s">
        <v>1</v>
      </c>
      <c r="D17" s="12">
        <f>IFERROR(INDEX('[1]Production Plan'!$A$174:$BR$257,MATCH($A17,'[1]Production Plan'!$A$174:$A$257,0),MATCH(B$1,'[1]Production Plan'!$A$174:$BR$174,0)),0)</f>
        <v>0</v>
      </c>
      <c r="E17" s="23"/>
      <c r="F17" s="23"/>
      <c r="G17" s="23"/>
      <c r="H17" s="23"/>
      <c r="I17" s="23"/>
      <c r="J17" s="23"/>
      <c r="K17" s="29">
        <f t="shared" si="5"/>
        <v>0</v>
      </c>
      <c r="L17" s="29">
        <f t="shared" si="6"/>
        <v>0</v>
      </c>
      <c r="M17" s="31">
        <f t="shared" si="7"/>
        <v>0</v>
      </c>
    </row>
    <row r="18" spans="1:13" x14ac:dyDescent="0.35">
      <c r="A18" s="11">
        <v>708400723</v>
      </c>
      <c r="B18" s="11" t="s">
        <v>11</v>
      </c>
      <c r="C18" s="11" t="s">
        <v>1</v>
      </c>
      <c r="D18" s="12">
        <f>IFERROR(INDEX('[1]Production Plan'!$A$174:$BR$257,MATCH($A18,'[1]Production Plan'!$A$174:$A$257,0),MATCH(B$1,'[1]Production Plan'!$A$174:$BR$174,0)),0)</f>
        <v>0</v>
      </c>
      <c r="E18" s="23"/>
      <c r="F18" s="23"/>
      <c r="G18" s="23"/>
      <c r="H18" s="23"/>
      <c r="I18" s="23"/>
      <c r="J18" s="23"/>
      <c r="K18" s="29">
        <f t="shared" si="5"/>
        <v>0</v>
      </c>
      <c r="L18" s="29">
        <f t="shared" si="6"/>
        <v>0</v>
      </c>
      <c r="M18" s="31">
        <f t="shared" si="7"/>
        <v>0</v>
      </c>
    </row>
    <row r="19" spans="1:13" x14ac:dyDescent="0.35">
      <c r="A19" s="11">
        <v>708400826</v>
      </c>
      <c r="B19" s="11" t="s">
        <v>12</v>
      </c>
      <c r="C19" s="11" t="s">
        <v>1</v>
      </c>
      <c r="D19" s="12">
        <f>IFERROR(INDEX('[1]Production Plan'!$A$174:$BR$257,MATCH($A19,'[1]Production Plan'!$A$174:$A$257,0),MATCH(B$1,'[1]Production Plan'!$A$174:$BR$174,0)),0)</f>
        <v>0</v>
      </c>
      <c r="E19" s="23"/>
      <c r="F19" s="23"/>
      <c r="G19" s="23"/>
      <c r="H19" s="23"/>
      <c r="I19" s="23"/>
      <c r="J19" s="23"/>
      <c r="K19" s="29">
        <f t="shared" si="5"/>
        <v>0</v>
      </c>
      <c r="L19" s="29">
        <f t="shared" si="6"/>
        <v>0</v>
      </c>
      <c r="M19" s="31">
        <f t="shared" si="7"/>
        <v>0</v>
      </c>
    </row>
    <row r="20" spans="1:13" x14ac:dyDescent="0.35">
      <c r="A20" s="11">
        <v>708400948</v>
      </c>
      <c r="B20" s="11" t="s">
        <v>13</v>
      </c>
      <c r="C20" s="11" t="s">
        <v>1</v>
      </c>
      <c r="D20" s="12">
        <f>IFERROR(INDEX('[1]Production Plan'!$A$174:$BR$257,MATCH($A20,'[1]Production Plan'!$A$174:$A$257,0),MATCH(B$1,'[1]Production Plan'!$A$174:$BR$174,0)),0)</f>
        <v>0</v>
      </c>
      <c r="E20" s="23"/>
      <c r="F20" s="23"/>
      <c r="G20" s="23"/>
      <c r="H20" s="23"/>
      <c r="I20" s="23"/>
      <c r="J20" s="23"/>
      <c r="K20" s="29">
        <f t="shared" si="5"/>
        <v>0</v>
      </c>
      <c r="L20" s="29">
        <f t="shared" si="6"/>
        <v>0</v>
      </c>
      <c r="M20" s="31">
        <f t="shared" si="7"/>
        <v>0</v>
      </c>
    </row>
    <row r="21" spans="1:13" x14ac:dyDescent="0.35">
      <c r="A21" s="11">
        <v>708400949</v>
      </c>
      <c r="B21" s="11" t="s">
        <v>14</v>
      </c>
      <c r="C21" s="11" t="s">
        <v>1</v>
      </c>
      <c r="D21" s="12">
        <f>IFERROR(INDEX('[1]Production Plan'!$A$174:$BR$257,MATCH($A21,'[1]Production Plan'!$A$174:$A$257,0),MATCH(B$1,'[1]Production Plan'!$A$174:$BR$174,0)),0)</f>
        <v>0</v>
      </c>
      <c r="E21" s="23"/>
      <c r="F21" s="23"/>
      <c r="G21" s="23"/>
      <c r="H21" s="23"/>
      <c r="I21" s="23"/>
      <c r="J21" s="23"/>
      <c r="K21" s="29">
        <f t="shared" si="5"/>
        <v>0</v>
      </c>
      <c r="L21" s="29">
        <f t="shared" si="6"/>
        <v>0</v>
      </c>
      <c r="M21" s="31">
        <f t="shared" si="7"/>
        <v>0</v>
      </c>
    </row>
    <row r="22" spans="1:13" x14ac:dyDescent="0.35">
      <c r="A22" s="11">
        <v>708400950</v>
      </c>
      <c r="B22" s="11" t="s">
        <v>15</v>
      </c>
      <c r="C22" s="11" t="s">
        <v>1</v>
      </c>
      <c r="D22" s="12">
        <f>IFERROR(INDEX('[1]Production Plan'!$A$174:$BR$257,MATCH($A22,'[1]Production Plan'!$A$174:$A$257,0),MATCH(B$1,'[1]Production Plan'!$A$174:$BR$174,0)),0)</f>
        <v>0</v>
      </c>
      <c r="E22" s="23"/>
      <c r="F22" s="23"/>
      <c r="G22" s="23"/>
      <c r="H22" s="23"/>
      <c r="I22" s="23"/>
      <c r="J22" s="23"/>
      <c r="K22" s="29">
        <f t="shared" si="5"/>
        <v>0</v>
      </c>
      <c r="L22" s="29">
        <f t="shared" si="6"/>
        <v>0</v>
      </c>
      <c r="M22" s="31">
        <f t="shared" si="7"/>
        <v>0</v>
      </c>
    </row>
    <row r="23" spans="1:13" x14ac:dyDescent="0.35">
      <c r="A23" s="11">
        <v>708400951</v>
      </c>
      <c r="B23" s="11" t="s">
        <v>16</v>
      </c>
      <c r="C23" s="11" t="s">
        <v>1</v>
      </c>
      <c r="D23" s="12">
        <f>IFERROR(INDEX('[1]Production Plan'!$A$174:$BR$257,MATCH($A23,'[1]Production Plan'!$A$174:$A$257,0),MATCH(B$1,'[1]Production Plan'!$A$174:$BR$174,0)),0)</f>
        <v>0</v>
      </c>
      <c r="E23" s="23"/>
      <c r="F23" s="23"/>
      <c r="G23" s="23"/>
      <c r="H23" s="23"/>
      <c r="I23" s="23"/>
      <c r="J23" s="23"/>
      <c r="K23" s="29">
        <f t="shared" si="5"/>
        <v>0</v>
      </c>
      <c r="L23" s="29">
        <f t="shared" si="6"/>
        <v>0</v>
      </c>
      <c r="M23" s="31">
        <f t="shared" si="7"/>
        <v>0</v>
      </c>
    </row>
    <row r="24" spans="1:13" x14ac:dyDescent="0.35">
      <c r="A24" s="11">
        <v>708400958</v>
      </c>
      <c r="B24" s="11" t="s">
        <v>17</v>
      </c>
      <c r="C24" s="11" t="s">
        <v>1</v>
      </c>
      <c r="D24" s="12">
        <f>IFERROR(INDEX('[1]Production Plan'!$A$174:$BR$257,MATCH($A24,'[1]Production Plan'!$A$174:$A$257,0),MATCH(B$1,'[1]Production Plan'!$A$174:$BR$174,0)),0)</f>
        <v>0</v>
      </c>
      <c r="E24" s="23"/>
      <c r="F24" s="23"/>
      <c r="G24" s="23"/>
      <c r="H24" s="23"/>
      <c r="I24" s="23"/>
      <c r="J24" s="23"/>
      <c r="K24" s="29">
        <f t="shared" si="5"/>
        <v>0</v>
      </c>
      <c r="L24" s="29">
        <f t="shared" si="6"/>
        <v>0</v>
      </c>
      <c r="M24" s="31">
        <f t="shared" si="7"/>
        <v>0</v>
      </c>
    </row>
    <row r="25" spans="1:13" x14ac:dyDescent="0.35">
      <c r="A25" s="11">
        <v>708400959</v>
      </c>
      <c r="B25" s="11" t="s">
        <v>18</v>
      </c>
      <c r="C25" s="11" t="s">
        <v>1</v>
      </c>
      <c r="D25" s="12">
        <f>IFERROR(INDEX('[1]Production Plan'!$A$174:$BR$257,MATCH($A25,'[1]Production Plan'!$A$174:$A$257,0),MATCH(B$1,'[1]Production Plan'!$A$174:$BR$174,0)),0)</f>
        <v>0</v>
      </c>
      <c r="E25" s="23"/>
      <c r="F25" s="23"/>
      <c r="G25" s="23"/>
      <c r="H25" s="23"/>
      <c r="I25" s="23"/>
      <c r="J25" s="23"/>
      <c r="K25" s="29">
        <f t="shared" si="5"/>
        <v>0</v>
      </c>
      <c r="L25" s="29">
        <f t="shared" si="6"/>
        <v>0</v>
      </c>
      <c r="M25" s="31">
        <f t="shared" si="7"/>
        <v>0</v>
      </c>
    </row>
    <row r="26" spans="1:13" x14ac:dyDescent="0.35">
      <c r="A26" s="11">
        <v>705016725</v>
      </c>
      <c r="B26" s="11" t="s">
        <v>19</v>
      </c>
      <c r="C26" s="11" t="s">
        <v>20</v>
      </c>
      <c r="D26" s="12">
        <f>IFERROR(INDEX('[1]Production Plan'!$A$174:$BR$257,MATCH($A26,'[1]Production Plan'!$A$174:$A$257,0),MATCH(B$1,'[1]Production Plan'!$A$174:$BR$174,0)),0)</f>
        <v>0</v>
      </c>
      <c r="E26" s="23"/>
      <c r="F26" s="23"/>
      <c r="G26" s="23"/>
      <c r="H26" s="23"/>
      <c r="I26" s="23"/>
      <c r="J26" s="23"/>
      <c r="K26" s="29">
        <f t="shared" si="5"/>
        <v>0</v>
      </c>
      <c r="L26" s="29">
        <f t="shared" si="6"/>
        <v>0</v>
      </c>
      <c r="M26" s="31">
        <f t="shared" si="7"/>
        <v>0</v>
      </c>
    </row>
    <row r="27" spans="1:13" x14ac:dyDescent="0.35">
      <c r="A27" s="11">
        <v>705016726</v>
      </c>
      <c r="B27" s="11" t="s">
        <v>21</v>
      </c>
      <c r="C27" s="11" t="s">
        <v>20</v>
      </c>
      <c r="D27" s="12">
        <f>IFERROR(INDEX('[1]Production Plan'!$A$174:$BR$257,MATCH($A27,'[1]Production Plan'!$A$174:$A$257,0),MATCH(B$1,'[1]Production Plan'!$A$174:$BR$174,0)),0)</f>
        <v>0</v>
      </c>
      <c r="E27" s="23"/>
      <c r="F27" s="23"/>
      <c r="G27" s="23"/>
      <c r="H27" s="23"/>
      <c r="I27" s="23"/>
      <c r="J27" s="23"/>
      <c r="K27" s="29">
        <f t="shared" si="5"/>
        <v>0</v>
      </c>
      <c r="L27" s="29">
        <f t="shared" si="6"/>
        <v>0</v>
      </c>
      <c r="M27" s="31">
        <f t="shared" si="7"/>
        <v>0</v>
      </c>
    </row>
    <row r="28" spans="1:13" x14ac:dyDescent="0.35">
      <c r="A28" s="11">
        <v>705016733</v>
      </c>
      <c r="B28" s="11" t="s">
        <v>2</v>
      </c>
      <c r="C28" s="11" t="s">
        <v>20</v>
      </c>
      <c r="D28" s="12">
        <f>IFERROR(INDEX('[1]Production Plan'!$A$174:$BR$257,MATCH($A28,'[1]Production Plan'!$A$174:$A$257,0),MATCH(B$1,'[1]Production Plan'!$A$174:$BR$174,0)),0)</f>
        <v>0</v>
      </c>
      <c r="E28" s="23"/>
      <c r="F28" s="23"/>
      <c r="G28" s="23"/>
      <c r="H28" s="23"/>
      <c r="I28" s="23"/>
      <c r="J28" s="23"/>
      <c r="K28" s="29">
        <f t="shared" si="5"/>
        <v>0</v>
      </c>
      <c r="L28" s="29">
        <f t="shared" si="6"/>
        <v>0</v>
      </c>
      <c r="M28" s="31">
        <f t="shared" si="7"/>
        <v>0</v>
      </c>
    </row>
    <row r="29" spans="1:13" x14ac:dyDescent="0.35">
      <c r="A29" s="11">
        <v>705016734</v>
      </c>
      <c r="B29" s="11" t="s">
        <v>3</v>
      </c>
      <c r="C29" s="11" t="s">
        <v>20</v>
      </c>
      <c r="D29" s="12">
        <f>IFERROR(INDEX('[1]Production Plan'!$A$174:$BR$257,MATCH($A29,'[1]Production Plan'!$A$174:$A$257,0),MATCH(B$1,'[1]Production Plan'!$A$174:$BR$174,0)),0)</f>
        <v>0</v>
      </c>
      <c r="E29" s="23"/>
      <c r="F29" s="23"/>
      <c r="G29" s="23"/>
      <c r="H29" s="23"/>
      <c r="I29" s="23"/>
      <c r="J29" s="23"/>
      <c r="K29" s="29">
        <f t="shared" si="5"/>
        <v>0</v>
      </c>
      <c r="L29" s="29">
        <f t="shared" si="6"/>
        <v>0</v>
      </c>
      <c r="M29" s="31">
        <f t="shared" si="7"/>
        <v>0</v>
      </c>
    </row>
    <row r="30" spans="1:13" x14ac:dyDescent="0.35">
      <c r="A30" s="11">
        <v>708003404</v>
      </c>
      <c r="B30" s="11" t="s">
        <v>22</v>
      </c>
      <c r="C30" s="11" t="s">
        <v>20</v>
      </c>
      <c r="D30" s="12">
        <f>IFERROR(INDEX('[1]Production Plan'!$A$174:$BR$257,MATCH($A30,'[1]Production Plan'!$A$174:$A$257,0),MATCH(B$1,'[1]Production Plan'!$A$174:$BR$174,0)),0)</f>
        <v>0</v>
      </c>
      <c r="E30" s="23"/>
      <c r="F30" s="23"/>
      <c r="G30" s="23"/>
      <c r="H30" s="23"/>
      <c r="I30" s="23"/>
      <c r="J30" s="23"/>
      <c r="K30" s="29">
        <f t="shared" si="5"/>
        <v>0</v>
      </c>
      <c r="L30" s="29">
        <f t="shared" si="6"/>
        <v>0</v>
      </c>
      <c r="M30" s="31">
        <f t="shared" si="7"/>
        <v>0</v>
      </c>
    </row>
    <row r="31" spans="1:13" x14ac:dyDescent="0.35">
      <c r="A31" s="11">
        <v>708201135</v>
      </c>
      <c r="B31" s="11" t="s">
        <v>23</v>
      </c>
      <c r="C31" s="11" t="s">
        <v>20</v>
      </c>
      <c r="D31" s="12">
        <f>IFERROR(INDEX('[1]Production Plan'!$A$174:$BR$257,MATCH($A31,'[1]Production Plan'!$A$174:$A$257,0),MATCH(B$1,'[1]Production Plan'!$A$174:$BR$174,0)),0)</f>
        <v>0</v>
      </c>
      <c r="E31" s="23"/>
      <c r="F31" s="23"/>
      <c r="G31" s="23"/>
      <c r="H31" s="23"/>
      <c r="I31" s="23"/>
      <c r="J31" s="23"/>
      <c r="K31" s="29">
        <f t="shared" si="5"/>
        <v>0</v>
      </c>
      <c r="L31" s="29">
        <f t="shared" si="6"/>
        <v>0</v>
      </c>
      <c r="M31" s="31">
        <f t="shared" si="7"/>
        <v>0</v>
      </c>
    </row>
    <row r="32" spans="1:13" x14ac:dyDescent="0.35">
      <c r="A32" s="11">
        <v>708201136</v>
      </c>
      <c r="B32" s="11" t="s">
        <v>24</v>
      </c>
      <c r="C32" s="11" t="s">
        <v>20</v>
      </c>
      <c r="D32" s="12">
        <f>IFERROR(INDEX('[1]Production Plan'!$A$174:$BR$257,MATCH($A32,'[1]Production Plan'!$A$174:$A$257,0),MATCH(B$1,'[1]Production Plan'!$A$174:$BR$174,0)),0)</f>
        <v>0</v>
      </c>
      <c r="E32" s="23"/>
      <c r="F32" s="23"/>
      <c r="G32" s="23"/>
      <c r="H32" s="23"/>
      <c r="I32" s="23"/>
      <c r="J32" s="23"/>
      <c r="K32" s="29">
        <f t="shared" si="5"/>
        <v>0</v>
      </c>
      <c r="L32" s="29">
        <f t="shared" si="6"/>
        <v>0</v>
      </c>
      <c r="M32" s="31">
        <f t="shared" si="7"/>
        <v>0</v>
      </c>
    </row>
    <row r="33" spans="1:13" x14ac:dyDescent="0.35">
      <c r="A33" s="11">
        <v>708201142</v>
      </c>
      <c r="B33" s="11" t="s">
        <v>25</v>
      </c>
      <c r="C33" s="11" t="s">
        <v>20</v>
      </c>
      <c r="D33" s="12">
        <f>IFERROR(INDEX('[1]Production Plan'!$A$174:$BR$257,MATCH($A33,'[1]Production Plan'!$A$174:$A$257,0),MATCH(B$1,'[1]Production Plan'!$A$174:$BR$174,0)),0)</f>
        <v>0</v>
      </c>
      <c r="E33" s="23"/>
      <c r="F33" s="23"/>
      <c r="G33" s="23"/>
      <c r="H33" s="23"/>
      <c r="I33" s="23"/>
      <c r="J33" s="23"/>
      <c r="K33" s="29">
        <f t="shared" si="5"/>
        <v>0</v>
      </c>
      <c r="L33" s="29">
        <f t="shared" si="6"/>
        <v>0</v>
      </c>
      <c r="M33" s="31">
        <f t="shared" si="7"/>
        <v>0</v>
      </c>
    </row>
    <row r="34" spans="1:13" x14ac:dyDescent="0.35">
      <c r="A34" s="11">
        <v>708304085</v>
      </c>
      <c r="B34" s="11" t="s">
        <v>26</v>
      </c>
      <c r="C34" s="11" t="s">
        <v>20</v>
      </c>
      <c r="D34" s="12">
        <f>IFERROR(INDEX('[1]Production Plan'!$A$174:$BR$257,MATCH($A34,'[1]Production Plan'!$A$174:$A$257,0),MATCH(B$1,'[1]Production Plan'!$A$174:$BR$174,0)),0)</f>
        <v>0</v>
      </c>
      <c r="E34" s="23"/>
      <c r="F34" s="23"/>
      <c r="G34" s="23"/>
      <c r="H34" s="23"/>
      <c r="I34" s="23"/>
      <c r="J34" s="23"/>
      <c r="K34" s="29">
        <f t="shared" si="5"/>
        <v>0</v>
      </c>
      <c r="L34" s="29">
        <f t="shared" si="6"/>
        <v>0</v>
      </c>
      <c r="M34" s="31">
        <f t="shared" si="7"/>
        <v>0</v>
      </c>
    </row>
    <row r="35" spans="1:13" x14ac:dyDescent="0.35">
      <c r="A35" s="11">
        <v>708304092</v>
      </c>
      <c r="B35" s="11" t="s">
        <v>27</v>
      </c>
      <c r="C35" s="11" t="s">
        <v>20</v>
      </c>
      <c r="D35" s="12">
        <f>IFERROR(INDEX('[1]Production Plan'!$A$174:$BR$257,MATCH($A35,'[1]Production Plan'!$A$174:$A$257,0),MATCH(B$1,'[1]Production Plan'!$A$174:$BR$174,0)),0)</f>
        <v>0</v>
      </c>
      <c r="E35" s="23"/>
      <c r="F35" s="23"/>
      <c r="G35" s="23"/>
      <c r="H35" s="23"/>
      <c r="I35" s="23"/>
      <c r="J35" s="23"/>
      <c r="K35" s="29">
        <f t="shared" si="5"/>
        <v>0</v>
      </c>
      <c r="L35" s="29">
        <f t="shared" si="6"/>
        <v>0</v>
      </c>
      <c r="M35" s="31">
        <f t="shared" si="7"/>
        <v>0</v>
      </c>
    </row>
    <row r="36" spans="1:13" x14ac:dyDescent="0.35">
      <c r="A36" s="11">
        <v>708304097</v>
      </c>
      <c r="B36" s="11" t="s">
        <v>28</v>
      </c>
      <c r="C36" s="11" t="s">
        <v>20</v>
      </c>
      <c r="D36" s="12">
        <f>IFERROR(INDEX('[1]Production Plan'!$A$174:$BR$257,MATCH($A36,'[1]Production Plan'!$A$174:$A$257,0),MATCH(B$1,'[1]Production Plan'!$A$174:$BR$174,0)),0)</f>
        <v>0</v>
      </c>
      <c r="E36" s="23"/>
      <c r="F36" s="23"/>
      <c r="G36" s="23"/>
      <c r="H36" s="23"/>
      <c r="I36" s="23"/>
      <c r="J36" s="23"/>
      <c r="K36" s="29">
        <f t="shared" si="5"/>
        <v>0</v>
      </c>
      <c r="L36" s="29">
        <f t="shared" si="6"/>
        <v>0</v>
      </c>
      <c r="M36" s="31">
        <f t="shared" si="7"/>
        <v>0</v>
      </c>
    </row>
    <row r="37" spans="1:13" x14ac:dyDescent="0.35">
      <c r="A37" s="11">
        <v>708304101</v>
      </c>
      <c r="B37" s="11" t="s">
        <v>29</v>
      </c>
      <c r="C37" s="11" t="s">
        <v>20</v>
      </c>
      <c r="D37" s="12">
        <f>IFERROR(INDEX('[1]Production Plan'!$A$174:$BR$257,MATCH($A37,'[1]Production Plan'!$A$174:$A$257,0),MATCH(B$1,'[1]Production Plan'!$A$174:$BR$174,0)),0)</f>
        <v>0</v>
      </c>
      <c r="E37" s="23"/>
      <c r="F37" s="23"/>
      <c r="G37" s="23"/>
      <c r="H37" s="23"/>
      <c r="I37" s="23"/>
      <c r="J37" s="23"/>
      <c r="K37" s="29">
        <f t="shared" si="5"/>
        <v>0</v>
      </c>
      <c r="L37" s="29">
        <f t="shared" si="6"/>
        <v>0</v>
      </c>
      <c r="M37" s="31">
        <f t="shared" si="7"/>
        <v>0</v>
      </c>
    </row>
    <row r="38" spans="1:13" x14ac:dyDescent="0.35">
      <c r="A38" s="11">
        <v>708400558</v>
      </c>
      <c r="B38" s="11" t="s">
        <v>9</v>
      </c>
      <c r="C38" s="11" t="s">
        <v>20</v>
      </c>
      <c r="D38" s="12">
        <f>IFERROR(INDEX('[1]Production Plan'!$A$174:$BR$257,MATCH($A38,'[1]Production Plan'!$A$174:$A$257,0),MATCH(B$1,'[1]Production Plan'!$A$174:$BR$174,0)),0)</f>
        <v>0</v>
      </c>
      <c r="E38" s="23"/>
      <c r="F38" s="23"/>
      <c r="G38" s="23"/>
      <c r="H38" s="23"/>
      <c r="I38" s="23"/>
      <c r="J38" s="23"/>
      <c r="K38" s="29">
        <f t="shared" si="5"/>
        <v>0</v>
      </c>
      <c r="L38" s="29">
        <f t="shared" si="6"/>
        <v>0</v>
      </c>
      <c r="M38" s="31">
        <f t="shared" si="7"/>
        <v>0</v>
      </c>
    </row>
    <row r="39" spans="1:13" x14ac:dyDescent="0.35">
      <c r="A39" s="11">
        <v>708400559</v>
      </c>
      <c r="B39" s="11" t="s">
        <v>10</v>
      </c>
      <c r="C39" s="11" t="s">
        <v>20</v>
      </c>
      <c r="D39" s="12">
        <f>IFERROR(INDEX('[1]Production Plan'!$A$174:$BR$257,MATCH($A39,'[1]Production Plan'!$A$174:$A$257,0),MATCH(B$1,'[1]Production Plan'!$A$174:$BR$174,0)),0)</f>
        <v>0</v>
      </c>
      <c r="E39" s="23"/>
      <c r="F39" s="23"/>
      <c r="G39" s="23"/>
      <c r="H39" s="23"/>
      <c r="I39" s="23"/>
      <c r="J39" s="23"/>
      <c r="K39" s="29">
        <f t="shared" si="5"/>
        <v>0</v>
      </c>
      <c r="L39" s="29">
        <f t="shared" si="6"/>
        <v>0</v>
      </c>
      <c r="M39" s="31">
        <f t="shared" si="7"/>
        <v>0</v>
      </c>
    </row>
    <row r="40" spans="1:13" x14ac:dyDescent="0.35">
      <c r="A40" s="11">
        <v>705009924</v>
      </c>
      <c r="B40" s="11" t="s">
        <v>30</v>
      </c>
      <c r="C40" s="11" t="s">
        <v>31</v>
      </c>
      <c r="D40" s="12">
        <f>IFERROR(INDEX('[1]Production Plan'!$A$174:$BR$257,MATCH($A40,'[1]Production Plan'!$A$174:$A$257,0),MATCH(B$1,'[1]Production Plan'!$A$174:$BR$174,0)),0)</f>
        <v>0</v>
      </c>
      <c r="E40" s="23"/>
      <c r="F40" s="23"/>
      <c r="G40" s="23"/>
      <c r="H40" s="23"/>
      <c r="I40" s="23"/>
      <c r="J40" s="23"/>
      <c r="K40" s="29">
        <f t="shared" si="5"/>
        <v>0</v>
      </c>
      <c r="L40" s="29">
        <f t="shared" si="6"/>
        <v>0</v>
      </c>
      <c r="M40" s="31">
        <f t="shared" si="7"/>
        <v>0</v>
      </c>
    </row>
    <row r="41" spans="1:13" x14ac:dyDescent="0.35">
      <c r="A41" s="11">
        <v>705009925</v>
      </c>
      <c r="B41" s="11" t="s">
        <v>32</v>
      </c>
      <c r="C41" s="11" t="s">
        <v>31</v>
      </c>
      <c r="D41" s="12">
        <f>IFERROR(INDEX('[1]Production Plan'!$A$174:$BR$257,MATCH($A41,'[1]Production Plan'!$A$174:$A$257,0),MATCH(B$1,'[1]Production Plan'!$A$174:$BR$174,0)),0)</f>
        <v>0</v>
      </c>
      <c r="E41" s="23"/>
      <c r="F41" s="23"/>
      <c r="G41" s="23"/>
      <c r="H41" s="23"/>
      <c r="I41" s="23"/>
      <c r="J41" s="23"/>
      <c r="K41" s="29">
        <f t="shared" si="5"/>
        <v>0</v>
      </c>
      <c r="L41" s="29">
        <f t="shared" si="6"/>
        <v>0</v>
      </c>
      <c r="M41" s="31">
        <f t="shared" si="7"/>
        <v>0</v>
      </c>
    </row>
    <row r="42" spans="1:13" x14ac:dyDescent="0.35">
      <c r="A42" s="11">
        <v>705010836</v>
      </c>
      <c r="B42" s="11" t="s">
        <v>33</v>
      </c>
      <c r="C42" s="11" t="s">
        <v>31</v>
      </c>
      <c r="D42" s="12">
        <f>IFERROR(INDEX('[1]Production Plan'!$A$174:$BR$257,MATCH($A42,'[1]Production Plan'!$A$174:$A$257,0),MATCH(B$1,'[1]Production Plan'!$A$174:$BR$174,0)),0)</f>
        <v>0</v>
      </c>
      <c r="E42" s="23"/>
      <c r="F42" s="23"/>
      <c r="G42" s="23"/>
      <c r="H42" s="23"/>
      <c r="I42" s="23"/>
      <c r="J42" s="23"/>
      <c r="K42" s="29">
        <f t="shared" si="5"/>
        <v>0</v>
      </c>
      <c r="L42" s="29">
        <f t="shared" si="6"/>
        <v>0</v>
      </c>
      <c r="M42" s="31">
        <f t="shared" si="7"/>
        <v>0</v>
      </c>
    </row>
    <row r="43" spans="1:13" x14ac:dyDescent="0.35">
      <c r="A43" s="11">
        <v>705010844</v>
      </c>
      <c r="B43" s="11" t="s">
        <v>34</v>
      </c>
      <c r="C43" s="11" t="s">
        <v>31</v>
      </c>
      <c r="D43" s="12">
        <f>IFERROR(INDEX('[1]Production Plan'!$A$174:$BR$257,MATCH($A43,'[1]Production Plan'!$A$174:$A$257,0),MATCH(B$1,'[1]Production Plan'!$A$174:$BR$174,0)),0)</f>
        <v>0</v>
      </c>
      <c r="E43" s="23"/>
      <c r="F43" s="23"/>
      <c r="G43" s="23"/>
      <c r="H43" s="23"/>
      <c r="I43" s="23"/>
      <c r="J43" s="23"/>
      <c r="K43" s="29">
        <f t="shared" si="5"/>
        <v>0</v>
      </c>
      <c r="L43" s="29">
        <f t="shared" si="6"/>
        <v>0</v>
      </c>
      <c r="M43" s="31">
        <f t="shared" si="7"/>
        <v>0</v>
      </c>
    </row>
    <row r="44" spans="1:13" x14ac:dyDescent="0.35">
      <c r="A44" s="11">
        <v>705013326</v>
      </c>
      <c r="B44" s="11" t="s">
        <v>2</v>
      </c>
      <c r="C44" s="11" t="s">
        <v>31</v>
      </c>
      <c r="D44" s="12">
        <f>IFERROR(INDEX('[1]Production Plan'!$A$174:$BR$257,MATCH($A44,'[1]Production Plan'!$A$174:$A$257,0),MATCH(B$1,'[1]Production Plan'!$A$174:$BR$174,0)),0)</f>
        <v>0</v>
      </c>
      <c r="E44" s="23"/>
      <c r="F44" s="23"/>
      <c r="G44" s="23"/>
      <c r="H44" s="23"/>
      <c r="I44" s="23"/>
      <c r="J44" s="23"/>
      <c r="K44" s="29">
        <f t="shared" si="5"/>
        <v>0</v>
      </c>
      <c r="L44" s="29">
        <f t="shared" si="6"/>
        <v>0</v>
      </c>
      <c r="M44" s="31">
        <f t="shared" si="7"/>
        <v>0</v>
      </c>
    </row>
    <row r="45" spans="1:13" x14ac:dyDescent="0.35">
      <c r="A45" s="11">
        <v>705013566</v>
      </c>
      <c r="B45" s="11" t="s">
        <v>3</v>
      </c>
      <c r="C45" s="11" t="s">
        <v>31</v>
      </c>
      <c r="D45" s="12">
        <f>IFERROR(INDEX('[1]Production Plan'!$A$174:$BR$257,MATCH($A45,'[1]Production Plan'!$A$174:$A$257,0),MATCH(B$1,'[1]Production Plan'!$A$174:$BR$174,0)),0)</f>
        <v>0</v>
      </c>
      <c r="E45" s="23"/>
      <c r="F45" s="23"/>
      <c r="G45" s="23"/>
      <c r="H45" s="23"/>
      <c r="I45" s="23"/>
      <c r="J45" s="23"/>
      <c r="K45" s="29">
        <f t="shared" si="5"/>
        <v>0</v>
      </c>
      <c r="L45" s="29">
        <f t="shared" si="6"/>
        <v>0</v>
      </c>
      <c r="M45" s="31">
        <f t="shared" si="7"/>
        <v>0</v>
      </c>
    </row>
    <row r="46" spans="1:13" x14ac:dyDescent="0.35">
      <c r="A46" s="11">
        <v>708200677</v>
      </c>
      <c r="B46" s="11" t="s">
        <v>35</v>
      </c>
      <c r="C46" s="11" t="s">
        <v>31</v>
      </c>
      <c r="D46" s="12">
        <f>IFERROR(INDEX('[1]Production Plan'!$A$174:$BR$257,MATCH($A46,'[1]Production Plan'!$A$174:$A$257,0),MATCH(B$1,'[1]Production Plan'!$A$174:$BR$174,0)),0)</f>
        <v>0</v>
      </c>
      <c r="E46" s="23"/>
      <c r="F46" s="23"/>
      <c r="G46" s="23"/>
      <c r="H46" s="23"/>
      <c r="I46" s="23"/>
      <c r="J46" s="23"/>
      <c r="K46" s="29">
        <f t="shared" si="5"/>
        <v>0</v>
      </c>
      <c r="L46" s="29">
        <f t="shared" si="6"/>
        <v>0</v>
      </c>
      <c r="M46" s="31">
        <f t="shared" si="7"/>
        <v>0</v>
      </c>
    </row>
    <row r="47" spans="1:13" x14ac:dyDescent="0.35">
      <c r="A47" s="11">
        <v>708200679</v>
      </c>
      <c r="B47" s="11" t="s">
        <v>36</v>
      </c>
      <c r="C47" s="11" t="s">
        <v>31</v>
      </c>
      <c r="D47" s="12">
        <f>IFERROR(INDEX('[1]Production Plan'!$A$174:$BR$257,MATCH($A47,'[1]Production Plan'!$A$174:$A$257,0),MATCH(B$1,'[1]Production Plan'!$A$174:$BR$174,0)),0)</f>
        <v>0</v>
      </c>
      <c r="E47" s="23"/>
      <c r="F47" s="23"/>
      <c r="G47" s="23"/>
      <c r="H47" s="23"/>
      <c r="I47" s="23"/>
      <c r="J47" s="23"/>
      <c r="K47" s="29">
        <f t="shared" si="5"/>
        <v>0</v>
      </c>
      <c r="L47" s="29">
        <f t="shared" si="6"/>
        <v>0</v>
      </c>
      <c r="M47" s="31">
        <f t="shared" si="7"/>
        <v>0</v>
      </c>
    </row>
    <row r="48" spans="1:13" x14ac:dyDescent="0.35">
      <c r="A48" s="11">
        <v>708200680</v>
      </c>
      <c r="B48" s="11" t="s">
        <v>37</v>
      </c>
      <c r="C48" s="11" t="s">
        <v>31</v>
      </c>
      <c r="D48" s="12">
        <f>IFERROR(INDEX('[1]Production Plan'!$A$174:$BR$257,MATCH($A48,'[1]Production Plan'!$A$174:$A$257,0),MATCH(B$1,'[1]Production Plan'!$A$174:$BR$174,0)),0)</f>
        <v>0</v>
      </c>
      <c r="E48" s="23"/>
      <c r="F48" s="23"/>
      <c r="G48" s="23"/>
      <c r="H48" s="23"/>
      <c r="I48" s="23"/>
      <c r="J48" s="23"/>
      <c r="K48" s="29">
        <f t="shared" si="5"/>
        <v>0</v>
      </c>
      <c r="L48" s="29">
        <f t="shared" si="6"/>
        <v>0</v>
      </c>
      <c r="M48" s="31">
        <f t="shared" si="7"/>
        <v>0</v>
      </c>
    </row>
    <row r="49" spans="1:13" x14ac:dyDescent="0.35">
      <c r="A49" s="11">
        <v>708200691</v>
      </c>
      <c r="B49" s="11" t="s">
        <v>38</v>
      </c>
      <c r="C49" s="11" t="s">
        <v>31</v>
      </c>
      <c r="D49" s="12">
        <f>IFERROR(INDEX('[1]Production Plan'!$A$174:$BR$257,MATCH($A49,'[1]Production Plan'!$A$174:$A$257,0),MATCH(B$1,'[1]Production Plan'!$A$174:$BR$174,0)),0)</f>
        <v>0</v>
      </c>
      <c r="E49" s="23"/>
      <c r="F49" s="23"/>
      <c r="G49" s="23"/>
      <c r="H49" s="23"/>
      <c r="I49" s="23"/>
      <c r="J49" s="23"/>
      <c r="K49" s="29">
        <f t="shared" si="5"/>
        <v>0</v>
      </c>
      <c r="L49" s="29">
        <f t="shared" si="6"/>
        <v>0</v>
      </c>
      <c r="M49" s="31">
        <f t="shared" si="7"/>
        <v>0</v>
      </c>
    </row>
    <row r="50" spans="1:13" x14ac:dyDescent="0.35">
      <c r="A50" s="11">
        <v>708301917</v>
      </c>
      <c r="B50" s="11" t="s">
        <v>39</v>
      </c>
      <c r="C50" s="11" t="s">
        <v>31</v>
      </c>
      <c r="D50" s="12">
        <f>IFERROR(INDEX('[1]Production Plan'!$A$174:$BR$257,MATCH($A50,'[1]Production Plan'!$A$174:$A$257,0),MATCH(B$1,'[1]Production Plan'!$A$174:$BR$174,0)),0)</f>
        <v>0</v>
      </c>
      <c r="E50" s="23"/>
      <c r="F50" s="23"/>
      <c r="G50" s="23"/>
      <c r="H50" s="23"/>
      <c r="I50" s="23"/>
      <c r="J50" s="23"/>
      <c r="K50" s="29">
        <f t="shared" si="5"/>
        <v>0</v>
      </c>
      <c r="L50" s="29">
        <f t="shared" si="6"/>
        <v>0</v>
      </c>
      <c r="M50" s="31">
        <f t="shared" si="7"/>
        <v>0</v>
      </c>
    </row>
    <row r="51" spans="1:13" x14ac:dyDescent="0.35">
      <c r="A51" s="11">
        <v>708301922</v>
      </c>
      <c r="B51" s="11" t="s">
        <v>40</v>
      </c>
      <c r="C51" s="11" t="s">
        <v>31</v>
      </c>
      <c r="D51" s="12">
        <f>IFERROR(INDEX('[1]Production Plan'!$A$174:$BR$257,MATCH($A51,'[1]Production Plan'!$A$174:$A$257,0),MATCH(B$1,'[1]Production Plan'!$A$174:$BR$174,0)),0)</f>
        <v>0</v>
      </c>
      <c r="E51" s="23"/>
      <c r="F51" s="23"/>
      <c r="G51" s="23"/>
      <c r="H51" s="23"/>
      <c r="I51" s="23"/>
      <c r="J51" s="23"/>
      <c r="K51" s="29">
        <f t="shared" si="5"/>
        <v>0</v>
      </c>
      <c r="L51" s="29">
        <f t="shared" si="6"/>
        <v>0</v>
      </c>
      <c r="M51" s="31">
        <f t="shared" si="7"/>
        <v>0</v>
      </c>
    </row>
    <row r="52" spans="1:13" x14ac:dyDescent="0.35">
      <c r="A52" s="11">
        <v>705019418</v>
      </c>
      <c r="B52" s="11" t="s">
        <v>19</v>
      </c>
      <c r="C52" s="11" t="s">
        <v>31</v>
      </c>
      <c r="D52" s="12">
        <f>IFERROR(INDEX('[1]Production Plan'!$A$174:$BR$257,MATCH($A52,'[1]Production Plan'!$A$174:$A$257,0),MATCH(B$1,'[1]Production Plan'!$A$174:$BR$174,0)),0)</f>
        <v>0</v>
      </c>
      <c r="E52" s="23"/>
      <c r="F52" s="23"/>
      <c r="G52" s="23"/>
      <c r="H52" s="23"/>
      <c r="I52" s="23"/>
      <c r="J52" s="23"/>
      <c r="K52" s="29">
        <f t="shared" si="5"/>
        <v>0</v>
      </c>
      <c r="L52" s="29">
        <f t="shared" si="6"/>
        <v>0</v>
      </c>
      <c r="M52" s="31">
        <f t="shared" si="7"/>
        <v>0</v>
      </c>
    </row>
    <row r="53" spans="1:13" x14ac:dyDescent="0.35">
      <c r="A53" s="11">
        <v>705019419</v>
      </c>
      <c r="B53" s="11" t="s">
        <v>21</v>
      </c>
      <c r="C53" s="11" t="s">
        <v>31</v>
      </c>
      <c r="D53" s="12">
        <f>IFERROR(INDEX('[1]Production Plan'!$A$174:$BR$257,MATCH($A53,'[1]Production Plan'!$A$174:$A$257,0),MATCH(B$1,'[1]Production Plan'!$A$174:$BR$174,0)),0)</f>
        <v>0</v>
      </c>
      <c r="E53" s="23"/>
      <c r="F53" s="23"/>
      <c r="G53" s="23"/>
      <c r="H53" s="23"/>
      <c r="I53" s="23"/>
      <c r="J53" s="23"/>
      <c r="K53" s="29">
        <f t="shared" si="5"/>
        <v>0</v>
      </c>
      <c r="L53" s="29">
        <f t="shared" si="6"/>
        <v>0</v>
      </c>
      <c r="M53" s="31">
        <f t="shared" si="7"/>
        <v>0</v>
      </c>
    </row>
    <row r="54" spans="1:13" x14ac:dyDescent="0.35">
      <c r="A54" s="11">
        <v>708201405</v>
      </c>
      <c r="B54" s="11" t="s">
        <v>23</v>
      </c>
      <c r="C54" s="11" t="s">
        <v>31</v>
      </c>
      <c r="D54" s="12">
        <f>IFERROR(INDEX('[1]Production Plan'!$A$174:$BR$257,MATCH($A54,'[1]Production Plan'!$A$174:$A$257,0),MATCH(B$1,'[1]Production Plan'!$A$174:$BR$174,0)),0)</f>
        <v>0</v>
      </c>
      <c r="E54" s="23"/>
      <c r="F54" s="23"/>
      <c r="G54" s="23"/>
      <c r="H54" s="23"/>
      <c r="I54" s="23"/>
      <c r="J54" s="23"/>
      <c r="K54" s="29">
        <f t="shared" si="5"/>
        <v>0</v>
      </c>
      <c r="L54" s="29">
        <f t="shared" si="6"/>
        <v>0</v>
      </c>
      <c r="M54" s="31">
        <f t="shared" si="7"/>
        <v>0</v>
      </c>
    </row>
    <row r="55" spans="1:13" x14ac:dyDescent="0.35">
      <c r="A55" s="11">
        <v>708201406</v>
      </c>
      <c r="B55" s="11" t="s">
        <v>24</v>
      </c>
      <c r="C55" s="11" t="s">
        <v>31</v>
      </c>
      <c r="D55" s="12">
        <f>IFERROR(INDEX('[1]Production Plan'!$A$174:$BR$257,MATCH($A55,'[1]Production Plan'!$A$174:$A$257,0),MATCH(B$1,'[1]Production Plan'!$A$174:$BR$174,0)),0)</f>
        <v>0</v>
      </c>
      <c r="E55" s="23"/>
      <c r="F55" s="23"/>
      <c r="G55" s="23"/>
      <c r="H55" s="23"/>
      <c r="I55" s="23"/>
      <c r="J55" s="23"/>
      <c r="K55" s="29">
        <f t="shared" si="5"/>
        <v>0</v>
      </c>
      <c r="L55" s="29">
        <f t="shared" si="6"/>
        <v>0</v>
      </c>
      <c r="M55" s="31">
        <f t="shared" si="7"/>
        <v>0</v>
      </c>
    </row>
    <row r="56" spans="1:13" x14ac:dyDescent="0.35">
      <c r="A56" s="11">
        <v>708201409</v>
      </c>
      <c r="B56" s="11" t="s">
        <v>25</v>
      </c>
      <c r="C56" s="11" t="s">
        <v>31</v>
      </c>
      <c r="D56" s="12">
        <f>IFERROR(INDEX('[1]Production Plan'!$A$174:$BR$257,MATCH($A56,'[1]Production Plan'!$A$174:$A$257,0),MATCH(B$1,'[1]Production Plan'!$A$174:$BR$174,0)),0)</f>
        <v>0</v>
      </c>
      <c r="E56" s="23"/>
      <c r="F56" s="23"/>
      <c r="G56" s="23"/>
      <c r="H56" s="23"/>
      <c r="I56" s="23"/>
      <c r="J56" s="23"/>
      <c r="K56" s="29">
        <f t="shared" si="5"/>
        <v>0</v>
      </c>
      <c r="L56" s="29">
        <f t="shared" si="6"/>
        <v>0</v>
      </c>
      <c r="M56" s="31">
        <f t="shared" si="7"/>
        <v>0</v>
      </c>
    </row>
    <row r="57" spans="1:13" x14ac:dyDescent="0.35">
      <c r="A57" s="11">
        <v>708305094</v>
      </c>
      <c r="B57" s="11" t="s">
        <v>26</v>
      </c>
      <c r="C57" s="11" t="s">
        <v>31</v>
      </c>
      <c r="D57" s="12">
        <f>IFERROR(INDEX('[1]Production Plan'!$A$174:$BR$257,MATCH($A57,'[1]Production Plan'!$A$174:$A$257,0),MATCH(B$1,'[1]Production Plan'!$A$174:$BR$174,0)),0)</f>
        <v>0</v>
      </c>
      <c r="E57" s="23"/>
      <c r="F57" s="23"/>
      <c r="G57" s="23"/>
      <c r="H57" s="23"/>
      <c r="I57" s="23"/>
      <c r="J57" s="23"/>
      <c r="K57" s="29">
        <f t="shared" si="5"/>
        <v>0</v>
      </c>
      <c r="L57" s="29">
        <f t="shared" si="6"/>
        <v>0</v>
      </c>
      <c r="M57" s="31">
        <f t="shared" si="7"/>
        <v>0</v>
      </c>
    </row>
    <row r="58" spans="1:13" x14ac:dyDescent="0.35">
      <c r="A58" s="11">
        <v>708305095</v>
      </c>
      <c r="B58" s="11" t="s">
        <v>27</v>
      </c>
      <c r="C58" s="11" t="s">
        <v>31</v>
      </c>
      <c r="D58" s="12">
        <f>IFERROR(INDEX('[1]Production Plan'!$A$174:$BR$257,MATCH($A58,'[1]Production Plan'!$A$174:$A$257,0),MATCH(B$1,'[1]Production Plan'!$A$174:$BR$174,0)),0)</f>
        <v>0</v>
      </c>
      <c r="E58" s="23"/>
      <c r="F58" s="23"/>
      <c r="G58" s="23"/>
      <c r="H58" s="23"/>
      <c r="I58" s="23"/>
      <c r="J58" s="23"/>
      <c r="K58" s="29">
        <f t="shared" si="5"/>
        <v>0</v>
      </c>
      <c r="L58" s="29">
        <f t="shared" si="6"/>
        <v>0</v>
      </c>
      <c r="M58" s="31">
        <f t="shared" si="7"/>
        <v>0</v>
      </c>
    </row>
    <row r="59" spans="1:13" x14ac:dyDescent="0.35">
      <c r="A59" s="11">
        <v>705018578</v>
      </c>
      <c r="B59" s="11" t="s">
        <v>2</v>
      </c>
      <c r="C59" s="11" t="s">
        <v>41</v>
      </c>
      <c r="D59" s="12">
        <f>IFERROR(INDEX('[1]Production Plan'!$A$174:$BR$257,MATCH($A59,'[1]Production Plan'!$A$174:$A$257,0),MATCH(B$1,'[1]Production Plan'!$A$174:$BR$174,0)),0)</f>
        <v>0</v>
      </c>
      <c r="E59" s="23"/>
      <c r="F59" s="23"/>
      <c r="G59" s="23"/>
      <c r="H59" s="23"/>
      <c r="I59" s="23"/>
      <c r="J59" s="23"/>
      <c r="K59" s="29">
        <f t="shared" si="5"/>
        <v>0</v>
      </c>
      <c r="L59" s="29">
        <f t="shared" si="6"/>
        <v>0</v>
      </c>
      <c r="M59" s="31">
        <f t="shared" si="7"/>
        <v>0</v>
      </c>
    </row>
    <row r="60" spans="1:13" x14ac:dyDescent="0.35">
      <c r="A60" s="11">
        <v>705018579</v>
      </c>
      <c r="B60" s="11" t="s">
        <v>3</v>
      </c>
      <c r="C60" s="11" t="s">
        <v>41</v>
      </c>
      <c r="D60" s="12">
        <f>IFERROR(INDEX('[1]Production Plan'!$A$174:$BR$257,MATCH($A60,'[1]Production Plan'!$A$174:$A$257,0),MATCH(B$1,'[1]Production Plan'!$A$174:$BR$174,0)),0)</f>
        <v>0</v>
      </c>
      <c r="E60" s="23"/>
      <c r="F60" s="23"/>
      <c r="G60" s="23"/>
      <c r="H60" s="23"/>
      <c r="I60" s="23"/>
      <c r="J60" s="23"/>
      <c r="K60" s="29">
        <f t="shared" si="5"/>
        <v>0</v>
      </c>
      <c r="L60" s="29">
        <f t="shared" si="6"/>
        <v>0</v>
      </c>
      <c r="M60" s="31">
        <f t="shared" si="7"/>
        <v>0</v>
      </c>
    </row>
    <row r="61" spans="1:13" x14ac:dyDescent="0.35">
      <c r="A61" s="11">
        <v>705018580</v>
      </c>
      <c r="B61" s="11" t="s">
        <v>19</v>
      </c>
      <c r="C61" s="11" t="s">
        <v>41</v>
      </c>
      <c r="D61" s="12">
        <f>IFERROR(INDEX('[1]Production Plan'!$A$174:$BR$257,MATCH($A61,'[1]Production Plan'!$A$174:$A$257,0),MATCH(B$1,'[1]Production Plan'!$A$174:$BR$174,0)),0)</f>
        <v>0</v>
      </c>
      <c r="E61" s="23"/>
      <c r="F61" s="23"/>
      <c r="G61" s="23"/>
      <c r="H61" s="23"/>
      <c r="I61" s="23"/>
      <c r="J61" s="23"/>
      <c r="K61" s="29">
        <f t="shared" si="5"/>
        <v>0</v>
      </c>
      <c r="L61" s="29">
        <f t="shared" si="6"/>
        <v>0</v>
      </c>
      <c r="M61" s="31">
        <f t="shared" si="7"/>
        <v>0</v>
      </c>
    </row>
    <row r="62" spans="1:13" x14ac:dyDescent="0.35">
      <c r="A62" s="11">
        <v>705018581</v>
      </c>
      <c r="B62" s="11" t="s">
        <v>21</v>
      </c>
      <c r="C62" s="11" t="s">
        <v>41</v>
      </c>
      <c r="D62" s="12">
        <f>IFERROR(INDEX('[1]Production Plan'!$A$174:$BR$257,MATCH($A62,'[1]Production Plan'!$A$174:$A$257,0),MATCH(B$1,'[1]Production Plan'!$A$174:$BR$174,0)),0)</f>
        <v>0</v>
      </c>
      <c r="E62" s="23"/>
      <c r="F62" s="23"/>
      <c r="G62" s="23"/>
      <c r="H62" s="23"/>
      <c r="I62" s="23"/>
      <c r="J62" s="23"/>
      <c r="K62" s="29">
        <f t="shared" si="5"/>
        <v>0</v>
      </c>
      <c r="L62" s="29">
        <f t="shared" si="6"/>
        <v>0</v>
      </c>
      <c r="M62" s="31">
        <f t="shared" si="7"/>
        <v>0</v>
      </c>
    </row>
    <row r="63" spans="1:13" x14ac:dyDescent="0.35">
      <c r="A63" s="11">
        <v>708003728</v>
      </c>
      <c r="B63" s="11" t="s">
        <v>22</v>
      </c>
      <c r="C63" s="11" t="s">
        <v>41</v>
      </c>
      <c r="D63" s="12">
        <f>IFERROR(INDEX('[1]Production Plan'!$A$174:$BR$257,MATCH($A63,'[1]Production Plan'!$A$174:$A$257,0),MATCH(B$1,'[1]Production Plan'!$A$174:$BR$174,0)),0)</f>
        <v>0</v>
      </c>
      <c r="E63" s="23"/>
      <c r="F63" s="23"/>
      <c r="G63" s="23"/>
      <c r="H63" s="23"/>
      <c r="I63" s="23"/>
      <c r="J63" s="23"/>
      <c r="K63" s="29">
        <f t="shared" si="5"/>
        <v>0</v>
      </c>
      <c r="L63" s="29">
        <f t="shared" si="6"/>
        <v>0</v>
      </c>
      <c r="M63" s="31">
        <f t="shared" si="7"/>
        <v>0</v>
      </c>
    </row>
    <row r="64" spans="1:13" x14ac:dyDescent="0.35">
      <c r="A64" s="11">
        <v>708201292</v>
      </c>
      <c r="B64" s="11" t="s">
        <v>23</v>
      </c>
      <c r="C64" s="11" t="s">
        <v>41</v>
      </c>
      <c r="D64" s="12">
        <f>IFERROR(INDEX('[1]Production Plan'!$A$174:$BR$257,MATCH($A64,'[1]Production Plan'!$A$174:$A$257,0),MATCH(B$1,'[1]Production Plan'!$A$174:$BR$174,0)),0)</f>
        <v>0</v>
      </c>
      <c r="E64" s="23"/>
      <c r="F64" s="23"/>
      <c r="G64" s="23"/>
      <c r="H64" s="23"/>
      <c r="I64" s="23"/>
      <c r="J64" s="23"/>
      <c r="K64" s="29">
        <f t="shared" si="5"/>
        <v>0</v>
      </c>
      <c r="L64" s="29">
        <f t="shared" si="6"/>
        <v>0</v>
      </c>
      <c r="M64" s="31">
        <f t="shared" si="7"/>
        <v>0</v>
      </c>
    </row>
    <row r="65" spans="1:13" x14ac:dyDescent="0.35">
      <c r="A65" s="11">
        <v>708201293</v>
      </c>
      <c r="B65" s="11" t="s">
        <v>24</v>
      </c>
      <c r="C65" s="11" t="s">
        <v>41</v>
      </c>
      <c r="D65" s="12">
        <f>IFERROR(INDEX('[1]Production Plan'!$A$174:$BR$257,MATCH($A65,'[1]Production Plan'!$A$174:$A$257,0),MATCH(B$1,'[1]Production Plan'!$A$174:$BR$174,0)),0)</f>
        <v>0</v>
      </c>
      <c r="E65" s="23"/>
      <c r="F65" s="23"/>
      <c r="G65" s="23"/>
      <c r="H65" s="23"/>
      <c r="I65" s="23"/>
      <c r="J65" s="23"/>
      <c r="K65" s="29">
        <f t="shared" si="5"/>
        <v>0</v>
      </c>
      <c r="L65" s="29">
        <f t="shared" si="6"/>
        <v>0</v>
      </c>
      <c r="M65" s="31">
        <f t="shared" si="7"/>
        <v>0</v>
      </c>
    </row>
    <row r="66" spans="1:13" x14ac:dyDescent="0.35">
      <c r="A66" s="11">
        <v>708201295</v>
      </c>
      <c r="B66" s="11" t="s">
        <v>25</v>
      </c>
      <c r="C66" s="11" t="s">
        <v>41</v>
      </c>
      <c r="D66" s="12">
        <f>IFERROR(INDEX('[1]Production Plan'!$A$174:$BR$257,MATCH($A66,'[1]Production Plan'!$A$174:$A$257,0),MATCH(B$1,'[1]Production Plan'!$A$174:$BR$174,0)),0)</f>
        <v>0</v>
      </c>
      <c r="E66" s="23"/>
      <c r="F66" s="23"/>
      <c r="G66" s="23"/>
      <c r="H66" s="23"/>
      <c r="I66" s="23"/>
      <c r="J66" s="23"/>
      <c r="K66" s="29">
        <f t="shared" si="5"/>
        <v>0</v>
      </c>
      <c r="L66" s="29">
        <f t="shared" si="6"/>
        <v>0</v>
      </c>
      <c r="M66" s="31">
        <f t="shared" si="7"/>
        <v>0</v>
      </c>
    </row>
    <row r="67" spans="1:13" x14ac:dyDescent="0.35">
      <c r="A67" s="11">
        <v>708304714</v>
      </c>
      <c r="B67" s="11" t="s">
        <v>42</v>
      </c>
      <c r="C67" s="11" t="s">
        <v>41</v>
      </c>
      <c r="D67" s="12">
        <f>IFERROR(INDEX('[1]Production Plan'!$A$174:$BR$257,MATCH($A67,'[1]Production Plan'!$A$174:$A$257,0),MATCH(B$1,'[1]Production Plan'!$A$174:$BR$174,0)),0)</f>
        <v>0</v>
      </c>
      <c r="E67" s="23"/>
      <c r="F67" s="23"/>
      <c r="G67" s="23"/>
      <c r="H67" s="23"/>
      <c r="I67" s="23"/>
      <c r="J67" s="23"/>
      <c r="K67" s="29">
        <f t="shared" si="5"/>
        <v>0</v>
      </c>
      <c r="L67" s="29">
        <f t="shared" si="6"/>
        <v>0</v>
      </c>
      <c r="M67" s="31">
        <f t="shared" si="7"/>
        <v>0</v>
      </c>
    </row>
    <row r="68" spans="1:13" x14ac:dyDescent="0.35">
      <c r="A68" s="11">
        <v>708304715</v>
      </c>
      <c r="B68" s="11" t="s">
        <v>28</v>
      </c>
      <c r="C68" s="11" t="s">
        <v>41</v>
      </c>
      <c r="D68" s="12">
        <f>IFERROR(INDEX('[1]Production Plan'!$A$174:$BR$257,MATCH($A68,'[1]Production Plan'!$A$174:$A$257,0),MATCH(B$1,'[1]Production Plan'!$A$174:$BR$174,0)),0)</f>
        <v>0</v>
      </c>
      <c r="E68" s="23"/>
      <c r="F68" s="23"/>
      <c r="G68" s="23"/>
      <c r="H68" s="23"/>
      <c r="I68" s="23"/>
      <c r="J68" s="23"/>
      <c r="K68" s="29">
        <f t="shared" si="5"/>
        <v>0</v>
      </c>
      <c r="L68" s="29">
        <f t="shared" si="6"/>
        <v>0</v>
      </c>
      <c r="M68" s="31">
        <f t="shared" si="7"/>
        <v>0</v>
      </c>
    </row>
    <row r="69" spans="1:13" x14ac:dyDescent="0.35">
      <c r="A69" s="11">
        <v>708304716</v>
      </c>
      <c r="B69" s="11" t="s">
        <v>29</v>
      </c>
      <c r="C69" s="11" t="s">
        <v>41</v>
      </c>
      <c r="D69" s="12">
        <f>IFERROR(INDEX('[1]Production Plan'!$A$174:$BR$257,MATCH($A69,'[1]Production Plan'!$A$174:$A$257,0),MATCH(B$1,'[1]Production Plan'!$A$174:$BR$174,0)),0)</f>
        <v>0</v>
      </c>
      <c r="E69" s="23"/>
      <c r="F69" s="23"/>
      <c r="G69" s="23"/>
      <c r="H69" s="23"/>
      <c r="I69" s="23"/>
      <c r="J69" s="23"/>
      <c r="K69" s="29">
        <f t="shared" si="5"/>
        <v>0</v>
      </c>
      <c r="L69" s="29">
        <f t="shared" si="6"/>
        <v>0</v>
      </c>
      <c r="M69" s="31">
        <f t="shared" si="7"/>
        <v>0</v>
      </c>
    </row>
    <row r="70" spans="1:13" x14ac:dyDescent="0.35">
      <c r="A70" s="11">
        <v>708304717</v>
      </c>
      <c r="B70" s="11" t="s">
        <v>26</v>
      </c>
      <c r="C70" s="11" t="s">
        <v>41</v>
      </c>
      <c r="D70" s="12">
        <f>IFERROR(INDEX('[1]Production Plan'!$A$174:$BR$257,MATCH($A70,'[1]Production Plan'!$A$174:$A$257,0),MATCH(B$1,'[1]Production Plan'!$A$174:$BR$174,0)),0)</f>
        <v>0</v>
      </c>
      <c r="E70" s="23"/>
      <c r="F70" s="23"/>
      <c r="G70" s="23"/>
      <c r="H70" s="23"/>
      <c r="I70" s="23"/>
      <c r="J70" s="23"/>
      <c r="K70" s="29">
        <f t="shared" si="5"/>
        <v>0</v>
      </c>
      <c r="L70" s="29">
        <f t="shared" si="6"/>
        <v>0</v>
      </c>
      <c r="M70" s="31">
        <f t="shared" si="7"/>
        <v>0</v>
      </c>
    </row>
    <row r="71" spans="1:13" x14ac:dyDescent="0.35">
      <c r="A71" s="11">
        <v>708304718</v>
      </c>
      <c r="B71" s="11" t="s">
        <v>27</v>
      </c>
      <c r="C71" s="11" t="s">
        <v>41</v>
      </c>
      <c r="D71" s="12">
        <f>IFERROR(INDEX('[1]Production Plan'!$A$174:$BR$257,MATCH($A71,'[1]Production Plan'!$A$174:$A$257,0),MATCH(B$1,'[1]Production Plan'!$A$174:$BR$174,0)),0)</f>
        <v>0</v>
      </c>
      <c r="E71" s="23"/>
      <c r="F71" s="23"/>
      <c r="G71" s="23"/>
      <c r="H71" s="23"/>
      <c r="I71" s="23"/>
      <c r="J71" s="23"/>
      <c r="K71" s="29">
        <f t="shared" si="5"/>
        <v>0</v>
      </c>
      <c r="L71" s="29">
        <f t="shared" si="6"/>
        <v>0</v>
      </c>
      <c r="M71" s="31">
        <f t="shared" si="7"/>
        <v>0</v>
      </c>
    </row>
    <row r="72" spans="1:13" x14ac:dyDescent="0.35">
      <c r="A72" s="11">
        <v>705019146</v>
      </c>
      <c r="B72" s="11" t="s">
        <v>2</v>
      </c>
      <c r="C72" s="11" t="s">
        <v>43</v>
      </c>
      <c r="D72" s="12">
        <f>IFERROR(INDEX('[1]Production Plan'!$A$174:$BR$257,MATCH($A72,'[1]Production Plan'!$A$174:$A$257,0),MATCH(B$1,'[1]Production Plan'!$A$174:$BR$174,0)),0)</f>
        <v>0</v>
      </c>
      <c r="E72" s="23"/>
      <c r="F72" s="23"/>
      <c r="G72" s="23"/>
      <c r="H72" s="23"/>
      <c r="I72" s="23"/>
      <c r="J72" s="23"/>
      <c r="K72" s="29">
        <f t="shared" si="5"/>
        <v>0</v>
      </c>
      <c r="L72" s="29">
        <f t="shared" si="6"/>
        <v>0</v>
      </c>
      <c r="M72" s="31">
        <f t="shared" si="7"/>
        <v>0</v>
      </c>
    </row>
    <row r="73" spans="1:13" x14ac:dyDescent="0.35">
      <c r="A73" s="11">
        <v>705019147</v>
      </c>
      <c r="B73" s="11" t="s">
        <v>3</v>
      </c>
      <c r="C73" s="11" t="s">
        <v>43</v>
      </c>
      <c r="D73" s="12">
        <f>IFERROR(INDEX('[1]Production Plan'!$A$174:$BR$257,MATCH($A73,'[1]Production Plan'!$A$174:$A$257,0),MATCH(B$1,'[1]Production Plan'!$A$174:$BR$174,0)),0)</f>
        <v>0</v>
      </c>
      <c r="E73" s="23"/>
      <c r="F73" s="23"/>
      <c r="G73" s="23"/>
      <c r="H73" s="23"/>
      <c r="I73" s="23"/>
      <c r="J73" s="23"/>
      <c r="K73" s="29">
        <f t="shared" ref="K73:K85" si="8">SUM(E73:J73)</f>
        <v>0</v>
      </c>
      <c r="L73" s="29">
        <f t="shared" ref="L73:L85" si="9">D73-K73</f>
        <v>0</v>
      </c>
      <c r="M73" s="31">
        <f t="shared" ref="M73:M85" si="10">IF(L73&lt;0,(-1*L73),0)</f>
        <v>0</v>
      </c>
    </row>
    <row r="74" spans="1:13" x14ac:dyDescent="0.35">
      <c r="A74" s="11">
        <v>705019161</v>
      </c>
      <c r="B74" s="11" t="s">
        <v>30</v>
      </c>
      <c r="C74" s="11" t="s">
        <v>43</v>
      </c>
      <c r="D74" s="12">
        <f>IFERROR(INDEX('[1]Production Plan'!$A$174:$BR$257,MATCH($A74,'[1]Production Plan'!$A$174:$A$257,0),MATCH(B$1,'[1]Production Plan'!$A$174:$BR$174,0)),0)</f>
        <v>0</v>
      </c>
      <c r="E74" s="23"/>
      <c r="F74" s="23"/>
      <c r="G74" s="23"/>
      <c r="H74" s="23"/>
      <c r="I74" s="23"/>
      <c r="J74" s="23"/>
      <c r="K74" s="29">
        <f t="shared" si="8"/>
        <v>0</v>
      </c>
      <c r="L74" s="29">
        <f t="shared" si="9"/>
        <v>0</v>
      </c>
      <c r="M74" s="31">
        <f t="shared" si="10"/>
        <v>0</v>
      </c>
    </row>
    <row r="75" spans="1:13" x14ac:dyDescent="0.35">
      <c r="A75" s="11">
        <v>705019162</v>
      </c>
      <c r="B75" s="11" t="s">
        <v>32</v>
      </c>
      <c r="C75" s="11" t="s">
        <v>43</v>
      </c>
      <c r="D75" s="12">
        <f>IFERROR(INDEX('[1]Production Plan'!$A$174:$BR$257,MATCH($A75,'[1]Production Plan'!$A$174:$A$257,0),MATCH(B$1,'[1]Production Plan'!$A$174:$BR$174,0)),0)</f>
        <v>0</v>
      </c>
      <c r="E75" s="23"/>
      <c r="F75" s="23"/>
      <c r="G75" s="23"/>
      <c r="H75" s="23"/>
      <c r="I75" s="23"/>
      <c r="J75" s="23"/>
      <c r="K75" s="29">
        <f t="shared" si="8"/>
        <v>0</v>
      </c>
      <c r="L75" s="29">
        <f t="shared" si="9"/>
        <v>0</v>
      </c>
      <c r="M75" s="31">
        <f t="shared" si="10"/>
        <v>0</v>
      </c>
    </row>
    <row r="76" spans="1:13" x14ac:dyDescent="0.35">
      <c r="A76" s="11">
        <v>705019165</v>
      </c>
      <c r="B76" s="11" t="s">
        <v>34</v>
      </c>
      <c r="C76" s="11" t="s">
        <v>43</v>
      </c>
      <c r="D76" s="12">
        <f>IFERROR(INDEX('[1]Production Plan'!$A$174:$BR$257,MATCH($A76,'[1]Production Plan'!$A$174:$A$257,0),MATCH(B$1,'[1]Production Plan'!$A$174:$BR$174,0)),0)</f>
        <v>0</v>
      </c>
      <c r="E76" s="23"/>
      <c r="F76" s="23"/>
      <c r="G76" s="23"/>
      <c r="H76" s="23"/>
      <c r="I76" s="23"/>
      <c r="J76" s="23"/>
      <c r="K76" s="29">
        <f t="shared" si="8"/>
        <v>0</v>
      </c>
      <c r="L76" s="29">
        <f t="shared" si="9"/>
        <v>0</v>
      </c>
      <c r="M76" s="31">
        <f t="shared" si="10"/>
        <v>0</v>
      </c>
    </row>
    <row r="77" spans="1:13" x14ac:dyDescent="0.35">
      <c r="A77" s="11">
        <v>705019166</v>
      </c>
      <c r="B77" s="11" t="s">
        <v>33</v>
      </c>
      <c r="C77" s="11" t="s">
        <v>43</v>
      </c>
      <c r="D77" s="12">
        <f>IFERROR(INDEX('[1]Production Plan'!$A$174:$BR$257,MATCH($A77,'[1]Production Plan'!$A$174:$A$257,0),MATCH(B$1,'[1]Production Plan'!$A$174:$BR$174,0)),0)</f>
        <v>0</v>
      </c>
      <c r="E77" s="23"/>
      <c r="F77" s="23"/>
      <c r="G77" s="23"/>
      <c r="H77" s="23"/>
      <c r="I77" s="23"/>
      <c r="J77" s="23"/>
      <c r="K77" s="29">
        <f t="shared" si="8"/>
        <v>0</v>
      </c>
      <c r="L77" s="29">
        <f t="shared" si="9"/>
        <v>0</v>
      </c>
      <c r="M77" s="31">
        <f t="shared" si="10"/>
        <v>0</v>
      </c>
    </row>
    <row r="78" spans="1:13" x14ac:dyDescent="0.35">
      <c r="A78" s="11">
        <v>708201336</v>
      </c>
      <c r="B78" s="11" t="s">
        <v>35</v>
      </c>
      <c r="C78" s="11" t="s">
        <v>43</v>
      </c>
      <c r="D78" s="12">
        <f>IFERROR(INDEX('[1]Production Plan'!$A$174:$BR$257,MATCH($A78,'[1]Production Plan'!$A$174:$A$257,0),MATCH(B$1,'[1]Production Plan'!$A$174:$BR$174,0)),0)</f>
        <v>0</v>
      </c>
      <c r="E78" s="23"/>
      <c r="F78" s="23"/>
      <c r="G78" s="23"/>
      <c r="H78" s="23"/>
      <c r="I78" s="23"/>
      <c r="J78" s="23"/>
      <c r="K78" s="29">
        <f t="shared" si="8"/>
        <v>0</v>
      </c>
      <c r="L78" s="29">
        <f t="shared" si="9"/>
        <v>0</v>
      </c>
      <c r="M78" s="31">
        <f t="shared" si="10"/>
        <v>0</v>
      </c>
    </row>
    <row r="79" spans="1:13" x14ac:dyDescent="0.35">
      <c r="A79" s="11">
        <v>708201337</v>
      </c>
      <c r="B79" s="11" t="s">
        <v>36</v>
      </c>
      <c r="C79" s="11" t="s">
        <v>43</v>
      </c>
      <c r="D79" s="12">
        <f>IFERROR(INDEX('[1]Production Plan'!$A$174:$BR$257,MATCH($A79,'[1]Production Plan'!$A$174:$A$257,0),MATCH(B$1,'[1]Production Plan'!$A$174:$BR$174,0)),0)</f>
        <v>0</v>
      </c>
      <c r="E79" s="23"/>
      <c r="F79" s="23"/>
      <c r="G79" s="23"/>
      <c r="H79" s="23"/>
      <c r="I79" s="23"/>
      <c r="J79" s="23"/>
      <c r="K79" s="29">
        <f t="shared" si="8"/>
        <v>0</v>
      </c>
      <c r="L79" s="29">
        <f t="shared" si="9"/>
        <v>0</v>
      </c>
      <c r="M79" s="31">
        <f t="shared" si="10"/>
        <v>0</v>
      </c>
    </row>
    <row r="80" spans="1:13" x14ac:dyDescent="0.35">
      <c r="A80" s="11">
        <v>708201338</v>
      </c>
      <c r="B80" s="11" t="s">
        <v>37</v>
      </c>
      <c r="C80" s="11" t="s">
        <v>43</v>
      </c>
      <c r="D80" s="12">
        <f>IFERROR(INDEX('[1]Production Plan'!$A$174:$BR$257,MATCH($A80,'[1]Production Plan'!$A$174:$A$257,0),MATCH(B$1,'[1]Production Plan'!$A$174:$BR$174,0)),0)</f>
        <v>0</v>
      </c>
      <c r="E80" s="23"/>
      <c r="F80" s="23"/>
      <c r="G80" s="23"/>
      <c r="H80" s="23"/>
      <c r="I80" s="23"/>
      <c r="J80" s="23"/>
      <c r="K80" s="29">
        <f t="shared" si="8"/>
        <v>0</v>
      </c>
      <c r="L80" s="29">
        <f t="shared" si="9"/>
        <v>0</v>
      </c>
      <c r="M80" s="31">
        <f t="shared" si="10"/>
        <v>0</v>
      </c>
    </row>
    <row r="81" spans="1:13" x14ac:dyDescent="0.35">
      <c r="A81" s="11">
        <v>708201339</v>
      </c>
      <c r="B81" s="11" t="s">
        <v>38</v>
      </c>
      <c r="C81" s="11" t="s">
        <v>43</v>
      </c>
      <c r="D81" s="12">
        <f>IFERROR(INDEX('[1]Production Plan'!$A$174:$BR$257,MATCH($A81,'[1]Production Plan'!$A$174:$A$257,0),MATCH(B$1,'[1]Production Plan'!$A$174:$BR$174,0)),0)</f>
        <v>0</v>
      </c>
      <c r="E81" s="23"/>
      <c r="F81" s="23"/>
      <c r="G81" s="23"/>
      <c r="H81" s="23"/>
      <c r="I81" s="23"/>
      <c r="J81" s="23"/>
      <c r="K81" s="29">
        <f t="shared" si="8"/>
        <v>0</v>
      </c>
      <c r="L81" s="29">
        <f t="shared" si="9"/>
        <v>0</v>
      </c>
      <c r="M81" s="31">
        <f t="shared" si="10"/>
        <v>0</v>
      </c>
    </row>
    <row r="82" spans="1:13" x14ac:dyDescent="0.35">
      <c r="A82" s="11">
        <v>708304979</v>
      </c>
      <c r="B82" s="11" t="s">
        <v>39</v>
      </c>
      <c r="C82" s="11" t="s">
        <v>43</v>
      </c>
      <c r="D82" s="12">
        <f>IFERROR(INDEX('[1]Production Plan'!$A$174:$BR$257,MATCH($A82,'[1]Production Plan'!$A$174:$A$257,0),MATCH(B$1,'[1]Production Plan'!$A$174:$BR$174,0)),0)</f>
        <v>0</v>
      </c>
      <c r="E82" s="23"/>
      <c r="F82" s="23"/>
      <c r="G82" s="23"/>
      <c r="H82" s="23"/>
      <c r="I82" s="23"/>
      <c r="J82" s="23"/>
      <c r="K82" s="29">
        <f t="shared" si="8"/>
        <v>0</v>
      </c>
      <c r="L82" s="29">
        <f t="shared" si="9"/>
        <v>0</v>
      </c>
      <c r="M82" s="31">
        <f t="shared" si="10"/>
        <v>0</v>
      </c>
    </row>
    <row r="83" spans="1:13" x14ac:dyDescent="0.35">
      <c r="A83" s="11">
        <v>708304980</v>
      </c>
      <c r="B83" s="11" t="s">
        <v>40</v>
      </c>
      <c r="C83" s="11" t="s">
        <v>43</v>
      </c>
      <c r="D83" s="12">
        <f>IFERROR(INDEX('[1]Production Plan'!$A$174:$BR$257,MATCH($A83,'[1]Production Plan'!$A$174:$A$257,0),MATCH(B$1,'[1]Production Plan'!$A$174:$BR$174,0)),0)</f>
        <v>0</v>
      </c>
      <c r="E83" s="23"/>
      <c r="F83" s="23"/>
      <c r="G83" s="23"/>
      <c r="H83" s="23"/>
      <c r="I83" s="23"/>
      <c r="J83" s="23"/>
      <c r="K83" s="29">
        <f t="shared" si="8"/>
        <v>0</v>
      </c>
      <c r="L83" s="29">
        <f t="shared" si="9"/>
        <v>0</v>
      </c>
      <c r="M83" s="31">
        <f t="shared" si="10"/>
        <v>0</v>
      </c>
    </row>
    <row r="84" spans="1:13" x14ac:dyDescent="0.35">
      <c r="A84" s="11">
        <v>708304987</v>
      </c>
      <c r="B84" s="11" t="s">
        <v>28</v>
      </c>
      <c r="C84" s="11" t="s">
        <v>43</v>
      </c>
      <c r="D84" s="12">
        <f>IFERROR(INDEX('[1]Production Plan'!$A$174:$BR$257,MATCH($A84,'[1]Production Plan'!$A$174:$A$257,0),MATCH(B$1,'[1]Production Plan'!$A$174:$BR$174,0)),0)</f>
        <v>0</v>
      </c>
      <c r="E84" s="23"/>
      <c r="F84" s="23"/>
      <c r="G84" s="23"/>
      <c r="H84" s="23"/>
      <c r="I84" s="23"/>
      <c r="J84" s="23"/>
      <c r="K84" s="29">
        <f t="shared" si="8"/>
        <v>0</v>
      </c>
      <c r="L84" s="29">
        <f t="shared" si="9"/>
        <v>0</v>
      </c>
      <c r="M84" s="31">
        <f t="shared" si="10"/>
        <v>0</v>
      </c>
    </row>
    <row r="85" spans="1:13" x14ac:dyDescent="0.35">
      <c r="A85" s="11">
        <v>708304988</v>
      </c>
      <c r="B85" s="11" t="s">
        <v>29</v>
      </c>
      <c r="C85" s="11" t="s">
        <v>43</v>
      </c>
      <c r="D85" s="12">
        <f>IFERROR(INDEX('[1]Production Plan'!$A$174:$BR$257,MATCH($A85,'[1]Production Plan'!$A$174:$A$257,0),MATCH(B$1,'[1]Production Plan'!$A$174:$BR$174,0)),0)</f>
        <v>0</v>
      </c>
      <c r="E85" s="23"/>
      <c r="F85" s="23"/>
      <c r="G85" s="23"/>
      <c r="H85" s="23"/>
      <c r="I85" s="23"/>
      <c r="J85" s="23"/>
      <c r="K85" s="29">
        <f t="shared" si="8"/>
        <v>0</v>
      </c>
      <c r="L85" s="29">
        <f t="shared" si="9"/>
        <v>0</v>
      </c>
      <c r="M85" s="31">
        <f t="shared" si="10"/>
        <v>0</v>
      </c>
    </row>
  </sheetData>
  <sheetProtection algorithmName="SHA-512" hashValue="CQSHaFnQfk5EDnKguSjnie/XXFOuPxYnCmu9dQ6Kpf0KiYdDjI83xII8ZiS6yn5/FJk1q9jGqdVJgWsINCqEHQ==" saltValue="5yPMPNDbvZu21Cr8IwJowg==" spinCount="100000" sheet="1" objects="1" scenarios="1" sort="0" autoFilter="0"/>
  <autoFilter ref="A7:M85" xr:uid="{C9B44CCF-52DF-42DA-AEFB-86C9421F8C76}"/>
  <mergeCells count="1">
    <mergeCell ref="E1:J1"/>
  </mergeCells>
  <conditionalFormatting sqref="D8:D85">
    <cfRule type="cellIs" dxfId="11" priority="11" operator="equal">
      <formula>0</formula>
    </cfRule>
  </conditionalFormatting>
  <conditionalFormatting sqref="E4:J4">
    <cfRule type="cellIs" dxfId="10" priority="6" operator="greaterThanOrEqual">
      <formula>E$2</formula>
    </cfRule>
    <cfRule type="cellIs" dxfId="9" priority="7" operator="lessThan">
      <formula>E$2</formula>
    </cfRule>
  </conditionalFormatting>
  <conditionalFormatting sqref="E5:J5">
    <cfRule type="cellIs" dxfId="8" priority="9" operator="greaterThanOrEqual">
      <formula>E$3</formula>
    </cfRule>
    <cfRule type="cellIs" dxfId="7" priority="10" operator="lessThan">
      <formula>E$3</formula>
    </cfRule>
  </conditionalFormatting>
  <conditionalFormatting sqref="K8:M85">
    <cfRule type="cellIs" dxfId="6" priority="1" operator="equal">
      <formula>0</formula>
    </cfRule>
  </conditionalFormatting>
  <pageMargins left="0.7" right="0.7" top="0.75" bottom="0.75" header="0.3" footer="0.3"/>
  <pageSetup fitToHeight="0" orientation="portrait" verticalDpi="0" r:id="rId1"/>
  <headerFooter>
    <oddFooter>&amp;L8.2.2.3.1.7 BRP actual vs target&amp;RCreated:12/30/24 TS</oddFooter>
  </headerFooter>
  <ignoredErrors>
    <ignoredError sqref="K8 M8:M11 M12:M85 L8:L85 K10:K12 K29:K8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5C89-CAB8-4585-A26A-5CB5143FFAE2}">
  <dimension ref="A1:M85"/>
  <sheetViews>
    <sheetView tabSelected="1" zoomScaleNormal="100" workbookViewId="0">
      <selection activeCell="R22" sqref="R22"/>
    </sheetView>
  </sheetViews>
  <sheetFormatPr defaultRowHeight="16" x14ac:dyDescent="0.4"/>
  <cols>
    <col min="1" max="1" width="12.1796875" customWidth="1"/>
    <col min="2" max="2" width="23" bestFit="1" customWidth="1"/>
    <col min="3" max="3" width="16.7265625" bestFit="1" customWidth="1"/>
    <col min="4" max="4" width="12.1796875" style="7" bestFit="1" customWidth="1"/>
    <col min="5" max="10" width="11.453125" bestFit="1" customWidth="1"/>
    <col min="11" max="12" width="13.54296875" customWidth="1"/>
    <col min="13" max="13" width="13.54296875" style="32" customWidth="1"/>
  </cols>
  <sheetData>
    <row r="1" spans="1:13" s="1" customFormat="1" ht="26.5" thickBot="1" x14ac:dyDescent="0.4">
      <c r="A1" s="13" t="s">
        <v>51</v>
      </c>
      <c r="B1" s="26">
        <v>45656</v>
      </c>
      <c r="D1" s="6"/>
      <c r="E1" s="45" t="s">
        <v>44</v>
      </c>
      <c r="F1" s="46"/>
      <c r="G1" s="46"/>
      <c r="H1" s="46"/>
      <c r="I1" s="46"/>
      <c r="J1" s="47"/>
      <c r="M1" s="30"/>
    </row>
    <row r="2" spans="1:13" s="1" customFormat="1" ht="35.25" customHeight="1" thickBot="1" x14ac:dyDescent="0.4">
      <c r="A2" s="1" t="s">
        <v>60</v>
      </c>
      <c r="B2" s="25">
        <v>4</v>
      </c>
      <c r="D2" s="9" t="s">
        <v>53</v>
      </c>
      <c r="E2" s="5">
        <f>$D$6/$B$2</f>
        <v>510.5</v>
      </c>
      <c r="F2" s="5">
        <f>$D$6/$B$2</f>
        <v>510.5</v>
      </c>
      <c r="G2" s="5">
        <v>0</v>
      </c>
      <c r="H2" s="5">
        <f>$D$6/$B$2</f>
        <v>510.5</v>
      </c>
      <c r="I2" s="5">
        <f>$D$6/$B$2</f>
        <v>510.5</v>
      </c>
      <c r="J2" s="5">
        <f>$D$6/$B$2</f>
        <v>510.5</v>
      </c>
      <c r="K2" s="36"/>
      <c r="L2" s="36"/>
      <c r="M2" s="37"/>
    </row>
    <row r="3" spans="1:13" s="1" customFormat="1" ht="22.5" customHeight="1" thickBot="1" x14ac:dyDescent="0.4">
      <c r="D3" s="9" t="s">
        <v>54</v>
      </c>
      <c r="E3" s="27">
        <f>E$2/$D$6</f>
        <v>0.25</v>
      </c>
      <c r="F3" s="41">
        <f>F$2/$D$6+E3</f>
        <v>0.5</v>
      </c>
      <c r="G3" s="41">
        <f>G$2/$D$6+F3</f>
        <v>0.5</v>
      </c>
      <c r="H3" s="41">
        <f>H$2/$D$6+G3</f>
        <v>0.75</v>
      </c>
      <c r="I3" s="41">
        <f>I$2/$D$6+H3</f>
        <v>1</v>
      </c>
      <c r="J3" s="15" t="s">
        <v>46</v>
      </c>
      <c r="K3" s="35"/>
      <c r="L3" s="35"/>
      <c r="M3" s="38"/>
    </row>
    <row r="4" spans="1:13" s="1" customFormat="1" ht="22.5" customHeight="1" thickBot="1" x14ac:dyDescent="0.4">
      <c r="D4" s="9" t="s">
        <v>52</v>
      </c>
      <c r="E4" s="28">
        <f t="shared" ref="E4:J4" si="0">SUM(E8:E88)</f>
        <v>167</v>
      </c>
      <c r="F4" s="28">
        <f t="shared" si="0"/>
        <v>359</v>
      </c>
      <c r="G4" s="28">
        <f t="shared" si="0"/>
        <v>0</v>
      </c>
      <c r="H4" s="28">
        <f t="shared" si="0"/>
        <v>0</v>
      </c>
      <c r="I4" s="28">
        <f t="shared" si="0"/>
        <v>0</v>
      </c>
      <c r="J4" s="28">
        <f t="shared" si="0"/>
        <v>0</v>
      </c>
      <c r="L4" s="39"/>
      <c r="M4" s="40"/>
    </row>
    <row r="5" spans="1:13" s="1" customFormat="1" ht="22.5" customHeight="1" thickBot="1" x14ac:dyDescent="0.4">
      <c r="D5" s="9" t="s">
        <v>55</v>
      </c>
      <c r="E5" s="10">
        <f>E4/$D$6</f>
        <v>8.1782566111655242E-2</v>
      </c>
      <c r="F5" s="10">
        <f>(E4+F4)/$D$6+E5</f>
        <v>0.33937316356513225</v>
      </c>
      <c r="G5" s="10">
        <f t="shared" ref="G5:J5" si="1">(F4+G4)/$D$6+F5</f>
        <v>0.51518119490695402</v>
      </c>
      <c r="H5" s="10">
        <f t="shared" si="1"/>
        <v>0.51518119490695402</v>
      </c>
      <c r="I5" s="10">
        <f t="shared" si="1"/>
        <v>0.51518119490695402</v>
      </c>
      <c r="J5" s="10">
        <f t="shared" si="1"/>
        <v>0.51518119490695402</v>
      </c>
      <c r="K5" s="39"/>
      <c r="L5" s="39"/>
      <c r="M5" s="40"/>
    </row>
    <row r="6" spans="1:13" s="1" customFormat="1" ht="35" thickBot="1" x14ac:dyDescent="0.4">
      <c r="A6" s="3"/>
      <c r="B6" s="4"/>
      <c r="C6" s="8" t="s">
        <v>45</v>
      </c>
      <c r="D6" s="14">
        <f>SUM(D8:D89)</f>
        <v>2042</v>
      </c>
      <c r="E6" s="19" t="str">
        <f>CHOOSE(WEEKDAY(E7),"Sun","Mon","Tue","Wed","Thu","Fri","Sat")</f>
        <v>Mon</v>
      </c>
      <c r="F6" s="20" t="str">
        <f t="shared" ref="F6:J6" si="2">CHOOSE(WEEKDAY(F7),"Sun","Mon","Tue","Wed","Thu","Fri","Sat")</f>
        <v>Tue</v>
      </c>
      <c r="G6" s="20" t="str">
        <f t="shared" si="2"/>
        <v>Wed</v>
      </c>
      <c r="H6" s="20" t="str">
        <f t="shared" si="2"/>
        <v>Thu</v>
      </c>
      <c r="I6" s="20" t="str">
        <f t="shared" si="2"/>
        <v>Fri</v>
      </c>
      <c r="J6" s="21" t="str">
        <f t="shared" si="2"/>
        <v>Sat</v>
      </c>
      <c r="K6" s="42">
        <f>SUM(K8:K89)</f>
        <v>526</v>
      </c>
      <c r="L6" s="43">
        <f>SUM(L8:L89)</f>
        <v>1516</v>
      </c>
      <c r="M6" s="44">
        <f>SUM(M8:M89)</f>
        <v>91</v>
      </c>
    </row>
    <row r="7" spans="1:13" s="2" customFormat="1" ht="45.75" customHeight="1" thickBot="1" x14ac:dyDescent="0.4">
      <c r="A7" s="24" t="s">
        <v>48</v>
      </c>
      <c r="B7" s="24" t="s">
        <v>49</v>
      </c>
      <c r="C7" s="24" t="s">
        <v>50</v>
      </c>
      <c r="D7" s="24" t="s">
        <v>47</v>
      </c>
      <c r="E7" s="16">
        <f>B1</f>
        <v>45656</v>
      </c>
      <c r="F7" s="17">
        <f>E7+1</f>
        <v>45657</v>
      </c>
      <c r="G7" s="17">
        <f t="shared" ref="G7:J7" si="3">F7+1</f>
        <v>45658</v>
      </c>
      <c r="H7" s="17">
        <f t="shared" si="3"/>
        <v>45659</v>
      </c>
      <c r="I7" s="17">
        <f t="shared" si="3"/>
        <v>45660</v>
      </c>
      <c r="J7" s="18">
        <f t="shared" si="3"/>
        <v>45661</v>
      </c>
      <c r="K7" s="33" t="s">
        <v>61</v>
      </c>
      <c r="L7" s="33" t="s">
        <v>62</v>
      </c>
      <c r="M7" s="34" t="s">
        <v>63</v>
      </c>
    </row>
    <row r="8" spans="1:13" x14ac:dyDescent="0.35">
      <c r="A8" s="11">
        <v>705019194</v>
      </c>
      <c r="B8" s="11" t="s">
        <v>0</v>
      </c>
      <c r="C8" s="11" t="s">
        <v>1</v>
      </c>
      <c r="D8" s="12">
        <f>IFERROR(INDEX('[1]Production Plan'!$A$174:$BR$257,MATCH($A8,'[1]Production Plan'!$A$174:$A$257,0),MATCH(B$1,'[1]Production Plan'!$A$174:$BR$174,0)),0)</f>
        <v>0</v>
      </c>
      <c r="E8" s="22"/>
      <c r="F8" s="22"/>
      <c r="G8" s="22"/>
      <c r="H8" s="22"/>
      <c r="I8" s="22"/>
      <c r="J8" s="22"/>
      <c r="K8" s="29">
        <f>SUM(E8:J8)</f>
        <v>0</v>
      </c>
      <c r="L8" s="29">
        <f>D8-K8</f>
        <v>0</v>
      </c>
      <c r="M8" s="31">
        <f>IF(L8&lt;0,(-1*L8),0)</f>
        <v>0</v>
      </c>
    </row>
    <row r="9" spans="1:13" x14ac:dyDescent="0.35">
      <c r="A9" s="11">
        <v>705019325</v>
      </c>
      <c r="B9" s="11" t="s">
        <v>2</v>
      </c>
      <c r="C9" s="11" t="s">
        <v>1</v>
      </c>
      <c r="D9" s="12">
        <f>IFERROR(INDEX('[1]Production Plan'!$A$174:$BR$257,MATCH($A9,'[1]Production Plan'!$A$174:$A$257,0),MATCH(B$1,'[1]Production Plan'!$A$174:$BR$174,0)),0)</f>
        <v>0</v>
      </c>
      <c r="E9" s="23"/>
      <c r="F9" s="23"/>
      <c r="G9" s="23"/>
      <c r="H9" s="23"/>
      <c r="I9" s="23"/>
      <c r="J9" s="23"/>
      <c r="K9" s="29">
        <f t="shared" ref="K9:K72" si="4">SUM(E9:J9)</f>
        <v>0</v>
      </c>
      <c r="L9" s="29">
        <f t="shared" ref="L9:L72" si="5">D9-K9</f>
        <v>0</v>
      </c>
      <c r="M9" s="31">
        <f t="shared" ref="M9:M72" si="6">IF(L9&lt;0,(-1*L9),0)</f>
        <v>0</v>
      </c>
    </row>
    <row r="10" spans="1:13" x14ac:dyDescent="0.35">
      <c r="A10" s="11">
        <v>705019326</v>
      </c>
      <c r="B10" s="11" t="s">
        <v>3</v>
      </c>
      <c r="C10" s="11" t="s">
        <v>1</v>
      </c>
      <c r="D10" s="12">
        <f>IFERROR(INDEX('[1]Production Plan'!$A$174:$BR$257,MATCH($A10,'[1]Production Plan'!$A$174:$A$257,0),MATCH(B$1,'[1]Production Plan'!$A$174:$BR$174,0)),0)</f>
        <v>0</v>
      </c>
      <c r="E10" s="23"/>
      <c r="F10" s="23"/>
      <c r="G10" s="23"/>
      <c r="H10" s="23"/>
      <c r="I10" s="23"/>
      <c r="J10" s="23"/>
      <c r="K10" s="29">
        <f t="shared" si="4"/>
        <v>0</v>
      </c>
      <c r="L10" s="29">
        <f t="shared" si="5"/>
        <v>0</v>
      </c>
      <c r="M10" s="31">
        <f t="shared" si="6"/>
        <v>0</v>
      </c>
    </row>
    <row r="11" spans="1:13" x14ac:dyDescent="0.35">
      <c r="A11" s="11">
        <v>705019327</v>
      </c>
      <c r="B11" s="11" t="s">
        <v>4</v>
      </c>
      <c r="C11" s="11" t="s">
        <v>1</v>
      </c>
      <c r="D11" s="12">
        <f>IFERROR(INDEX('[1]Production Plan'!$A$174:$BR$257,MATCH($A11,'[1]Production Plan'!$A$174:$A$257,0),MATCH(B$1,'[1]Production Plan'!$A$174:$BR$174,0)),0)</f>
        <v>0</v>
      </c>
      <c r="E11" s="23">
        <v>3</v>
      </c>
      <c r="F11" s="23"/>
      <c r="G11" s="23"/>
      <c r="H11" s="23"/>
      <c r="I11" s="23"/>
      <c r="J11" s="23"/>
      <c r="K11" s="29">
        <f t="shared" si="4"/>
        <v>3</v>
      </c>
      <c r="L11" s="29">
        <f t="shared" si="5"/>
        <v>-3</v>
      </c>
      <c r="M11" s="31">
        <f t="shared" si="6"/>
        <v>3</v>
      </c>
    </row>
    <row r="12" spans="1:13" x14ac:dyDescent="0.35">
      <c r="A12" s="11">
        <v>705019328</v>
      </c>
      <c r="B12" s="11" t="s">
        <v>5</v>
      </c>
      <c r="C12" s="11" t="s">
        <v>1</v>
      </c>
      <c r="D12" s="12">
        <f>IFERROR(INDEX('[1]Production Plan'!$A$174:$BR$257,MATCH($A12,'[1]Production Plan'!$A$174:$A$257,0),MATCH(B$1,'[1]Production Plan'!$A$174:$BR$174,0)),0)</f>
        <v>0</v>
      </c>
      <c r="E12" s="23">
        <v>2</v>
      </c>
      <c r="F12" s="23"/>
      <c r="G12" s="23"/>
      <c r="H12" s="23"/>
      <c r="I12" s="23"/>
      <c r="J12" s="23"/>
      <c r="K12" s="29">
        <f t="shared" si="4"/>
        <v>2</v>
      </c>
      <c r="L12" s="29">
        <f t="shared" si="5"/>
        <v>-2</v>
      </c>
      <c r="M12" s="31">
        <f t="shared" si="6"/>
        <v>2</v>
      </c>
    </row>
    <row r="13" spans="1:13" x14ac:dyDescent="0.35">
      <c r="A13" s="11">
        <v>708302912</v>
      </c>
      <c r="B13" s="11" t="s">
        <v>6</v>
      </c>
      <c r="C13" s="11" t="s">
        <v>1</v>
      </c>
      <c r="D13" s="12">
        <f>IFERROR(INDEX('[1]Production Plan'!$A$174:$BR$257,MATCH($A13,'[1]Production Plan'!$A$174:$A$257,0),MATCH(B$1,'[1]Production Plan'!$A$174:$BR$174,0)),0)</f>
        <v>0</v>
      </c>
      <c r="E13" s="23"/>
      <c r="F13" s="23"/>
      <c r="G13" s="23"/>
      <c r="H13" s="23"/>
      <c r="I13" s="23"/>
      <c r="J13" s="23"/>
      <c r="K13" s="29">
        <f t="shared" si="4"/>
        <v>0</v>
      </c>
      <c r="L13" s="29">
        <f t="shared" si="5"/>
        <v>0</v>
      </c>
      <c r="M13" s="31">
        <f t="shared" si="6"/>
        <v>0</v>
      </c>
    </row>
    <row r="14" spans="1:13" x14ac:dyDescent="0.35">
      <c r="A14" s="11">
        <v>708400338</v>
      </c>
      <c r="B14" s="11" t="s">
        <v>7</v>
      </c>
      <c r="C14" s="11" t="s">
        <v>1</v>
      </c>
      <c r="D14" s="12">
        <f>IFERROR(INDEX('[1]Production Plan'!$A$174:$BR$257,MATCH($A14,'[1]Production Plan'!$A$174:$A$257,0),MATCH(B$1,'[1]Production Plan'!$A$174:$BR$174,0)),0)</f>
        <v>0</v>
      </c>
      <c r="E14" s="23"/>
      <c r="F14" s="23"/>
      <c r="G14" s="23"/>
      <c r="H14" s="23"/>
      <c r="I14" s="23"/>
      <c r="J14" s="23"/>
      <c r="K14" s="29">
        <f t="shared" si="4"/>
        <v>0</v>
      </c>
      <c r="L14" s="29">
        <f t="shared" si="5"/>
        <v>0</v>
      </c>
      <c r="M14" s="31">
        <f t="shared" si="6"/>
        <v>0</v>
      </c>
    </row>
    <row r="15" spans="1:13" x14ac:dyDescent="0.35">
      <c r="A15" s="11">
        <v>708400340</v>
      </c>
      <c r="B15" s="11" t="s">
        <v>8</v>
      </c>
      <c r="C15" s="11" t="s">
        <v>1</v>
      </c>
      <c r="D15" s="12">
        <f>IFERROR(INDEX('[1]Production Plan'!$A$174:$BR$257,MATCH($A15,'[1]Production Plan'!$A$174:$A$257,0),MATCH(B$1,'[1]Production Plan'!$A$174:$BR$174,0)),0)</f>
        <v>0</v>
      </c>
      <c r="E15" s="23"/>
      <c r="F15" s="23"/>
      <c r="G15" s="23"/>
      <c r="H15" s="23"/>
      <c r="I15" s="23"/>
      <c r="J15" s="23"/>
      <c r="K15" s="29">
        <f t="shared" si="4"/>
        <v>0</v>
      </c>
      <c r="L15" s="29">
        <f t="shared" si="5"/>
        <v>0</v>
      </c>
      <c r="M15" s="31">
        <f t="shared" si="6"/>
        <v>0</v>
      </c>
    </row>
    <row r="16" spans="1:13" x14ac:dyDescent="0.35">
      <c r="A16" s="11">
        <v>708400505</v>
      </c>
      <c r="B16" s="11" t="s">
        <v>9</v>
      </c>
      <c r="C16" s="11" t="s">
        <v>1</v>
      </c>
      <c r="D16" s="12">
        <f>IFERROR(INDEX('[1]Production Plan'!$A$174:$BR$257,MATCH($A16,'[1]Production Plan'!$A$174:$A$257,0),MATCH(B$1,'[1]Production Plan'!$A$174:$BR$174,0)),0)</f>
        <v>0</v>
      </c>
      <c r="E16" s="23"/>
      <c r="F16" s="23"/>
      <c r="G16" s="23"/>
      <c r="H16" s="23"/>
      <c r="I16" s="23"/>
      <c r="J16" s="23"/>
      <c r="K16" s="29">
        <f t="shared" si="4"/>
        <v>0</v>
      </c>
      <c r="L16" s="29">
        <f t="shared" si="5"/>
        <v>0</v>
      </c>
      <c r="M16" s="31">
        <f t="shared" si="6"/>
        <v>0</v>
      </c>
    </row>
    <row r="17" spans="1:13" x14ac:dyDescent="0.35">
      <c r="A17" s="11">
        <v>708400506</v>
      </c>
      <c r="B17" s="11" t="s">
        <v>10</v>
      </c>
      <c r="C17" s="11" t="s">
        <v>1</v>
      </c>
      <c r="D17" s="12">
        <f>IFERROR(INDEX('[1]Production Plan'!$A$174:$BR$257,MATCH($A17,'[1]Production Plan'!$A$174:$A$257,0),MATCH(B$1,'[1]Production Plan'!$A$174:$BR$174,0)),0)</f>
        <v>0</v>
      </c>
      <c r="E17" s="23"/>
      <c r="F17" s="23"/>
      <c r="G17" s="23"/>
      <c r="H17" s="23"/>
      <c r="I17" s="23"/>
      <c r="J17" s="23"/>
      <c r="K17" s="29">
        <f t="shared" si="4"/>
        <v>0</v>
      </c>
      <c r="L17" s="29">
        <f t="shared" si="5"/>
        <v>0</v>
      </c>
      <c r="M17" s="31">
        <f t="shared" si="6"/>
        <v>0</v>
      </c>
    </row>
    <row r="18" spans="1:13" x14ac:dyDescent="0.35">
      <c r="A18" s="11">
        <v>708400723</v>
      </c>
      <c r="B18" s="11" t="s">
        <v>11</v>
      </c>
      <c r="C18" s="11" t="s">
        <v>1</v>
      </c>
      <c r="D18" s="12">
        <f>IFERROR(INDEX('[1]Production Plan'!$A$174:$BR$257,MATCH($A18,'[1]Production Plan'!$A$174:$A$257,0),MATCH(B$1,'[1]Production Plan'!$A$174:$BR$174,0)),0)</f>
        <v>0</v>
      </c>
      <c r="E18" s="23"/>
      <c r="F18" s="23">
        <v>8</v>
      </c>
      <c r="G18" s="23"/>
      <c r="H18" s="23"/>
      <c r="I18" s="23"/>
      <c r="J18" s="23"/>
      <c r="K18" s="29">
        <f t="shared" si="4"/>
        <v>8</v>
      </c>
      <c r="L18" s="29">
        <f t="shared" si="5"/>
        <v>-8</v>
      </c>
      <c r="M18" s="31">
        <f t="shared" si="6"/>
        <v>8</v>
      </c>
    </row>
    <row r="19" spans="1:13" x14ac:dyDescent="0.35">
      <c r="A19" s="11">
        <v>708400826</v>
      </c>
      <c r="B19" s="11" t="s">
        <v>12</v>
      </c>
      <c r="C19" s="11" t="s">
        <v>1</v>
      </c>
      <c r="D19" s="12">
        <f>IFERROR(INDEX('[1]Production Plan'!$A$174:$BR$257,MATCH($A19,'[1]Production Plan'!$A$174:$A$257,0),MATCH(B$1,'[1]Production Plan'!$A$174:$BR$174,0)),0)</f>
        <v>0</v>
      </c>
      <c r="E19" s="23"/>
      <c r="F19" s="23"/>
      <c r="G19" s="23"/>
      <c r="H19" s="23"/>
      <c r="I19" s="23"/>
      <c r="J19" s="23"/>
      <c r="K19" s="29">
        <f t="shared" si="4"/>
        <v>0</v>
      </c>
      <c r="L19" s="29">
        <f t="shared" si="5"/>
        <v>0</v>
      </c>
      <c r="M19" s="31">
        <f t="shared" si="6"/>
        <v>0</v>
      </c>
    </row>
    <row r="20" spans="1:13" x14ac:dyDescent="0.35">
      <c r="A20" s="11">
        <v>708400948</v>
      </c>
      <c r="B20" s="11" t="s">
        <v>13</v>
      </c>
      <c r="C20" s="11" t="s">
        <v>1</v>
      </c>
      <c r="D20" s="12">
        <f>IFERROR(INDEX('[1]Production Plan'!$A$174:$BR$257,MATCH($A20,'[1]Production Plan'!$A$174:$A$257,0),MATCH(B$1,'[1]Production Plan'!$A$174:$BR$174,0)),0)</f>
        <v>0</v>
      </c>
      <c r="E20" s="23"/>
      <c r="F20" s="23"/>
      <c r="G20" s="23"/>
      <c r="H20" s="23"/>
      <c r="I20" s="23"/>
      <c r="J20" s="23"/>
      <c r="K20" s="29">
        <f t="shared" si="4"/>
        <v>0</v>
      </c>
      <c r="L20" s="29">
        <f t="shared" si="5"/>
        <v>0</v>
      </c>
      <c r="M20" s="31">
        <f t="shared" si="6"/>
        <v>0</v>
      </c>
    </row>
    <row r="21" spans="1:13" x14ac:dyDescent="0.35">
      <c r="A21" s="11">
        <v>708400949</v>
      </c>
      <c r="B21" s="11" t="s">
        <v>14</v>
      </c>
      <c r="C21" s="11" t="s">
        <v>1</v>
      </c>
      <c r="D21" s="12">
        <f>IFERROR(INDEX('[1]Production Plan'!$A$174:$BR$257,MATCH($A21,'[1]Production Plan'!$A$174:$A$257,0),MATCH(B$1,'[1]Production Plan'!$A$174:$BR$174,0)),0)</f>
        <v>0</v>
      </c>
      <c r="E21" s="23"/>
      <c r="F21" s="23"/>
      <c r="G21" s="23"/>
      <c r="H21" s="23"/>
      <c r="I21" s="23"/>
      <c r="J21" s="23"/>
      <c r="K21" s="29">
        <f t="shared" si="4"/>
        <v>0</v>
      </c>
      <c r="L21" s="29">
        <f t="shared" si="5"/>
        <v>0</v>
      </c>
      <c r="M21" s="31">
        <f t="shared" si="6"/>
        <v>0</v>
      </c>
    </row>
    <row r="22" spans="1:13" x14ac:dyDescent="0.35">
      <c r="A22" s="11">
        <v>708400950</v>
      </c>
      <c r="B22" s="11" t="s">
        <v>15</v>
      </c>
      <c r="C22" s="11" t="s">
        <v>1</v>
      </c>
      <c r="D22" s="12">
        <f>IFERROR(INDEX('[1]Production Plan'!$A$174:$BR$257,MATCH($A22,'[1]Production Plan'!$A$174:$A$257,0),MATCH(B$1,'[1]Production Plan'!$A$174:$BR$174,0)),0)</f>
        <v>400</v>
      </c>
      <c r="E22" s="23"/>
      <c r="F22" s="23">
        <f>17+78</f>
        <v>95</v>
      </c>
      <c r="G22" s="23"/>
      <c r="H22" s="23"/>
      <c r="I22" s="23"/>
      <c r="J22" s="23"/>
      <c r="K22" s="29">
        <f t="shared" si="4"/>
        <v>95</v>
      </c>
      <c r="L22" s="29">
        <f t="shared" si="5"/>
        <v>305</v>
      </c>
      <c r="M22" s="31">
        <f t="shared" si="6"/>
        <v>0</v>
      </c>
    </row>
    <row r="23" spans="1:13" x14ac:dyDescent="0.35">
      <c r="A23" s="11">
        <v>708400951</v>
      </c>
      <c r="B23" s="11" t="s">
        <v>16</v>
      </c>
      <c r="C23" s="11" t="s">
        <v>1</v>
      </c>
      <c r="D23" s="12">
        <f>IFERROR(INDEX('[1]Production Plan'!$A$174:$BR$257,MATCH($A23,'[1]Production Plan'!$A$174:$A$257,0),MATCH(B$1,'[1]Production Plan'!$A$174:$BR$174,0)),0)</f>
        <v>480</v>
      </c>
      <c r="E23" s="23"/>
      <c r="F23" s="23">
        <f>24+4</f>
        <v>28</v>
      </c>
      <c r="G23" s="23"/>
      <c r="H23" s="23"/>
      <c r="I23" s="23"/>
      <c r="J23" s="23"/>
      <c r="K23" s="29">
        <f t="shared" si="4"/>
        <v>28</v>
      </c>
      <c r="L23" s="29">
        <f t="shared" si="5"/>
        <v>452</v>
      </c>
      <c r="M23" s="31">
        <f t="shared" si="6"/>
        <v>0</v>
      </c>
    </row>
    <row r="24" spans="1:13" x14ac:dyDescent="0.35">
      <c r="A24" s="11">
        <v>708400958</v>
      </c>
      <c r="B24" s="11" t="s">
        <v>17</v>
      </c>
      <c r="C24" s="11" t="s">
        <v>1</v>
      </c>
      <c r="D24" s="12">
        <f>IFERROR(INDEX('[1]Production Plan'!$A$174:$BR$257,MATCH($A24,'[1]Production Plan'!$A$174:$A$257,0),MATCH(B$1,'[1]Production Plan'!$A$174:$BR$174,0)),0)</f>
        <v>0</v>
      </c>
      <c r="E24" s="23"/>
      <c r="F24" s="23"/>
      <c r="G24" s="23"/>
      <c r="H24" s="23"/>
      <c r="I24" s="23"/>
      <c r="J24" s="23"/>
      <c r="K24" s="29">
        <f t="shared" si="4"/>
        <v>0</v>
      </c>
      <c r="L24" s="29">
        <f t="shared" si="5"/>
        <v>0</v>
      </c>
      <c r="M24" s="31">
        <f t="shared" si="6"/>
        <v>0</v>
      </c>
    </row>
    <row r="25" spans="1:13" x14ac:dyDescent="0.35">
      <c r="A25" s="11">
        <v>708400959</v>
      </c>
      <c r="B25" s="11" t="s">
        <v>18</v>
      </c>
      <c r="C25" s="11" t="s">
        <v>1</v>
      </c>
      <c r="D25" s="12">
        <f>IFERROR(INDEX('[1]Production Plan'!$A$174:$BR$257,MATCH($A25,'[1]Production Plan'!$A$174:$A$257,0),MATCH(B$1,'[1]Production Plan'!$A$174:$BR$174,0)),0)</f>
        <v>0</v>
      </c>
      <c r="E25" s="23"/>
      <c r="F25" s="23"/>
      <c r="G25" s="23"/>
      <c r="H25" s="23"/>
      <c r="I25" s="23"/>
      <c r="J25" s="23"/>
      <c r="K25" s="29">
        <f t="shared" si="4"/>
        <v>0</v>
      </c>
      <c r="L25" s="29">
        <f t="shared" si="5"/>
        <v>0</v>
      </c>
      <c r="M25" s="31">
        <f t="shared" si="6"/>
        <v>0</v>
      </c>
    </row>
    <row r="26" spans="1:13" x14ac:dyDescent="0.35">
      <c r="A26" s="11">
        <v>705016725</v>
      </c>
      <c r="B26" s="11" t="s">
        <v>19</v>
      </c>
      <c r="C26" s="11" t="s">
        <v>20</v>
      </c>
      <c r="D26" s="12">
        <f>IFERROR(INDEX('[1]Production Plan'!$A$174:$BR$257,MATCH($A26,'[1]Production Plan'!$A$174:$A$257,0),MATCH(B$1,'[1]Production Plan'!$A$174:$BR$174,0)),0)</f>
        <v>0</v>
      </c>
      <c r="E26" s="23">
        <v>16</v>
      </c>
      <c r="F26" s="23"/>
      <c r="G26" s="23"/>
      <c r="H26" s="23"/>
      <c r="I26" s="23"/>
      <c r="J26" s="23"/>
      <c r="K26" s="29">
        <f t="shared" si="4"/>
        <v>16</v>
      </c>
      <c r="L26" s="29">
        <f t="shared" si="5"/>
        <v>-16</v>
      </c>
      <c r="M26" s="31">
        <f t="shared" si="6"/>
        <v>16</v>
      </c>
    </row>
    <row r="27" spans="1:13" x14ac:dyDescent="0.35">
      <c r="A27" s="11">
        <v>705016726</v>
      </c>
      <c r="B27" s="11" t="s">
        <v>21</v>
      </c>
      <c r="C27" s="11" t="s">
        <v>20</v>
      </c>
      <c r="D27" s="12">
        <f>IFERROR(INDEX('[1]Production Plan'!$A$174:$BR$257,MATCH($A27,'[1]Production Plan'!$A$174:$A$257,0),MATCH(B$1,'[1]Production Plan'!$A$174:$BR$174,0)),0)</f>
        <v>0</v>
      </c>
      <c r="E27" s="23">
        <v>16</v>
      </c>
      <c r="F27" s="23"/>
      <c r="G27" s="23"/>
      <c r="H27" s="23"/>
      <c r="I27" s="23"/>
      <c r="J27" s="23"/>
      <c r="K27" s="29">
        <f t="shared" si="4"/>
        <v>16</v>
      </c>
      <c r="L27" s="29">
        <f t="shared" si="5"/>
        <v>-16</v>
      </c>
      <c r="M27" s="31">
        <f t="shared" si="6"/>
        <v>16</v>
      </c>
    </row>
    <row r="28" spans="1:13" x14ac:dyDescent="0.35">
      <c r="A28" s="11">
        <v>705016733</v>
      </c>
      <c r="B28" s="11" t="s">
        <v>2</v>
      </c>
      <c r="C28" s="11" t="s">
        <v>20</v>
      </c>
      <c r="D28" s="12">
        <f>IFERROR(INDEX('[1]Production Plan'!$A$174:$BR$257,MATCH($A28,'[1]Production Plan'!$A$174:$A$257,0),MATCH(B$1,'[1]Production Plan'!$A$174:$BR$174,0)),0)</f>
        <v>0</v>
      </c>
      <c r="E28" s="23">
        <v>18</v>
      </c>
      <c r="F28" s="23"/>
      <c r="G28" s="23"/>
      <c r="H28" s="23"/>
      <c r="I28" s="23"/>
      <c r="J28" s="23"/>
      <c r="K28" s="29">
        <f t="shared" si="4"/>
        <v>18</v>
      </c>
      <c r="L28" s="29">
        <f t="shared" si="5"/>
        <v>-18</v>
      </c>
      <c r="M28" s="31">
        <f t="shared" si="6"/>
        <v>18</v>
      </c>
    </row>
    <row r="29" spans="1:13" x14ac:dyDescent="0.35">
      <c r="A29" s="11">
        <v>705016734</v>
      </c>
      <c r="B29" s="11" t="s">
        <v>3</v>
      </c>
      <c r="C29" s="11" t="s">
        <v>20</v>
      </c>
      <c r="D29" s="12">
        <f>IFERROR(INDEX('[1]Production Plan'!$A$174:$BR$257,MATCH($A29,'[1]Production Plan'!$A$174:$A$257,0),MATCH(B$1,'[1]Production Plan'!$A$174:$BR$174,0)),0)</f>
        <v>48</v>
      </c>
      <c r="E29" s="23">
        <v>8</v>
      </c>
      <c r="F29" s="23"/>
      <c r="G29" s="23"/>
      <c r="H29" s="23"/>
      <c r="I29" s="23"/>
      <c r="J29" s="23"/>
      <c r="K29" s="29">
        <f t="shared" si="4"/>
        <v>8</v>
      </c>
      <c r="L29" s="29">
        <f t="shared" si="5"/>
        <v>40</v>
      </c>
      <c r="M29" s="31">
        <f t="shared" si="6"/>
        <v>0</v>
      </c>
    </row>
    <row r="30" spans="1:13" x14ac:dyDescent="0.35">
      <c r="A30" s="11">
        <v>708003404</v>
      </c>
      <c r="B30" s="11" t="s">
        <v>22</v>
      </c>
      <c r="C30" s="11" t="s">
        <v>20</v>
      </c>
      <c r="D30" s="12">
        <f>IFERROR(INDEX('[1]Production Plan'!$A$174:$BR$257,MATCH($A30,'[1]Production Plan'!$A$174:$A$257,0),MATCH(B$1,'[1]Production Plan'!$A$174:$BR$174,0)),0)</f>
        <v>0</v>
      </c>
      <c r="E30" s="23"/>
      <c r="F30" s="23"/>
      <c r="G30" s="23"/>
      <c r="H30" s="23"/>
      <c r="I30" s="23"/>
      <c r="J30" s="23"/>
      <c r="K30" s="29">
        <f t="shared" si="4"/>
        <v>0</v>
      </c>
      <c r="L30" s="29">
        <f t="shared" si="5"/>
        <v>0</v>
      </c>
      <c r="M30" s="31">
        <f t="shared" si="6"/>
        <v>0</v>
      </c>
    </row>
    <row r="31" spans="1:13" x14ac:dyDescent="0.35">
      <c r="A31" s="11">
        <v>708201135</v>
      </c>
      <c r="B31" s="11" t="s">
        <v>23</v>
      </c>
      <c r="C31" s="11" t="s">
        <v>20</v>
      </c>
      <c r="D31" s="12">
        <f>IFERROR(INDEX('[1]Production Plan'!$A$174:$BR$257,MATCH($A31,'[1]Production Plan'!$A$174:$A$257,0),MATCH(B$1,'[1]Production Plan'!$A$174:$BR$174,0)),0)</f>
        <v>64</v>
      </c>
      <c r="E31" s="23">
        <v>23</v>
      </c>
      <c r="F31" s="23"/>
      <c r="G31" s="23"/>
      <c r="H31" s="23"/>
      <c r="I31" s="23"/>
      <c r="J31" s="23"/>
      <c r="K31" s="29">
        <f t="shared" si="4"/>
        <v>23</v>
      </c>
      <c r="L31" s="29">
        <f t="shared" si="5"/>
        <v>41</v>
      </c>
      <c r="M31" s="31">
        <f t="shared" si="6"/>
        <v>0</v>
      </c>
    </row>
    <row r="32" spans="1:13" x14ac:dyDescent="0.35">
      <c r="A32" s="11">
        <v>708201136</v>
      </c>
      <c r="B32" s="11" t="s">
        <v>24</v>
      </c>
      <c r="C32" s="11" t="s">
        <v>20</v>
      </c>
      <c r="D32" s="12">
        <f>IFERROR(INDEX('[1]Production Plan'!$A$174:$BR$257,MATCH($A32,'[1]Production Plan'!$A$174:$A$257,0),MATCH(B$1,'[1]Production Plan'!$A$174:$BR$174,0)),0)</f>
        <v>48</v>
      </c>
      <c r="E32" s="23">
        <v>20</v>
      </c>
      <c r="F32" s="23"/>
      <c r="G32" s="23"/>
      <c r="H32" s="23"/>
      <c r="I32" s="23"/>
      <c r="J32" s="23"/>
      <c r="K32" s="29">
        <f t="shared" si="4"/>
        <v>20</v>
      </c>
      <c r="L32" s="29">
        <f t="shared" si="5"/>
        <v>28</v>
      </c>
      <c r="M32" s="31">
        <f t="shared" si="6"/>
        <v>0</v>
      </c>
    </row>
    <row r="33" spans="1:13" x14ac:dyDescent="0.35">
      <c r="A33" s="11">
        <v>708201142</v>
      </c>
      <c r="B33" s="11" t="s">
        <v>25</v>
      </c>
      <c r="C33" s="11" t="s">
        <v>20</v>
      </c>
      <c r="D33" s="12">
        <f>IFERROR(INDEX('[1]Production Plan'!$A$174:$BR$257,MATCH($A33,'[1]Production Plan'!$A$174:$A$257,0),MATCH(B$1,'[1]Production Plan'!$A$174:$BR$174,0)),0)</f>
        <v>54</v>
      </c>
      <c r="E33" s="23">
        <v>9</v>
      </c>
      <c r="F33" s="23"/>
      <c r="G33" s="23"/>
      <c r="H33" s="23"/>
      <c r="I33" s="23"/>
      <c r="J33" s="23"/>
      <c r="K33" s="29">
        <f t="shared" si="4"/>
        <v>9</v>
      </c>
      <c r="L33" s="29">
        <f t="shared" si="5"/>
        <v>45</v>
      </c>
      <c r="M33" s="31">
        <f t="shared" si="6"/>
        <v>0</v>
      </c>
    </row>
    <row r="34" spans="1:13" x14ac:dyDescent="0.35">
      <c r="A34" s="11">
        <v>708304085</v>
      </c>
      <c r="B34" s="11" t="s">
        <v>26</v>
      </c>
      <c r="C34" s="11" t="s">
        <v>20</v>
      </c>
      <c r="D34" s="12">
        <f>IFERROR(INDEX('[1]Production Plan'!$A$174:$BR$257,MATCH($A34,'[1]Production Plan'!$A$174:$A$257,0),MATCH(B$1,'[1]Production Plan'!$A$174:$BR$174,0)),0)</f>
        <v>30</v>
      </c>
      <c r="E34" s="23">
        <v>7</v>
      </c>
      <c r="F34" s="23"/>
      <c r="G34" s="23"/>
      <c r="H34" s="23"/>
      <c r="I34" s="23"/>
      <c r="J34" s="23"/>
      <c r="K34" s="29">
        <f t="shared" si="4"/>
        <v>7</v>
      </c>
      <c r="L34" s="29">
        <f t="shared" si="5"/>
        <v>23</v>
      </c>
      <c r="M34" s="31">
        <f t="shared" si="6"/>
        <v>0</v>
      </c>
    </row>
    <row r="35" spans="1:13" x14ac:dyDescent="0.35">
      <c r="A35" s="11">
        <v>708304092</v>
      </c>
      <c r="B35" s="11" t="s">
        <v>27</v>
      </c>
      <c r="C35" s="11" t="s">
        <v>20</v>
      </c>
      <c r="D35" s="12">
        <f>IFERROR(INDEX('[1]Production Plan'!$A$174:$BR$257,MATCH($A35,'[1]Production Plan'!$A$174:$A$257,0),MATCH(B$1,'[1]Production Plan'!$A$174:$BR$174,0)),0)</f>
        <v>30</v>
      </c>
      <c r="E35" s="23">
        <v>17</v>
      </c>
      <c r="F35" s="23"/>
      <c r="G35" s="23"/>
      <c r="H35" s="23"/>
      <c r="I35" s="23"/>
      <c r="J35" s="23"/>
      <c r="K35" s="29">
        <f t="shared" si="4"/>
        <v>17</v>
      </c>
      <c r="L35" s="29">
        <f t="shared" si="5"/>
        <v>13</v>
      </c>
      <c r="M35" s="31">
        <f t="shared" si="6"/>
        <v>0</v>
      </c>
    </row>
    <row r="36" spans="1:13" x14ac:dyDescent="0.35">
      <c r="A36" s="11">
        <v>708304097</v>
      </c>
      <c r="B36" s="11" t="s">
        <v>28</v>
      </c>
      <c r="C36" s="11" t="s">
        <v>20</v>
      </c>
      <c r="D36" s="12">
        <f>IFERROR(INDEX('[1]Production Plan'!$A$174:$BR$257,MATCH($A36,'[1]Production Plan'!$A$174:$A$257,0),MATCH(B$1,'[1]Production Plan'!$A$174:$BR$174,0)),0)</f>
        <v>0</v>
      </c>
      <c r="E36" s="23">
        <v>28</v>
      </c>
      <c r="F36" s="23"/>
      <c r="G36" s="23"/>
      <c r="H36" s="23"/>
      <c r="I36" s="23"/>
      <c r="J36" s="23"/>
      <c r="K36" s="29">
        <f t="shared" si="4"/>
        <v>28</v>
      </c>
      <c r="L36" s="29">
        <f t="shared" si="5"/>
        <v>-28</v>
      </c>
      <c r="M36" s="31">
        <f t="shared" si="6"/>
        <v>28</v>
      </c>
    </row>
    <row r="37" spans="1:13" x14ac:dyDescent="0.35">
      <c r="A37" s="11">
        <v>708304101</v>
      </c>
      <c r="B37" s="11" t="s">
        <v>29</v>
      </c>
      <c r="C37" s="11" t="s">
        <v>20</v>
      </c>
      <c r="D37" s="12">
        <f>IFERROR(INDEX('[1]Production Plan'!$A$174:$BR$257,MATCH($A37,'[1]Production Plan'!$A$174:$A$257,0),MATCH(B$1,'[1]Production Plan'!$A$174:$BR$174,0)),0)</f>
        <v>0</v>
      </c>
      <c r="E37" s="23"/>
      <c r="F37" s="23"/>
      <c r="G37" s="23"/>
      <c r="H37" s="23"/>
      <c r="I37" s="23"/>
      <c r="J37" s="23"/>
      <c r="K37" s="29">
        <f t="shared" si="4"/>
        <v>0</v>
      </c>
      <c r="L37" s="29">
        <f t="shared" si="5"/>
        <v>0</v>
      </c>
      <c r="M37" s="31">
        <f t="shared" si="6"/>
        <v>0</v>
      </c>
    </row>
    <row r="38" spans="1:13" x14ac:dyDescent="0.35">
      <c r="A38" s="11">
        <v>708400558</v>
      </c>
      <c r="B38" s="11" t="s">
        <v>9</v>
      </c>
      <c r="C38" s="11" t="s">
        <v>20</v>
      </c>
      <c r="D38" s="12">
        <f>IFERROR(INDEX('[1]Production Plan'!$A$174:$BR$257,MATCH($A38,'[1]Production Plan'!$A$174:$A$257,0),MATCH(B$1,'[1]Production Plan'!$A$174:$BR$174,0)),0)</f>
        <v>0</v>
      </c>
      <c r="E38" s="23"/>
      <c r="F38" s="23"/>
      <c r="G38" s="23"/>
      <c r="H38" s="23"/>
      <c r="I38" s="23"/>
      <c r="J38" s="23"/>
      <c r="K38" s="29">
        <f t="shared" si="4"/>
        <v>0</v>
      </c>
      <c r="L38" s="29">
        <f t="shared" si="5"/>
        <v>0</v>
      </c>
      <c r="M38" s="31">
        <f t="shared" si="6"/>
        <v>0</v>
      </c>
    </row>
    <row r="39" spans="1:13" x14ac:dyDescent="0.35">
      <c r="A39" s="11">
        <v>708400559</v>
      </c>
      <c r="B39" s="11" t="s">
        <v>10</v>
      </c>
      <c r="C39" s="11" t="s">
        <v>20</v>
      </c>
      <c r="D39" s="12">
        <f>IFERROR(INDEX('[1]Production Plan'!$A$174:$BR$257,MATCH($A39,'[1]Production Plan'!$A$174:$A$257,0),MATCH(B$1,'[1]Production Plan'!$A$174:$BR$174,0)),0)</f>
        <v>0</v>
      </c>
      <c r="E39" s="23"/>
      <c r="F39" s="23"/>
      <c r="G39" s="23"/>
      <c r="H39" s="23"/>
      <c r="I39" s="23"/>
      <c r="J39" s="23"/>
      <c r="K39" s="29">
        <f t="shared" si="4"/>
        <v>0</v>
      </c>
      <c r="L39" s="29">
        <f t="shared" si="5"/>
        <v>0</v>
      </c>
      <c r="M39" s="31">
        <f t="shared" si="6"/>
        <v>0</v>
      </c>
    </row>
    <row r="40" spans="1:13" x14ac:dyDescent="0.35">
      <c r="A40" s="11">
        <v>705009924</v>
      </c>
      <c r="B40" s="11" t="s">
        <v>30</v>
      </c>
      <c r="C40" s="11" t="s">
        <v>31</v>
      </c>
      <c r="D40" s="12">
        <f>IFERROR(INDEX('[1]Production Plan'!$A$174:$BR$257,MATCH($A40,'[1]Production Plan'!$A$174:$A$257,0),MATCH(B$1,'[1]Production Plan'!$A$174:$BR$174,0)),0)</f>
        <v>0</v>
      </c>
      <c r="E40" s="23"/>
      <c r="F40" s="23"/>
      <c r="G40" s="23"/>
      <c r="H40" s="23"/>
      <c r="I40" s="23"/>
      <c r="J40" s="23"/>
      <c r="K40" s="29">
        <f t="shared" si="4"/>
        <v>0</v>
      </c>
      <c r="L40" s="29">
        <f t="shared" si="5"/>
        <v>0</v>
      </c>
      <c r="M40" s="31">
        <f t="shared" si="6"/>
        <v>0</v>
      </c>
    </row>
    <row r="41" spans="1:13" x14ac:dyDescent="0.35">
      <c r="A41" s="11">
        <v>705009925</v>
      </c>
      <c r="B41" s="11" t="s">
        <v>32</v>
      </c>
      <c r="C41" s="11" t="s">
        <v>31</v>
      </c>
      <c r="D41" s="12">
        <f>IFERROR(INDEX('[1]Production Plan'!$A$174:$BR$257,MATCH($A41,'[1]Production Plan'!$A$174:$A$257,0),MATCH(B$1,'[1]Production Plan'!$A$174:$BR$174,0)),0)</f>
        <v>0</v>
      </c>
      <c r="E41" s="23"/>
      <c r="F41" s="23"/>
      <c r="G41" s="23"/>
      <c r="H41" s="23"/>
      <c r="I41" s="23"/>
      <c r="J41" s="23"/>
      <c r="K41" s="29">
        <f t="shared" si="4"/>
        <v>0</v>
      </c>
      <c r="L41" s="29">
        <f t="shared" si="5"/>
        <v>0</v>
      </c>
      <c r="M41" s="31">
        <f t="shared" si="6"/>
        <v>0</v>
      </c>
    </row>
    <row r="42" spans="1:13" x14ac:dyDescent="0.35">
      <c r="A42" s="11">
        <v>705010836</v>
      </c>
      <c r="B42" s="11" t="s">
        <v>33</v>
      </c>
      <c r="C42" s="11" t="s">
        <v>31</v>
      </c>
      <c r="D42" s="12">
        <f>IFERROR(INDEX('[1]Production Plan'!$A$174:$BR$257,MATCH($A42,'[1]Production Plan'!$A$174:$A$257,0),MATCH(B$1,'[1]Production Plan'!$A$174:$BR$174,0)),0)</f>
        <v>0</v>
      </c>
      <c r="E42" s="23"/>
      <c r="F42" s="23"/>
      <c r="G42" s="23"/>
      <c r="H42" s="23"/>
      <c r="I42" s="23"/>
      <c r="J42" s="23"/>
      <c r="K42" s="29">
        <f t="shared" si="4"/>
        <v>0</v>
      </c>
      <c r="L42" s="29">
        <f t="shared" si="5"/>
        <v>0</v>
      </c>
      <c r="M42" s="31">
        <f t="shared" si="6"/>
        <v>0</v>
      </c>
    </row>
    <row r="43" spans="1:13" x14ac:dyDescent="0.35">
      <c r="A43" s="11">
        <v>705010844</v>
      </c>
      <c r="B43" s="11" t="s">
        <v>34</v>
      </c>
      <c r="C43" s="11" t="s">
        <v>31</v>
      </c>
      <c r="D43" s="12">
        <f>IFERROR(INDEX('[1]Production Plan'!$A$174:$BR$257,MATCH($A43,'[1]Production Plan'!$A$174:$A$257,0),MATCH(B$1,'[1]Production Plan'!$A$174:$BR$174,0)),0)</f>
        <v>0</v>
      </c>
      <c r="E43" s="23"/>
      <c r="F43" s="23"/>
      <c r="G43" s="23"/>
      <c r="H43" s="23"/>
      <c r="I43" s="23"/>
      <c r="J43" s="23"/>
      <c r="K43" s="29">
        <f t="shared" si="4"/>
        <v>0</v>
      </c>
      <c r="L43" s="29">
        <f t="shared" si="5"/>
        <v>0</v>
      </c>
      <c r="M43" s="31">
        <f t="shared" si="6"/>
        <v>0</v>
      </c>
    </row>
    <row r="44" spans="1:13" x14ac:dyDescent="0.35">
      <c r="A44" s="11">
        <v>705013326</v>
      </c>
      <c r="B44" s="11" t="s">
        <v>2</v>
      </c>
      <c r="C44" s="11" t="s">
        <v>31</v>
      </c>
      <c r="D44" s="12">
        <f>IFERROR(INDEX('[1]Production Plan'!$A$174:$BR$257,MATCH($A44,'[1]Production Plan'!$A$174:$A$257,0),MATCH(B$1,'[1]Production Plan'!$A$174:$BR$174,0)),0)</f>
        <v>0</v>
      </c>
      <c r="E44" s="23"/>
      <c r="F44" s="23"/>
      <c r="G44" s="23"/>
      <c r="H44" s="23"/>
      <c r="I44" s="23"/>
      <c r="J44" s="23"/>
      <c r="K44" s="29">
        <f t="shared" si="4"/>
        <v>0</v>
      </c>
      <c r="L44" s="29">
        <f t="shared" si="5"/>
        <v>0</v>
      </c>
      <c r="M44" s="31">
        <f t="shared" si="6"/>
        <v>0</v>
      </c>
    </row>
    <row r="45" spans="1:13" x14ac:dyDescent="0.35">
      <c r="A45" s="11">
        <v>705013566</v>
      </c>
      <c r="B45" s="11" t="s">
        <v>3</v>
      </c>
      <c r="C45" s="11" t="s">
        <v>31</v>
      </c>
      <c r="D45" s="12">
        <f>IFERROR(INDEX('[1]Production Plan'!$A$174:$BR$257,MATCH($A45,'[1]Production Plan'!$A$174:$A$257,0),MATCH(B$1,'[1]Production Plan'!$A$174:$BR$174,0)),0)</f>
        <v>0</v>
      </c>
      <c r="E45" s="23"/>
      <c r="F45" s="23"/>
      <c r="G45" s="23"/>
      <c r="H45" s="23"/>
      <c r="I45" s="23"/>
      <c r="J45" s="23"/>
      <c r="K45" s="29">
        <f t="shared" si="4"/>
        <v>0</v>
      </c>
      <c r="L45" s="29">
        <f t="shared" si="5"/>
        <v>0</v>
      </c>
      <c r="M45" s="31">
        <f t="shared" si="6"/>
        <v>0</v>
      </c>
    </row>
    <row r="46" spans="1:13" x14ac:dyDescent="0.35">
      <c r="A46" s="11">
        <v>708200677</v>
      </c>
      <c r="B46" s="11" t="s">
        <v>35</v>
      </c>
      <c r="C46" s="11" t="s">
        <v>31</v>
      </c>
      <c r="D46" s="12">
        <f>IFERROR(INDEX('[1]Production Plan'!$A$174:$BR$257,MATCH($A46,'[1]Production Plan'!$A$174:$A$257,0),MATCH(B$1,'[1]Production Plan'!$A$174:$BR$174,0)),0)</f>
        <v>0</v>
      </c>
      <c r="E46" s="23"/>
      <c r="F46" s="23"/>
      <c r="G46" s="23"/>
      <c r="H46" s="23"/>
      <c r="I46" s="23"/>
      <c r="J46" s="23"/>
      <c r="K46" s="29">
        <f t="shared" si="4"/>
        <v>0</v>
      </c>
      <c r="L46" s="29">
        <f t="shared" si="5"/>
        <v>0</v>
      </c>
      <c r="M46" s="31">
        <f t="shared" si="6"/>
        <v>0</v>
      </c>
    </row>
    <row r="47" spans="1:13" x14ac:dyDescent="0.35">
      <c r="A47" s="11">
        <v>708200679</v>
      </c>
      <c r="B47" s="11" t="s">
        <v>36</v>
      </c>
      <c r="C47" s="11" t="s">
        <v>31</v>
      </c>
      <c r="D47" s="12">
        <f>IFERROR(INDEX('[1]Production Plan'!$A$174:$BR$257,MATCH($A47,'[1]Production Plan'!$A$174:$A$257,0),MATCH(B$1,'[1]Production Plan'!$A$174:$BR$174,0)),0)</f>
        <v>0</v>
      </c>
      <c r="E47" s="23"/>
      <c r="F47" s="23"/>
      <c r="G47" s="23"/>
      <c r="H47" s="23"/>
      <c r="I47" s="23"/>
      <c r="J47" s="23"/>
      <c r="K47" s="29">
        <f t="shared" si="4"/>
        <v>0</v>
      </c>
      <c r="L47" s="29">
        <f t="shared" si="5"/>
        <v>0</v>
      </c>
      <c r="M47" s="31">
        <f t="shared" si="6"/>
        <v>0</v>
      </c>
    </row>
    <row r="48" spans="1:13" x14ac:dyDescent="0.35">
      <c r="A48" s="11">
        <v>708200680</v>
      </c>
      <c r="B48" s="11" t="s">
        <v>37</v>
      </c>
      <c r="C48" s="11" t="s">
        <v>31</v>
      </c>
      <c r="D48" s="12">
        <f>IFERROR(INDEX('[1]Production Plan'!$A$174:$BR$257,MATCH($A48,'[1]Production Plan'!$A$174:$A$257,0),MATCH(B$1,'[1]Production Plan'!$A$174:$BR$174,0)),0)</f>
        <v>0</v>
      </c>
      <c r="E48" s="23"/>
      <c r="F48" s="23"/>
      <c r="G48" s="23"/>
      <c r="H48" s="23"/>
      <c r="I48" s="23"/>
      <c r="J48" s="23"/>
      <c r="K48" s="29">
        <f t="shared" si="4"/>
        <v>0</v>
      </c>
      <c r="L48" s="29">
        <f t="shared" si="5"/>
        <v>0</v>
      </c>
      <c r="M48" s="31">
        <f t="shared" si="6"/>
        <v>0</v>
      </c>
    </row>
    <row r="49" spans="1:13" x14ac:dyDescent="0.35">
      <c r="A49" s="11">
        <v>708200691</v>
      </c>
      <c r="B49" s="11" t="s">
        <v>38</v>
      </c>
      <c r="C49" s="11" t="s">
        <v>31</v>
      </c>
      <c r="D49" s="12">
        <f>IFERROR(INDEX('[1]Production Plan'!$A$174:$BR$257,MATCH($A49,'[1]Production Plan'!$A$174:$A$257,0),MATCH(B$1,'[1]Production Plan'!$A$174:$BR$174,0)),0)</f>
        <v>0</v>
      </c>
      <c r="E49" s="23"/>
      <c r="F49" s="23"/>
      <c r="G49" s="23"/>
      <c r="H49" s="23"/>
      <c r="I49" s="23"/>
      <c r="J49" s="23"/>
      <c r="K49" s="29">
        <f t="shared" si="4"/>
        <v>0</v>
      </c>
      <c r="L49" s="29">
        <f t="shared" si="5"/>
        <v>0</v>
      </c>
      <c r="M49" s="31">
        <f t="shared" si="6"/>
        <v>0</v>
      </c>
    </row>
    <row r="50" spans="1:13" x14ac:dyDescent="0.35">
      <c r="A50" s="11">
        <v>708301917</v>
      </c>
      <c r="B50" s="11" t="s">
        <v>39</v>
      </c>
      <c r="C50" s="11" t="s">
        <v>31</v>
      </c>
      <c r="D50" s="12">
        <f>IFERROR(INDEX('[1]Production Plan'!$A$174:$BR$257,MATCH($A50,'[1]Production Plan'!$A$174:$A$257,0),MATCH(B$1,'[1]Production Plan'!$A$174:$BR$174,0)),0)</f>
        <v>0</v>
      </c>
      <c r="E50" s="23"/>
      <c r="F50" s="23"/>
      <c r="G50" s="23"/>
      <c r="H50" s="23"/>
      <c r="I50" s="23"/>
      <c r="J50" s="23"/>
      <c r="K50" s="29">
        <f t="shared" si="4"/>
        <v>0</v>
      </c>
      <c r="L50" s="29">
        <f t="shared" si="5"/>
        <v>0</v>
      </c>
      <c r="M50" s="31">
        <f t="shared" si="6"/>
        <v>0</v>
      </c>
    </row>
    <row r="51" spans="1:13" x14ac:dyDescent="0.35">
      <c r="A51" s="11">
        <v>708301922</v>
      </c>
      <c r="B51" s="11" t="s">
        <v>40</v>
      </c>
      <c r="C51" s="11" t="s">
        <v>31</v>
      </c>
      <c r="D51" s="12">
        <f>IFERROR(INDEX('[1]Production Plan'!$A$174:$BR$257,MATCH($A51,'[1]Production Plan'!$A$174:$A$257,0),MATCH(B$1,'[1]Production Plan'!$A$174:$BR$174,0)),0)</f>
        <v>0</v>
      </c>
      <c r="E51" s="23"/>
      <c r="F51" s="23"/>
      <c r="G51" s="23"/>
      <c r="H51" s="23"/>
      <c r="I51" s="23"/>
      <c r="J51" s="23"/>
      <c r="K51" s="29">
        <f t="shared" si="4"/>
        <v>0</v>
      </c>
      <c r="L51" s="29">
        <f t="shared" si="5"/>
        <v>0</v>
      </c>
      <c r="M51" s="31">
        <f t="shared" si="6"/>
        <v>0</v>
      </c>
    </row>
    <row r="52" spans="1:13" x14ac:dyDescent="0.35">
      <c r="A52" s="11">
        <v>705019418</v>
      </c>
      <c r="B52" s="11" t="s">
        <v>19</v>
      </c>
      <c r="C52" s="11" t="s">
        <v>31</v>
      </c>
      <c r="D52" s="12">
        <f>IFERROR(INDEX('[1]Production Plan'!$A$174:$BR$257,MATCH($A52,'[1]Production Plan'!$A$174:$A$257,0),MATCH(B$1,'[1]Production Plan'!$A$174:$BR$174,0)),0)</f>
        <v>0</v>
      </c>
      <c r="E52" s="23"/>
      <c r="F52" s="23"/>
      <c r="G52" s="23"/>
      <c r="H52" s="23"/>
      <c r="I52" s="23"/>
      <c r="J52" s="23"/>
      <c r="K52" s="29">
        <f t="shared" si="4"/>
        <v>0</v>
      </c>
      <c r="L52" s="29">
        <f t="shared" si="5"/>
        <v>0</v>
      </c>
      <c r="M52" s="31">
        <f t="shared" si="6"/>
        <v>0</v>
      </c>
    </row>
    <row r="53" spans="1:13" x14ac:dyDescent="0.35">
      <c r="A53" s="11">
        <v>705019419</v>
      </c>
      <c r="B53" s="11" t="s">
        <v>21</v>
      </c>
      <c r="C53" s="11" t="s">
        <v>31</v>
      </c>
      <c r="D53" s="12">
        <f>IFERROR(INDEX('[1]Production Plan'!$A$174:$BR$257,MATCH($A53,'[1]Production Plan'!$A$174:$A$257,0),MATCH(B$1,'[1]Production Plan'!$A$174:$BR$174,0)),0)</f>
        <v>0</v>
      </c>
      <c r="E53" s="23"/>
      <c r="F53" s="23"/>
      <c r="G53" s="23"/>
      <c r="H53" s="23"/>
      <c r="I53" s="23"/>
      <c r="J53" s="23"/>
      <c r="K53" s="29">
        <f t="shared" si="4"/>
        <v>0</v>
      </c>
      <c r="L53" s="29">
        <f t="shared" si="5"/>
        <v>0</v>
      </c>
      <c r="M53" s="31">
        <f t="shared" si="6"/>
        <v>0</v>
      </c>
    </row>
    <row r="54" spans="1:13" x14ac:dyDescent="0.35">
      <c r="A54" s="11">
        <v>708201405</v>
      </c>
      <c r="B54" s="11" t="s">
        <v>23</v>
      </c>
      <c r="C54" s="11" t="s">
        <v>31</v>
      </c>
      <c r="D54" s="12">
        <f>IFERROR(INDEX('[1]Production Plan'!$A$174:$BR$257,MATCH($A54,'[1]Production Plan'!$A$174:$A$257,0),MATCH(B$1,'[1]Production Plan'!$A$174:$BR$174,0)),0)</f>
        <v>0</v>
      </c>
      <c r="E54" s="23"/>
      <c r="F54" s="23"/>
      <c r="G54" s="23"/>
      <c r="H54" s="23"/>
      <c r="I54" s="23"/>
      <c r="J54" s="23"/>
      <c r="K54" s="29">
        <f t="shared" si="4"/>
        <v>0</v>
      </c>
      <c r="L54" s="29">
        <f t="shared" si="5"/>
        <v>0</v>
      </c>
      <c r="M54" s="31">
        <f t="shared" si="6"/>
        <v>0</v>
      </c>
    </row>
    <row r="55" spans="1:13" x14ac:dyDescent="0.35">
      <c r="A55" s="11">
        <v>708201406</v>
      </c>
      <c r="B55" s="11" t="s">
        <v>24</v>
      </c>
      <c r="C55" s="11" t="s">
        <v>31</v>
      </c>
      <c r="D55" s="12">
        <f>IFERROR(INDEX('[1]Production Plan'!$A$174:$BR$257,MATCH($A55,'[1]Production Plan'!$A$174:$A$257,0),MATCH(B$1,'[1]Production Plan'!$A$174:$BR$174,0)),0)</f>
        <v>0</v>
      </c>
      <c r="E55" s="23"/>
      <c r="F55" s="23"/>
      <c r="G55" s="23"/>
      <c r="H55" s="23"/>
      <c r="I55" s="23"/>
      <c r="J55" s="23"/>
      <c r="K55" s="29">
        <f t="shared" si="4"/>
        <v>0</v>
      </c>
      <c r="L55" s="29">
        <f t="shared" si="5"/>
        <v>0</v>
      </c>
      <c r="M55" s="31">
        <f t="shared" si="6"/>
        <v>0</v>
      </c>
    </row>
    <row r="56" spans="1:13" x14ac:dyDescent="0.35">
      <c r="A56" s="11">
        <v>708201409</v>
      </c>
      <c r="B56" s="11" t="s">
        <v>25</v>
      </c>
      <c r="C56" s="11" t="s">
        <v>31</v>
      </c>
      <c r="D56" s="12">
        <f>IFERROR(INDEX('[1]Production Plan'!$A$174:$BR$257,MATCH($A56,'[1]Production Plan'!$A$174:$A$257,0),MATCH(B$1,'[1]Production Plan'!$A$174:$BR$174,0)),0)</f>
        <v>0</v>
      </c>
      <c r="E56" s="23"/>
      <c r="F56" s="23"/>
      <c r="G56" s="23"/>
      <c r="H56" s="23"/>
      <c r="I56" s="23"/>
      <c r="J56" s="23"/>
      <c r="K56" s="29">
        <f t="shared" si="4"/>
        <v>0</v>
      </c>
      <c r="L56" s="29">
        <f t="shared" si="5"/>
        <v>0</v>
      </c>
      <c r="M56" s="31">
        <f t="shared" si="6"/>
        <v>0</v>
      </c>
    </row>
    <row r="57" spans="1:13" x14ac:dyDescent="0.35">
      <c r="A57" s="11">
        <v>708305094</v>
      </c>
      <c r="B57" s="11" t="s">
        <v>26</v>
      </c>
      <c r="C57" s="11" t="s">
        <v>31</v>
      </c>
      <c r="D57" s="12">
        <f>IFERROR(INDEX('[1]Production Plan'!$A$174:$BR$257,MATCH($A57,'[1]Production Plan'!$A$174:$A$257,0),MATCH(B$1,'[1]Production Plan'!$A$174:$BR$174,0)),0)</f>
        <v>0</v>
      </c>
      <c r="E57" s="23"/>
      <c r="F57" s="23"/>
      <c r="G57" s="23"/>
      <c r="H57" s="23"/>
      <c r="I57" s="23"/>
      <c r="J57" s="23"/>
      <c r="K57" s="29">
        <f t="shared" si="4"/>
        <v>0</v>
      </c>
      <c r="L57" s="29">
        <f t="shared" si="5"/>
        <v>0</v>
      </c>
      <c r="M57" s="31">
        <f t="shared" si="6"/>
        <v>0</v>
      </c>
    </row>
    <row r="58" spans="1:13" x14ac:dyDescent="0.35">
      <c r="A58" s="11">
        <v>708305095</v>
      </c>
      <c r="B58" s="11" t="s">
        <v>27</v>
      </c>
      <c r="C58" s="11" t="s">
        <v>31</v>
      </c>
      <c r="D58" s="12">
        <f>IFERROR(INDEX('[1]Production Plan'!$A$174:$BR$257,MATCH($A58,'[1]Production Plan'!$A$174:$A$257,0),MATCH(B$1,'[1]Production Plan'!$A$174:$BR$174,0)),0)</f>
        <v>0</v>
      </c>
      <c r="E58" s="23"/>
      <c r="F58" s="23"/>
      <c r="G58" s="23"/>
      <c r="H58" s="23"/>
      <c r="I58" s="23"/>
      <c r="J58" s="23"/>
      <c r="K58" s="29">
        <f t="shared" si="4"/>
        <v>0</v>
      </c>
      <c r="L58" s="29">
        <f t="shared" si="5"/>
        <v>0</v>
      </c>
      <c r="M58" s="31">
        <f t="shared" si="6"/>
        <v>0</v>
      </c>
    </row>
    <row r="59" spans="1:13" x14ac:dyDescent="0.35">
      <c r="A59" s="11">
        <v>705018578</v>
      </c>
      <c r="B59" s="11" t="s">
        <v>2</v>
      </c>
      <c r="C59" s="11" t="s">
        <v>41</v>
      </c>
      <c r="D59" s="12">
        <f>IFERROR(INDEX('[1]Production Plan'!$A$174:$BR$257,MATCH($A59,'[1]Production Plan'!$A$174:$A$257,0),MATCH(B$1,'[1]Production Plan'!$A$174:$BR$174,0)),0)</f>
        <v>48</v>
      </c>
      <c r="E59" s="23"/>
      <c r="F59" s="23"/>
      <c r="G59" s="23"/>
      <c r="H59" s="23"/>
      <c r="I59" s="23"/>
      <c r="J59" s="23"/>
      <c r="K59" s="29">
        <f t="shared" si="4"/>
        <v>0</v>
      </c>
      <c r="L59" s="29">
        <f t="shared" si="5"/>
        <v>48</v>
      </c>
      <c r="M59" s="31">
        <f t="shared" si="6"/>
        <v>0</v>
      </c>
    </row>
    <row r="60" spans="1:13" x14ac:dyDescent="0.35">
      <c r="A60" s="11">
        <v>705018579</v>
      </c>
      <c r="B60" s="11" t="s">
        <v>3</v>
      </c>
      <c r="C60" s="11" t="s">
        <v>41</v>
      </c>
      <c r="D60" s="12">
        <f>IFERROR(INDEX('[1]Production Plan'!$A$174:$BR$257,MATCH($A60,'[1]Production Plan'!$A$174:$A$257,0),MATCH(B$1,'[1]Production Plan'!$A$174:$BR$174,0)),0)</f>
        <v>48</v>
      </c>
      <c r="E60" s="23"/>
      <c r="F60" s="23"/>
      <c r="G60" s="23"/>
      <c r="H60" s="23"/>
      <c r="I60" s="23"/>
      <c r="J60" s="23"/>
      <c r="K60" s="29">
        <f t="shared" si="4"/>
        <v>0</v>
      </c>
      <c r="L60" s="29">
        <f t="shared" si="5"/>
        <v>48</v>
      </c>
      <c r="M60" s="31">
        <f t="shared" si="6"/>
        <v>0</v>
      </c>
    </row>
    <row r="61" spans="1:13" x14ac:dyDescent="0.35">
      <c r="A61" s="11">
        <v>705018580</v>
      </c>
      <c r="B61" s="11" t="s">
        <v>19</v>
      </c>
      <c r="C61" s="11" t="s">
        <v>41</v>
      </c>
      <c r="D61" s="12">
        <f>IFERROR(INDEX('[1]Production Plan'!$A$174:$BR$257,MATCH($A61,'[1]Production Plan'!$A$174:$A$257,0),MATCH(B$1,'[1]Production Plan'!$A$174:$BR$174,0)),0)</f>
        <v>40</v>
      </c>
      <c r="E61" s="23"/>
      <c r="F61" s="23"/>
      <c r="G61" s="23"/>
      <c r="H61" s="23"/>
      <c r="I61" s="23"/>
      <c r="J61" s="23"/>
      <c r="K61" s="29">
        <f t="shared" si="4"/>
        <v>0</v>
      </c>
      <c r="L61" s="29">
        <f t="shared" si="5"/>
        <v>40</v>
      </c>
      <c r="M61" s="31">
        <f t="shared" si="6"/>
        <v>0</v>
      </c>
    </row>
    <row r="62" spans="1:13" x14ac:dyDescent="0.35">
      <c r="A62" s="11">
        <v>705018581</v>
      </c>
      <c r="B62" s="11" t="s">
        <v>21</v>
      </c>
      <c r="C62" s="11" t="s">
        <v>41</v>
      </c>
      <c r="D62" s="12">
        <f>IFERROR(INDEX('[1]Production Plan'!$A$174:$BR$257,MATCH($A62,'[1]Production Plan'!$A$174:$A$257,0),MATCH(B$1,'[1]Production Plan'!$A$174:$BR$174,0)),0)</f>
        <v>80</v>
      </c>
      <c r="E62" s="23"/>
      <c r="F62" s="23">
        <v>38</v>
      </c>
      <c r="G62" s="23"/>
      <c r="H62" s="23"/>
      <c r="I62" s="23"/>
      <c r="J62" s="23"/>
      <c r="K62" s="29">
        <f t="shared" si="4"/>
        <v>38</v>
      </c>
      <c r="L62" s="29">
        <f t="shared" si="5"/>
        <v>42</v>
      </c>
      <c r="M62" s="31">
        <f t="shared" si="6"/>
        <v>0</v>
      </c>
    </row>
    <row r="63" spans="1:13" x14ac:dyDescent="0.35">
      <c r="A63" s="11">
        <v>708003728</v>
      </c>
      <c r="B63" s="11" t="s">
        <v>22</v>
      </c>
      <c r="C63" s="11" t="s">
        <v>41</v>
      </c>
      <c r="D63" s="12">
        <f>IFERROR(INDEX('[1]Production Plan'!$A$174:$BR$257,MATCH($A63,'[1]Production Plan'!$A$174:$A$257,0),MATCH(B$1,'[1]Production Plan'!$A$174:$BR$174,0)),0)</f>
        <v>72</v>
      </c>
      <c r="E63" s="23"/>
      <c r="F63" s="23">
        <v>22</v>
      </c>
      <c r="G63" s="23"/>
      <c r="H63" s="23"/>
      <c r="I63" s="23"/>
      <c r="J63" s="23"/>
      <c r="K63" s="29">
        <f t="shared" si="4"/>
        <v>22</v>
      </c>
      <c r="L63" s="29">
        <f t="shared" si="5"/>
        <v>50</v>
      </c>
      <c r="M63" s="31">
        <f t="shared" si="6"/>
        <v>0</v>
      </c>
    </row>
    <row r="64" spans="1:13" x14ac:dyDescent="0.35">
      <c r="A64" s="11">
        <v>708201292</v>
      </c>
      <c r="B64" s="11" t="s">
        <v>23</v>
      </c>
      <c r="C64" s="11" t="s">
        <v>41</v>
      </c>
      <c r="D64" s="12">
        <f>IFERROR(INDEX('[1]Production Plan'!$A$174:$BR$257,MATCH($A64,'[1]Production Plan'!$A$174:$A$257,0),MATCH(B$1,'[1]Production Plan'!$A$174:$BR$174,0)),0)</f>
        <v>48</v>
      </c>
      <c r="E64" s="23"/>
      <c r="F64" s="23">
        <v>9</v>
      </c>
      <c r="G64" s="23"/>
      <c r="H64" s="23"/>
      <c r="I64" s="23"/>
      <c r="J64" s="23"/>
      <c r="K64" s="29">
        <f t="shared" si="4"/>
        <v>9</v>
      </c>
      <c r="L64" s="29">
        <f t="shared" si="5"/>
        <v>39</v>
      </c>
      <c r="M64" s="31">
        <f t="shared" si="6"/>
        <v>0</v>
      </c>
    </row>
    <row r="65" spans="1:13" x14ac:dyDescent="0.35">
      <c r="A65" s="11">
        <v>708201293</v>
      </c>
      <c r="B65" s="11" t="s">
        <v>24</v>
      </c>
      <c r="C65" s="11" t="s">
        <v>41</v>
      </c>
      <c r="D65" s="12">
        <f>IFERROR(INDEX('[1]Production Plan'!$A$174:$BR$257,MATCH($A65,'[1]Production Plan'!$A$174:$A$257,0),MATCH(B$1,'[1]Production Plan'!$A$174:$BR$174,0)),0)</f>
        <v>64</v>
      </c>
      <c r="E65" s="23"/>
      <c r="F65" s="23">
        <v>20</v>
      </c>
      <c r="G65" s="23"/>
      <c r="H65" s="23"/>
      <c r="I65" s="23"/>
      <c r="J65" s="23"/>
      <c r="K65" s="29">
        <f t="shared" si="4"/>
        <v>20</v>
      </c>
      <c r="L65" s="29">
        <f t="shared" si="5"/>
        <v>44</v>
      </c>
      <c r="M65" s="31">
        <f t="shared" si="6"/>
        <v>0</v>
      </c>
    </row>
    <row r="66" spans="1:13" x14ac:dyDescent="0.35">
      <c r="A66" s="11">
        <v>708201295</v>
      </c>
      <c r="B66" s="11" t="s">
        <v>25</v>
      </c>
      <c r="C66" s="11" t="s">
        <v>41</v>
      </c>
      <c r="D66" s="12">
        <f>IFERROR(INDEX('[1]Production Plan'!$A$174:$BR$257,MATCH($A66,'[1]Production Plan'!$A$174:$A$257,0),MATCH(B$1,'[1]Production Plan'!$A$174:$BR$174,0)),0)</f>
        <v>108</v>
      </c>
      <c r="E66" s="23"/>
      <c r="F66" s="23">
        <v>32</v>
      </c>
      <c r="G66" s="23"/>
      <c r="H66" s="23"/>
      <c r="I66" s="23"/>
      <c r="J66" s="23"/>
      <c r="K66" s="29">
        <f t="shared" si="4"/>
        <v>32</v>
      </c>
      <c r="L66" s="29">
        <f t="shared" si="5"/>
        <v>76</v>
      </c>
      <c r="M66" s="31">
        <f t="shared" si="6"/>
        <v>0</v>
      </c>
    </row>
    <row r="67" spans="1:13" x14ac:dyDescent="0.35">
      <c r="A67" s="11">
        <v>708304714</v>
      </c>
      <c r="B67" s="11" t="s">
        <v>42</v>
      </c>
      <c r="C67" s="11" t="s">
        <v>41</v>
      </c>
      <c r="D67" s="12">
        <f>IFERROR(INDEX('[1]Production Plan'!$A$174:$BR$257,MATCH($A67,'[1]Production Plan'!$A$174:$A$257,0),MATCH(B$1,'[1]Production Plan'!$A$174:$BR$174,0)),0)</f>
        <v>140</v>
      </c>
      <c r="E67" s="23"/>
      <c r="F67" s="23">
        <v>30</v>
      </c>
      <c r="G67" s="23"/>
      <c r="H67" s="23"/>
      <c r="I67" s="23"/>
      <c r="J67" s="23"/>
      <c r="K67" s="29">
        <f t="shared" si="4"/>
        <v>30</v>
      </c>
      <c r="L67" s="29">
        <f t="shared" si="5"/>
        <v>110</v>
      </c>
      <c r="M67" s="31">
        <f t="shared" si="6"/>
        <v>0</v>
      </c>
    </row>
    <row r="68" spans="1:13" x14ac:dyDescent="0.35">
      <c r="A68" s="11">
        <v>708304715</v>
      </c>
      <c r="B68" s="11" t="s">
        <v>28</v>
      </c>
      <c r="C68" s="11" t="s">
        <v>41</v>
      </c>
      <c r="D68" s="12">
        <f>IFERROR(INDEX('[1]Production Plan'!$A$174:$BR$257,MATCH($A68,'[1]Production Plan'!$A$174:$A$257,0),MATCH(B$1,'[1]Production Plan'!$A$174:$BR$174,0)),0)</f>
        <v>60</v>
      </c>
      <c r="E68" s="23"/>
      <c r="F68" s="23">
        <v>19</v>
      </c>
      <c r="G68" s="23"/>
      <c r="H68" s="23"/>
      <c r="I68" s="23"/>
      <c r="J68" s="23"/>
      <c r="K68" s="29">
        <f t="shared" si="4"/>
        <v>19</v>
      </c>
      <c r="L68" s="29">
        <f t="shared" si="5"/>
        <v>41</v>
      </c>
      <c r="M68" s="31">
        <f t="shared" si="6"/>
        <v>0</v>
      </c>
    </row>
    <row r="69" spans="1:13" x14ac:dyDescent="0.35">
      <c r="A69" s="11">
        <v>708304716</v>
      </c>
      <c r="B69" s="11" t="s">
        <v>29</v>
      </c>
      <c r="C69" s="11" t="s">
        <v>41</v>
      </c>
      <c r="D69" s="12">
        <f>IFERROR(INDEX('[1]Production Plan'!$A$174:$BR$257,MATCH($A69,'[1]Production Plan'!$A$174:$A$257,0),MATCH(B$1,'[1]Production Plan'!$A$174:$BR$174,0)),0)</f>
        <v>60</v>
      </c>
      <c r="E69" s="23"/>
      <c r="F69" s="23">
        <v>20</v>
      </c>
      <c r="G69" s="23"/>
      <c r="H69" s="23"/>
      <c r="I69" s="23"/>
      <c r="J69" s="23"/>
      <c r="K69" s="29">
        <f t="shared" si="4"/>
        <v>20</v>
      </c>
      <c r="L69" s="29">
        <f t="shared" si="5"/>
        <v>40</v>
      </c>
      <c r="M69" s="31">
        <f t="shared" si="6"/>
        <v>0</v>
      </c>
    </row>
    <row r="70" spans="1:13" x14ac:dyDescent="0.35">
      <c r="A70" s="11">
        <v>708304717</v>
      </c>
      <c r="B70" s="11" t="s">
        <v>26</v>
      </c>
      <c r="C70" s="11" t="s">
        <v>41</v>
      </c>
      <c r="D70" s="12">
        <f>IFERROR(INDEX('[1]Production Plan'!$A$174:$BR$257,MATCH($A70,'[1]Production Plan'!$A$174:$A$257,0),MATCH(B$1,'[1]Production Plan'!$A$174:$BR$174,0)),0)</f>
        <v>60</v>
      </c>
      <c r="E70" s="23"/>
      <c r="F70" s="23">
        <v>19</v>
      </c>
      <c r="G70" s="23"/>
      <c r="H70" s="23"/>
      <c r="I70" s="23"/>
      <c r="J70" s="23"/>
      <c r="K70" s="29">
        <f t="shared" si="4"/>
        <v>19</v>
      </c>
      <c r="L70" s="29">
        <f t="shared" si="5"/>
        <v>41</v>
      </c>
      <c r="M70" s="31">
        <f t="shared" si="6"/>
        <v>0</v>
      </c>
    </row>
    <row r="71" spans="1:13" x14ac:dyDescent="0.35">
      <c r="A71" s="11">
        <v>708304718</v>
      </c>
      <c r="B71" s="11" t="s">
        <v>27</v>
      </c>
      <c r="C71" s="11" t="s">
        <v>41</v>
      </c>
      <c r="D71" s="12">
        <f>IFERROR(INDEX('[1]Production Plan'!$A$174:$BR$257,MATCH($A71,'[1]Production Plan'!$A$174:$A$257,0),MATCH(B$1,'[1]Production Plan'!$A$174:$BR$174,0)),0)</f>
        <v>60</v>
      </c>
      <c r="E71" s="23"/>
      <c r="F71" s="23">
        <v>19</v>
      </c>
      <c r="G71" s="23"/>
      <c r="H71" s="23"/>
      <c r="I71" s="23"/>
      <c r="J71" s="23"/>
      <c r="K71" s="29">
        <f t="shared" si="4"/>
        <v>19</v>
      </c>
      <c r="L71" s="29">
        <f t="shared" si="5"/>
        <v>41</v>
      </c>
      <c r="M71" s="31">
        <f t="shared" si="6"/>
        <v>0</v>
      </c>
    </row>
    <row r="72" spans="1:13" x14ac:dyDescent="0.35">
      <c r="A72" s="11">
        <v>705019146</v>
      </c>
      <c r="B72" s="11" t="s">
        <v>2</v>
      </c>
      <c r="C72" s="11" t="s">
        <v>43</v>
      </c>
      <c r="D72" s="12">
        <f>IFERROR(INDEX('[1]Production Plan'!$A$174:$BR$257,MATCH($A72,'[1]Production Plan'!$A$174:$A$257,0),MATCH(B$1,'[1]Production Plan'!$A$174:$BR$174,0)),0)</f>
        <v>0</v>
      </c>
      <c r="E72" s="23"/>
      <c r="F72" s="23"/>
      <c r="G72" s="23"/>
      <c r="H72" s="23"/>
      <c r="I72" s="23"/>
      <c r="J72" s="23"/>
      <c r="K72" s="29">
        <f t="shared" si="4"/>
        <v>0</v>
      </c>
      <c r="L72" s="29">
        <f t="shared" si="5"/>
        <v>0</v>
      </c>
      <c r="M72" s="31">
        <f t="shared" si="6"/>
        <v>0</v>
      </c>
    </row>
    <row r="73" spans="1:13" x14ac:dyDescent="0.35">
      <c r="A73" s="11">
        <v>705019147</v>
      </c>
      <c r="B73" s="11" t="s">
        <v>3</v>
      </c>
      <c r="C73" s="11" t="s">
        <v>43</v>
      </c>
      <c r="D73" s="12">
        <f>IFERROR(INDEX('[1]Production Plan'!$A$174:$BR$257,MATCH($A73,'[1]Production Plan'!$A$174:$A$257,0),MATCH(B$1,'[1]Production Plan'!$A$174:$BR$174,0)),0)</f>
        <v>0</v>
      </c>
      <c r="E73" s="23"/>
      <c r="F73" s="23"/>
      <c r="G73" s="23"/>
      <c r="H73" s="23"/>
      <c r="I73" s="23"/>
      <c r="J73" s="23"/>
      <c r="K73" s="29">
        <f t="shared" ref="K73:K85" si="7">SUM(E73:J73)</f>
        <v>0</v>
      </c>
      <c r="L73" s="29">
        <f t="shared" ref="L73:L85" si="8">D73-K73</f>
        <v>0</v>
      </c>
      <c r="M73" s="31">
        <f t="shared" ref="M73:M85" si="9">IF(L73&lt;0,(-1*L73),0)</f>
        <v>0</v>
      </c>
    </row>
    <row r="74" spans="1:13" x14ac:dyDescent="0.35">
      <c r="A74" s="11">
        <v>705019161</v>
      </c>
      <c r="B74" s="11" t="s">
        <v>30</v>
      </c>
      <c r="C74" s="11" t="s">
        <v>43</v>
      </c>
      <c r="D74" s="12">
        <f>IFERROR(INDEX('[1]Production Plan'!$A$174:$BR$257,MATCH($A74,'[1]Production Plan'!$A$174:$A$257,0),MATCH(B$1,'[1]Production Plan'!$A$174:$BR$174,0)),0)</f>
        <v>0</v>
      </c>
      <c r="E74" s="23"/>
      <c r="F74" s="23"/>
      <c r="G74" s="23"/>
      <c r="H74" s="23"/>
      <c r="I74" s="23"/>
      <c r="J74" s="23"/>
      <c r="K74" s="29">
        <f t="shared" si="7"/>
        <v>0</v>
      </c>
      <c r="L74" s="29">
        <f t="shared" si="8"/>
        <v>0</v>
      </c>
      <c r="M74" s="31">
        <f t="shared" si="9"/>
        <v>0</v>
      </c>
    </row>
    <row r="75" spans="1:13" x14ac:dyDescent="0.35">
      <c r="A75" s="11">
        <v>705019162</v>
      </c>
      <c r="B75" s="11" t="s">
        <v>32</v>
      </c>
      <c r="C75" s="11" t="s">
        <v>43</v>
      </c>
      <c r="D75" s="12">
        <f>IFERROR(INDEX('[1]Production Plan'!$A$174:$BR$257,MATCH($A75,'[1]Production Plan'!$A$174:$A$257,0),MATCH(B$1,'[1]Production Plan'!$A$174:$BR$174,0)),0)</f>
        <v>0</v>
      </c>
      <c r="E75" s="23"/>
      <c r="F75" s="23"/>
      <c r="G75" s="23"/>
      <c r="H75" s="23"/>
      <c r="I75" s="23"/>
      <c r="J75" s="23"/>
      <c r="K75" s="29">
        <f t="shared" si="7"/>
        <v>0</v>
      </c>
      <c r="L75" s="29">
        <f t="shared" si="8"/>
        <v>0</v>
      </c>
      <c r="M75" s="31">
        <f t="shared" si="9"/>
        <v>0</v>
      </c>
    </row>
    <row r="76" spans="1:13" x14ac:dyDescent="0.35">
      <c r="A76" s="11">
        <v>705019165</v>
      </c>
      <c r="B76" s="11" t="s">
        <v>34</v>
      </c>
      <c r="C76" s="11" t="s">
        <v>43</v>
      </c>
      <c r="D76" s="12">
        <f>IFERROR(INDEX('[1]Production Plan'!$A$174:$BR$257,MATCH($A76,'[1]Production Plan'!$A$174:$A$257,0),MATCH(B$1,'[1]Production Plan'!$A$174:$BR$174,0)),0)</f>
        <v>0</v>
      </c>
      <c r="E76" s="23"/>
      <c r="F76" s="23"/>
      <c r="G76" s="23"/>
      <c r="H76" s="23"/>
      <c r="I76" s="23"/>
      <c r="J76" s="23"/>
      <c r="K76" s="29">
        <f t="shared" si="7"/>
        <v>0</v>
      </c>
      <c r="L76" s="29">
        <f t="shared" si="8"/>
        <v>0</v>
      </c>
      <c r="M76" s="31">
        <f t="shared" si="9"/>
        <v>0</v>
      </c>
    </row>
    <row r="77" spans="1:13" x14ac:dyDescent="0.35">
      <c r="A77" s="11">
        <v>705019166</v>
      </c>
      <c r="B77" s="11" t="s">
        <v>33</v>
      </c>
      <c r="C77" s="11" t="s">
        <v>43</v>
      </c>
      <c r="D77" s="12">
        <f>IFERROR(INDEX('[1]Production Plan'!$A$174:$BR$257,MATCH($A77,'[1]Production Plan'!$A$174:$A$257,0),MATCH(B$1,'[1]Production Plan'!$A$174:$BR$174,0)),0)</f>
        <v>0</v>
      </c>
      <c r="E77" s="23"/>
      <c r="F77" s="23"/>
      <c r="G77" s="23"/>
      <c r="H77" s="23"/>
      <c r="I77" s="23"/>
      <c r="J77" s="23"/>
      <c r="K77" s="29">
        <f t="shared" si="7"/>
        <v>0</v>
      </c>
      <c r="L77" s="29">
        <f t="shared" si="8"/>
        <v>0</v>
      </c>
      <c r="M77" s="31">
        <f t="shared" si="9"/>
        <v>0</v>
      </c>
    </row>
    <row r="78" spans="1:13" x14ac:dyDescent="0.35">
      <c r="A78" s="11">
        <v>708201336</v>
      </c>
      <c r="B78" s="11" t="s">
        <v>35</v>
      </c>
      <c r="C78" s="11" t="s">
        <v>43</v>
      </c>
      <c r="D78" s="12">
        <f>IFERROR(INDEX('[1]Production Plan'!$A$174:$BR$257,MATCH($A78,'[1]Production Plan'!$A$174:$A$257,0),MATCH(B$1,'[1]Production Plan'!$A$174:$BR$174,0)),0)</f>
        <v>0</v>
      </c>
      <c r="E78" s="23"/>
      <c r="F78" s="23"/>
      <c r="G78" s="23"/>
      <c r="H78" s="23"/>
      <c r="I78" s="23"/>
      <c r="J78" s="23"/>
      <c r="K78" s="29">
        <f t="shared" si="7"/>
        <v>0</v>
      </c>
      <c r="L78" s="29">
        <f t="shared" si="8"/>
        <v>0</v>
      </c>
      <c r="M78" s="31">
        <f t="shared" si="9"/>
        <v>0</v>
      </c>
    </row>
    <row r="79" spans="1:13" x14ac:dyDescent="0.35">
      <c r="A79" s="11">
        <v>708201337</v>
      </c>
      <c r="B79" s="11" t="s">
        <v>36</v>
      </c>
      <c r="C79" s="11" t="s">
        <v>43</v>
      </c>
      <c r="D79" s="12">
        <f>IFERROR(INDEX('[1]Production Plan'!$A$174:$BR$257,MATCH($A79,'[1]Production Plan'!$A$174:$A$257,0),MATCH(B$1,'[1]Production Plan'!$A$174:$BR$174,0)),0)</f>
        <v>0</v>
      </c>
      <c r="E79" s="23"/>
      <c r="F79" s="23"/>
      <c r="G79" s="23"/>
      <c r="H79" s="23"/>
      <c r="I79" s="23"/>
      <c r="J79" s="23"/>
      <c r="K79" s="29">
        <f t="shared" si="7"/>
        <v>0</v>
      </c>
      <c r="L79" s="29">
        <f t="shared" si="8"/>
        <v>0</v>
      </c>
      <c r="M79" s="31">
        <f t="shared" si="9"/>
        <v>0</v>
      </c>
    </row>
    <row r="80" spans="1:13" x14ac:dyDescent="0.35">
      <c r="A80" s="11">
        <v>708201338</v>
      </c>
      <c r="B80" s="11" t="s">
        <v>37</v>
      </c>
      <c r="C80" s="11" t="s">
        <v>43</v>
      </c>
      <c r="D80" s="12">
        <f>IFERROR(INDEX('[1]Production Plan'!$A$174:$BR$257,MATCH($A80,'[1]Production Plan'!$A$174:$A$257,0),MATCH(B$1,'[1]Production Plan'!$A$174:$BR$174,0)),0)</f>
        <v>0</v>
      </c>
      <c r="E80" s="23"/>
      <c r="F80" s="23"/>
      <c r="G80" s="23"/>
      <c r="H80" s="23"/>
      <c r="I80" s="23"/>
      <c r="J80" s="23"/>
      <c r="K80" s="29">
        <f t="shared" si="7"/>
        <v>0</v>
      </c>
      <c r="L80" s="29">
        <f t="shared" si="8"/>
        <v>0</v>
      </c>
      <c r="M80" s="31">
        <f t="shared" si="9"/>
        <v>0</v>
      </c>
    </row>
    <row r="81" spans="1:13" x14ac:dyDescent="0.35">
      <c r="A81" s="11">
        <v>708201339</v>
      </c>
      <c r="B81" s="11" t="s">
        <v>38</v>
      </c>
      <c r="C81" s="11" t="s">
        <v>43</v>
      </c>
      <c r="D81" s="12">
        <f>IFERROR(INDEX('[1]Production Plan'!$A$174:$BR$257,MATCH($A81,'[1]Production Plan'!$A$174:$A$257,0),MATCH(B$1,'[1]Production Plan'!$A$174:$BR$174,0)),0)</f>
        <v>0</v>
      </c>
      <c r="E81" s="23"/>
      <c r="F81" s="23"/>
      <c r="G81" s="23"/>
      <c r="H81" s="23"/>
      <c r="I81" s="23"/>
      <c r="J81" s="23"/>
      <c r="K81" s="29">
        <f t="shared" si="7"/>
        <v>0</v>
      </c>
      <c r="L81" s="29">
        <f t="shared" si="8"/>
        <v>0</v>
      </c>
      <c r="M81" s="31">
        <f t="shared" si="9"/>
        <v>0</v>
      </c>
    </row>
    <row r="82" spans="1:13" x14ac:dyDescent="0.35">
      <c r="A82" s="11">
        <v>708304979</v>
      </c>
      <c r="B82" s="11" t="s">
        <v>39</v>
      </c>
      <c r="C82" s="11" t="s">
        <v>43</v>
      </c>
      <c r="D82" s="12">
        <f>IFERROR(INDEX('[1]Production Plan'!$A$174:$BR$257,MATCH($A82,'[1]Production Plan'!$A$174:$A$257,0),MATCH(B$1,'[1]Production Plan'!$A$174:$BR$174,0)),0)</f>
        <v>0</v>
      </c>
      <c r="E82" s="23"/>
      <c r="F82" s="23"/>
      <c r="G82" s="23"/>
      <c r="H82" s="23"/>
      <c r="I82" s="23"/>
      <c r="J82" s="23"/>
      <c r="K82" s="29">
        <f t="shared" si="7"/>
        <v>0</v>
      </c>
      <c r="L82" s="29">
        <f t="shared" si="8"/>
        <v>0</v>
      </c>
      <c r="M82" s="31">
        <f t="shared" si="9"/>
        <v>0</v>
      </c>
    </row>
    <row r="83" spans="1:13" x14ac:dyDescent="0.35">
      <c r="A83" s="11">
        <v>708304980</v>
      </c>
      <c r="B83" s="11" t="s">
        <v>40</v>
      </c>
      <c r="C83" s="11" t="s">
        <v>43</v>
      </c>
      <c r="D83" s="12">
        <f>IFERROR(INDEX('[1]Production Plan'!$A$174:$BR$257,MATCH($A83,'[1]Production Plan'!$A$174:$A$257,0),MATCH(B$1,'[1]Production Plan'!$A$174:$BR$174,0)),0)</f>
        <v>0</v>
      </c>
      <c r="E83" s="23"/>
      <c r="F83" s="23"/>
      <c r="G83" s="23"/>
      <c r="H83" s="23"/>
      <c r="I83" s="23"/>
      <c r="J83" s="23"/>
      <c r="K83" s="29">
        <f t="shared" si="7"/>
        <v>0</v>
      </c>
      <c r="L83" s="29">
        <f t="shared" si="8"/>
        <v>0</v>
      </c>
      <c r="M83" s="31">
        <f t="shared" si="9"/>
        <v>0</v>
      </c>
    </row>
    <row r="84" spans="1:13" x14ac:dyDescent="0.35">
      <c r="A84" s="11">
        <v>708304987</v>
      </c>
      <c r="B84" s="11" t="s">
        <v>28</v>
      </c>
      <c r="C84" s="11" t="s">
        <v>43</v>
      </c>
      <c r="D84" s="12">
        <f>IFERROR(INDEX('[1]Production Plan'!$A$174:$BR$257,MATCH($A84,'[1]Production Plan'!$A$174:$A$257,0),MATCH(B$1,'[1]Production Plan'!$A$174:$BR$174,0)),0)</f>
        <v>0</v>
      </c>
      <c r="E84" s="23"/>
      <c r="F84" s="23"/>
      <c r="G84" s="23"/>
      <c r="H84" s="23"/>
      <c r="I84" s="23"/>
      <c r="J84" s="23"/>
      <c r="K84" s="29">
        <f t="shared" si="7"/>
        <v>0</v>
      </c>
      <c r="L84" s="29">
        <f t="shared" si="8"/>
        <v>0</v>
      </c>
      <c r="M84" s="31">
        <f t="shared" si="9"/>
        <v>0</v>
      </c>
    </row>
    <row r="85" spans="1:13" x14ac:dyDescent="0.35">
      <c r="A85" s="11">
        <v>708304988</v>
      </c>
      <c r="B85" s="11" t="s">
        <v>29</v>
      </c>
      <c r="C85" s="11" t="s">
        <v>43</v>
      </c>
      <c r="D85" s="12">
        <f>IFERROR(INDEX('[1]Production Plan'!$A$174:$BR$257,MATCH($A85,'[1]Production Plan'!$A$174:$A$257,0),MATCH(B$1,'[1]Production Plan'!$A$174:$BR$174,0)),0)</f>
        <v>0</v>
      </c>
      <c r="E85" s="23"/>
      <c r="F85" s="23"/>
      <c r="G85" s="23"/>
      <c r="H85" s="23"/>
      <c r="I85" s="23"/>
      <c r="J85" s="23"/>
      <c r="K85" s="29">
        <f t="shared" si="7"/>
        <v>0</v>
      </c>
      <c r="L85" s="29">
        <f t="shared" si="8"/>
        <v>0</v>
      </c>
      <c r="M85" s="31">
        <f t="shared" si="9"/>
        <v>0</v>
      </c>
    </row>
  </sheetData>
  <sheetProtection algorithmName="SHA-512" hashValue="JKEvnDRWQfFnArBhRGnSO+7XKDq9M+j7VcgecxopLYx+/O+sVQkD0NcWoV6FaefwFs1vmHelPKS3ggkEFCRrsQ==" saltValue="uo3bdFEpg//cM/UhoY2GoQ==" spinCount="100000" sheet="1" objects="1" scenarios="1" sort="0" autoFilter="0"/>
  <autoFilter ref="A7:M85" xr:uid="{C9B44CCF-52DF-42DA-AEFB-86C9421F8C76}"/>
  <mergeCells count="1">
    <mergeCell ref="E1:J1"/>
  </mergeCells>
  <conditionalFormatting sqref="D8:D85">
    <cfRule type="cellIs" dxfId="5" priority="7" operator="equal">
      <formula>0</formula>
    </cfRule>
  </conditionalFormatting>
  <conditionalFormatting sqref="E4:J4">
    <cfRule type="cellIs" dxfId="4" priority="3" operator="greaterThanOrEqual">
      <formula>E$2</formula>
    </cfRule>
    <cfRule type="cellIs" dxfId="3" priority="4" operator="lessThan">
      <formula>E$2</formula>
    </cfRule>
  </conditionalFormatting>
  <conditionalFormatting sqref="E5:J5">
    <cfRule type="cellIs" dxfId="2" priority="5" operator="greaterThanOrEqual">
      <formula>E$3</formula>
    </cfRule>
    <cfRule type="cellIs" dxfId="1" priority="6" operator="lessThan">
      <formula>E$3</formula>
    </cfRule>
  </conditionalFormatting>
  <conditionalFormatting sqref="K8:M85">
    <cfRule type="cellIs" dxfId="0" priority="1" operator="equal">
      <formula>0</formula>
    </cfRule>
  </conditionalFormatting>
  <pageMargins left="0.7" right="0.7" top="0.75" bottom="0.75" header="0.3" footer="0.3"/>
  <pageSetup fitToHeight="0" orientation="portrait" verticalDpi="0" r:id="rId1"/>
  <headerFooter>
    <oddFooter>&amp;L8.2.2.3.1.7 BRP actual vs target&amp;RCreated:12/30/24 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Template</vt:lpstr>
      <vt:lpstr>2024-12-30</vt:lpstr>
      <vt:lpstr>'2024-12-30'!Print_Titles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Suciu</dc:creator>
  <cp:lastModifiedBy>Megan Moore</cp:lastModifiedBy>
  <cp:lastPrinted>2025-01-02T15:37:45Z</cp:lastPrinted>
  <dcterms:created xsi:type="dcterms:W3CDTF">2024-12-27T18:46:10Z</dcterms:created>
  <dcterms:modified xsi:type="dcterms:W3CDTF">2025-01-02T15:38:11Z</dcterms:modified>
</cp:coreProperties>
</file>