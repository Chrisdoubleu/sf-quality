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192.168.20.202\Select\Employee Folders\Amit\LAB\"/>
    </mc:Choice>
  </mc:AlternateContent>
  <xr:revisionPtr revIDLastSave="0" documentId="13_ncr:1_{33F13E5D-77F1-466E-92BD-E6B8EA0E1609}" xr6:coauthVersionLast="47" xr6:coauthVersionMax="47" xr10:uidLastSave="{00000000-0000-0000-0000-000000000000}"/>
  <bookViews>
    <workbookView xWindow="28680" yWindow="-120" windowWidth="29040" windowHeight="15720" xr2:uid="{DC3917CD-F76F-4597-B887-802B337655A9}"/>
  </bookViews>
  <sheets>
    <sheet name="Data Input" sheetId="1" r:id="rId1"/>
    <sheet name="Chart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7" i="1" l="1"/>
  <c r="D26" i="1" s="1"/>
  <c r="E17" i="1"/>
  <c r="E26" i="1" s="1"/>
  <c r="D18" i="1"/>
  <c r="E18" i="1"/>
  <c r="E27" i="1" s="1"/>
  <c r="D19" i="1"/>
  <c r="D28" i="1" s="1"/>
  <c r="E19" i="1"/>
  <c r="E28" i="1" s="1"/>
  <c r="E29" i="1" l="1"/>
  <c r="D27" i="1"/>
  <c r="D29" i="1" s="1"/>
  <c r="J23" i="1"/>
  <c r="K23" i="1"/>
  <c r="L23" i="1"/>
  <c r="M23" i="1"/>
  <c r="N23" i="1"/>
  <c r="O23" i="1"/>
  <c r="P23" i="1"/>
  <c r="Q23" i="1"/>
  <c r="R23" i="1"/>
  <c r="S23" i="1"/>
  <c r="T23" i="1"/>
  <c r="U23" i="1"/>
  <c r="V23" i="1"/>
  <c r="W23" i="1"/>
  <c r="X23" i="1"/>
  <c r="Y23" i="1"/>
  <c r="Z23" i="1"/>
  <c r="AA23" i="1"/>
  <c r="AB23" i="1"/>
  <c r="AC23" i="1"/>
  <c r="AD23" i="1"/>
  <c r="AE23" i="1"/>
  <c r="AF23" i="1"/>
  <c r="AG23" i="1"/>
  <c r="AH23" i="1"/>
  <c r="AI23" i="1"/>
  <c r="AJ23" i="1"/>
  <c r="AK23" i="1"/>
  <c r="AL23" i="1"/>
  <c r="AM23" i="1"/>
  <c r="AN23" i="1"/>
  <c r="AO23" i="1"/>
  <c r="AP23" i="1"/>
  <c r="AQ23" i="1"/>
  <c r="AR23" i="1"/>
  <c r="AS23" i="1"/>
  <c r="AT23" i="1"/>
  <c r="AU23" i="1"/>
  <c r="AV23" i="1"/>
  <c r="AW23" i="1"/>
  <c r="AX23" i="1"/>
  <c r="AY23" i="1"/>
  <c r="AZ23" i="1"/>
  <c r="BA23" i="1"/>
  <c r="BB23" i="1"/>
  <c r="BC23" i="1"/>
  <c r="BD23" i="1"/>
  <c r="BE23" i="1"/>
  <c r="BF23" i="1"/>
  <c r="BG23" i="1"/>
  <c r="BH23" i="1"/>
  <c r="BI23" i="1"/>
  <c r="BJ23" i="1"/>
  <c r="BK23" i="1"/>
  <c r="BL23" i="1"/>
  <c r="BM23" i="1"/>
  <c r="J24" i="1"/>
  <c r="K24" i="1"/>
  <c r="L24" i="1"/>
  <c r="M24" i="1"/>
  <c r="N24" i="1"/>
  <c r="O24" i="1"/>
  <c r="P24" i="1"/>
  <c r="Q24" i="1"/>
  <c r="R24" i="1"/>
  <c r="S24" i="1"/>
  <c r="T24" i="1"/>
  <c r="U24" i="1"/>
  <c r="V24" i="1"/>
  <c r="W24" i="1"/>
  <c r="X24" i="1"/>
  <c r="Y24" i="1"/>
  <c r="Z24" i="1"/>
  <c r="AA24" i="1"/>
  <c r="AB24" i="1"/>
  <c r="AC24" i="1"/>
  <c r="AD24" i="1"/>
  <c r="AE24" i="1"/>
  <c r="AF24" i="1"/>
  <c r="AG24" i="1"/>
  <c r="AH24" i="1"/>
  <c r="AI24" i="1"/>
  <c r="AJ24" i="1"/>
  <c r="AK24" i="1"/>
  <c r="AL24" i="1"/>
  <c r="AM24" i="1"/>
  <c r="AN24" i="1"/>
  <c r="AO24" i="1"/>
  <c r="AP24" i="1"/>
  <c r="AQ24" i="1"/>
  <c r="AR24" i="1"/>
  <c r="AS24" i="1"/>
  <c r="AT24" i="1"/>
  <c r="AU24" i="1"/>
  <c r="AV24" i="1"/>
  <c r="AW24" i="1"/>
  <c r="AX24" i="1"/>
  <c r="AY24" i="1"/>
  <c r="AZ24" i="1"/>
  <c r="BA24" i="1"/>
  <c r="BB24" i="1"/>
  <c r="BC24" i="1"/>
  <c r="BD24" i="1"/>
  <c r="BE24" i="1"/>
  <c r="BF24" i="1"/>
  <c r="BG24" i="1"/>
  <c r="BH24" i="1"/>
  <c r="BI24" i="1"/>
  <c r="BJ24" i="1"/>
  <c r="BK24" i="1"/>
  <c r="BL24" i="1"/>
  <c r="BM24" i="1"/>
  <c r="J25" i="1"/>
  <c r="K25" i="1"/>
  <c r="L25" i="1"/>
  <c r="M25" i="1"/>
  <c r="N25" i="1"/>
  <c r="O25" i="1"/>
  <c r="P25" i="1"/>
  <c r="Q25" i="1"/>
  <c r="R25" i="1"/>
  <c r="S25" i="1"/>
  <c r="T25" i="1"/>
  <c r="U25" i="1"/>
  <c r="V25" i="1"/>
  <c r="W25" i="1"/>
  <c r="X25" i="1"/>
  <c r="Y25" i="1"/>
  <c r="Z25" i="1"/>
  <c r="AA25" i="1"/>
  <c r="AB25" i="1"/>
  <c r="AC25" i="1"/>
  <c r="AD25" i="1"/>
  <c r="AE25" i="1"/>
  <c r="AF25" i="1"/>
  <c r="AG25" i="1"/>
  <c r="AH25" i="1"/>
  <c r="AI25" i="1"/>
  <c r="AJ25" i="1"/>
  <c r="AK25" i="1"/>
  <c r="AL25" i="1"/>
  <c r="AM25" i="1"/>
  <c r="AN25" i="1"/>
  <c r="AO25" i="1"/>
  <c r="AP25" i="1"/>
  <c r="AQ25" i="1"/>
  <c r="AR25" i="1"/>
  <c r="AS25" i="1"/>
  <c r="AT25" i="1"/>
  <c r="AU25" i="1"/>
  <c r="AV25" i="1"/>
  <c r="AW25" i="1"/>
  <c r="AX25" i="1"/>
  <c r="AY25" i="1"/>
  <c r="AZ25" i="1"/>
  <c r="BA25" i="1"/>
  <c r="BB25" i="1"/>
  <c r="BC25" i="1"/>
  <c r="BD25" i="1"/>
  <c r="BE25" i="1"/>
  <c r="BF25" i="1"/>
  <c r="BG25" i="1"/>
  <c r="BH25" i="1"/>
  <c r="BI25" i="1"/>
  <c r="BJ25" i="1"/>
  <c r="BK25" i="1"/>
  <c r="BL25" i="1"/>
  <c r="BM25" i="1"/>
  <c r="F23" i="1"/>
  <c r="G23" i="1"/>
  <c r="H23" i="1"/>
  <c r="I23" i="1"/>
  <c r="F24" i="1"/>
  <c r="G24" i="1"/>
  <c r="H24" i="1"/>
  <c r="I24" i="1"/>
  <c r="F25" i="1"/>
  <c r="G25" i="1"/>
  <c r="H25" i="1"/>
  <c r="I25" i="1"/>
  <c r="AT17" i="1"/>
  <c r="AU17" i="1"/>
  <c r="AV17" i="1"/>
  <c r="AW17" i="1"/>
  <c r="AX17" i="1"/>
  <c r="AY17" i="1"/>
  <c r="AZ17" i="1"/>
  <c r="BA17" i="1"/>
  <c r="BB17" i="1"/>
  <c r="BC17" i="1"/>
  <c r="BD17" i="1"/>
  <c r="BE17" i="1"/>
  <c r="BF17" i="1"/>
  <c r="BG17" i="1"/>
  <c r="BH17" i="1"/>
  <c r="BI17" i="1"/>
  <c r="BJ17" i="1"/>
  <c r="BK17" i="1"/>
  <c r="BL17" i="1"/>
  <c r="BM17" i="1"/>
  <c r="AT18" i="1"/>
  <c r="AU18" i="1"/>
  <c r="AV18" i="1"/>
  <c r="AW18" i="1"/>
  <c r="AX18" i="1"/>
  <c r="AY18" i="1"/>
  <c r="AZ18" i="1"/>
  <c r="BA18" i="1"/>
  <c r="BB18" i="1"/>
  <c r="BC18" i="1"/>
  <c r="BD18" i="1"/>
  <c r="BE18" i="1"/>
  <c r="BF18" i="1"/>
  <c r="BG18" i="1"/>
  <c r="BH18" i="1"/>
  <c r="BI18" i="1"/>
  <c r="BJ18" i="1"/>
  <c r="BK18" i="1"/>
  <c r="BL18" i="1"/>
  <c r="BM18" i="1"/>
  <c r="AT19" i="1"/>
  <c r="AU19" i="1"/>
  <c r="AV19" i="1"/>
  <c r="AW19" i="1"/>
  <c r="AX19" i="1"/>
  <c r="AY19" i="1"/>
  <c r="AZ19" i="1"/>
  <c r="BA19" i="1"/>
  <c r="BB19" i="1"/>
  <c r="BC19" i="1"/>
  <c r="BD19" i="1"/>
  <c r="BE19" i="1"/>
  <c r="BF19" i="1"/>
  <c r="BG19" i="1"/>
  <c r="BH19" i="1"/>
  <c r="BI19" i="1"/>
  <c r="BJ19" i="1"/>
  <c r="BK19" i="1"/>
  <c r="BL19" i="1"/>
  <c r="BM19" i="1"/>
  <c r="N17" i="1"/>
  <c r="O17" i="1"/>
  <c r="P17" i="1"/>
  <c r="Q17" i="1"/>
  <c r="R17" i="1"/>
  <c r="S17" i="1"/>
  <c r="T17" i="1"/>
  <c r="U17" i="1"/>
  <c r="V17" i="1"/>
  <c r="W17" i="1"/>
  <c r="X17" i="1"/>
  <c r="Y17" i="1"/>
  <c r="Z17" i="1"/>
  <c r="AA17" i="1"/>
  <c r="AB17" i="1"/>
  <c r="AC17" i="1"/>
  <c r="AD17" i="1"/>
  <c r="AE17" i="1"/>
  <c r="AF17" i="1"/>
  <c r="AG17" i="1"/>
  <c r="AH17" i="1"/>
  <c r="AI17" i="1"/>
  <c r="AJ17" i="1"/>
  <c r="AK17" i="1"/>
  <c r="AL17" i="1"/>
  <c r="AM17" i="1"/>
  <c r="AN17" i="1"/>
  <c r="AO17" i="1"/>
  <c r="AP17" i="1"/>
  <c r="AQ17" i="1"/>
  <c r="AR17" i="1"/>
  <c r="AS17" i="1"/>
  <c r="N18" i="1"/>
  <c r="O18" i="1"/>
  <c r="P18" i="1"/>
  <c r="Q18" i="1"/>
  <c r="R18" i="1"/>
  <c r="S18" i="1"/>
  <c r="T18" i="1"/>
  <c r="U18" i="1"/>
  <c r="V18" i="1"/>
  <c r="W18" i="1"/>
  <c r="X18" i="1"/>
  <c r="Y18" i="1"/>
  <c r="Z18" i="1"/>
  <c r="AA18" i="1"/>
  <c r="AB18" i="1"/>
  <c r="AC18" i="1"/>
  <c r="AD18" i="1"/>
  <c r="AE18" i="1"/>
  <c r="AF18" i="1"/>
  <c r="AG18" i="1"/>
  <c r="AH18" i="1"/>
  <c r="AI18" i="1"/>
  <c r="AJ18" i="1"/>
  <c r="AK18" i="1"/>
  <c r="AL18" i="1"/>
  <c r="AM18" i="1"/>
  <c r="AN18" i="1"/>
  <c r="AO18" i="1"/>
  <c r="AP18" i="1"/>
  <c r="AQ18" i="1"/>
  <c r="AR18" i="1"/>
  <c r="AS18" i="1"/>
  <c r="N19" i="1"/>
  <c r="O19" i="1"/>
  <c r="P19" i="1"/>
  <c r="Q19" i="1"/>
  <c r="R19" i="1"/>
  <c r="S19" i="1"/>
  <c r="T19" i="1"/>
  <c r="U19" i="1"/>
  <c r="V19" i="1"/>
  <c r="W19" i="1"/>
  <c r="X19" i="1"/>
  <c r="Y19" i="1"/>
  <c r="Z19" i="1"/>
  <c r="AA19" i="1"/>
  <c r="AB19" i="1"/>
  <c r="AC19" i="1"/>
  <c r="AD19" i="1"/>
  <c r="AE19" i="1"/>
  <c r="AF19" i="1"/>
  <c r="AG19" i="1"/>
  <c r="AH19" i="1"/>
  <c r="AI19" i="1"/>
  <c r="AJ19" i="1"/>
  <c r="AK19" i="1"/>
  <c r="AL19" i="1"/>
  <c r="AM19" i="1"/>
  <c r="AN19" i="1"/>
  <c r="AO19" i="1"/>
  <c r="AP19" i="1"/>
  <c r="AQ19" i="1"/>
  <c r="AR19" i="1"/>
  <c r="AS19" i="1"/>
  <c r="J17" i="1"/>
  <c r="K17" i="1"/>
  <c r="L17" i="1"/>
  <c r="M17" i="1"/>
  <c r="J18" i="1"/>
  <c r="K18" i="1"/>
  <c r="L18" i="1"/>
  <c r="M18" i="1"/>
  <c r="J19" i="1"/>
  <c r="K19" i="1"/>
  <c r="L19" i="1"/>
  <c r="M19" i="1"/>
  <c r="H17" i="1"/>
  <c r="I17" i="1"/>
  <c r="H18" i="1"/>
  <c r="I18" i="1"/>
  <c r="H19" i="1"/>
  <c r="I19" i="1"/>
  <c r="F17" i="1"/>
  <c r="G17" i="1"/>
  <c r="F18" i="1"/>
  <c r="G18" i="1"/>
  <c r="F19" i="1"/>
  <c r="G19" i="1"/>
  <c r="E23" i="1"/>
  <c r="E31" i="1" s="1"/>
  <c r="E24" i="1"/>
  <c r="E32" i="1" s="1"/>
  <c r="E25" i="1"/>
  <c r="E33" i="1" s="1"/>
  <c r="D23" i="1"/>
  <c r="D31" i="1" s="1"/>
  <c r="D24" i="1"/>
  <c r="D32" i="1" s="1"/>
  <c r="D25" i="1"/>
  <c r="D33" i="1" s="1"/>
  <c r="D30" i="1" l="1"/>
  <c r="E34" i="1"/>
  <c r="I33" i="1"/>
  <c r="I37" i="1" s="1"/>
  <c r="I28" i="1"/>
  <c r="AM28" i="1"/>
  <c r="AM33" i="1"/>
  <c r="AM37" i="1" s="1"/>
  <c r="W32" i="1"/>
  <c r="W36" i="1" s="1"/>
  <c r="W27" i="1"/>
  <c r="BG33" i="1"/>
  <c r="BG37" i="1" s="1"/>
  <c r="BG28" i="1"/>
  <c r="BC27" i="1"/>
  <c r="BC32" i="1"/>
  <c r="BC36" i="1" s="1"/>
  <c r="AU31" i="1"/>
  <c r="AU26" i="1"/>
  <c r="L33" i="1"/>
  <c r="L37" i="1" s="1"/>
  <c r="L28" i="1"/>
  <c r="L32" i="1"/>
  <c r="L36" i="1" s="1"/>
  <c r="L27" i="1"/>
  <c r="L31" i="1"/>
  <c r="L26" i="1"/>
  <c r="AR28" i="1"/>
  <c r="AR33" i="1"/>
  <c r="AR37" i="1" s="1"/>
  <c r="AN33" i="1"/>
  <c r="AN37" i="1" s="1"/>
  <c r="AN28" i="1"/>
  <c r="AJ28" i="1"/>
  <c r="AJ33" i="1"/>
  <c r="AJ37" i="1" s="1"/>
  <c r="X33" i="1"/>
  <c r="X37" i="1" s="1"/>
  <c r="X28" i="1"/>
  <c r="AR32" i="1"/>
  <c r="AR36" i="1" s="1"/>
  <c r="AR27" i="1"/>
  <c r="AN32" i="1"/>
  <c r="AN36" i="1" s="1"/>
  <c r="AN27" i="1"/>
  <c r="AJ32" i="1"/>
  <c r="AJ36" i="1" s="1"/>
  <c r="AJ27" i="1"/>
  <c r="X32" i="1"/>
  <c r="X36" i="1" s="1"/>
  <c r="X27" i="1"/>
  <c r="AR31" i="1"/>
  <c r="AR26" i="1"/>
  <c r="AN31" i="1"/>
  <c r="AN26" i="1"/>
  <c r="AN29" i="1" s="1"/>
  <c r="AJ31" i="1"/>
  <c r="AJ26" i="1"/>
  <c r="X31" i="1"/>
  <c r="X34" i="1" s="1"/>
  <c r="X26" i="1"/>
  <c r="X29" i="1" s="1"/>
  <c r="BL33" i="1"/>
  <c r="BL37" i="1" s="1"/>
  <c r="BL28" i="1"/>
  <c r="BH28" i="1"/>
  <c r="BH33" i="1"/>
  <c r="BH37" i="1" s="1"/>
  <c r="BD33" i="1"/>
  <c r="BD37" i="1" s="1"/>
  <c r="BD28" i="1"/>
  <c r="AZ28" i="1"/>
  <c r="AZ33" i="1"/>
  <c r="AZ37" i="1" s="1"/>
  <c r="AV33" i="1"/>
  <c r="AV37" i="1" s="1"/>
  <c r="AV28" i="1"/>
  <c r="BL32" i="1"/>
  <c r="BL36" i="1" s="1"/>
  <c r="BL27" i="1"/>
  <c r="BH32" i="1"/>
  <c r="BH36" i="1" s="1"/>
  <c r="BH27" i="1"/>
  <c r="BD32" i="1"/>
  <c r="BD36" i="1" s="1"/>
  <c r="BD27" i="1"/>
  <c r="AZ32" i="1"/>
  <c r="AZ27" i="1"/>
  <c r="AV32" i="1"/>
  <c r="AV36" i="1" s="1"/>
  <c r="AV27" i="1"/>
  <c r="BL31" i="1"/>
  <c r="BL26" i="1"/>
  <c r="BH31" i="1"/>
  <c r="BH26" i="1"/>
  <c r="BD31" i="1"/>
  <c r="BD26" i="1"/>
  <c r="AZ31" i="1"/>
  <c r="AZ26" i="1"/>
  <c r="AV31" i="1"/>
  <c r="AV26" i="1"/>
  <c r="K33" i="1"/>
  <c r="K37" i="1" s="1"/>
  <c r="K28" i="1"/>
  <c r="BK28" i="1"/>
  <c r="BK33" i="1"/>
  <c r="BK37" i="1" s="1"/>
  <c r="AU28" i="1"/>
  <c r="AU33" i="1"/>
  <c r="AU37" i="1" s="1"/>
  <c r="BK31" i="1"/>
  <c r="BK26" i="1"/>
  <c r="AA32" i="1"/>
  <c r="AA36" i="1" s="1"/>
  <c r="AA27" i="1"/>
  <c r="AA31" i="1"/>
  <c r="AA26" i="1"/>
  <c r="BG32" i="1"/>
  <c r="BG36" i="1" s="1"/>
  <c r="BG27" i="1"/>
  <c r="BC31" i="1"/>
  <c r="BC26" i="1"/>
  <c r="I31" i="1"/>
  <c r="I26" i="1"/>
  <c r="AA33" i="1"/>
  <c r="AA37" i="1" s="1"/>
  <c r="AA28" i="1"/>
  <c r="AM31" i="1"/>
  <c r="AM26" i="1"/>
  <c r="AY33" i="1"/>
  <c r="AY28" i="1"/>
  <c r="AU32" i="1"/>
  <c r="AU27" i="1"/>
  <c r="J33" i="1"/>
  <c r="J37" i="1" s="1"/>
  <c r="J28" i="1"/>
  <c r="J32" i="1"/>
  <c r="J36" i="1" s="1"/>
  <c r="J27" i="1"/>
  <c r="J31" i="1"/>
  <c r="J26" i="1"/>
  <c r="AP33" i="1"/>
  <c r="AP37" i="1" s="1"/>
  <c r="AP28" i="1"/>
  <c r="AL33" i="1"/>
  <c r="AL37" i="1" s="1"/>
  <c r="AL28" i="1"/>
  <c r="Z33" i="1"/>
  <c r="Z37" i="1" s="1"/>
  <c r="Z28" i="1"/>
  <c r="AP27" i="1"/>
  <c r="AP32" i="1"/>
  <c r="AP36" i="1" s="1"/>
  <c r="AL27" i="1"/>
  <c r="AL32" i="1"/>
  <c r="AL36" i="1" s="1"/>
  <c r="Z27" i="1"/>
  <c r="Z32" i="1"/>
  <c r="Z36" i="1" s="1"/>
  <c r="AP31" i="1"/>
  <c r="AP26" i="1"/>
  <c r="AL31" i="1"/>
  <c r="AL26" i="1"/>
  <c r="Z31" i="1"/>
  <c r="Z26" i="1"/>
  <c r="BJ33" i="1"/>
  <c r="BJ37" i="1" s="1"/>
  <c r="BJ28" i="1"/>
  <c r="BF33" i="1"/>
  <c r="BF37" i="1" s="1"/>
  <c r="BF28" i="1"/>
  <c r="BB33" i="1"/>
  <c r="BB37" i="1" s="1"/>
  <c r="BB28" i="1"/>
  <c r="AX33" i="1"/>
  <c r="AX37" i="1" s="1"/>
  <c r="AX28" i="1"/>
  <c r="AT33" i="1"/>
  <c r="AT37" i="1" s="1"/>
  <c r="AT28" i="1"/>
  <c r="BJ32" i="1"/>
  <c r="BJ36" i="1" s="1"/>
  <c r="BJ27" i="1"/>
  <c r="BF27" i="1"/>
  <c r="BF32" i="1"/>
  <c r="BF36" i="1" s="1"/>
  <c r="BB32" i="1"/>
  <c r="BB36" i="1" s="1"/>
  <c r="BB27" i="1"/>
  <c r="AX32" i="1"/>
  <c r="AX36" i="1" s="1"/>
  <c r="AX27" i="1"/>
  <c r="AT32" i="1"/>
  <c r="AT36" i="1" s="1"/>
  <c r="AT27" i="1"/>
  <c r="BJ31" i="1"/>
  <c r="BJ26" i="1"/>
  <c r="BF31" i="1"/>
  <c r="BF26" i="1"/>
  <c r="BB31" i="1"/>
  <c r="BB26" i="1"/>
  <c r="AX31" i="1"/>
  <c r="AX26" i="1"/>
  <c r="AT31" i="1"/>
  <c r="AT26" i="1"/>
  <c r="K31" i="1"/>
  <c r="K26" i="1"/>
  <c r="D34" i="1"/>
  <c r="AQ33" i="1"/>
  <c r="AQ37" i="1" s="1"/>
  <c r="AQ28" i="1"/>
  <c r="AM27" i="1"/>
  <c r="AM32" i="1"/>
  <c r="AM36" i="1" s="1"/>
  <c r="W26" i="1"/>
  <c r="W31" i="1"/>
  <c r="BC28" i="1"/>
  <c r="BC33" i="1"/>
  <c r="BC37" i="1" s="1"/>
  <c r="AY32" i="1"/>
  <c r="AY36" i="1" s="1"/>
  <c r="AY27" i="1"/>
  <c r="AY31" i="1"/>
  <c r="AY26" i="1"/>
  <c r="I32" i="1"/>
  <c r="I36" i="1" s="1"/>
  <c r="I27" i="1"/>
  <c r="M33" i="1"/>
  <c r="M37" i="1" s="1"/>
  <c r="M28" i="1"/>
  <c r="M32" i="1"/>
  <c r="M36" i="1" s="1"/>
  <c r="M27" i="1"/>
  <c r="M31" i="1"/>
  <c r="M26" i="1"/>
  <c r="AS33" i="1"/>
  <c r="AS37" i="1" s="1"/>
  <c r="AS28" i="1"/>
  <c r="AO33" i="1"/>
  <c r="AO37" i="1" s="1"/>
  <c r="AO28" i="1"/>
  <c r="AK33" i="1"/>
  <c r="AK37" i="1" s="1"/>
  <c r="AK28" i="1"/>
  <c r="Y33" i="1"/>
  <c r="Y37" i="1" s="1"/>
  <c r="Y28" i="1"/>
  <c r="AS32" i="1"/>
  <c r="AS36" i="1" s="1"/>
  <c r="AS27" i="1"/>
  <c r="AO32" i="1"/>
  <c r="AO36" i="1" s="1"/>
  <c r="AO27" i="1"/>
  <c r="AK32" i="1"/>
  <c r="AK36" i="1" s="1"/>
  <c r="AK27" i="1"/>
  <c r="Y32" i="1"/>
  <c r="Y36" i="1" s="1"/>
  <c r="Y27" i="1"/>
  <c r="AS26" i="1"/>
  <c r="AS31" i="1"/>
  <c r="AO31" i="1"/>
  <c r="AO34" i="1" s="1"/>
  <c r="AO26" i="1"/>
  <c r="AO29" i="1" s="1"/>
  <c r="AK31" i="1"/>
  <c r="AK34" i="1" s="1"/>
  <c r="AK26" i="1"/>
  <c r="AK29" i="1" s="1"/>
  <c r="Y31" i="1"/>
  <c r="Y26" i="1"/>
  <c r="Y29" i="1" s="1"/>
  <c r="BM33" i="1"/>
  <c r="BM37" i="1" s="1"/>
  <c r="BM28" i="1"/>
  <c r="BI33" i="1"/>
  <c r="BI37" i="1" s="1"/>
  <c r="BI28" i="1"/>
  <c r="BE33" i="1"/>
  <c r="BE37" i="1" s="1"/>
  <c r="BE28" i="1"/>
  <c r="BA33" i="1"/>
  <c r="BA37" i="1" s="1"/>
  <c r="BA28" i="1"/>
  <c r="AW33" i="1"/>
  <c r="AW37" i="1" s="1"/>
  <c r="AW28" i="1"/>
  <c r="BM32" i="1"/>
  <c r="BM36" i="1" s="1"/>
  <c r="BM27" i="1"/>
  <c r="BI32" i="1"/>
  <c r="BI36" i="1" s="1"/>
  <c r="BI27" i="1"/>
  <c r="BE32" i="1"/>
  <c r="BE36" i="1" s="1"/>
  <c r="BE27" i="1"/>
  <c r="BA32" i="1"/>
  <c r="BA36" i="1" s="1"/>
  <c r="BA27" i="1"/>
  <c r="AW32" i="1"/>
  <c r="AW36" i="1" s="1"/>
  <c r="AW27" i="1"/>
  <c r="BM31" i="1"/>
  <c r="BM26" i="1"/>
  <c r="BI31" i="1"/>
  <c r="BI26" i="1"/>
  <c r="BE26" i="1"/>
  <c r="BE31" i="1"/>
  <c r="BA31" i="1"/>
  <c r="BA26" i="1"/>
  <c r="AW26" i="1"/>
  <c r="AW31" i="1"/>
  <c r="K32" i="1"/>
  <c r="K36" i="1" s="1"/>
  <c r="K27" i="1"/>
  <c r="W28" i="1"/>
  <c r="W33" i="1"/>
  <c r="W37" i="1" s="1"/>
  <c r="AQ32" i="1"/>
  <c r="AQ36" i="1" s="1"/>
  <c r="AQ27" i="1"/>
  <c r="AQ31" i="1"/>
  <c r="AQ26" i="1"/>
  <c r="BK27" i="1"/>
  <c r="BK32" i="1"/>
  <c r="BK36" i="1" s="1"/>
  <c r="BG31" i="1"/>
  <c r="BG26" i="1"/>
  <c r="AI33" i="1"/>
  <c r="AI37" i="1" s="1"/>
  <c r="AI28" i="1"/>
  <c r="AI32" i="1"/>
  <c r="AI36" i="1" s="1"/>
  <c r="AI27" i="1"/>
  <c r="AI26" i="1"/>
  <c r="AI31" i="1"/>
  <c r="AH33" i="1"/>
  <c r="AH37" i="1" s="1"/>
  <c r="AH28" i="1"/>
  <c r="AH32" i="1"/>
  <c r="AH36" i="1" s="1"/>
  <c r="AH27" i="1"/>
  <c r="AH31" i="1"/>
  <c r="AH26" i="1"/>
  <c r="AG33" i="1"/>
  <c r="AG37" i="1" s="1"/>
  <c r="AG28" i="1"/>
  <c r="AG27" i="1"/>
  <c r="AG32" i="1"/>
  <c r="AG36" i="1" s="1"/>
  <c r="AG26" i="1"/>
  <c r="AG31" i="1"/>
  <c r="AF28" i="1"/>
  <c r="AF33" i="1"/>
  <c r="AF37" i="1" s="1"/>
  <c r="AF32" i="1"/>
  <c r="AF36" i="1" s="1"/>
  <c r="AF27" i="1"/>
  <c r="AF26" i="1"/>
  <c r="AF31" i="1"/>
  <c r="AE28" i="1"/>
  <c r="AE33" i="1"/>
  <c r="AE37" i="1" s="1"/>
  <c r="AE32" i="1"/>
  <c r="AE36" i="1" s="1"/>
  <c r="AE27" i="1"/>
  <c r="AE26" i="1"/>
  <c r="AE31" i="1"/>
  <c r="AD28" i="1"/>
  <c r="AD33" i="1"/>
  <c r="AD37" i="1" s="1"/>
  <c r="AD27" i="1"/>
  <c r="AD32" i="1"/>
  <c r="AD36" i="1" s="1"/>
  <c r="AD31" i="1"/>
  <c r="AD26" i="1"/>
  <c r="AC28" i="1"/>
  <c r="AC33" i="1"/>
  <c r="AC37" i="1" s="1"/>
  <c r="AC27" i="1"/>
  <c r="AC32" i="1"/>
  <c r="AC36" i="1" s="1"/>
  <c r="AC31" i="1"/>
  <c r="AC26" i="1"/>
  <c r="AB33" i="1"/>
  <c r="AB37" i="1" s="1"/>
  <c r="AB28" i="1"/>
  <c r="AB27" i="1"/>
  <c r="AB32" i="1"/>
  <c r="AB36" i="1" s="1"/>
  <c r="AB31" i="1"/>
  <c r="AB26" i="1"/>
  <c r="V33" i="1"/>
  <c r="V37" i="1" s="1"/>
  <c r="V28" i="1"/>
  <c r="V32" i="1"/>
  <c r="V36" i="1" s="1"/>
  <c r="V27" i="1"/>
  <c r="V31" i="1"/>
  <c r="V26" i="1"/>
  <c r="U33" i="1"/>
  <c r="U37" i="1" s="1"/>
  <c r="U28" i="1"/>
  <c r="U27" i="1"/>
  <c r="U32" i="1"/>
  <c r="U36" i="1" s="1"/>
  <c r="U31" i="1"/>
  <c r="U26" i="1"/>
  <c r="T33" i="1"/>
  <c r="T37" i="1" s="1"/>
  <c r="T28" i="1"/>
  <c r="T27" i="1"/>
  <c r="T32" i="1"/>
  <c r="T36" i="1" s="1"/>
  <c r="T31" i="1"/>
  <c r="T26" i="1"/>
  <c r="S33" i="1"/>
  <c r="S37" i="1" s="1"/>
  <c r="S28" i="1"/>
  <c r="S27" i="1"/>
  <c r="S32" i="1"/>
  <c r="S36" i="1" s="1"/>
  <c r="S31" i="1"/>
  <c r="S26" i="1"/>
  <c r="R33" i="1"/>
  <c r="R37" i="1" s="1"/>
  <c r="R28" i="1"/>
  <c r="R27" i="1"/>
  <c r="R32" i="1"/>
  <c r="R36" i="1" s="1"/>
  <c r="R26" i="1"/>
  <c r="R31" i="1"/>
  <c r="Q28" i="1"/>
  <c r="Q33" i="1"/>
  <c r="Q37" i="1" s="1"/>
  <c r="Q32" i="1"/>
  <c r="Q36" i="1" s="1"/>
  <c r="Q27" i="1"/>
  <c r="Q31" i="1"/>
  <c r="Q26" i="1"/>
  <c r="P32" i="1"/>
  <c r="P36" i="1" s="1"/>
  <c r="P27" i="1"/>
  <c r="P33" i="1"/>
  <c r="P37" i="1" s="1"/>
  <c r="P28" i="1"/>
  <c r="P26" i="1"/>
  <c r="P31" i="1"/>
  <c r="O33" i="1"/>
  <c r="O37" i="1" s="1"/>
  <c r="O28" i="1"/>
  <c r="O32" i="1"/>
  <c r="O36" i="1" s="1"/>
  <c r="O27" i="1"/>
  <c r="O26" i="1"/>
  <c r="O31" i="1"/>
  <c r="N33" i="1"/>
  <c r="N37" i="1" s="1"/>
  <c r="N28" i="1"/>
  <c r="N27" i="1"/>
  <c r="N32" i="1"/>
  <c r="N36" i="1" s="1"/>
  <c r="N31" i="1"/>
  <c r="N26" i="1"/>
  <c r="H33" i="1"/>
  <c r="H37" i="1" s="1"/>
  <c r="H28" i="1"/>
  <c r="H32" i="1"/>
  <c r="H36" i="1" s="1"/>
  <c r="H27" i="1"/>
  <c r="H26" i="1"/>
  <c r="H31" i="1"/>
  <c r="G28" i="1"/>
  <c r="G33" i="1"/>
  <c r="G37" i="1" s="1"/>
  <c r="G27" i="1"/>
  <c r="G32" i="1"/>
  <c r="G36" i="1" s="1"/>
  <c r="G31" i="1"/>
  <c r="G26" i="1"/>
  <c r="F33" i="1"/>
  <c r="F37" i="1" s="1"/>
  <c r="F28" i="1"/>
  <c r="F27" i="1"/>
  <c r="F32" i="1"/>
  <c r="F36" i="1" s="1"/>
  <c r="F26" i="1"/>
  <c r="F31" i="1"/>
  <c r="AZ36" i="1"/>
  <c r="AU36" i="1"/>
  <c r="E36" i="1"/>
  <c r="D36" i="1"/>
  <c r="D37" i="1"/>
  <c r="E37" i="1"/>
  <c r="AY37" i="1"/>
  <c r="Y34" i="1" l="1"/>
  <c r="AN34" i="1"/>
  <c r="BG29" i="1"/>
  <c r="AJ34" i="1"/>
  <c r="AR34" i="1"/>
  <c r="AS34" i="1"/>
  <c r="BI34" i="1"/>
  <c r="M34" i="1"/>
  <c r="AY34" i="1"/>
  <c r="K29" i="1"/>
  <c r="BF29" i="1"/>
  <c r="Z29" i="1"/>
  <c r="I29" i="1"/>
  <c r="BC29" i="1"/>
  <c r="AZ29" i="1"/>
  <c r="BF34" i="1"/>
  <c r="Z34" i="1"/>
  <c r="I34" i="1"/>
  <c r="AZ34" i="1"/>
  <c r="AT34" i="1"/>
  <c r="BJ34" i="1"/>
  <c r="J34" i="1"/>
  <c r="BD34" i="1"/>
  <c r="BA29" i="1"/>
  <c r="P29" i="1"/>
  <c r="AA29" i="1"/>
  <c r="AA34" i="1"/>
  <c r="F34" i="1"/>
  <c r="R34" i="1"/>
  <c r="AJ29" i="1"/>
  <c r="R29" i="1"/>
  <c r="BG34" i="1"/>
  <c r="BE29" i="1"/>
  <c r="AS29" i="1"/>
  <c r="W29" i="1"/>
  <c r="BB29" i="1"/>
  <c r="BK29" i="1"/>
  <c r="AV29" i="1"/>
  <c r="BL29" i="1"/>
  <c r="H34" i="1"/>
  <c r="O34" i="1"/>
  <c r="BI29" i="1"/>
  <c r="M29" i="1"/>
  <c r="AY29" i="1"/>
  <c r="BB34" i="1"/>
  <c r="BK34" i="1"/>
  <c r="AV34" i="1"/>
  <c r="BL34" i="1"/>
  <c r="U29" i="1"/>
  <c r="AQ29" i="1"/>
  <c r="AW34" i="1"/>
  <c r="BM29" i="1"/>
  <c r="K34" i="1"/>
  <c r="BC34" i="1"/>
  <c r="AQ34" i="1"/>
  <c r="AW29" i="1"/>
  <c r="BM34" i="1"/>
  <c r="AT29" i="1"/>
  <c r="BJ29" i="1"/>
  <c r="AL29" i="1"/>
  <c r="J29" i="1"/>
  <c r="BD29" i="1"/>
  <c r="AR29" i="1"/>
  <c r="AU29" i="1"/>
  <c r="AL34" i="1"/>
  <c r="AU34" i="1"/>
  <c r="BA34" i="1"/>
  <c r="AX29" i="1"/>
  <c r="AP29" i="1"/>
  <c r="AM29" i="1"/>
  <c r="BH29" i="1"/>
  <c r="L29" i="1"/>
  <c r="BE34" i="1"/>
  <c r="W34" i="1"/>
  <c r="AX34" i="1"/>
  <c r="AP34" i="1"/>
  <c r="AM34" i="1"/>
  <c r="BH34" i="1"/>
  <c r="L34" i="1"/>
  <c r="AI29" i="1"/>
  <c r="AI34" i="1"/>
  <c r="AH34" i="1"/>
  <c r="AH29" i="1"/>
  <c r="AG34" i="1"/>
  <c r="AG29" i="1"/>
  <c r="AF34" i="1"/>
  <c r="AF29" i="1"/>
  <c r="AE34" i="1"/>
  <c r="AE29" i="1"/>
  <c r="AD34" i="1"/>
  <c r="AD29" i="1"/>
  <c r="AC34" i="1"/>
  <c r="AC29" i="1"/>
  <c r="AB34" i="1"/>
  <c r="AB29" i="1"/>
  <c r="V34" i="1"/>
  <c r="V29" i="1"/>
  <c r="U34" i="1"/>
  <c r="T34" i="1"/>
  <c r="T29" i="1"/>
  <c r="S29" i="1"/>
  <c r="S34" i="1"/>
  <c r="Q34" i="1"/>
  <c r="Q29" i="1"/>
  <c r="P34" i="1"/>
  <c r="O29" i="1"/>
  <c r="N34" i="1"/>
  <c r="N29" i="1"/>
  <c r="H29" i="1"/>
  <c r="G34" i="1"/>
  <c r="G29" i="1"/>
  <c r="F29" i="1"/>
  <c r="AW35" i="1"/>
  <c r="AW38" i="1" s="1"/>
  <c r="W35" i="1"/>
  <c r="W38" i="1" s="1"/>
  <c r="AO35" i="1"/>
  <c r="AO38" i="1" s="1"/>
  <c r="BA35" i="1"/>
  <c r="BA38" i="1" s="1"/>
  <c r="X35" i="1"/>
  <c r="X38" i="1" s="1"/>
  <c r="BK35" i="1"/>
  <c r="BK38" i="1" s="1"/>
  <c r="AA35" i="1"/>
  <c r="AA38" i="1" s="1"/>
  <c r="AE35" i="1"/>
  <c r="AE38" i="1" s="1"/>
  <c r="BF35" i="1"/>
  <c r="BF38" i="1" s="1"/>
  <c r="N35" i="1"/>
  <c r="N38" i="1" s="1"/>
  <c r="AD35" i="1"/>
  <c r="AD38" i="1" s="1"/>
  <c r="J35" i="1"/>
  <c r="J38" i="1" s="1"/>
  <c r="AK35" i="1"/>
  <c r="AK38" i="1" s="1"/>
  <c r="BG35" i="1"/>
  <c r="BG38" i="1" s="1"/>
  <c r="AS35" i="1"/>
  <c r="AS38" i="1" s="1"/>
  <c r="Q35" i="1"/>
  <c r="Q38" i="1" s="1"/>
  <c r="BI35" i="1"/>
  <c r="BI38" i="1" s="1"/>
  <c r="AF35" i="1"/>
  <c r="AF38" i="1" s="1"/>
  <c r="AI35" i="1"/>
  <c r="AI38" i="1" s="1"/>
  <c r="BB35" i="1"/>
  <c r="BB38" i="1" s="1"/>
  <c r="AP35" i="1"/>
  <c r="AP38" i="1" s="1"/>
  <c r="BE35" i="1"/>
  <c r="BE38" i="1" s="1"/>
  <c r="U35" i="1"/>
  <c r="U38" i="1" s="1"/>
  <c r="AJ35" i="1"/>
  <c r="AJ38" i="1" s="1"/>
  <c r="AT35" i="1"/>
  <c r="AT38" i="1" s="1"/>
  <c r="AM35" i="1"/>
  <c r="AM38" i="1" s="1"/>
  <c r="BJ35" i="1"/>
  <c r="BJ38" i="1" s="1"/>
  <c r="R35" i="1"/>
  <c r="R38" i="1" s="1"/>
  <c r="AH35" i="1"/>
  <c r="AH38" i="1" s="1"/>
  <c r="BD35" i="1"/>
  <c r="BD38" i="1" s="1"/>
  <c r="AZ35" i="1"/>
  <c r="AZ38" i="1" s="1"/>
  <c r="I35" i="1"/>
  <c r="I38" i="1" s="1"/>
  <c r="T35" i="1"/>
  <c r="T38" i="1" s="1"/>
  <c r="F35" i="1"/>
  <c r="F38" i="1" s="1"/>
  <c r="AB35" i="1"/>
  <c r="AB38" i="1" s="1"/>
  <c r="BM35" i="1"/>
  <c r="BM38" i="1" s="1"/>
  <c r="Y35" i="1"/>
  <c r="Y38" i="1" s="1"/>
  <c r="AN35" i="1"/>
  <c r="AN38" i="1" s="1"/>
  <c r="AU35" i="1"/>
  <c r="AU38" i="1" s="1"/>
  <c r="AV35" i="1"/>
  <c r="AV38" i="1" s="1"/>
  <c r="AQ35" i="1"/>
  <c r="AQ38" i="1" s="1"/>
  <c r="Z35" i="1"/>
  <c r="Z38" i="1" s="1"/>
  <c r="BH35" i="1"/>
  <c r="BH38" i="1" s="1"/>
  <c r="G35" i="1"/>
  <c r="G38" i="1" s="1"/>
  <c r="AC35" i="1"/>
  <c r="AC38" i="1" s="1"/>
  <c r="L35" i="1"/>
  <c r="L38" i="1" s="1"/>
  <c r="AR35" i="1"/>
  <c r="AR38" i="1" s="1"/>
  <c r="AY35" i="1"/>
  <c r="AY38" i="1" s="1"/>
  <c r="AX35" i="1"/>
  <c r="AX38" i="1" s="1"/>
  <c r="O35" i="1"/>
  <c r="O38" i="1" s="1"/>
  <c r="K35" i="1"/>
  <c r="K38" i="1" s="1"/>
  <c r="V35" i="1"/>
  <c r="V38" i="1" s="1"/>
  <c r="AL35" i="1"/>
  <c r="AL38" i="1" s="1"/>
  <c r="BL35" i="1"/>
  <c r="BL38" i="1" s="1"/>
  <c r="D35" i="1"/>
  <c r="D38" i="1" s="1"/>
  <c r="M35" i="1"/>
  <c r="M38" i="1" s="1"/>
  <c r="H35" i="1"/>
  <c r="H38" i="1" s="1"/>
  <c r="AG35" i="1"/>
  <c r="AG38" i="1" s="1"/>
  <c r="E35" i="1"/>
  <c r="E38" i="1" s="1"/>
  <c r="P35" i="1"/>
  <c r="P38" i="1" s="1"/>
  <c r="BC35" i="1"/>
  <c r="BC38" i="1" s="1"/>
  <c r="S35" i="1"/>
  <c r="S38" i="1" s="1"/>
  <c r="V30" i="1" l="1"/>
  <c r="Z30" i="1"/>
  <c r="BF30" i="1"/>
  <c r="AZ30" i="1"/>
  <c r="AR30" i="1"/>
  <c r="AN30" i="1"/>
  <c r="AJ30" i="1"/>
  <c r="X30" i="1"/>
  <c r="J30" i="1"/>
  <c r="BD30" i="1"/>
  <c r="AL30" i="1"/>
  <c r="L30" i="1"/>
  <c r="BJ30" i="1"/>
  <c r="AP30" i="1"/>
  <c r="AT30" i="1"/>
  <c r="BH30" i="1"/>
  <c r="AX30" i="1"/>
  <c r="BL30" i="1"/>
  <c r="AV30" i="1"/>
  <c r="BB30" i="1"/>
  <c r="H30" i="1"/>
  <c r="AH30" i="1"/>
  <c r="AF30" i="1"/>
  <c r="AD30" i="1"/>
  <c r="AB30" i="1"/>
  <c r="T30" i="1"/>
  <c r="R30" i="1"/>
  <c r="P30" i="1"/>
  <c r="N30" i="1"/>
  <c r="F3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Gary.Dennison</author>
  </authors>
  <commentList>
    <comment ref="C6" authorId="0" shapeId="0" xr:uid="{271B1A0D-A420-45A0-A8FD-49E66F2E7C78}">
      <text>
        <r>
          <rPr>
            <b/>
            <sz val="9"/>
            <color indexed="81"/>
            <rFont val="Tahoma"/>
            <family val="2"/>
          </rPr>
          <t>Gary.Dennison:</t>
        </r>
        <r>
          <rPr>
            <sz val="9"/>
            <color indexed="81"/>
            <rFont val="Tahoma"/>
            <family val="2"/>
          </rPr>
          <t xml:space="preserve">
At the beginning of the Shift </t>
        </r>
      </text>
    </comment>
  </commentList>
</comments>
</file>

<file path=xl/sharedStrings.xml><?xml version="1.0" encoding="utf-8"?>
<sst xmlns="http://schemas.openxmlformats.org/spreadsheetml/2006/main" count="104" uniqueCount="40">
  <si>
    <t xml:space="preserve">Ecoat </t>
  </si>
  <si>
    <t xml:space="preserve">Product:  </t>
  </si>
  <si>
    <t xml:space="preserve">Tank # : </t>
  </si>
  <si>
    <t>Parameter</t>
  </si>
  <si>
    <t xml:space="preserve">Dish Sample </t>
  </si>
  <si>
    <t>Dish &amp; Dry PT WT</t>
  </si>
  <si>
    <t>TP -058
1hr @ 110 c</t>
  </si>
  <si>
    <t>Wet Paint  WT</t>
  </si>
  <si>
    <t xml:space="preserve">Dish WT </t>
  </si>
  <si>
    <t>%NV</t>
  </si>
  <si>
    <t>Dry Paint WT</t>
  </si>
  <si>
    <t>Ash WT</t>
  </si>
  <si>
    <t>Dish + Ash WT</t>
  </si>
  <si>
    <t>TP- 064
1hr @ 575 c</t>
  </si>
  <si>
    <t xml:space="preserve">% Pigment </t>
  </si>
  <si>
    <t>P/B Ratio</t>
  </si>
  <si>
    <t xml:space="preserve">Paint Feeds </t>
  </si>
  <si>
    <t xml:space="preserve">Emulsion (gal) </t>
  </si>
  <si>
    <t xml:space="preserve">Paste (gal) </t>
  </si>
  <si>
    <t xml:space="preserve">Additional Feeds </t>
  </si>
  <si>
    <t xml:space="preserve">Acetic Acid 98% (gal) </t>
  </si>
  <si>
    <t xml:space="preserve">Biocide (gal) </t>
  </si>
  <si>
    <t xml:space="preserve">PNB (gal) </t>
  </si>
  <si>
    <t>PPH (gal)</t>
  </si>
  <si>
    <t>Stage</t>
  </si>
  <si>
    <t>Input</t>
  </si>
  <si>
    <t xml:space="preserve">Result </t>
  </si>
  <si>
    <t xml:space="preserve">Tech: </t>
  </si>
  <si>
    <t>Time:</t>
  </si>
  <si>
    <t xml:space="preserve">Ash Factor (AF) : </t>
  </si>
  <si>
    <t xml:space="preserve">% NV : </t>
  </si>
  <si>
    <t xml:space="preserve">Measurement of Pigment/Binder (P/B) Ratio Worksheet </t>
  </si>
  <si>
    <t xml:space="preserve">Month: </t>
  </si>
  <si>
    <t>Dates:</t>
  </si>
  <si>
    <t>AVG</t>
  </si>
  <si>
    <t>17.0-21.0 Target- 19</t>
  </si>
  <si>
    <t>0.12-0.26 Target-0.18</t>
  </si>
  <si>
    <t>D</t>
  </si>
  <si>
    <t>A</t>
  </si>
  <si>
    <t>Jun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</si>
</sst>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8"/>
      <name val="Calibri"/>
      <family val="2"/>
      <scheme val="minor"/>
    </font>
    <font>
      <b/>
      <sz val="26"/>
      <color theme="1"/>
      <name val="Calibri"/>
      <family val="2"/>
      <scheme val="minor"/>
    </font>
    <font>
      <sz val="9"/>
      <color indexed="81"/>
      <name val="Tahoma"/>
      <family val="2"/>
    </font>
    <font>
      <b/>
      <sz val="9"/>
      <color indexed="81"/>
      <name val="Tahoma"/>
      <family val="2"/>
    </font>
  </fonts>
  <fills count="6">
    <fill>
      <patternFill patternType="none"/>
    </fill>
    <fill>
      <patternFill patternType="gray125"/>
    </fill>
    <fill>
      <patternFill patternType="solid">
        <fgColor theme="0" tint="-0.14999847407452621"/>
        <bgColor indexed="64"/>
      </patternFill>
    </fill>
    <fill>
      <patternFill patternType="solid">
        <fgColor theme="2" tint="-0.499984740745262"/>
        <bgColor indexed="64"/>
      </patternFill>
    </fill>
    <fill>
      <patternFill patternType="solid">
        <fgColor theme="2" tint="-9.9978637043366805E-2"/>
        <bgColor indexed="64"/>
      </patternFill>
    </fill>
    <fill>
      <patternFill patternType="solid">
        <fgColor theme="0" tint="-0.249977111117893"/>
        <bgColor indexed="64"/>
      </patternFill>
    </fill>
  </fills>
  <borders count="49">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medium">
        <color auto="1"/>
      </bottom>
      <diagonal/>
    </border>
    <border>
      <left style="medium">
        <color indexed="64"/>
      </left>
      <right/>
      <top/>
      <bottom/>
      <diagonal/>
    </border>
    <border>
      <left style="medium">
        <color indexed="64"/>
      </left>
      <right/>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top/>
      <bottom style="thin">
        <color auto="1"/>
      </bottom>
      <diagonal/>
    </border>
    <border>
      <left style="medium">
        <color indexed="64"/>
      </left>
      <right style="medium">
        <color indexed="64"/>
      </right>
      <top style="medium">
        <color indexed="64"/>
      </top>
      <bottom style="medium">
        <color indexed="64"/>
      </bottom>
      <diagonal/>
    </border>
    <border>
      <left/>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thin">
        <color indexed="64"/>
      </bottom>
      <diagonal/>
    </border>
    <border>
      <left style="thin">
        <color indexed="64"/>
      </left>
      <right/>
      <top/>
      <bottom style="thin">
        <color indexed="64"/>
      </bottom>
      <diagonal/>
    </border>
    <border>
      <left/>
      <right/>
      <top style="medium">
        <color indexed="64"/>
      </top>
      <bottom style="thin">
        <color indexed="64"/>
      </bottom>
      <diagonal/>
    </border>
    <border>
      <left style="thin">
        <color indexed="64"/>
      </left>
      <right/>
      <top style="thin">
        <color indexed="64"/>
      </top>
      <bottom/>
      <diagonal/>
    </border>
    <border>
      <left style="thin">
        <color indexed="64"/>
      </left>
      <right/>
      <top style="medium">
        <color indexed="64"/>
      </top>
      <bottom style="medium">
        <color indexed="64"/>
      </bottom>
      <diagonal/>
    </border>
    <border>
      <left/>
      <right/>
      <top style="thin">
        <color indexed="64"/>
      </top>
      <bottom/>
      <diagonal/>
    </border>
    <border>
      <left style="medium">
        <color indexed="64"/>
      </left>
      <right style="medium">
        <color indexed="64"/>
      </right>
      <top/>
      <bottom style="thin">
        <color indexed="64"/>
      </bottom>
      <diagonal/>
    </border>
  </borders>
  <cellStyleXfs count="1">
    <xf numFmtId="0" fontId="0" fillId="0" borderId="0"/>
  </cellStyleXfs>
  <cellXfs count="97">
    <xf numFmtId="0" fontId="0" fillId="0" borderId="0" xfId="0"/>
    <xf numFmtId="0" fontId="0" fillId="0" borderId="0" xfId="0" applyProtection="1">
      <protection locked="0"/>
    </xf>
    <xf numFmtId="0" fontId="0" fillId="0" borderId="18" xfId="0" applyBorder="1" applyAlignment="1" applyProtection="1">
      <alignment horizontal="center" vertical="center"/>
      <protection locked="0"/>
    </xf>
    <xf numFmtId="0" fontId="0" fillId="3" borderId="28" xfId="0" applyFill="1" applyBorder="1" applyAlignment="1" applyProtection="1">
      <alignment horizontal="center" vertical="center"/>
      <protection locked="0"/>
    </xf>
    <xf numFmtId="0" fontId="0" fillId="3" borderId="29" xfId="0" applyFill="1" applyBorder="1" applyAlignment="1" applyProtection="1">
      <alignment horizontal="center" vertical="center"/>
      <protection locked="0"/>
    </xf>
    <xf numFmtId="0" fontId="0" fillId="0" borderId="4" xfId="0" applyBorder="1" applyAlignment="1" applyProtection="1">
      <alignment horizontal="center" vertical="center"/>
      <protection locked="0"/>
    </xf>
    <xf numFmtId="0" fontId="0" fillId="0" borderId="19" xfId="0" applyBorder="1" applyAlignment="1" applyProtection="1">
      <alignment horizontal="center" vertical="center"/>
      <protection locked="0"/>
    </xf>
    <xf numFmtId="0" fontId="0" fillId="0" borderId="20" xfId="0" applyBorder="1" applyAlignment="1" applyProtection="1">
      <alignment horizontal="center" vertical="center"/>
      <protection locked="0"/>
    </xf>
    <xf numFmtId="0" fontId="0" fillId="0" borderId="2" xfId="0" applyBorder="1" applyAlignment="1" applyProtection="1">
      <alignment horizontal="center" vertical="center"/>
      <protection locked="0"/>
    </xf>
    <xf numFmtId="0" fontId="0" fillId="0" borderId="6" xfId="0" applyBorder="1" applyProtection="1">
      <protection locked="0"/>
    </xf>
    <xf numFmtId="0" fontId="0" fillId="0" borderId="22" xfId="0" applyBorder="1" applyAlignment="1" applyProtection="1">
      <alignment horizontal="center" vertical="center"/>
      <protection locked="0"/>
    </xf>
    <xf numFmtId="0" fontId="0" fillId="0" borderId="23" xfId="0" applyBorder="1" applyAlignment="1" applyProtection="1">
      <alignment horizontal="center" vertical="center"/>
      <protection locked="0"/>
    </xf>
    <xf numFmtId="0" fontId="0" fillId="0" borderId="31" xfId="0" applyBorder="1" applyProtection="1">
      <protection locked="0"/>
    </xf>
    <xf numFmtId="0" fontId="0" fillId="0" borderId="8" xfId="0" applyBorder="1" applyAlignment="1" applyProtection="1">
      <alignment horizontal="center" vertical="center"/>
      <protection locked="0"/>
    </xf>
    <xf numFmtId="0" fontId="0" fillId="0" borderId="11" xfId="0" applyBorder="1" applyAlignment="1" applyProtection="1">
      <alignment horizontal="center" vertical="center"/>
      <protection locked="0"/>
    </xf>
    <xf numFmtId="0" fontId="0" fillId="0" borderId="13" xfId="0" applyBorder="1" applyAlignment="1" applyProtection="1">
      <alignment horizontal="center" vertical="center"/>
      <protection locked="0"/>
    </xf>
    <xf numFmtId="0" fontId="0" fillId="3" borderId="30" xfId="0" applyFill="1" applyBorder="1" applyAlignment="1" applyProtection="1">
      <alignment horizontal="center" vertical="center"/>
      <protection locked="0"/>
    </xf>
    <xf numFmtId="0" fontId="0" fillId="0" borderId="0" xfId="0" applyAlignment="1" applyProtection="1">
      <alignment horizontal="center" vertical="center"/>
      <protection locked="0"/>
    </xf>
    <xf numFmtId="0" fontId="0" fillId="0" borderId="24" xfId="0" applyBorder="1" applyAlignment="1" applyProtection="1">
      <alignment horizontal="center" vertical="center"/>
      <protection locked="0"/>
    </xf>
    <xf numFmtId="0" fontId="0" fillId="0" borderId="21" xfId="0" applyBorder="1" applyAlignment="1" applyProtection="1">
      <alignment horizontal="center" vertical="center"/>
      <protection locked="0"/>
    </xf>
    <xf numFmtId="0" fontId="0" fillId="0" borderId="10" xfId="0" applyBorder="1" applyAlignment="1" applyProtection="1">
      <alignment horizontal="center" vertical="center"/>
      <protection locked="0"/>
    </xf>
    <xf numFmtId="0" fontId="0" fillId="0" borderId="12" xfId="0" applyBorder="1" applyAlignment="1" applyProtection="1">
      <alignment horizontal="center" vertical="center"/>
      <protection locked="0"/>
    </xf>
    <xf numFmtId="0" fontId="0" fillId="0" borderId="14" xfId="0" applyBorder="1" applyAlignment="1" applyProtection="1">
      <alignment horizontal="center" vertical="center"/>
      <protection locked="0"/>
    </xf>
    <xf numFmtId="0" fontId="0" fillId="0" borderId="34" xfId="0" applyBorder="1" applyAlignment="1" applyProtection="1">
      <alignment horizontal="center" vertical="center" wrapText="1"/>
      <protection locked="0"/>
    </xf>
    <xf numFmtId="0" fontId="0" fillId="0" borderId="35" xfId="0" applyBorder="1" applyAlignment="1" applyProtection="1">
      <alignment horizontal="center" vertical="center"/>
      <protection locked="0"/>
    </xf>
    <xf numFmtId="0" fontId="0" fillId="0" borderId="24" xfId="0" applyBorder="1" applyAlignment="1" applyProtection="1">
      <alignment horizontal="center" vertical="center" wrapText="1"/>
      <protection locked="0"/>
    </xf>
    <xf numFmtId="0" fontId="0" fillId="0" borderId="29" xfId="0" applyBorder="1" applyAlignment="1" applyProtection="1">
      <alignment horizontal="center" vertical="center"/>
      <protection locked="0"/>
    </xf>
    <xf numFmtId="0" fontId="0" fillId="0" borderId="37" xfId="0" applyBorder="1" applyAlignment="1" applyProtection="1">
      <alignment horizontal="center" vertical="center"/>
      <protection locked="0"/>
    </xf>
    <xf numFmtId="0" fontId="0" fillId="0" borderId="37" xfId="0" applyBorder="1" applyAlignment="1" applyProtection="1">
      <alignment vertical="center"/>
      <protection locked="0"/>
    </xf>
    <xf numFmtId="0" fontId="0" fillId="0" borderId="39" xfId="0" applyBorder="1" applyAlignment="1" applyProtection="1">
      <alignment horizontal="center" vertical="center" wrapText="1"/>
      <protection locked="0"/>
    </xf>
    <xf numFmtId="0" fontId="0" fillId="0" borderId="40" xfId="0" applyBorder="1" applyAlignment="1" applyProtection="1">
      <alignment horizontal="center" vertical="center"/>
      <protection locked="0"/>
    </xf>
    <xf numFmtId="0" fontId="0" fillId="0" borderId="41" xfId="0" applyBorder="1" applyAlignment="1" applyProtection="1">
      <alignment horizontal="center" vertical="center"/>
      <protection locked="0"/>
    </xf>
    <xf numFmtId="0" fontId="0" fillId="2" borderId="11" xfId="0" applyFill="1" applyBorder="1" applyAlignment="1">
      <alignment horizontal="center" vertical="center"/>
    </xf>
    <xf numFmtId="0" fontId="0" fillId="2" borderId="17" xfId="0" applyFill="1" applyBorder="1" applyAlignment="1">
      <alignment horizontal="center" vertical="center"/>
    </xf>
    <xf numFmtId="0" fontId="0" fillId="0" borderId="42" xfId="0" applyBorder="1" applyAlignment="1" applyProtection="1">
      <alignment horizontal="center" vertical="center"/>
      <protection locked="0"/>
    </xf>
    <xf numFmtId="0" fontId="0" fillId="0" borderId="38" xfId="0" applyBorder="1" applyAlignment="1" applyProtection="1">
      <alignment horizontal="center" vertical="center"/>
      <protection locked="0"/>
    </xf>
    <xf numFmtId="0" fontId="0" fillId="0" borderId="43" xfId="0" applyBorder="1" applyAlignment="1" applyProtection="1">
      <alignment horizontal="center" vertical="center" wrapText="1"/>
      <protection locked="0"/>
    </xf>
    <xf numFmtId="0" fontId="0" fillId="0" borderId="44" xfId="0" applyBorder="1" applyAlignment="1" applyProtection="1">
      <alignment horizontal="center" vertical="center"/>
      <protection locked="0"/>
    </xf>
    <xf numFmtId="0" fontId="0" fillId="0" borderId="36" xfId="0" applyBorder="1" applyAlignment="1" applyProtection="1">
      <alignment horizontal="center" vertical="center"/>
      <protection locked="0"/>
    </xf>
    <xf numFmtId="0" fontId="0" fillId="0" borderId="6" xfId="0" applyBorder="1" applyAlignment="1" applyProtection="1">
      <alignment horizontal="center" vertical="center"/>
      <protection locked="0"/>
    </xf>
    <xf numFmtId="0" fontId="0" fillId="0" borderId="34" xfId="0" applyBorder="1" applyAlignment="1" applyProtection="1">
      <alignment horizontal="center" vertical="center"/>
      <protection locked="0"/>
    </xf>
    <xf numFmtId="0" fontId="0" fillId="0" borderId="43" xfId="0" applyBorder="1" applyAlignment="1" applyProtection="1">
      <alignment horizontal="center" vertical="center"/>
      <protection locked="0"/>
    </xf>
    <xf numFmtId="0" fontId="0" fillId="2" borderId="42" xfId="0" applyFill="1" applyBorder="1" applyAlignment="1">
      <alignment horizontal="center" vertical="center"/>
    </xf>
    <xf numFmtId="0" fontId="0" fillId="2" borderId="36" xfId="0" applyFill="1" applyBorder="1" applyAlignment="1">
      <alignment horizontal="center" vertical="center"/>
    </xf>
    <xf numFmtId="0" fontId="0" fillId="0" borderId="25" xfId="0" applyBorder="1" applyAlignment="1" applyProtection="1">
      <alignment horizontal="center" vertical="center"/>
      <protection locked="0"/>
    </xf>
    <xf numFmtId="0" fontId="0" fillId="0" borderId="26" xfId="0" applyBorder="1" applyAlignment="1" applyProtection="1">
      <alignment horizontal="center" vertical="center"/>
      <protection locked="0"/>
    </xf>
    <xf numFmtId="0" fontId="0" fillId="0" borderId="27" xfId="0" applyBorder="1" applyAlignment="1" applyProtection="1">
      <alignment horizontal="center" vertical="center"/>
      <protection locked="0"/>
    </xf>
    <xf numFmtId="0" fontId="0" fillId="0" borderId="0" xfId="0" applyAlignment="1" applyProtection="1">
      <alignment horizontal="center" vertical="center"/>
      <protection locked="0"/>
    </xf>
    <xf numFmtId="0" fontId="0" fillId="0" borderId="1" xfId="0" applyBorder="1" applyAlignment="1" applyProtection="1">
      <alignment horizontal="center" vertical="center"/>
      <protection locked="0"/>
    </xf>
    <xf numFmtId="0" fontId="0" fillId="0" borderId="2" xfId="0" applyBorder="1" applyAlignment="1" applyProtection="1">
      <alignment horizontal="center" vertical="center"/>
      <protection locked="0"/>
    </xf>
    <xf numFmtId="0" fontId="0" fillId="0" borderId="3" xfId="0" applyBorder="1" applyAlignment="1" applyProtection="1">
      <alignment horizontal="center" vertical="center"/>
      <protection locked="0"/>
    </xf>
    <xf numFmtId="0" fontId="2" fillId="0" borderId="1" xfId="0" applyFont="1" applyBorder="1" applyAlignment="1" applyProtection="1">
      <alignment horizontal="left" vertical="center"/>
      <protection locked="0"/>
    </xf>
    <xf numFmtId="0" fontId="2" fillId="0" borderId="2" xfId="0" applyFont="1" applyBorder="1" applyAlignment="1" applyProtection="1">
      <alignment horizontal="left" vertical="center"/>
      <protection locked="0"/>
    </xf>
    <xf numFmtId="0" fontId="2" fillId="0" borderId="3" xfId="0" applyFont="1" applyBorder="1" applyAlignment="1" applyProtection="1">
      <alignment horizontal="left" vertical="center"/>
      <protection locked="0"/>
    </xf>
    <xf numFmtId="0" fontId="0" fillId="5" borderId="1" xfId="0" applyFill="1" applyBorder="1" applyAlignment="1" applyProtection="1">
      <alignment horizontal="center" vertical="center"/>
      <protection locked="0"/>
    </xf>
    <xf numFmtId="0" fontId="0" fillId="5" borderId="2" xfId="0" applyFill="1" applyBorder="1" applyAlignment="1" applyProtection="1">
      <alignment horizontal="center" vertical="center"/>
      <protection locked="0"/>
    </xf>
    <xf numFmtId="0" fontId="0" fillId="5" borderId="3" xfId="0" applyFill="1" applyBorder="1" applyAlignment="1" applyProtection="1">
      <alignment horizontal="center" vertical="center"/>
      <protection locked="0"/>
    </xf>
    <xf numFmtId="0" fontId="0" fillId="0" borderId="0" xfId="0" applyAlignment="1" applyProtection="1">
      <alignment horizontal="center" vertical="center" wrapText="1"/>
      <protection locked="0"/>
    </xf>
    <xf numFmtId="0" fontId="0" fillId="4" borderId="1" xfId="0" applyFill="1" applyBorder="1" applyAlignment="1" applyProtection="1">
      <alignment horizontal="center" vertical="center"/>
      <protection locked="0"/>
    </xf>
    <xf numFmtId="0" fontId="0" fillId="4" borderId="2" xfId="0" applyFill="1" applyBorder="1" applyAlignment="1" applyProtection="1">
      <alignment horizontal="center" vertical="center"/>
      <protection locked="0"/>
    </xf>
    <xf numFmtId="0" fontId="0" fillId="4" borderId="3" xfId="0" applyFill="1" applyBorder="1" applyAlignment="1" applyProtection="1">
      <alignment horizontal="center" vertical="center"/>
      <protection locked="0"/>
    </xf>
    <xf numFmtId="0" fontId="0" fillId="0" borderId="4" xfId="0" applyBorder="1" applyAlignment="1" applyProtection="1">
      <alignment horizontal="center" vertical="center" wrapText="1"/>
      <protection locked="0"/>
    </xf>
    <xf numFmtId="0" fontId="0" fillId="0" borderId="4" xfId="0" applyBorder="1" applyAlignment="1" applyProtection="1">
      <alignment horizontal="center" vertical="center"/>
      <protection locked="0"/>
    </xf>
    <xf numFmtId="0" fontId="0" fillId="0" borderId="5" xfId="0" applyBorder="1" applyAlignment="1" applyProtection="1">
      <alignment horizontal="center" vertical="center"/>
      <protection locked="0"/>
    </xf>
    <xf numFmtId="0" fontId="0" fillId="0" borderId="7" xfId="0" applyBorder="1" applyAlignment="1" applyProtection="1">
      <alignment horizontal="center" vertical="center"/>
      <protection locked="0"/>
    </xf>
    <xf numFmtId="0" fontId="0" fillId="0" borderId="6" xfId="0" applyBorder="1" applyAlignment="1" applyProtection="1">
      <alignment horizontal="center" vertical="center"/>
      <protection locked="0"/>
    </xf>
    <xf numFmtId="0" fontId="0" fillId="0" borderId="32" xfId="0" applyBorder="1" applyAlignment="1" applyProtection="1">
      <alignment horizontal="center" vertical="center"/>
      <protection locked="0"/>
    </xf>
    <xf numFmtId="0" fontId="0" fillId="0" borderId="33" xfId="0" applyBorder="1" applyAlignment="1" applyProtection="1">
      <alignment horizontal="center" vertical="center"/>
      <protection locked="0"/>
    </xf>
    <xf numFmtId="0" fontId="0" fillId="0" borderId="8" xfId="0" applyBorder="1" applyAlignment="1" applyProtection="1">
      <alignment horizontal="center" vertical="center"/>
      <protection locked="0"/>
    </xf>
    <xf numFmtId="0" fontId="0" fillId="0" borderId="13" xfId="0" applyBorder="1" applyAlignment="1" applyProtection="1">
      <alignment horizontal="center" vertical="center"/>
      <protection locked="0"/>
    </xf>
    <xf numFmtId="0" fontId="0" fillId="0" borderId="8" xfId="0" applyBorder="1" applyAlignment="1" applyProtection="1">
      <alignment horizontal="center" vertical="center" wrapText="1"/>
      <protection locked="0"/>
    </xf>
    <xf numFmtId="0" fontId="0" fillId="0" borderId="11" xfId="0" applyBorder="1" applyAlignment="1" applyProtection="1">
      <alignment horizontal="center" vertical="center" wrapText="1"/>
      <protection locked="0"/>
    </xf>
    <xf numFmtId="0" fontId="0" fillId="0" borderId="13" xfId="0" applyBorder="1" applyAlignment="1" applyProtection="1">
      <alignment horizontal="center" vertical="center" wrapText="1"/>
      <protection locked="0"/>
    </xf>
    <xf numFmtId="0" fontId="0" fillId="0" borderId="25" xfId="0" applyBorder="1" applyAlignment="1" applyProtection="1">
      <alignment horizontal="center" vertical="center"/>
      <protection locked="0"/>
    </xf>
    <xf numFmtId="0" fontId="0" fillId="0" borderId="26" xfId="0" applyBorder="1" applyAlignment="1" applyProtection="1">
      <alignment horizontal="center" vertical="center"/>
      <protection locked="0"/>
    </xf>
    <xf numFmtId="0" fontId="0" fillId="0" borderId="27" xfId="0" applyBorder="1" applyAlignment="1" applyProtection="1">
      <alignment horizontal="center" vertical="center"/>
      <protection locked="0"/>
    </xf>
    <xf numFmtId="0" fontId="0" fillId="0" borderId="9" xfId="0" applyBorder="1" applyAlignment="1" applyProtection="1">
      <alignment horizontal="center" vertical="center" wrapText="1"/>
      <protection locked="0"/>
    </xf>
    <xf numFmtId="0" fontId="0" fillId="0" borderId="16" xfId="0" applyBorder="1" applyAlignment="1" applyProtection="1">
      <alignment horizontal="center" vertical="center"/>
      <protection locked="0"/>
    </xf>
    <xf numFmtId="0" fontId="0" fillId="0" borderId="25" xfId="0" applyBorder="1" applyAlignment="1" applyProtection="1">
      <alignment horizontal="center" vertical="center" wrapText="1"/>
      <protection locked="0"/>
    </xf>
    <xf numFmtId="0" fontId="0" fillId="0" borderId="26" xfId="0" applyBorder="1" applyAlignment="1" applyProtection="1">
      <alignment horizontal="center" vertical="center" wrapText="1"/>
      <protection locked="0"/>
    </xf>
    <xf numFmtId="0" fontId="0" fillId="0" borderId="27" xfId="0" applyBorder="1" applyAlignment="1" applyProtection="1">
      <alignment horizontal="center" vertical="center" wrapText="1"/>
      <protection locked="0"/>
    </xf>
    <xf numFmtId="0" fontId="0" fillId="2" borderId="15" xfId="0" applyFill="1" applyBorder="1" applyAlignment="1">
      <alignment horizontal="center" vertical="center"/>
    </xf>
    <xf numFmtId="0" fontId="0" fillId="2" borderId="37" xfId="0" applyFill="1" applyBorder="1" applyAlignment="1">
      <alignment horizontal="center" vertical="center"/>
    </xf>
    <xf numFmtId="0" fontId="0" fillId="2" borderId="47" xfId="0" applyFill="1" applyBorder="1" applyAlignment="1">
      <alignment horizontal="center" vertical="center"/>
    </xf>
    <xf numFmtId="0" fontId="0" fillId="2" borderId="1" xfId="0" applyFill="1" applyBorder="1" applyAlignment="1">
      <alignment horizontal="center" vertical="center"/>
    </xf>
    <xf numFmtId="0" fontId="0" fillId="2" borderId="3" xfId="0" applyFill="1" applyBorder="1" applyAlignment="1">
      <alignment horizontal="center" vertical="center"/>
    </xf>
    <xf numFmtId="0" fontId="0" fillId="0" borderId="47" xfId="0" applyBorder="1" applyAlignment="1" applyProtection="1">
      <alignment horizontal="center" vertical="center"/>
      <protection locked="0"/>
    </xf>
    <xf numFmtId="0" fontId="0" fillId="0" borderId="45" xfId="0" applyBorder="1" applyAlignment="1" applyProtection="1">
      <alignment horizontal="center" vertical="center"/>
      <protection locked="0"/>
    </xf>
    <xf numFmtId="0" fontId="0" fillId="0" borderId="46" xfId="0" applyBorder="1" applyAlignment="1" applyProtection="1">
      <alignment horizontal="center" vertical="center" wrapText="1"/>
      <protection locked="0"/>
    </xf>
    <xf numFmtId="0" fontId="0" fillId="0" borderId="26" xfId="0" applyBorder="1" applyAlignment="1" applyProtection="1">
      <alignment horizontal="center"/>
      <protection locked="0"/>
    </xf>
    <xf numFmtId="0" fontId="0" fillId="2" borderId="26" xfId="0" applyFill="1" applyBorder="1" applyAlignment="1">
      <alignment horizontal="center" vertical="center"/>
    </xf>
    <xf numFmtId="0" fontId="0" fillId="2" borderId="27" xfId="0" applyFill="1" applyBorder="1" applyAlignment="1">
      <alignment horizontal="center" vertical="center"/>
    </xf>
    <xf numFmtId="0" fontId="0" fillId="0" borderId="48" xfId="0" applyBorder="1" applyAlignment="1" applyProtection="1">
      <alignment horizontal="center" vertical="center"/>
      <protection locked="0"/>
    </xf>
    <xf numFmtId="18" fontId="0" fillId="0" borderId="27" xfId="0" applyNumberFormat="1" applyBorder="1" applyAlignment="1" applyProtection="1">
      <alignment horizontal="center" vertical="center"/>
      <protection locked="0"/>
    </xf>
    <xf numFmtId="0" fontId="0" fillId="0" borderId="25" xfId="0" applyBorder="1" applyAlignment="1" applyProtection="1">
      <alignment horizontal="center"/>
      <protection locked="0"/>
    </xf>
    <xf numFmtId="0" fontId="0" fillId="0" borderId="27" xfId="0" applyBorder="1" applyAlignment="1" applyProtection="1">
      <alignment horizontal="center"/>
      <protection locked="0"/>
    </xf>
    <xf numFmtId="0" fontId="0" fillId="2" borderId="25" xfId="0" applyFill="1" applyBorder="1" applyAlignment="1">
      <alignment horizontal="center" vertical="center"/>
    </xf>
  </cellXfs>
  <cellStyles count="1">
    <cellStyle name="Normal" xfId="0" builtinId="0"/>
  </cellStyles>
  <dxfs count="3">
    <dxf>
      <font>
        <color rgb="FFFF0000"/>
      </font>
    </dxf>
    <dxf>
      <font>
        <color rgb="FFFF0000"/>
      </font>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a:t>
            </a:r>
            <a:r>
              <a:rPr lang="en-CA" baseline="0"/>
              <a:t> NV Tracking </a:t>
            </a:r>
            <a:endParaRPr lang="en-C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2352570863213459E-2"/>
          <c:y val="0.14337856227511553"/>
          <c:w val="0.88781146106736653"/>
          <c:h val="0.72088764946048411"/>
        </c:manualLayout>
      </c:layout>
      <c:lineChart>
        <c:grouping val="standard"/>
        <c:varyColors val="0"/>
        <c:ser>
          <c:idx val="0"/>
          <c:order val="0"/>
          <c:spPr>
            <a:ln w="28575" cap="rnd">
              <a:solidFill>
                <a:schemeClr val="accent1"/>
              </a:solidFill>
              <a:round/>
            </a:ln>
            <a:effectLst/>
          </c:spPr>
          <c:marker>
            <c:symbol val="none"/>
          </c:marker>
          <c:cat>
            <c:numRef>
              <c:f>'Data Input'!$D$4:$BM$4</c:f>
              <c:numCache>
                <c:formatCode>General</c:formatCode>
                <c:ptCount val="62"/>
                <c:pt idx="0">
                  <c:v>1</c:v>
                </c:pt>
                <c:pt idx="2">
                  <c:v>2</c:v>
                </c:pt>
                <c:pt idx="4">
                  <c:v>3</c:v>
                </c:pt>
                <c:pt idx="6">
                  <c:v>4</c:v>
                </c:pt>
                <c:pt idx="8">
                  <c:v>5</c:v>
                </c:pt>
                <c:pt idx="10">
                  <c:v>6</c:v>
                </c:pt>
                <c:pt idx="12">
                  <c:v>7</c:v>
                </c:pt>
                <c:pt idx="14">
                  <c:v>8</c:v>
                </c:pt>
                <c:pt idx="16">
                  <c:v>9</c:v>
                </c:pt>
                <c:pt idx="18">
                  <c:v>10</c:v>
                </c:pt>
                <c:pt idx="20">
                  <c:v>11</c:v>
                </c:pt>
                <c:pt idx="22">
                  <c:v>12</c:v>
                </c:pt>
                <c:pt idx="24">
                  <c:v>13</c:v>
                </c:pt>
                <c:pt idx="26">
                  <c:v>14</c:v>
                </c:pt>
                <c:pt idx="28">
                  <c:v>15</c:v>
                </c:pt>
                <c:pt idx="30">
                  <c:v>16</c:v>
                </c:pt>
                <c:pt idx="32">
                  <c:v>17</c:v>
                </c:pt>
                <c:pt idx="34">
                  <c:v>18</c:v>
                </c:pt>
                <c:pt idx="36">
                  <c:v>19</c:v>
                </c:pt>
                <c:pt idx="38">
                  <c:v>20</c:v>
                </c:pt>
                <c:pt idx="40">
                  <c:v>21</c:v>
                </c:pt>
                <c:pt idx="42">
                  <c:v>22</c:v>
                </c:pt>
                <c:pt idx="44">
                  <c:v>23</c:v>
                </c:pt>
                <c:pt idx="46">
                  <c:v>24</c:v>
                </c:pt>
                <c:pt idx="48">
                  <c:v>25</c:v>
                </c:pt>
                <c:pt idx="50">
                  <c:v>26</c:v>
                </c:pt>
                <c:pt idx="52">
                  <c:v>27</c:v>
                </c:pt>
                <c:pt idx="54">
                  <c:v>28</c:v>
                </c:pt>
                <c:pt idx="56">
                  <c:v>29</c:v>
                </c:pt>
                <c:pt idx="58">
                  <c:v>30</c:v>
                </c:pt>
                <c:pt idx="60">
                  <c:v>31</c:v>
                </c:pt>
              </c:numCache>
            </c:numRef>
          </c:cat>
          <c:val>
            <c:numRef>
              <c:f>'Data Input'!$D$29:$BM$29</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smooth val="0"/>
          <c:extLst>
            <c:ext xmlns:c16="http://schemas.microsoft.com/office/drawing/2014/chart" uri="{C3380CC4-5D6E-409C-BE32-E72D297353CC}">
              <c16:uniqueId val="{00000001-8FD6-4D8B-A7EB-E3FF00918E61}"/>
            </c:ext>
          </c:extLst>
        </c:ser>
        <c:dLbls>
          <c:showLegendKey val="0"/>
          <c:showVal val="0"/>
          <c:showCatName val="0"/>
          <c:showSerName val="0"/>
          <c:showPercent val="0"/>
          <c:showBubbleSize val="0"/>
        </c:dLbls>
        <c:smooth val="0"/>
        <c:axId val="510350304"/>
        <c:axId val="510341776"/>
      </c:lineChart>
      <c:catAx>
        <c:axId val="5103503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Date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341776"/>
        <c:crosses val="autoZero"/>
        <c:auto val="1"/>
        <c:lblAlgn val="ctr"/>
        <c:lblOffset val="100"/>
        <c:noMultiLvlLbl val="0"/>
      </c:catAx>
      <c:valAx>
        <c:axId val="5103417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NV</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3503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a:t>
            </a:r>
            <a:r>
              <a:rPr lang="en-CA" baseline="0"/>
              <a:t> Pigment Tracking</a:t>
            </a:r>
            <a:endParaRPr lang="en-C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numRef>
              <c:f>'Data Input'!$D$4:$BM$4</c:f>
              <c:numCache>
                <c:formatCode>General</c:formatCode>
                <c:ptCount val="62"/>
                <c:pt idx="0">
                  <c:v>1</c:v>
                </c:pt>
                <c:pt idx="2">
                  <c:v>2</c:v>
                </c:pt>
                <c:pt idx="4">
                  <c:v>3</c:v>
                </c:pt>
                <c:pt idx="6">
                  <c:v>4</c:v>
                </c:pt>
                <c:pt idx="8">
                  <c:v>5</c:v>
                </c:pt>
                <c:pt idx="10">
                  <c:v>6</c:v>
                </c:pt>
                <c:pt idx="12">
                  <c:v>7</c:v>
                </c:pt>
                <c:pt idx="14">
                  <c:v>8</c:v>
                </c:pt>
                <c:pt idx="16">
                  <c:v>9</c:v>
                </c:pt>
                <c:pt idx="18">
                  <c:v>10</c:v>
                </c:pt>
                <c:pt idx="20">
                  <c:v>11</c:v>
                </c:pt>
                <c:pt idx="22">
                  <c:v>12</c:v>
                </c:pt>
                <c:pt idx="24">
                  <c:v>13</c:v>
                </c:pt>
                <c:pt idx="26">
                  <c:v>14</c:v>
                </c:pt>
                <c:pt idx="28">
                  <c:v>15</c:v>
                </c:pt>
                <c:pt idx="30">
                  <c:v>16</c:v>
                </c:pt>
                <c:pt idx="32">
                  <c:v>17</c:v>
                </c:pt>
                <c:pt idx="34">
                  <c:v>18</c:v>
                </c:pt>
                <c:pt idx="36">
                  <c:v>19</c:v>
                </c:pt>
                <c:pt idx="38">
                  <c:v>20</c:v>
                </c:pt>
                <c:pt idx="40">
                  <c:v>21</c:v>
                </c:pt>
                <c:pt idx="42">
                  <c:v>22</c:v>
                </c:pt>
                <c:pt idx="44">
                  <c:v>23</c:v>
                </c:pt>
                <c:pt idx="46">
                  <c:v>24</c:v>
                </c:pt>
                <c:pt idx="48">
                  <c:v>25</c:v>
                </c:pt>
                <c:pt idx="50">
                  <c:v>26</c:v>
                </c:pt>
                <c:pt idx="52">
                  <c:v>27</c:v>
                </c:pt>
                <c:pt idx="54">
                  <c:v>28</c:v>
                </c:pt>
                <c:pt idx="56">
                  <c:v>29</c:v>
                </c:pt>
                <c:pt idx="58">
                  <c:v>30</c:v>
                </c:pt>
                <c:pt idx="60">
                  <c:v>31</c:v>
                </c:pt>
              </c:numCache>
            </c:numRef>
          </c:cat>
          <c:val>
            <c:numRef>
              <c:f>'Data Input'!$D$34:$BM$34</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smooth val="0"/>
          <c:extLst>
            <c:ext xmlns:c16="http://schemas.microsoft.com/office/drawing/2014/chart" uri="{C3380CC4-5D6E-409C-BE32-E72D297353CC}">
              <c16:uniqueId val="{00000000-1D85-47D1-B0E7-8CCD6790889E}"/>
            </c:ext>
          </c:extLst>
        </c:ser>
        <c:dLbls>
          <c:showLegendKey val="0"/>
          <c:showVal val="0"/>
          <c:showCatName val="0"/>
          <c:showSerName val="0"/>
          <c:showPercent val="0"/>
          <c:showBubbleSize val="0"/>
        </c:dLbls>
        <c:smooth val="0"/>
        <c:axId val="588311264"/>
        <c:axId val="588316840"/>
      </c:lineChart>
      <c:catAx>
        <c:axId val="5883112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Date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316840"/>
        <c:crosses val="autoZero"/>
        <c:auto val="1"/>
        <c:lblAlgn val="ctr"/>
        <c:lblOffset val="100"/>
        <c:noMultiLvlLbl val="0"/>
      </c:catAx>
      <c:valAx>
        <c:axId val="5883168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a:t>
                </a:r>
                <a:r>
                  <a:rPr lang="en-CA" baseline="0"/>
                  <a:t> Pigment </a:t>
                </a:r>
                <a:endParaRPr lang="en-CA"/>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3112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PB</a:t>
            </a:r>
            <a:r>
              <a:rPr lang="en-CA" baseline="0"/>
              <a:t> Ratio Tracking </a:t>
            </a:r>
            <a:endParaRPr lang="en-C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numRef>
              <c:f>'Data Input'!$D$4:$BM$4</c:f>
              <c:numCache>
                <c:formatCode>General</c:formatCode>
                <c:ptCount val="62"/>
                <c:pt idx="0">
                  <c:v>1</c:v>
                </c:pt>
                <c:pt idx="2">
                  <c:v>2</c:v>
                </c:pt>
                <c:pt idx="4">
                  <c:v>3</c:v>
                </c:pt>
                <c:pt idx="6">
                  <c:v>4</c:v>
                </c:pt>
                <c:pt idx="8">
                  <c:v>5</c:v>
                </c:pt>
                <c:pt idx="10">
                  <c:v>6</c:v>
                </c:pt>
                <c:pt idx="12">
                  <c:v>7</c:v>
                </c:pt>
                <c:pt idx="14">
                  <c:v>8</c:v>
                </c:pt>
                <c:pt idx="16">
                  <c:v>9</c:v>
                </c:pt>
                <c:pt idx="18">
                  <c:v>10</c:v>
                </c:pt>
                <c:pt idx="20">
                  <c:v>11</c:v>
                </c:pt>
                <c:pt idx="22">
                  <c:v>12</c:v>
                </c:pt>
                <c:pt idx="24">
                  <c:v>13</c:v>
                </c:pt>
                <c:pt idx="26">
                  <c:v>14</c:v>
                </c:pt>
                <c:pt idx="28">
                  <c:v>15</c:v>
                </c:pt>
                <c:pt idx="30">
                  <c:v>16</c:v>
                </c:pt>
                <c:pt idx="32">
                  <c:v>17</c:v>
                </c:pt>
                <c:pt idx="34">
                  <c:v>18</c:v>
                </c:pt>
                <c:pt idx="36">
                  <c:v>19</c:v>
                </c:pt>
                <c:pt idx="38">
                  <c:v>20</c:v>
                </c:pt>
                <c:pt idx="40">
                  <c:v>21</c:v>
                </c:pt>
                <c:pt idx="42">
                  <c:v>22</c:v>
                </c:pt>
                <c:pt idx="44">
                  <c:v>23</c:v>
                </c:pt>
                <c:pt idx="46">
                  <c:v>24</c:v>
                </c:pt>
                <c:pt idx="48">
                  <c:v>25</c:v>
                </c:pt>
                <c:pt idx="50">
                  <c:v>26</c:v>
                </c:pt>
                <c:pt idx="52">
                  <c:v>27</c:v>
                </c:pt>
                <c:pt idx="54">
                  <c:v>28</c:v>
                </c:pt>
                <c:pt idx="56">
                  <c:v>29</c:v>
                </c:pt>
                <c:pt idx="58">
                  <c:v>30</c:v>
                </c:pt>
                <c:pt idx="60">
                  <c:v>31</c:v>
                </c:pt>
              </c:numCache>
            </c:numRef>
          </c:cat>
          <c:val>
            <c:numRef>
              <c:f>'Data Input'!$D$38:$BM$38</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smooth val="0"/>
          <c:extLst>
            <c:ext xmlns:c16="http://schemas.microsoft.com/office/drawing/2014/chart" uri="{C3380CC4-5D6E-409C-BE32-E72D297353CC}">
              <c16:uniqueId val="{00000000-5958-4964-878D-1FAF336A5D89}"/>
            </c:ext>
          </c:extLst>
        </c:ser>
        <c:dLbls>
          <c:showLegendKey val="0"/>
          <c:showVal val="0"/>
          <c:showCatName val="0"/>
          <c:showSerName val="0"/>
          <c:showPercent val="0"/>
          <c:showBubbleSize val="0"/>
        </c:dLbls>
        <c:smooth val="0"/>
        <c:axId val="510322096"/>
        <c:axId val="510327344"/>
      </c:lineChart>
      <c:catAx>
        <c:axId val="5103220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Date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327344"/>
        <c:crosses val="autoZero"/>
        <c:auto val="1"/>
        <c:lblAlgn val="ctr"/>
        <c:lblOffset val="100"/>
        <c:noMultiLvlLbl val="0"/>
      </c:catAx>
      <c:valAx>
        <c:axId val="5103273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PB</a:t>
                </a:r>
                <a:r>
                  <a:rPr lang="en-CA" baseline="0"/>
                  <a:t> ratio </a:t>
                </a:r>
                <a:endParaRPr lang="en-CA"/>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3220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Box</a:t>
            </a:r>
            <a:r>
              <a:rPr lang="en-CA" baseline="0"/>
              <a:t> plot chart of  % NV </a:t>
            </a:r>
            <a:endParaRPr lang="en-C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'Data Input'!$D$4:$BM$4</c:f>
              <c:numCache>
                <c:formatCode>General</c:formatCode>
                <c:ptCount val="62"/>
                <c:pt idx="0">
                  <c:v>1</c:v>
                </c:pt>
                <c:pt idx="2">
                  <c:v>2</c:v>
                </c:pt>
                <c:pt idx="4">
                  <c:v>3</c:v>
                </c:pt>
                <c:pt idx="6">
                  <c:v>4</c:v>
                </c:pt>
                <c:pt idx="8">
                  <c:v>5</c:v>
                </c:pt>
                <c:pt idx="10">
                  <c:v>6</c:v>
                </c:pt>
                <c:pt idx="12">
                  <c:v>7</c:v>
                </c:pt>
                <c:pt idx="14">
                  <c:v>8</c:v>
                </c:pt>
                <c:pt idx="16">
                  <c:v>9</c:v>
                </c:pt>
                <c:pt idx="18">
                  <c:v>10</c:v>
                </c:pt>
                <c:pt idx="20">
                  <c:v>11</c:v>
                </c:pt>
                <c:pt idx="22">
                  <c:v>12</c:v>
                </c:pt>
                <c:pt idx="24">
                  <c:v>13</c:v>
                </c:pt>
                <c:pt idx="26">
                  <c:v>14</c:v>
                </c:pt>
                <c:pt idx="28">
                  <c:v>15</c:v>
                </c:pt>
                <c:pt idx="30">
                  <c:v>16</c:v>
                </c:pt>
                <c:pt idx="32">
                  <c:v>17</c:v>
                </c:pt>
                <c:pt idx="34">
                  <c:v>18</c:v>
                </c:pt>
                <c:pt idx="36">
                  <c:v>19</c:v>
                </c:pt>
                <c:pt idx="38">
                  <c:v>20</c:v>
                </c:pt>
                <c:pt idx="40">
                  <c:v>21</c:v>
                </c:pt>
                <c:pt idx="42">
                  <c:v>22</c:v>
                </c:pt>
                <c:pt idx="44">
                  <c:v>23</c:v>
                </c:pt>
                <c:pt idx="46">
                  <c:v>24</c:v>
                </c:pt>
                <c:pt idx="48">
                  <c:v>25</c:v>
                </c:pt>
                <c:pt idx="50">
                  <c:v>26</c:v>
                </c:pt>
                <c:pt idx="52">
                  <c:v>27</c:v>
                </c:pt>
                <c:pt idx="54">
                  <c:v>28</c:v>
                </c:pt>
                <c:pt idx="56">
                  <c:v>29</c:v>
                </c:pt>
                <c:pt idx="58">
                  <c:v>30</c:v>
                </c:pt>
                <c:pt idx="60">
                  <c:v>31</c:v>
                </c:pt>
              </c:numCache>
            </c:numRef>
          </c:xVal>
          <c:yVal>
            <c:numRef>
              <c:f>'Data Input'!$D$30:$BM$30</c:f>
              <c:numCache>
                <c:formatCode>General</c:formatCode>
                <c:ptCount val="62"/>
                <c:pt idx="0">
                  <c:v>0</c:v>
                </c:pt>
                <c:pt idx="2">
                  <c:v>0</c:v>
                </c:pt>
                <c:pt idx="4">
                  <c:v>0</c:v>
                </c:pt>
                <c:pt idx="6">
                  <c:v>0</c:v>
                </c:pt>
                <c:pt idx="8">
                  <c:v>0</c:v>
                </c:pt>
                <c:pt idx="10">
                  <c:v>0</c:v>
                </c:pt>
                <c:pt idx="12">
                  <c:v>0</c:v>
                </c:pt>
                <c:pt idx="14">
                  <c:v>0</c:v>
                </c:pt>
                <c:pt idx="16">
                  <c:v>0</c:v>
                </c:pt>
                <c:pt idx="18">
                  <c:v>0</c:v>
                </c:pt>
                <c:pt idx="20">
                  <c:v>0</c:v>
                </c:pt>
                <c:pt idx="22">
                  <c:v>0</c:v>
                </c:pt>
                <c:pt idx="24">
                  <c:v>0</c:v>
                </c:pt>
                <c:pt idx="26">
                  <c:v>0</c:v>
                </c:pt>
                <c:pt idx="28">
                  <c:v>0</c:v>
                </c:pt>
                <c:pt idx="30">
                  <c:v>0</c:v>
                </c:pt>
                <c:pt idx="32">
                  <c:v>0</c:v>
                </c:pt>
                <c:pt idx="34">
                  <c:v>0</c:v>
                </c:pt>
                <c:pt idx="36">
                  <c:v>0</c:v>
                </c:pt>
                <c:pt idx="38">
                  <c:v>0</c:v>
                </c:pt>
                <c:pt idx="40">
                  <c:v>0</c:v>
                </c:pt>
                <c:pt idx="42">
                  <c:v>0</c:v>
                </c:pt>
                <c:pt idx="44">
                  <c:v>0</c:v>
                </c:pt>
                <c:pt idx="46">
                  <c:v>0</c:v>
                </c:pt>
                <c:pt idx="48">
                  <c:v>0</c:v>
                </c:pt>
                <c:pt idx="50">
                  <c:v>0</c:v>
                </c:pt>
                <c:pt idx="52">
                  <c:v>0</c:v>
                </c:pt>
                <c:pt idx="54">
                  <c:v>0</c:v>
                </c:pt>
                <c:pt idx="56">
                  <c:v>0</c:v>
                </c:pt>
                <c:pt idx="58">
                  <c:v>0</c:v>
                </c:pt>
                <c:pt idx="60">
                  <c:v>0</c:v>
                </c:pt>
              </c:numCache>
            </c:numRef>
          </c:yVal>
          <c:smooth val="0"/>
          <c:extLst>
            <c:ext xmlns:c16="http://schemas.microsoft.com/office/drawing/2014/chart" uri="{C3380CC4-5D6E-409C-BE32-E72D297353CC}">
              <c16:uniqueId val="{00000000-0E9E-4BFC-9B29-2E1F597322FE}"/>
            </c:ext>
          </c:extLst>
        </c:ser>
        <c:dLbls>
          <c:showLegendKey val="0"/>
          <c:showVal val="0"/>
          <c:showCatName val="0"/>
          <c:showSerName val="0"/>
          <c:showPercent val="0"/>
          <c:showBubbleSize val="0"/>
        </c:dLbls>
        <c:axId val="505035760"/>
        <c:axId val="505031824"/>
      </c:scatterChart>
      <c:valAx>
        <c:axId val="50503576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Date</a:t>
                </a:r>
              </a:p>
            </c:rich>
          </c:tx>
          <c:layout>
            <c:manualLayout>
              <c:xMode val="edge"/>
              <c:yMode val="edge"/>
              <c:x val="0.48543635170603677"/>
              <c:y val="0.8879396325459317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031824"/>
        <c:crosses val="autoZero"/>
        <c:crossBetween val="midCat"/>
      </c:valAx>
      <c:valAx>
        <c:axId val="5050318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a:t>
                </a:r>
                <a:r>
                  <a:rPr lang="en-CA" baseline="0"/>
                  <a:t> NV</a:t>
                </a:r>
                <a:endParaRPr lang="en-CA"/>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03576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28575</xdr:colOff>
      <xdr:row>0</xdr:row>
      <xdr:rowOff>66675</xdr:rowOff>
    </xdr:from>
    <xdr:to>
      <xdr:col>2</xdr:col>
      <xdr:colOff>438150</xdr:colOff>
      <xdr:row>0</xdr:row>
      <xdr:rowOff>666891</xdr:rowOff>
    </xdr:to>
    <xdr:pic>
      <xdr:nvPicPr>
        <xdr:cNvPr id="2" name="Picture 1">
          <a:extLst>
            <a:ext uri="{FF2B5EF4-FFF2-40B4-BE49-F238E27FC236}">
              <a16:creationId xmlns:a16="http://schemas.microsoft.com/office/drawing/2014/main" id="{9B3A3106-DFAD-4E12-93B0-6AE2C66A464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575" y="66675"/>
          <a:ext cx="1866900" cy="60021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2</xdr:row>
      <xdr:rowOff>0</xdr:rowOff>
    </xdr:from>
    <xdr:to>
      <xdr:col>13</xdr:col>
      <xdr:colOff>404814</xdr:colOff>
      <xdr:row>22</xdr:row>
      <xdr:rowOff>71438</xdr:rowOff>
    </xdr:to>
    <xdr:graphicFrame macro="">
      <xdr:nvGraphicFramePr>
        <xdr:cNvPr id="2" name="Chart 1">
          <a:extLst>
            <a:ext uri="{FF2B5EF4-FFF2-40B4-BE49-F238E27FC236}">
              <a16:creationId xmlns:a16="http://schemas.microsoft.com/office/drawing/2014/main" id="{8B3B8BA8-9D23-4363-9B54-2C8726B2C1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0</xdr:colOff>
      <xdr:row>2</xdr:row>
      <xdr:rowOff>0</xdr:rowOff>
    </xdr:from>
    <xdr:to>
      <xdr:col>26</xdr:col>
      <xdr:colOff>466725</xdr:colOff>
      <xdr:row>22</xdr:row>
      <xdr:rowOff>100014</xdr:rowOff>
    </xdr:to>
    <xdr:graphicFrame macro="">
      <xdr:nvGraphicFramePr>
        <xdr:cNvPr id="4" name="Chart 3">
          <a:extLst>
            <a:ext uri="{FF2B5EF4-FFF2-40B4-BE49-F238E27FC236}">
              <a16:creationId xmlns:a16="http://schemas.microsoft.com/office/drawing/2014/main" id="{D774E0E8-1D14-42E8-AC22-769EEC68E3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26</xdr:row>
      <xdr:rowOff>0</xdr:rowOff>
    </xdr:from>
    <xdr:to>
      <xdr:col>13</xdr:col>
      <xdr:colOff>390525</xdr:colOff>
      <xdr:row>45</xdr:row>
      <xdr:rowOff>4763</xdr:rowOff>
    </xdr:to>
    <xdr:graphicFrame macro="">
      <xdr:nvGraphicFramePr>
        <xdr:cNvPr id="5" name="Chart 4">
          <a:extLst>
            <a:ext uri="{FF2B5EF4-FFF2-40B4-BE49-F238E27FC236}">
              <a16:creationId xmlns:a16="http://schemas.microsoft.com/office/drawing/2014/main" id="{91C41D48-273D-4389-8B76-8CA4640769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609599</xdr:colOff>
      <xdr:row>26</xdr:row>
      <xdr:rowOff>0</xdr:rowOff>
    </xdr:from>
    <xdr:to>
      <xdr:col>26</xdr:col>
      <xdr:colOff>600075</xdr:colOff>
      <xdr:row>45</xdr:row>
      <xdr:rowOff>19050</xdr:rowOff>
    </xdr:to>
    <xdr:graphicFrame macro="">
      <xdr:nvGraphicFramePr>
        <xdr:cNvPr id="6" name="Chart 5">
          <a:extLst>
            <a:ext uri="{FF2B5EF4-FFF2-40B4-BE49-F238E27FC236}">
              <a16:creationId xmlns:a16="http://schemas.microsoft.com/office/drawing/2014/main" id="{D1591606-E12D-4B32-9EB5-17803769A3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18024-69F3-4351-B183-115D01D80B3A}">
  <dimension ref="A1:DQ56"/>
  <sheetViews>
    <sheetView tabSelected="1" zoomScale="115" zoomScaleNormal="115" workbookViewId="0">
      <pane xSplit="3" ySplit="1" topLeftCell="D2" activePane="bottomRight" state="frozen"/>
      <selection pane="topRight" activeCell="D1" sqref="D1"/>
      <selection pane="bottomLeft" activeCell="A2" sqref="A2"/>
      <selection pane="bottomRight" activeCell="E3" sqref="E3:BM3"/>
    </sheetView>
  </sheetViews>
  <sheetFormatPr defaultColWidth="9.109375" defaultRowHeight="14.4" x14ac:dyDescent="0.3"/>
  <cols>
    <col min="1" max="1" width="11.109375" style="17" customWidth="1"/>
    <col min="2" max="2" width="10.6640625" style="17" customWidth="1"/>
    <col min="3" max="3" width="8" style="17" customWidth="1"/>
    <col min="4" max="4" width="12" style="17" customWidth="1"/>
    <col min="5" max="65" width="9.109375" style="17"/>
    <col min="66" max="16384" width="9.109375" style="1"/>
  </cols>
  <sheetData>
    <row r="1" spans="1:121" ht="54.75" customHeight="1" thickBot="1" x14ac:dyDescent="0.35">
      <c r="A1" s="48"/>
      <c r="B1" s="49"/>
      <c r="C1" s="50"/>
      <c r="D1" s="51" t="s">
        <v>31</v>
      </c>
      <c r="E1" s="52"/>
      <c r="F1" s="52"/>
      <c r="G1" s="52"/>
      <c r="H1" s="52"/>
      <c r="I1" s="52"/>
      <c r="J1" s="52"/>
      <c r="K1" s="52"/>
      <c r="L1" s="52"/>
      <c r="M1" s="52"/>
      <c r="N1" s="52"/>
      <c r="O1" s="52"/>
      <c r="P1" s="52"/>
      <c r="Q1" s="52"/>
      <c r="R1" s="52"/>
      <c r="S1" s="52"/>
      <c r="T1" s="52"/>
      <c r="U1" s="52"/>
      <c r="V1" s="52"/>
      <c r="W1" s="52"/>
      <c r="X1" s="52"/>
      <c r="Y1" s="52"/>
      <c r="Z1" s="52"/>
      <c r="AA1" s="52"/>
      <c r="AB1" s="52"/>
      <c r="AC1" s="52"/>
      <c r="AD1" s="52"/>
      <c r="AE1" s="52"/>
      <c r="AF1" s="52"/>
      <c r="AG1" s="52"/>
      <c r="AH1" s="52"/>
      <c r="AI1" s="52"/>
      <c r="AJ1" s="52"/>
      <c r="AK1" s="52"/>
      <c r="AL1" s="52"/>
      <c r="AM1" s="52"/>
      <c r="AN1" s="52"/>
      <c r="AO1" s="52"/>
      <c r="AP1" s="52"/>
      <c r="AQ1" s="52"/>
      <c r="AR1" s="52"/>
      <c r="AS1" s="52"/>
      <c r="AT1" s="52"/>
      <c r="AU1" s="52"/>
      <c r="AV1" s="52"/>
      <c r="AW1" s="52"/>
      <c r="AX1" s="52"/>
      <c r="AY1" s="52"/>
      <c r="AZ1" s="52"/>
      <c r="BA1" s="52"/>
      <c r="BB1" s="52"/>
      <c r="BC1" s="52"/>
      <c r="BD1" s="52"/>
      <c r="BE1" s="52"/>
      <c r="BF1" s="52"/>
      <c r="BG1" s="52"/>
      <c r="BH1" s="52"/>
      <c r="BI1" s="52"/>
      <c r="BJ1" s="52"/>
      <c r="BK1" s="52"/>
      <c r="BL1" s="52"/>
      <c r="BM1" s="53"/>
    </row>
    <row r="2" spans="1:121" ht="15" thickBot="1" x14ac:dyDescent="0.35">
      <c r="A2" s="2" t="s">
        <v>1</v>
      </c>
      <c r="B2" s="2" t="s">
        <v>0</v>
      </c>
      <c r="C2" s="27" t="s">
        <v>2</v>
      </c>
      <c r="D2" s="27">
        <v>9</v>
      </c>
      <c r="E2" s="54"/>
      <c r="F2" s="55"/>
      <c r="G2" s="55"/>
      <c r="H2" s="55"/>
      <c r="I2" s="55"/>
      <c r="J2" s="55"/>
      <c r="K2" s="55"/>
      <c r="L2" s="55"/>
      <c r="M2" s="55"/>
      <c r="N2" s="55"/>
      <c r="O2" s="55"/>
      <c r="P2" s="55"/>
      <c r="Q2" s="55"/>
      <c r="R2" s="55"/>
      <c r="S2" s="55"/>
      <c r="T2" s="55"/>
      <c r="U2" s="55"/>
      <c r="V2" s="55"/>
      <c r="W2" s="55"/>
      <c r="X2" s="55"/>
      <c r="Y2" s="55"/>
      <c r="Z2" s="55"/>
      <c r="AA2" s="55"/>
      <c r="AB2" s="55"/>
      <c r="AC2" s="55"/>
      <c r="AD2" s="55"/>
      <c r="AE2" s="55"/>
      <c r="AF2" s="55"/>
      <c r="AG2" s="55"/>
      <c r="AH2" s="55"/>
      <c r="AI2" s="55"/>
      <c r="AJ2" s="55"/>
      <c r="AK2" s="55"/>
      <c r="AL2" s="55"/>
      <c r="AM2" s="55"/>
      <c r="AN2" s="55"/>
      <c r="AO2" s="55"/>
      <c r="AP2" s="55"/>
      <c r="AQ2" s="55"/>
      <c r="AR2" s="55"/>
      <c r="AS2" s="55"/>
      <c r="AT2" s="55"/>
      <c r="AU2" s="55"/>
      <c r="AV2" s="55"/>
      <c r="AW2" s="55"/>
      <c r="AX2" s="55"/>
      <c r="AY2" s="55"/>
      <c r="AZ2" s="55"/>
      <c r="BA2" s="55"/>
      <c r="BB2" s="55"/>
      <c r="BC2" s="55"/>
      <c r="BD2" s="55"/>
      <c r="BE2" s="55"/>
      <c r="BF2" s="55"/>
      <c r="BG2" s="55"/>
      <c r="BH2" s="55"/>
      <c r="BI2" s="55"/>
      <c r="BJ2" s="55"/>
      <c r="BK2" s="55"/>
      <c r="BL2" s="55"/>
      <c r="BM2" s="56"/>
    </row>
    <row r="3" spans="1:121" ht="29.4" thickBot="1" x14ac:dyDescent="0.35">
      <c r="A3" s="5" t="s">
        <v>30</v>
      </c>
      <c r="B3" s="25" t="s">
        <v>35</v>
      </c>
      <c r="C3" s="28" t="s">
        <v>32</v>
      </c>
      <c r="D3" s="27" t="s">
        <v>39</v>
      </c>
      <c r="E3" s="58"/>
      <c r="F3" s="59"/>
      <c r="G3" s="59"/>
      <c r="H3" s="59"/>
      <c r="I3" s="59"/>
      <c r="J3" s="59"/>
      <c r="K3" s="59"/>
      <c r="L3" s="59"/>
      <c r="M3" s="59"/>
      <c r="N3" s="59"/>
      <c r="O3" s="59"/>
      <c r="P3" s="59"/>
      <c r="Q3" s="59"/>
      <c r="R3" s="59"/>
      <c r="S3" s="59"/>
      <c r="T3" s="59"/>
      <c r="U3" s="59"/>
      <c r="V3" s="59"/>
      <c r="W3" s="59"/>
      <c r="X3" s="59"/>
      <c r="Y3" s="59"/>
      <c r="Z3" s="59"/>
      <c r="AA3" s="59"/>
      <c r="AB3" s="59"/>
      <c r="AC3" s="59"/>
      <c r="AD3" s="59"/>
      <c r="AE3" s="59"/>
      <c r="AF3" s="59"/>
      <c r="AG3" s="59"/>
      <c r="AH3" s="59"/>
      <c r="AI3" s="59"/>
      <c r="AJ3" s="59"/>
      <c r="AK3" s="59"/>
      <c r="AL3" s="59"/>
      <c r="AM3" s="59"/>
      <c r="AN3" s="59"/>
      <c r="AO3" s="59"/>
      <c r="AP3" s="59"/>
      <c r="AQ3" s="59"/>
      <c r="AR3" s="59"/>
      <c r="AS3" s="59"/>
      <c r="AT3" s="59"/>
      <c r="AU3" s="59"/>
      <c r="AV3" s="59"/>
      <c r="AW3" s="59"/>
      <c r="AX3" s="59"/>
      <c r="AY3" s="59"/>
      <c r="AZ3" s="59"/>
      <c r="BA3" s="59"/>
      <c r="BB3" s="59"/>
      <c r="BC3" s="59"/>
      <c r="BD3" s="59"/>
      <c r="BE3" s="59"/>
      <c r="BF3" s="59"/>
      <c r="BG3" s="59"/>
      <c r="BH3" s="59"/>
      <c r="BI3" s="59"/>
      <c r="BJ3" s="59"/>
      <c r="BK3" s="59"/>
      <c r="BL3" s="59"/>
      <c r="BM3" s="60"/>
    </row>
    <row r="4" spans="1:121" ht="29.4" thickBot="1" x14ac:dyDescent="0.35">
      <c r="A4" s="5" t="s">
        <v>15</v>
      </c>
      <c r="B4" s="25" t="s">
        <v>36</v>
      </c>
      <c r="C4" s="26" t="s">
        <v>33</v>
      </c>
      <c r="D4" s="48">
        <v>1</v>
      </c>
      <c r="E4" s="50"/>
      <c r="F4" s="63">
        <v>2</v>
      </c>
      <c r="G4" s="64"/>
      <c r="H4" s="63">
        <v>3</v>
      </c>
      <c r="I4" s="64"/>
      <c r="J4" s="48">
        <v>4</v>
      </c>
      <c r="K4" s="50"/>
      <c r="L4" s="48">
        <v>5</v>
      </c>
      <c r="M4" s="50"/>
      <c r="N4" s="63">
        <v>6</v>
      </c>
      <c r="O4" s="65"/>
      <c r="P4" s="48">
        <v>7</v>
      </c>
      <c r="Q4" s="50"/>
      <c r="R4" s="63">
        <v>8</v>
      </c>
      <c r="S4" s="64"/>
      <c r="T4" s="48">
        <v>9</v>
      </c>
      <c r="U4" s="50"/>
      <c r="V4" s="48">
        <v>10</v>
      </c>
      <c r="W4" s="50"/>
      <c r="X4" s="65">
        <v>11</v>
      </c>
      <c r="Y4" s="64"/>
      <c r="Z4" s="48">
        <v>12</v>
      </c>
      <c r="AA4" s="50"/>
      <c r="AB4" s="63">
        <v>13</v>
      </c>
      <c r="AC4" s="64"/>
      <c r="AD4" s="48">
        <v>14</v>
      </c>
      <c r="AE4" s="50"/>
      <c r="AF4" s="49">
        <v>15</v>
      </c>
      <c r="AG4" s="50"/>
      <c r="AH4" s="63">
        <v>16</v>
      </c>
      <c r="AI4" s="64"/>
      <c r="AJ4" s="48">
        <v>17</v>
      </c>
      <c r="AK4" s="50"/>
      <c r="AL4" s="63">
        <v>18</v>
      </c>
      <c r="AM4" s="64"/>
      <c r="AN4" s="48">
        <v>19</v>
      </c>
      <c r="AO4" s="50"/>
      <c r="AP4" s="48">
        <v>20</v>
      </c>
      <c r="AQ4" s="50"/>
      <c r="AR4" s="63">
        <v>21</v>
      </c>
      <c r="AS4" s="64"/>
      <c r="AT4" s="48">
        <v>22</v>
      </c>
      <c r="AU4" s="50"/>
      <c r="AV4" s="65">
        <v>23</v>
      </c>
      <c r="AW4" s="64"/>
      <c r="AX4" s="48">
        <v>24</v>
      </c>
      <c r="AY4" s="50"/>
      <c r="AZ4" s="48">
        <v>25</v>
      </c>
      <c r="BA4" s="50"/>
      <c r="BB4" s="63">
        <v>26</v>
      </c>
      <c r="BC4" s="64"/>
      <c r="BD4" s="48">
        <v>27</v>
      </c>
      <c r="BE4" s="50"/>
      <c r="BF4" s="65">
        <v>28</v>
      </c>
      <c r="BG4" s="64"/>
      <c r="BH4" s="48">
        <v>29</v>
      </c>
      <c r="BI4" s="50"/>
      <c r="BJ4" s="49">
        <v>30</v>
      </c>
      <c r="BK4" s="50"/>
      <c r="BL4" s="48">
        <v>31</v>
      </c>
      <c r="BM4" s="50"/>
    </row>
    <row r="5" spans="1:121" x14ac:dyDescent="0.3">
      <c r="A5" s="61" t="s">
        <v>29</v>
      </c>
      <c r="B5" s="62">
        <v>0.84499999999999997</v>
      </c>
      <c r="C5" s="41" t="s">
        <v>27</v>
      </c>
      <c r="D5" s="44"/>
      <c r="E5" s="44"/>
      <c r="F5" s="44"/>
      <c r="G5" s="44"/>
      <c r="H5" s="44"/>
      <c r="I5" s="44"/>
      <c r="J5" s="44"/>
      <c r="K5" s="44"/>
      <c r="L5" s="44"/>
      <c r="M5" s="44"/>
      <c r="N5" s="44"/>
      <c r="O5" s="44"/>
      <c r="P5" s="44"/>
      <c r="Q5" s="44"/>
      <c r="R5" s="44"/>
      <c r="S5" s="44"/>
      <c r="T5" s="44"/>
      <c r="U5" s="44"/>
      <c r="V5" s="44"/>
      <c r="W5" s="44"/>
      <c r="X5" s="44"/>
      <c r="Y5" s="44"/>
      <c r="Z5" s="44"/>
      <c r="AA5" s="44"/>
      <c r="AB5" s="44"/>
      <c r="AC5" s="44"/>
      <c r="AD5" s="44"/>
      <c r="AE5" s="44"/>
      <c r="AF5" s="44"/>
      <c r="AG5" s="44"/>
      <c r="AH5" s="44"/>
      <c r="AI5" s="44"/>
      <c r="AJ5" s="44"/>
      <c r="AK5" s="44"/>
      <c r="AL5" s="44"/>
      <c r="AM5" s="44"/>
      <c r="AN5" s="44"/>
      <c r="AO5" s="44"/>
      <c r="AP5" s="44"/>
      <c r="AQ5" s="44"/>
      <c r="AR5" s="44"/>
      <c r="AS5" s="44"/>
      <c r="AT5" s="44"/>
      <c r="AU5" s="44"/>
      <c r="AV5" s="44"/>
      <c r="AW5" s="44"/>
      <c r="AX5" s="44"/>
      <c r="AY5" s="44"/>
      <c r="AZ5" s="44"/>
      <c r="BA5" s="44"/>
      <c r="BB5" s="44"/>
      <c r="BC5" s="44"/>
      <c r="BD5" s="44"/>
      <c r="BE5" s="44"/>
      <c r="BF5" s="44"/>
      <c r="BG5" s="44"/>
      <c r="BH5" s="44"/>
      <c r="BI5" s="44"/>
      <c r="BJ5" s="44"/>
      <c r="BK5" s="44"/>
      <c r="BL5" s="44"/>
      <c r="BM5" s="44"/>
    </row>
    <row r="6" spans="1:121" ht="15" thickBot="1" x14ac:dyDescent="0.35">
      <c r="A6" s="61"/>
      <c r="B6" s="62"/>
      <c r="C6" s="87" t="s">
        <v>28</v>
      </c>
      <c r="D6" s="93"/>
      <c r="E6" s="93"/>
      <c r="F6" s="93"/>
      <c r="G6" s="93"/>
      <c r="H6" s="93"/>
      <c r="I6" s="93"/>
      <c r="J6" s="93"/>
      <c r="K6" s="93"/>
      <c r="L6" s="93"/>
      <c r="M6" s="93"/>
      <c r="N6" s="93"/>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row>
    <row r="7" spans="1:121" s="8" customFormat="1" ht="29.4" thickBot="1" x14ac:dyDescent="0.35">
      <c r="A7" s="6" t="s">
        <v>24</v>
      </c>
      <c r="B7" s="7" t="s">
        <v>3</v>
      </c>
      <c r="C7" s="88" t="s">
        <v>4</v>
      </c>
      <c r="D7" s="27" t="s">
        <v>37</v>
      </c>
      <c r="E7" s="27" t="s">
        <v>38</v>
      </c>
      <c r="F7" s="27" t="s">
        <v>37</v>
      </c>
      <c r="G7" s="27" t="s">
        <v>38</v>
      </c>
      <c r="H7" s="27" t="s">
        <v>37</v>
      </c>
      <c r="I7" s="27" t="s">
        <v>38</v>
      </c>
      <c r="J7" s="27" t="s">
        <v>37</v>
      </c>
      <c r="K7" s="27" t="s">
        <v>38</v>
      </c>
      <c r="L7" s="27" t="s">
        <v>37</v>
      </c>
      <c r="M7" s="27" t="s">
        <v>38</v>
      </c>
      <c r="N7" s="27" t="s">
        <v>37</v>
      </c>
      <c r="O7" s="27" t="s">
        <v>38</v>
      </c>
      <c r="P7" s="27" t="s">
        <v>37</v>
      </c>
      <c r="Q7" s="27" t="s">
        <v>38</v>
      </c>
      <c r="R7" s="27" t="s">
        <v>37</v>
      </c>
      <c r="S7" s="27" t="s">
        <v>38</v>
      </c>
      <c r="T7" s="27" t="s">
        <v>37</v>
      </c>
      <c r="U7" s="27" t="s">
        <v>38</v>
      </c>
      <c r="V7" s="27" t="s">
        <v>37</v>
      </c>
      <c r="W7" s="27" t="s">
        <v>38</v>
      </c>
      <c r="X7" s="27" t="s">
        <v>37</v>
      </c>
      <c r="Y7" s="27" t="s">
        <v>38</v>
      </c>
      <c r="Z7" s="27" t="s">
        <v>37</v>
      </c>
      <c r="AA7" s="27" t="s">
        <v>38</v>
      </c>
      <c r="AB7" s="27" t="s">
        <v>37</v>
      </c>
      <c r="AC7" s="27" t="s">
        <v>38</v>
      </c>
      <c r="AD7" s="27" t="s">
        <v>37</v>
      </c>
      <c r="AE7" s="27" t="s">
        <v>38</v>
      </c>
      <c r="AF7" s="27" t="s">
        <v>37</v>
      </c>
      <c r="AG7" s="27" t="s">
        <v>38</v>
      </c>
      <c r="AH7" s="27" t="s">
        <v>37</v>
      </c>
      <c r="AI7" s="27" t="s">
        <v>38</v>
      </c>
      <c r="AJ7" s="27" t="s">
        <v>37</v>
      </c>
      <c r="AK7" s="27" t="s">
        <v>38</v>
      </c>
      <c r="AL7" s="27" t="s">
        <v>37</v>
      </c>
      <c r="AM7" s="27" t="s">
        <v>38</v>
      </c>
      <c r="AN7" s="27" t="s">
        <v>37</v>
      </c>
      <c r="AO7" s="27" t="s">
        <v>38</v>
      </c>
      <c r="AP7" s="27" t="s">
        <v>37</v>
      </c>
      <c r="AQ7" s="27" t="s">
        <v>38</v>
      </c>
      <c r="AR7" s="27" t="s">
        <v>37</v>
      </c>
      <c r="AS7" s="27" t="s">
        <v>38</v>
      </c>
      <c r="AT7" s="27" t="s">
        <v>37</v>
      </c>
      <c r="AU7" s="27" t="s">
        <v>38</v>
      </c>
      <c r="AV7" s="27" t="s">
        <v>37</v>
      </c>
      <c r="AW7" s="27" t="s">
        <v>38</v>
      </c>
      <c r="AX7" s="27" t="s">
        <v>37</v>
      </c>
      <c r="AY7" s="27" t="s">
        <v>38</v>
      </c>
      <c r="AZ7" s="27" t="s">
        <v>37</v>
      </c>
      <c r="BA7" s="27" t="s">
        <v>38</v>
      </c>
      <c r="BB7" s="27" t="s">
        <v>37</v>
      </c>
      <c r="BC7" s="27" t="s">
        <v>38</v>
      </c>
      <c r="BD7" s="27" t="s">
        <v>37</v>
      </c>
      <c r="BE7" s="27" t="s">
        <v>38</v>
      </c>
      <c r="BF7" s="27" t="s">
        <v>37</v>
      </c>
      <c r="BG7" s="27" t="s">
        <v>38</v>
      </c>
      <c r="BH7" s="27" t="s">
        <v>37</v>
      </c>
      <c r="BI7" s="27" t="s">
        <v>38</v>
      </c>
      <c r="BJ7" s="27" t="s">
        <v>37</v>
      </c>
      <c r="BK7" s="27" t="s">
        <v>38</v>
      </c>
      <c r="BL7" s="27" t="s">
        <v>37</v>
      </c>
      <c r="BM7" s="27" t="s">
        <v>38</v>
      </c>
      <c r="BN7" s="17"/>
      <c r="BO7" s="17"/>
      <c r="BP7" s="17"/>
      <c r="BQ7" s="17"/>
      <c r="BR7" s="17"/>
      <c r="BS7" s="17"/>
      <c r="BT7" s="17"/>
      <c r="BU7" s="17"/>
      <c r="BV7" s="17"/>
      <c r="BW7" s="17"/>
      <c r="BX7" s="17"/>
      <c r="BY7" s="17"/>
      <c r="BZ7" s="17"/>
      <c r="CA7" s="17"/>
      <c r="CB7" s="17"/>
      <c r="CC7" s="17"/>
      <c r="CD7" s="17"/>
      <c r="CE7" s="17"/>
      <c r="CF7" s="17"/>
      <c r="CG7" s="17"/>
      <c r="CH7" s="17"/>
      <c r="CI7" s="17"/>
      <c r="CJ7" s="17"/>
      <c r="CK7" s="17"/>
      <c r="CL7" s="17"/>
      <c r="CM7" s="17"/>
      <c r="CN7" s="17"/>
      <c r="CO7" s="39"/>
      <c r="CP7" s="39"/>
      <c r="CQ7" s="39"/>
      <c r="CR7" s="39"/>
      <c r="CS7" s="39"/>
      <c r="CT7" s="39"/>
      <c r="CU7" s="39"/>
      <c r="CV7" s="39"/>
      <c r="CW7" s="39"/>
      <c r="CX7" s="39"/>
      <c r="CY7" s="39"/>
      <c r="CZ7" s="39"/>
      <c r="DA7" s="39"/>
      <c r="DB7" s="39"/>
      <c r="DC7" s="39"/>
      <c r="DD7" s="39"/>
      <c r="DE7" s="39"/>
      <c r="DF7" s="39"/>
      <c r="DG7" s="39"/>
      <c r="DH7" s="39"/>
      <c r="DI7" s="39"/>
      <c r="DJ7" s="39"/>
      <c r="DK7" s="39"/>
      <c r="DL7" s="39"/>
      <c r="DM7" s="39"/>
      <c r="DN7" s="39"/>
      <c r="DO7" s="39"/>
      <c r="DP7" s="39"/>
      <c r="DQ7" s="39"/>
    </row>
    <row r="8" spans="1:121" s="9" customFormat="1" x14ac:dyDescent="0.3">
      <c r="A8" s="73" t="s">
        <v>25</v>
      </c>
      <c r="B8" s="78" t="s">
        <v>8</v>
      </c>
      <c r="C8" s="29">
        <v>1</v>
      </c>
      <c r="D8" s="94"/>
      <c r="E8" s="94"/>
      <c r="F8" s="94"/>
      <c r="G8" s="94"/>
      <c r="H8" s="94"/>
      <c r="I8" s="94"/>
      <c r="J8" s="94"/>
      <c r="K8" s="94"/>
      <c r="L8" s="94"/>
      <c r="M8" s="94"/>
      <c r="N8" s="94"/>
      <c r="O8" s="94"/>
      <c r="P8" s="94"/>
      <c r="Q8" s="94"/>
      <c r="R8" s="94"/>
      <c r="S8" s="94"/>
      <c r="T8" s="94"/>
      <c r="U8" s="94"/>
      <c r="V8" s="94"/>
      <c r="W8" s="94"/>
      <c r="X8" s="94"/>
      <c r="Y8" s="94"/>
      <c r="Z8" s="94"/>
      <c r="AA8" s="94"/>
      <c r="AB8" s="94"/>
      <c r="AC8" s="94"/>
      <c r="AD8" s="94"/>
      <c r="AE8" s="94"/>
      <c r="AF8" s="94"/>
      <c r="AG8" s="94"/>
      <c r="AH8" s="94"/>
      <c r="AI8" s="94"/>
      <c r="AJ8" s="94"/>
      <c r="AK8" s="94"/>
      <c r="AL8" s="94"/>
      <c r="AM8" s="94"/>
      <c r="AN8" s="94"/>
      <c r="AO8" s="94"/>
      <c r="AP8" s="94"/>
      <c r="AQ8" s="94"/>
      <c r="AR8" s="94"/>
      <c r="AS8" s="94"/>
      <c r="AT8" s="94"/>
      <c r="AU8" s="94"/>
      <c r="AV8" s="94"/>
      <c r="AW8" s="94"/>
      <c r="AX8" s="94"/>
      <c r="AY8" s="94"/>
      <c r="AZ8" s="94"/>
      <c r="BA8" s="94"/>
      <c r="BB8" s="94"/>
      <c r="BC8" s="94"/>
      <c r="BD8" s="94"/>
      <c r="BE8" s="94"/>
      <c r="BF8" s="94"/>
      <c r="BG8" s="94"/>
      <c r="BH8" s="94"/>
      <c r="BI8" s="94"/>
      <c r="BJ8" s="94"/>
      <c r="BK8" s="94"/>
      <c r="BL8" s="94"/>
      <c r="BM8" s="94"/>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row>
    <row r="9" spans="1:121" x14ac:dyDescent="0.3">
      <c r="A9" s="74"/>
      <c r="B9" s="79"/>
      <c r="C9" s="30">
        <v>2</v>
      </c>
      <c r="D9" s="89"/>
      <c r="E9" s="89"/>
      <c r="F9" s="89"/>
      <c r="G9" s="89"/>
      <c r="H9" s="89"/>
      <c r="I9" s="89"/>
      <c r="J9" s="89"/>
      <c r="K9" s="89"/>
      <c r="L9" s="89"/>
      <c r="M9" s="89"/>
      <c r="N9" s="89"/>
      <c r="O9" s="89"/>
      <c r="P9" s="89"/>
      <c r="Q9" s="89"/>
      <c r="R9" s="89"/>
      <c r="S9" s="89"/>
      <c r="T9" s="89"/>
      <c r="U9" s="89"/>
      <c r="V9" s="89"/>
      <c r="W9" s="89"/>
      <c r="X9" s="89"/>
      <c r="Y9" s="89"/>
      <c r="Z9" s="89"/>
      <c r="AA9" s="89"/>
      <c r="AB9" s="89"/>
      <c r="AC9" s="89"/>
      <c r="AD9" s="89"/>
      <c r="AE9" s="89"/>
      <c r="AF9" s="89"/>
      <c r="AG9" s="89"/>
      <c r="AH9" s="89"/>
      <c r="AI9" s="89"/>
      <c r="AJ9" s="89"/>
      <c r="AK9" s="89"/>
      <c r="AL9" s="89"/>
      <c r="AM9" s="89"/>
      <c r="AN9" s="89"/>
      <c r="AO9" s="89"/>
      <c r="AP9" s="89"/>
      <c r="AQ9" s="89"/>
      <c r="AR9" s="89"/>
      <c r="AS9" s="89"/>
      <c r="AT9" s="89"/>
      <c r="AU9" s="89"/>
      <c r="AV9" s="89"/>
      <c r="AW9" s="89"/>
      <c r="AX9" s="89"/>
      <c r="AY9" s="89"/>
      <c r="AZ9" s="89"/>
      <c r="BA9" s="89"/>
      <c r="BB9" s="89"/>
      <c r="BC9" s="89"/>
      <c r="BD9" s="89"/>
      <c r="BE9" s="89"/>
      <c r="BF9" s="89"/>
      <c r="BG9" s="89"/>
      <c r="BH9" s="89"/>
      <c r="BI9" s="89"/>
      <c r="BJ9" s="89"/>
      <c r="BK9" s="89"/>
      <c r="BL9" s="89"/>
      <c r="BM9" s="89"/>
    </row>
    <row r="10" spans="1:121" ht="15" thickBot="1" x14ac:dyDescent="0.35">
      <c r="A10" s="74"/>
      <c r="B10" s="80"/>
      <c r="C10" s="31">
        <v>3</v>
      </c>
      <c r="D10" s="95"/>
      <c r="E10" s="95"/>
      <c r="F10" s="95"/>
      <c r="G10" s="95"/>
      <c r="H10" s="95"/>
      <c r="I10" s="95"/>
      <c r="J10" s="95"/>
      <c r="K10" s="95"/>
      <c r="L10" s="95"/>
      <c r="M10" s="95"/>
      <c r="N10" s="95"/>
      <c r="O10" s="95"/>
      <c r="P10" s="95"/>
      <c r="Q10" s="95"/>
      <c r="R10" s="95"/>
      <c r="S10" s="95"/>
      <c r="T10" s="95"/>
      <c r="U10" s="95"/>
      <c r="V10" s="95"/>
      <c r="W10" s="95"/>
      <c r="X10" s="95"/>
      <c r="Y10" s="95"/>
      <c r="Z10" s="95"/>
      <c r="AA10" s="95"/>
      <c r="AB10" s="95"/>
      <c r="AC10" s="95"/>
      <c r="AD10" s="95"/>
      <c r="AE10" s="95"/>
      <c r="AF10" s="95"/>
      <c r="AG10" s="95"/>
      <c r="AH10" s="95"/>
      <c r="AI10" s="95"/>
      <c r="AJ10" s="95"/>
      <c r="AK10" s="95"/>
      <c r="AL10" s="95"/>
      <c r="AM10" s="95"/>
      <c r="AN10" s="95"/>
      <c r="AO10" s="95"/>
      <c r="AP10" s="95"/>
      <c r="AQ10" s="95"/>
      <c r="AR10" s="95"/>
      <c r="AS10" s="95"/>
      <c r="AT10" s="95"/>
      <c r="AU10" s="95"/>
      <c r="AV10" s="95"/>
      <c r="AW10" s="95"/>
      <c r="AX10" s="95"/>
      <c r="AY10" s="95"/>
      <c r="AZ10" s="95"/>
      <c r="BA10" s="95"/>
      <c r="BB10" s="95"/>
      <c r="BC10" s="95"/>
      <c r="BD10" s="95"/>
      <c r="BE10" s="95"/>
      <c r="BF10" s="95"/>
      <c r="BG10" s="95"/>
      <c r="BH10" s="95"/>
      <c r="BI10" s="95"/>
      <c r="BJ10" s="95"/>
      <c r="BK10" s="95"/>
      <c r="BL10" s="95"/>
      <c r="BM10" s="95"/>
    </row>
    <row r="11" spans="1:121" x14ac:dyDescent="0.3">
      <c r="A11" s="74"/>
      <c r="B11" s="78" t="s">
        <v>7</v>
      </c>
      <c r="C11" s="38">
        <v>1</v>
      </c>
      <c r="D11" s="94"/>
      <c r="E11" s="94"/>
      <c r="F11" s="94"/>
      <c r="G11" s="94"/>
      <c r="H11" s="94"/>
      <c r="I11" s="94"/>
      <c r="J11" s="94"/>
      <c r="K11" s="94"/>
      <c r="L11" s="94"/>
      <c r="M11" s="94"/>
      <c r="N11" s="94"/>
      <c r="O11" s="94"/>
      <c r="P11" s="94"/>
      <c r="Q11" s="94"/>
      <c r="R11" s="94"/>
      <c r="S11" s="94"/>
      <c r="T11" s="94"/>
      <c r="U11" s="94"/>
      <c r="V11" s="94"/>
      <c r="W11" s="94"/>
      <c r="X11" s="94"/>
      <c r="Y11" s="94"/>
      <c r="Z11" s="94"/>
      <c r="AA11" s="94"/>
      <c r="AB11" s="94"/>
      <c r="AC11" s="94"/>
      <c r="AD11" s="94"/>
      <c r="AE11" s="94"/>
      <c r="AF11" s="94"/>
      <c r="AG11" s="94"/>
      <c r="AH11" s="94"/>
      <c r="AI11" s="94"/>
      <c r="AJ11" s="94"/>
      <c r="AK11" s="94"/>
      <c r="AL11" s="94"/>
      <c r="AM11" s="94"/>
      <c r="AN11" s="94"/>
      <c r="AO11" s="94"/>
      <c r="AP11" s="94"/>
      <c r="AQ11" s="94"/>
      <c r="AR11" s="94"/>
      <c r="AS11" s="94"/>
      <c r="AT11" s="94"/>
      <c r="AU11" s="94"/>
      <c r="AV11" s="94"/>
      <c r="AW11" s="94"/>
      <c r="AX11" s="94"/>
      <c r="AY11" s="94"/>
      <c r="AZ11" s="94"/>
      <c r="BA11" s="94"/>
      <c r="BB11" s="94"/>
      <c r="BC11" s="94"/>
      <c r="BD11" s="94"/>
      <c r="BE11" s="94"/>
      <c r="BF11" s="94"/>
      <c r="BG11" s="94"/>
      <c r="BH11" s="94"/>
      <c r="BI11" s="94"/>
      <c r="BJ11" s="94"/>
      <c r="BK11" s="94"/>
      <c r="BL11" s="94"/>
      <c r="BM11" s="94"/>
    </row>
    <row r="12" spans="1:121" x14ac:dyDescent="0.3">
      <c r="A12" s="74"/>
      <c r="B12" s="79"/>
      <c r="C12" s="34">
        <v>2</v>
      </c>
      <c r="D12" s="45"/>
      <c r="E12" s="45"/>
      <c r="F12" s="45"/>
      <c r="G12" s="45"/>
      <c r="H12" s="45"/>
      <c r="I12" s="45"/>
      <c r="J12" s="45"/>
      <c r="K12" s="45"/>
      <c r="L12" s="45"/>
      <c r="M12" s="45"/>
      <c r="N12" s="45"/>
      <c r="O12" s="45"/>
      <c r="P12" s="45"/>
      <c r="Q12" s="45"/>
      <c r="R12" s="45"/>
      <c r="S12" s="45"/>
      <c r="T12" s="45"/>
      <c r="U12" s="45"/>
      <c r="V12" s="45"/>
      <c r="W12" s="45"/>
      <c r="X12" s="45"/>
      <c r="Y12" s="45"/>
      <c r="Z12" s="45"/>
      <c r="AA12" s="45"/>
      <c r="AB12" s="45"/>
      <c r="AC12" s="45"/>
      <c r="AD12" s="45"/>
      <c r="AE12" s="45"/>
      <c r="AF12" s="45"/>
      <c r="AG12" s="45"/>
      <c r="AH12" s="45"/>
      <c r="AI12" s="45"/>
      <c r="AJ12" s="45"/>
      <c r="AK12" s="45"/>
      <c r="AL12" s="45"/>
      <c r="AM12" s="45"/>
      <c r="AN12" s="45"/>
      <c r="AO12" s="45"/>
      <c r="AP12" s="45"/>
      <c r="AQ12" s="45"/>
      <c r="AR12" s="45"/>
      <c r="AS12" s="45"/>
      <c r="AT12" s="45"/>
      <c r="AU12" s="45"/>
      <c r="AV12" s="45"/>
      <c r="AW12" s="45"/>
      <c r="AX12" s="45"/>
      <c r="AY12" s="45"/>
      <c r="AZ12" s="45"/>
      <c r="BA12" s="45"/>
      <c r="BB12" s="45"/>
      <c r="BC12" s="45"/>
      <c r="BD12" s="45"/>
      <c r="BE12" s="45"/>
      <c r="BF12" s="45"/>
      <c r="BG12" s="45"/>
      <c r="BH12" s="45"/>
      <c r="BI12" s="45"/>
      <c r="BJ12" s="45"/>
      <c r="BK12" s="45"/>
      <c r="BL12" s="45"/>
      <c r="BM12" s="45"/>
    </row>
    <row r="13" spans="1:121" s="12" customFormat="1" ht="15" thickBot="1" x14ac:dyDescent="0.35">
      <c r="A13" s="75"/>
      <c r="B13" s="80"/>
      <c r="C13" s="35">
        <v>3</v>
      </c>
      <c r="D13" s="46"/>
      <c r="E13" s="46"/>
      <c r="F13" s="46"/>
      <c r="G13" s="46"/>
      <c r="H13" s="46"/>
      <c r="I13" s="46"/>
      <c r="J13" s="46"/>
      <c r="K13" s="46"/>
      <c r="L13" s="46"/>
      <c r="M13" s="46"/>
      <c r="N13" s="46"/>
      <c r="O13" s="46"/>
      <c r="P13" s="46"/>
      <c r="Q13" s="46"/>
      <c r="R13" s="46"/>
      <c r="S13" s="46"/>
      <c r="T13" s="46"/>
      <c r="U13" s="46"/>
      <c r="V13" s="46"/>
      <c r="W13" s="46"/>
      <c r="X13" s="46"/>
      <c r="Y13" s="46"/>
      <c r="Z13" s="46"/>
      <c r="AA13" s="46"/>
      <c r="AB13" s="46"/>
      <c r="AC13" s="46"/>
      <c r="AD13" s="46"/>
      <c r="AE13" s="46"/>
      <c r="AF13" s="46"/>
      <c r="AG13" s="46"/>
      <c r="AH13" s="46"/>
      <c r="AI13" s="46"/>
      <c r="AJ13" s="46"/>
      <c r="AK13" s="46"/>
      <c r="AL13" s="46"/>
      <c r="AM13" s="46"/>
      <c r="AN13" s="46"/>
      <c r="AO13" s="46"/>
      <c r="AP13" s="46"/>
      <c r="AQ13" s="46"/>
      <c r="AR13" s="46"/>
      <c r="AS13" s="46"/>
      <c r="AT13" s="46"/>
      <c r="AU13" s="46"/>
      <c r="AV13" s="46"/>
      <c r="AW13" s="46"/>
      <c r="AX13" s="46"/>
      <c r="AY13" s="46"/>
      <c r="AZ13" s="46"/>
      <c r="BA13" s="46"/>
      <c r="BB13" s="46"/>
      <c r="BC13" s="46"/>
      <c r="BD13" s="46"/>
      <c r="BE13" s="46"/>
      <c r="BF13" s="46"/>
      <c r="BG13" s="46"/>
      <c r="BH13" s="46"/>
      <c r="BI13" s="46"/>
      <c r="BJ13" s="46"/>
      <c r="BK13" s="46"/>
      <c r="BL13" s="46"/>
      <c r="BM13" s="46"/>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row>
    <row r="14" spans="1:121" s="9" customFormat="1" ht="14.25" customHeight="1" x14ac:dyDescent="0.3">
      <c r="A14" s="70" t="s">
        <v>6</v>
      </c>
      <c r="B14" s="76" t="s">
        <v>5</v>
      </c>
      <c r="C14" s="40">
        <v>1</v>
      </c>
      <c r="D14" s="44"/>
      <c r="E14" s="44"/>
      <c r="F14" s="44"/>
      <c r="G14" s="44"/>
      <c r="H14" s="44"/>
      <c r="I14" s="44"/>
      <c r="J14" s="44"/>
      <c r="K14" s="44"/>
      <c r="L14" s="44"/>
      <c r="M14" s="44"/>
      <c r="N14" s="44"/>
      <c r="O14" s="44"/>
      <c r="P14" s="44"/>
      <c r="Q14" s="44"/>
      <c r="R14" s="44"/>
      <c r="S14" s="44"/>
      <c r="T14" s="44"/>
      <c r="U14" s="44"/>
      <c r="V14" s="44"/>
      <c r="W14" s="44"/>
      <c r="X14" s="44"/>
      <c r="Y14" s="44"/>
      <c r="Z14" s="44"/>
      <c r="AA14" s="44"/>
      <c r="AB14" s="44"/>
      <c r="AC14" s="44"/>
      <c r="AD14" s="44"/>
      <c r="AE14" s="44"/>
      <c r="AF14" s="44"/>
      <c r="AG14" s="44"/>
      <c r="AH14" s="44"/>
      <c r="AI14" s="44"/>
      <c r="AJ14" s="44"/>
      <c r="AK14" s="44"/>
      <c r="AL14" s="44"/>
      <c r="AM14" s="44"/>
      <c r="AN14" s="44"/>
      <c r="AO14" s="44"/>
      <c r="AP14" s="44"/>
      <c r="AQ14" s="44"/>
      <c r="AR14" s="44"/>
      <c r="AS14" s="44"/>
      <c r="AT14" s="44"/>
      <c r="AU14" s="44"/>
      <c r="AV14" s="44"/>
      <c r="AW14" s="44"/>
      <c r="AX14" s="44"/>
      <c r="AY14" s="44"/>
      <c r="AZ14" s="44"/>
      <c r="BA14" s="44"/>
      <c r="BB14" s="44"/>
      <c r="BC14" s="44"/>
      <c r="BD14" s="44"/>
      <c r="BE14" s="44"/>
      <c r="BF14" s="44"/>
      <c r="BG14" s="44"/>
      <c r="BH14" s="44"/>
      <c r="BI14" s="44"/>
      <c r="BJ14" s="44"/>
      <c r="BK14" s="44"/>
      <c r="BL14" s="44"/>
      <c r="BM14" s="44"/>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row>
    <row r="15" spans="1:121" x14ac:dyDescent="0.3">
      <c r="A15" s="71"/>
      <c r="B15" s="61"/>
      <c r="C15" s="18">
        <v>2</v>
      </c>
      <c r="D15" s="45"/>
      <c r="E15" s="45"/>
      <c r="F15" s="45"/>
      <c r="G15" s="45"/>
      <c r="H15" s="45"/>
      <c r="I15" s="45"/>
      <c r="J15" s="45"/>
      <c r="K15" s="45"/>
      <c r="L15" s="45"/>
      <c r="M15" s="45"/>
      <c r="N15" s="45"/>
      <c r="O15" s="45"/>
      <c r="P15" s="45"/>
      <c r="Q15" s="45"/>
      <c r="R15" s="45"/>
      <c r="S15" s="45"/>
      <c r="T15" s="45"/>
      <c r="U15" s="45"/>
      <c r="V15" s="45"/>
      <c r="W15" s="45"/>
      <c r="X15" s="45"/>
      <c r="Y15" s="45"/>
      <c r="Z15" s="45"/>
      <c r="AA15" s="45"/>
      <c r="AB15" s="45"/>
      <c r="AC15" s="45"/>
      <c r="AD15" s="45"/>
      <c r="AE15" s="45"/>
      <c r="AF15" s="45"/>
      <c r="AG15" s="45"/>
      <c r="AH15" s="45"/>
      <c r="AI15" s="45"/>
      <c r="AJ15" s="45"/>
      <c r="AK15" s="45"/>
      <c r="AL15" s="45"/>
      <c r="AM15" s="45"/>
      <c r="AN15" s="45"/>
      <c r="AO15" s="45"/>
      <c r="AP15" s="45"/>
      <c r="AQ15" s="45"/>
      <c r="AR15" s="45"/>
      <c r="AS15" s="45"/>
      <c r="AT15" s="45"/>
      <c r="AU15" s="45"/>
      <c r="AV15" s="45"/>
      <c r="AW15" s="45"/>
      <c r="AX15" s="45"/>
      <c r="AY15" s="45"/>
      <c r="AZ15" s="45"/>
      <c r="BA15" s="45"/>
      <c r="BB15" s="45"/>
      <c r="BC15" s="45"/>
      <c r="BD15" s="45"/>
      <c r="BE15" s="45"/>
      <c r="BF15" s="45"/>
      <c r="BG15" s="45"/>
      <c r="BH15" s="45"/>
      <c r="BI15" s="45"/>
      <c r="BJ15" s="45"/>
      <c r="BK15" s="45"/>
      <c r="BL15" s="45"/>
      <c r="BM15" s="45"/>
    </row>
    <row r="16" spans="1:121" x14ac:dyDescent="0.3">
      <c r="A16" s="71"/>
      <c r="B16" s="61"/>
      <c r="C16" s="18">
        <v>3</v>
      </c>
      <c r="D16" s="45"/>
      <c r="E16" s="45"/>
      <c r="F16" s="45"/>
      <c r="G16" s="45"/>
      <c r="H16" s="45"/>
      <c r="I16" s="45"/>
      <c r="J16" s="45"/>
      <c r="K16" s="45"/>
      <c r="L16" s="45"/>
      <c r="M16" s="45"/>
      <c r="N16" s="45"/>
      <c r="O16" s="45"/>
      <c r="P16" s="45"/>
      <c r="Q16" s="45"/>
      <c r="R16" s="45"/>
      <c r="S16" s="45"/>
      <c r="T16" s="45"/>
      <c r="U16" s="45"/>
      <c r="V16" s="45"/>
      <c r="W16" s="45"/>
      <c r="X16" s="45"/>
      <c r="Y16" s="45"/>
      <c r="Z16" s="45"/>
      <c r="AA16" s="45"/>
      <c r="AB16" s="45"/>
      <c r="AC16" s="45"/>
      <c r="AD16" s="45"/>
      <c r="AE16" s="45"/>
      <c r="AF16" s="45"/>
      <c r="AG16" s="45"/>
      <c r="AH16" s="45"/>
      <c r="AI16" s="45"/>
      <c r="AJ16" s="45"/>
      <c r="AK16" s="45"/>
      <c r="AL16" s="45"/>
      <c r="AM16" s="45"/>
      <c r="AN16" s="45"/>
      <c r="AO16" s="45"/>
      <c r="AP16" s="45"/>
      <c r="AQ16" s="45"/>
      <c r="AR16" s="45"/>
      <c r="AS16" s="45"/>
      <c r="AT16" s="45"/>
      <c r="AU16" s="45"/>
      <c r="AV16" s="45"/>
      <c r="AW16" s="45"/>
      <c r="AX16" s="45"/>
      <c r="AY16" s="45"/>
      <c r="AZ16" s="45"/>
      <c r="BA16" s="45"/>
      <c r="BB16" s="45"/>
      <c r="BC16" s="45"/>
      <c r="BD16" s="45"/>
      <c r="BE16" s="45"/>
      <c r="BF16" s="45"/>
      <c r="BG16" s="45"/>
      <c r="BH16" s="45"/>
      <c r="BI16" s="45"/>
      <c r="BJ16" s="45"/>
      <c r="BK16" s="45"/>
      <c r="BL16" s="45"/>
      <c r="BM16" s="45"/>
    </row>
    <row r="17" spans="1:121" x14ac:dyDescent="0.3">
      <c r="A17" s="71"/>
      <c r="B17" s="61" t="s">
        <v>10</v>
      </c>
      <c r="C17" s="18">
        <v>1</v>
      </c>
      <c r="D17" s="90">
        <f>D14-D8</f>
        <v>0</v>
      </c>
      <c r="E17" s="90">
        <f t="shared" ref="E17" si="0">E14-E8</f>
        <v>0</v>
      </c>
      <c r="F17" s="90">
        <f>F14-F8</f>
        <v>0</v>
      </c>
      <c r="G17" s="90">
        <f t="shared" ref="G17" si="1">G14-G8</f>
        <v>0</v>
      </c>
      <c r="H17" s="90">
        <f>H14-H8</f>
        <v>0</v>
      </c>
      <c r="I17" s="90">
        <f t="shared" ref="I17:J17" si="2">I14-I8</f>
        <v>0</v>
      </c>
      <c r="J17" s="90">
        <f t="shared" si="2"/>
        <v>0</v>
      </c>
      <c r="K17" s="90">
        <f t="shared" ref="K17:M17" si="3">K14-K8</f>
        <v>0</v>
      </c>
      <c r="L17" s="90">
        <f t="shared" si="3"/>
        <v>0</v>
      </c>
      <c r="M17" s="90">
        <f t="shared" si="3"/>
        <v>0</v>
      </c>
      <c r="N17" s="90">
        <f t="shared" ref="N17:AS17" si="4">N14-N8</f>
        <v>0</v>
      </c>
      <c r="O17" s="90">
        <f t="shared" si="4"/>
        <v>0</v>
      </c>
      <c r="P17" s="90">
        <f t="shared" si="4"/>
        <v>0</v>
      </c>
      <c r="Q17" s="90">
        <f t="shared" si="4"/>
        <v>0</v>
      </c>
      <c r="R17" s="90">
        <f t="shared" si="4"/>
        <v>0</v>
      </c>
      <c r="S17" s="90">
        <f t="shared" si="4"/>
        <v>0</v>
      </c>
      <c r="T17" s="90">
        <f t="shared" si="4"/>
        <v>0</v>
      </c>
      <c r="U17" s="90">
        <f t="shared" si="4"/>
        <v>0</v>
      </c>
      <c r="V17" s="90">
        <f t="shared" si="4"/>
        <v>0</v>
      </c>
      <c r="W17" s="90">
        <f t="shared" si="4"/>
        <v>0</v>
      </c>
      <c r="X17" s="90">
        <f t="shared" si="4"/>
        <v>0</v>
      </c>
      <c r="Y17" s="90">
        <f t="shared" si="4"/>
        <v>0</v>
      </c>
      <c r="Z17" s="90">
        <f t="shared" si="4"/>
        <v>0</v>
      </c>
      <c r="AA17" s="90">
        <f t="shared" si="4"/>
        <v>0</v>
      </c>
      <c r="AB17" s="90">
        <f t="shared" si="4"/>
        <v>0</v>
      </c>
      <c r="AC17" s="90">
        <f t="shared" si="4"/>
        <v>0</v>
      </c>
      <c r="AD17" s="90">
        <f t="shared" si="4"/>
        <v>0</v>
      </c>
      <c r="AE17" s="90">
        <f t="shared" si="4"/>
        <v>0</v>
      </c>
      <c r="AF17" s="90">
        <f t="shared" si="4"/>
        <v>0</v>
      </c>
      <c r="AG17" s="90">
        <f t="shared" si="4"/>
        <v>0</v>
      </c>
      <c r="AH17" s="90">
        <f t="shared" si="4"/>
        <v>0</v>
      </c>
      <c r="AI17" s="90">
        <f t="shared" si="4"/>
        <v>0</v>
      </c>
      <c r="AJ17" s="90">
        <f t="shared" si="4"/>
        <v>0</v>
      </c>
      <c r="AK17" s="90">
        <f t="shared" si="4"/>
        <v>0</v>
      </c>
      <c r="AL17" s="90">
        <f t="shared" si="4"/>
        <v>0</v>
      </c>
      <c r="AM17" s="90">
        <f t="shared" si="4"/>
        <v>0</v>
      </c>
      <c r="AN17" s="90">
        <f t="shared" si="4"/>
        <v>0</v>
      </c>
      <c r="AO17" s="90">
        <f t="shared" si="4"/>
        <v>0</v>
      </c>
      <c r="AP17" s="90">
        <f t="shared" si="4"/>
        <v>0</v>
      </c>
      <c r="AQ17" s="90">
        <f t="shared" si="4"/>
        <v>0</v>
      </c>
      <c r="AR17" s="90">
        <f t="shared" si="4"/>
        <v>0</v>
      </c>
      <c r="AS17" s="90">
        <f t="shared" si="4"/>
        <v>0</v>
      </c>
      <c r="AT17" s="90">
        <f t="shared" ref="AT17:BM17" si="5">AT14-AT8</f>
        <v>0</v>
      </c>
      <c r="AU17" s="90">
        <f t="shared" si="5"/>
        <v>0</v>
      </c>
      <c r="AV17" s="90">
        <f t="shared" si="5"/>
        <v>0</v>
      </c>
      <c r="AW17" s="90">
        <f t="shared" si="5"/>
        <v>0</v>
      </c>
      <c r="AX17" s="90">
        <f t="shared" si="5"/>
        <v>0</v>
      </c>
      <c r="AY17" s="90">
        <f t="shared" si="5"/>
        <v>0</v>
      </c>
      <c r="AZ17" s="90">
        <f t="shared" si="5"/>
        <v>0</v>
      </c>
      <c r="BA17" s="90">
        <f t="shared" si="5"/>
        <v>0</v>
      </c>
      <c r="BB17" s="90">
        <f t="shared" si="5"/>
        <v>0</v>
      </c>
      <c r="BC17" s="90">
        <f t="shared" si="5"/>
        <v>0</v>
      </c>
      <c r="BD17" s="90">
        <f t="shared" si="5"/>
        <v>0</v>
      </c>
      <c r="BE17" s="90">
        <f t="shared" si="5"/>
        <v>0</v>
      </c>
      <c r="BF17" s="90">
        <f t="shared" si="5"/>
        <v>0</v>
      </c>
      <c r="BG17" s="90">
        <f t="shared" si="5"/>
        <v>0</v>
      </c>
      <c r="BH17" s="90">
        <f t="shared" si="5"/>
        <v>0</v>
      </c>
      <c r="BI17" s="90">
        <f t="shared" si="5"/>
        <v>0</v>
      </c>
      <c r="BJ17" s="90">
        <f t="shared" si="5"/>
        <v>0</v>
      </c>
      <c r="BK17" s="90">
        <f t="shared" si="5"/>
        <v>0</v>
      </c>
      <c r="BL17" s="90">
        <f t="shared" si="5"/>
        <v>0</v>
      </c>
      <c r="BM17" s="90">
        <f t="shared" si="5"/>
        <v>0</v>
      </c>
    </row>
    <row r="18" spans="1:121" x14ac:dyDescent="0.3">
      <c r="A18" s="71"/>
      <c r="B18" s="61"/>
      <c r="C18" s="18">
        <v>2</v>
      </c>
      <c r="D18" s="90">
        <f t="shared" ref="D18:D19" si="6">D15-D9</f>
        <v>0</v>
      </c>
      <c r="E18" s="90">
        <f t="shared" ref="E18:F18" si="7">E15-E9</f>
        <v>0</v>
      </c>
      <c r="F18" s="90">
        <f t="shared" si="7"/>
        <v>0</v>
      </c>
      <c r="G18" s="90">
        <f t="shared" ref="G18:H18" si="8">G15-G9</f>
        <v>0</v>
      </c>
      <c r="H18" s="90">
        <f t="shared" si="8"/>
        <v>0</v>
      </c>
      <c r="I18" s="90">
        <f t="shared" ref="I18:J18" si="9">I15-I9</f>
        <v>0</v>
      </c>
      <c r="J18" s="90">
        <f t="shared" si="9"/>
        <v>0</v>
      </c>
      <c r="K18" s="90">
        <f t="shared" ref="K18:M18" si="10">K15-K9</f>
        <v>0</v>
      </c>
      <c r="L18" s="90">
        <f t="shared" si="10"/>
        <v>0</v>
      </c>
      <c r="M18" s="90">
        <f t="shared" si="10"/>
        <v>0</v>
      </c>
      <c r="N18" s="90">
        <f t="shared" ref="N18:AS18" si="11">N15-N9</f>
        <v>0</v>
      </c>
      <c r="O18" s="90">
        <f t="shared" si="11"/>
        <v>0</v>
      </c>
      <c r="P18" s="90">
        <f t="shared" si="11"/>
        <v>0</v>
      </c>
      <c r="Q18" s="90">
        <f t="shared" si="11"/>
        <v>0</v>
      </c>
      <c r="R18" s="90">
        <f t="shared" si="11"/>
        <v>0</v>
      </c>
      <c r="S18" s="90">
        <f t="shared" si="11"/>
        <v>0</v>
      </c>
      <c r="T18" s="90">
        <f t="shared" si="11"/>
        <v>0</v>
      </c>
      <c r="U18" s="90">
        <f t="shared" si="11"/>
        <v>0</v>
      </c>
      <c r="V18" s="90">
        <f t="shared" si="11"/>
        <v>0</v>
      </c>
      <c r="W18" s="90">
        <f t="shared" si="11"/>
        <v>0</v>
      </c>
      <c r="X18" s="90">
        <f t="shared" si="11"/>
        <v>0</v>
      </c>
      <c r="Y18" s="90">
        <f t="shared" si="11"/>
        <v>0</v>
      </c>
      <c r="Z18" s="90">
        <f t="shared" si="11"/>
        <v>0</v>
      </c>
      <c r="AA18" s="90">
        <f t="shared" si="11"/>
        <v>0</v>
      </c>
      <c r="AB18" s="90">
        <f t="shared" si="11"/>
        <v>0</v>
      </c>
      <c r="AC18" s="90">
        <f t="shared" si="11"/>
        <v>0</v>
      </c>
      <c r="AD18" s="90">
        <f t="shared" si="11"/>
        <v>0</v>
      </c>
      <c r="AE18" s="90">
        <f t="shared" si="11"/>
        <v>0</v>
      </c>
      <c r="AF18" s="90">
        <f t="shared" si="11"/>
        <v>0</v>
      </c>
      <c r="AG18" s="90">
        <f t="shared" si="11"/>
        <v>0</v>
      </c>
      <c r="AH18" s="90">
        <f t="shared" si="11"/>
        <v>0</v>
      </c>
      <c r="AI18" s="90">
        <f t="shared" si="11"/>
        <v>0</v>
      </c>
      <c r="AJ18" s="90">
        <f t="shared" si="11"/>
        <v>0</v>
      </c>
      <c r="AK18" s="90">
        <f t="shared" si="11"/>
        <v>0</v>
      </c>
      <c r="AL18" s="90">
        <f t="shared" si="11"/>
        <v>0</v>
      </c>
      <c r="AM18" s="90">
        <f t="shared" si="11"/>
        <v>0</v>
      </c>
      <c r="AN18" s="90">
        <f t="shared" si="11"/>
        <v>0</v>
      </c>
      <c r="AO18" s="90">
        <f t="shared" si="11"/>
        <v>0</v>
      </c>
      <c r="AP18" s="90">
        <f t="shared" si="11"/>
        <v>0</v>
      </c>
      <c r="AQ18" s="90">
        <f t="shared" si="11"/>
        <v>0</v>
      </c>
      <c r="AR18" s="90">
        <f t="shared" si="11"/>
        <v>0</v>
      </c>
      <c r="AS18" s="90">
        <f t="shared" si="11"/>
        <v>0</v>
      </c>
      <c r="AT18" s="90">
        <f t="shared" ref="AT18:BM18" si="12">AT15-AT9</f>
        <v>0</v>
      </c>
      <c r="AU18" s="90">
        <f t="shared" si="12"/>
        <v>0</v>
      </c>
      <c r="AV18" s="90">
        <f t="shared" si="12"/>
        <v>0</v>
      </c>
      <c r="AW18" s="90">
        <f t="shared" si="12"/>
        <v>0</v>
      </c>
      <c r="AX18" s="90">
        <f t="shared" si="12"/>
        <v>0</v>
      </c>
      <c r="AY18" s="90">
        <f t="shared" si="12"/>
        <v>0</v>
      </c>
      <c r="AZ18" s="90">
        <f t="shared" si="12"/>
        <v>0</v>
      </c>
      <c r="BA18" s="90">
        <f t="shared" si="12"/>
        <v>0</v>
      </c>
      <c r="BB18" s="90">
        <f t="shared" si="12"/>
        <v>0</v>
      </c>
      <c r="BC18" s="90">
        <f t="shared" si="12"/>
        <v>0</v>
      </c>
      <c r="BD18" s="90">
        <f t="shared" si="12"/>
        <v>0</v>
      </c>
      <c r="BE18" s="90">
        <f t="shared" si="12"/>
        <v>0</v>
      </c>
      <c r="BF18" s="90">
        <f t="shared" si="12"/>
        <v>0</v>
      </c>
      <c r="BG18" s="90">
        <f t="shared" si="12"/>
        <v>0</v>
      </c>
      <c r="BH18" s="90">
        <f t="shared" si="12"/>
        <v>0</v>
      </c>
      <c r="BI18" s="90">
        <f t="shared" si="12"/>
        <v>0</v>
      </c>
      <c r="BJ18" s="90">
        <f t="shared" si="12"/>
        <v>0</v>
      </c>
      <c r="BK18" s="90">
        <f t="shared" si="12"/>
        <v>0</v>
      </c>
      <c r="BL18" s="90">
        <f t="shared" si="12"/>
        <v>0</v>
      </c>
      <c r="BM18" s="90">
        <f t="shared" si="12"/>
        <v>0</v>
      </c>
    </row>
    <row r="19" spans="1:121" ht="15" thickBot="1" x14ac:dyDescent="0.35">
      <c r="A19" s="71"/>
      <c r="B19" s="61"/>
      <c r="C19" s="18">
        <v>3</v>
      </c>
      <c r="D19" s="91">
        <f t="shared" si="6"/>
        <v>0</v>
      </c>
      <c r="E19" s="91">
        <f t="shared" ref="E19:F19" si="13">E16-E10</f>
        <v>0</v>
      </c>
      <c r="F19" s="91">
        <f t="shared" si="13"/>
        <v>0</v>
      </c>
      <c r="G19" s="91">
        <f t="shared" ref="G19:H19" si="14">G16-G10</f>
        <v>0</v>
      </c>
      <c r="H19" s="91">
        <f t="shared" si="14"/>
        <v>0</v>
      </c>
      <c r="I19" s="91">
        <f t="shared" ref="I19:J19" si="15">I16-I10</f>
        <v>0</v>
      </c>
      <c r="J19" s="91">
        <f t="shared" si="15"/>
        <v>0</v>
      </c>
      <c r="K19" s="91">
        <f t="shared" ref="K19:M19" si="16">K16-K10</f>
        <v>0</v>
      </c>
      <c r="L19" s="91">
        <f t="shared" si="16"/>
        <v>0</v>
      </c>
      <c r="M19" s="91">
        <f t="shared" si="16"/>
        <v>0</v>
      </c>
      <c r="N19" s="91">
        <f t="shared" ref="N19:AS19" si="17">N16-N10</f>
        <v>0</v>
      </c>
      <c r="O19" s="91">
        <f t="shared" si="17"/>
        <v>0</v>
      </c>
      <c r="P19" s="91">
        <f t="shared" si="17"/>
        <v>0</v>
      </c>
      <c r="Q19" s="91">
        <f t="shared" si="17"/>
        <v>0</v>
      </c>
      <c r="R19" s="91">
        <f t="shared" si="17"/>
        <v>0</v>
      </c>
      <c r="S19" s="91">
        <f t="shared" si="17"/>
        <v>0</v>
      </c>
      <c r="T19" s="91">
        <f t="shared" si="17"/>
        <v>0</v>
      </c>
      <c r="U19" s="91">
        <f t="shared" si="17"/>
        <v>0</v>
      </c>
      <c r="V19" s="91">
        <f t="shared" si="17"/>
        <v>0</v>
      </c>
      <c r="W19" s="91">
        <f t="shared" si="17"/>
        <v>0</v>
      </c>
      <c r="X19" s="91">
        <f t="shared" si="17"/>
        <v>0</v>
      </c>
      <c r="Y19" s="91">
        <f t="shared" si="17"/>
        <v>0</v>
      </c>
      <c r="Z19" s="91">
        <f t="shared" si="17"/>
        <v>0</v>
      </c>
      <c r="AA19" s="91">
        <f t="shared" si="17"/>
        <v>0</v>
      </c>
      <c r="AB19" s="91">
        <f t="shared" si="17"/>
        <v>0</v>
      </c>
      <c r="AC19" s="91">
        <f t="shared" si="17"/>
        <v>0</v>
      </c>
      <c r="AD19" s="91">
        <f t="shared" si="17"/>
        <v>0</v>
      </c>
      <c r="AE19" s="91">
        <f t="shared" si="17"/>
        <v>0</v>
      </c>
      <c r="AF19" s="91">
        <f t="shared" si="17"/>
        <v>0</v>
      </c>
      <c r="AG19" s="91">
        <f t="shared" si="17"/>
        <v>0</v>
      </c>
      <c r="AH19" s="91">
        <f t="shared" si="17"/>
        <v>0</v>
      </c>
      <c r="AI19" s="91">
        <f t="shared" si="17"/>
        <v>0</v>
      </c>
      <c r="AJ19" s="91">
        <f t="shared" si="17"/>
        <v>0</v>
      </c>
      <c r="AK19" s="91">
        <f t="shared" si="17"/>
        <v>0</v>
      </c>
      <c r="AL19" s="91">
        <f t="shared" si="17"/>
        <v>0</v>
      </c>
      <c r="AM19" s="91">
        <f t="shared" si="17"/>
        <v>0</v>
      </c>
      <c r="AN19" s="91">
        <f t="shared" si="17"/>
        <v>0</v>
      </c>
      <c r="AO19" s="91">
        <f t="shared" si="17"/>
        <v>0</v>
      </c>
      <c r="AP19" s="91">
        <f t="shared" si="17"/>
        <v>0</v>
      </c>
      <c r="AQ19" s="91">
        <f t="shared" si="17"/>
        <v>0</v>
      </c>
      <c r="AR19" s="91">
        <f t="shared" si="17"/>
        <v>0</v>
      </c>
      <c r="AS19" s="91">
        <f t="shared" si="17"/>
        <v>0</v>
      </c>
      <c r="AT19" s="91">
        <f t="shared" ref="AT19:BM19" si="18">AT16-AT10</f>
        <v>0</v>
      </c>
      <c r="AU19" s="91">
        <f t="shared" si="18"/>
        <v>0</v>
      </c>
      <c r="AV19" s="91">
        <f t="shared" si="18"/>
        <v>0</v>
      </c>
      <c r="AW19" s="91">
        <f t="shared" si="18"/>
        <v>0</v>
      </c>
      <c r="AX19" s="91">
        <f t="shared" si="18"/>
        <v>0</v>
      </c>
      <c r="AY19" s="91">
        <f t="shared" si="18"/>
        <v>0</v>
      </c>
      <c r="AZ19" s="91">
        <f t="shared" si="18"/>
        <v>0</v>
      </c>
      <c r="BA19" s="91">
        <f t="shared" si="18"/>
        <v>0</v>
      </c>
      <c r="BB19" s="91">
        <f t="shared" si="18"/>
        <v>0</v>
      </c>
      <c r="BC19" s="91">
        <f t="shared" si="18"/>
        <v>0</v>
      </c>
      <c r="BD19" s="91">
        <f t="shared" si="18"/>
        <v>0</v>
      </c>
      <c r="BE19" s="91">
        <f t="shared" si="18"/>
        <v>0</v>
      </c>
      <c r="BF19" s="91">
        <f t="shared" si="18"/>
        <v>0</v>
      </c>
      <c r="BG19" s="91">
        <f t="shared" si="18"/>
        <v>0</v>
      </c>
      <c r="BH19" s="91">
        <f t="shared" si="18"/>
        <v>0</v>
      </c>
      <c r="BI19" s="91">
        <f t="shared" si="18"/>
        <v>0</v>
      </c>
      <c r="BJ19" s="91">
        <f t="shared" si="18"/>
        <v>0</v>
      </c>
      <c r="BK19" s="91">
        <f t="shared" si="18"/>
        <v>0</v>
      </c>
      <c r="BL19" s="91">
        <f t="shared" si="18"/>
        <v>0</v>
      </c>
      <c r="BM19" s="91">
        <f t="shared" si="18"/>
        <v>0</v>
      </c>
    </row>
    <row r="20" spans="1:121" s="9" customFormat="1" ht="15" customHeight="1" x14ac:dyDescent="0.3">
      <c r="A20" s="70" t="s">
        <v>13</v>
      </c>
      <c r="B20" s="76" t="s">
        <v>12</v>
      </c>
      <c r="C20" s="40">
        <v>1</v>
      </c>
      <c r="D20" s="92"/>
      <c r="E20" s="37"/>
      <c r="F20" s="13"/>
      <c r="G20" s="20"/>
      <c r="H20" s="13"/>
      <c r="I20" s="20"/>
      <c r="J20" s="13"/>
      <c r="K20" s="20"/>
      <c r="L20" s="13"/>
      <c r="M20" s="20"/>
      <c r="N20" s="13"/>
      <c r="O20" s="40"/>
      <c r="P20" s="13"/>
      <c r="Q20" s="20"/>
      <c r="R20" s="13"/>
      <c r="S20" s="20"/>
      <c r="T20" s="13"/>
      <c r="U20" s="20"/>
      <c r="V20" s="13"/>
      <c r="W20" s="20"/>
      <c r="X20" s="19"/>
      <c r="Y20" s="20"/>
      <c r="Z20" s="13"/>
      <c r="AA20" s="20"/>
      <c r="AB20" s="13"/>
      <c r="AC20" s="20"/>
      <c r="AD20" s="13"/>
      <c r="AE20" s="20"/>
      <c r="AF20" s="19"/>
      <c r="AG20" s="20"/>
      <c r="AH20" s="13"/>
      <c r="AI20" s="20"/>
      <c r="AJ20" s="13"/>
      <c r="AK20" s="20"/>
      <c r="AL20" s="13"/>
      <c r="AM20" s="20"/>
      <c r="AN20" s="13"/>
      <c r="AO20" s="20"/>
      <c r="AP20" s="13"/>
      <c r="AQ20" s="20"/>
      <c r="AR20" s="13"/>
      <c r="AS20" s="20"/>
      <c r="AT20" s="13"/>
      <c r="AU20" s="20"/>
      <c r="AV20" s="19"/>
      <c r="AW20" s="20"/>
      <c r="AX20" s="13"/>
      <c r="AY20" s="20"/>
      <c r="AZ20" s="13"/>
      <c r="BA20" s="20"/>
      <c r="BB20" s="13"/>
      <c r="BC20" s="20"/>
      <c r="BD20" s="13"/>
      <c r="BE20" s="20"/>
      <c r="BF20" s="19"/>
      <c r="BG20" s="20"/>
      <c r="BH20" s="13"/>
      <c r="BI20" s="20"/>
      <c r="BJ20" s="19"/>
      <c r="BK20" s="20"/>
      <c r="BL20" s="13"/>
      <c r="BM20" s="20"/>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row>
    <row r="21" spans="1:121" x14ac:dyDescent="0.3">
      <c r="A21" s="71"/>
      <c r="B21" s="61"/>
      <c r="C21" s="18">
        <v>2</v>
      </c>
      <c r="D21" s="45"/>
      <c r="E21" s="34"/>
      <c r="F21" s="14"/>
      <c r="G21" s="21"/>
      <c r="H21" s="14"/>
      <c r="I21" s="21"/>
      <c r="J21" s="14"/>
      <c r="K21" s="21"/>
      <c r="L21" s="14"/>
      <c r="M21" s="21"/>
      <c r="N21" s="14"/>
      <c r="O21" s="18"/>
      <c r="P21" s="14"/>
      <c r="Q21" s="21"/>
      <c r="R21" s="14"/>
      <c r="S21" s="21"/>
      <c r="T21" s="14"/>
      <c r="U21" s="21"/>
      <c r="V21" s="14"/>
      <c r="W21" s="21"/>
      <c r="X21" s="10"/>
      <c r="Y21" s="21"/>
      <c r="Z21" s="14"/>
      <c r="AA21" s="21"/>
      <c r="AB21" s="14"/>
      <c r="AC21" s="21"/>
      <c r="AD21" s="14"/>
      <c r="AE21" s="21"/>
      <c r="AF21" s="10"/>
      <c r="AG21" s="21"/>
      <c r="AH21" s="14"/>
      <c r="AI21" s="21"/>
      <c r="AJ21" s="14"/>
      <c r="AK21" s="21"/>
      <c r="AL21" s="14"/>
      <c r="AM21" s="21"/>
      <c r="AN21" s="14"/>
      <c r="AO21" s="21"/>
      <c r="AP21" s="14"/>
      <c r="AQ21" s="21"/>
      <c r="AR21" s="14"/>
      <c r="AS21" s="21"/>
      <c r="AT21" s="14"/>
      <c r="AU21" s="21"/>
      <c r="AV21" s="10"/>
      <c r="AW21" s="21"/>
      <c r="AX21" s="14"/>
      <c r="AY21" s="21"/>
      <c r="AZ21" s="14"/>
      <c r="BA21" s="21"/>
      <c r="BB21" s="14"/>
      <c r="BC21" s="21"/>
      <c r="BD21" s="14"/>
      <c r="BE21" s="21"/>
      <c r="BF21" s="10"/>
      <c r="BG21" s="21"/>
      <c r="BH21" s="14"/>
      <c r="BI21" s="21"/>
      <c r="BJ21" s="10"/>
      <c r="BK21" s="21"/>
      <c r="BL21" s="14"/>
      <c r="BM21" s="21"/>
    </row>
    <row r="22" spans="1:121" x14ac:dyDescent="0.3">
      <c r="A22" s="71"/>
      <c r="B22" s="61"/>
      <c r="C22" s="18">
        <v>3</v>
      </c>
      <c r="D22" s="45"/>
      <c r="E22" s="34"/>
      <c r="F22" s="14"/>
      <c r="G22" s="21"/>
      <c r="H22" s="14"/>
      <c r="I22" s="21"/>
      <c r="J22" s="14"/>
      <c r="K22" s="21"/>
      <c r="L22" s="14"/>
      <c r="M22" s="21"/>
      <c r="N22" s="14"/>
      <c r="O22" s="18"/>
      <c r="P22" s="14"/>
      <c r="Q22" s="21"/>
      <c r="R22" s="14"/>
      <c r="S22" s="21"/>
      <c r="T22" s="14"/>
      <c r="U22" s="21"/>
      <c r="V22" s="14"/>
      <c r="W22" s="21"/>
      <c r="X22" s="10"/>
      <c r="Y22" s="21"/>
      <c r="Z22" s="14"/>
      <c r="AA22" s="21"/>
      <c r="AB22" s="14"/>
      <c r="AC22" s="21"/>
      <c r="AD22" s="14"/>
      <c r="AE22" s="21"/>
      <c r="AF22" s="10"/>
      <c r="AG22" s="21"/>
      <c r="AH22" s="14"/>
      <c r="AI22" s="21"/>
      <c r="AJ22" s="14"/>
      <c r="AK22" s="21"/>
      <c r="AL22" s="14"/>
      <c r="AM22" s="21"/>
      <c r="AN22" s="14"/>
      <c r="AO22" s="21"/>
      <c r="AP22" s="14"/>
      <c r="AQ22" s="21"/>
      <c r="AR22" s="14"/>
      <c r="AS22" s="21"/>
      <c r="AT22" s="14"/>
      <c r="AU22" s="21"/>
      <c r="AV22" s="10"/>
      <c r="AW22" s="21"/>
      <c r="AX22" s="14"/>
      <c r="AY22" s="21"/>
      <c r="AZ22" s="14"/>
      <c r="BA22" s="21"/>
      <c r="BB22" s="14"/>
      <c r="BC22" s="21"/>
      <c r="BD22" s="14"/>
      <c r="BE22" s="21"/>
      <c r="BF22" s="10"/>
      <c r="BG22" s="21"/>
      <c r="BH22" s="14"/>
      <c r="BI22" s="21"/>
      <c r="BJ22" s="10"/>
      <c r="BK22" s="21"/>
      <c r="BL22" s="14"/>
      <c r="BM22" s="21"/>
    </row>
    <row r="23" spans="1:121" x14ac:dyDescent="0.3">
      <c r="A23" s="71"/>
      <c r="B23" s="62" t="s">
        <v>11</v>
      </c>
      <c r="C23" s="18">
        <v>1</v>
      </c>
      <c r="D23" s="90">
        <f t="shared" ref="D23:S23" si="19">D20-D8</f>
        <v>0</v>
      </c>
      <c r="E23" s="90">
        <f t="shared" si="19"/>
        <v>0</v>
      </c>
      <c r="F23" s="90">
        <f t="shared" si="19"/>
        <v>0</v>
      </c>
      <c r="G23" s="90">
        <f t="shared" si="19"/>
        <v>0</v>
      </c>
      <c r="H23" s="90">
        <f t="shared" si="19"/>
        <v>0</v>
      </c>
      <c r="I23" s="90">
        <f t="shared" si="19"/>
        <v>0</v>
      </c>
      <c r="J23" s="90">
        <f t="shared" si="19"/>
        <v>0</v>
      </c>
      <c r="K23" s="90">
        <f t="shared" si="19"/>
        <v>0</v>
      </c>
      <c r="L23" s="90">
        <f t="shared" si="19"/>
        <v>0</v>
      </c>
      <c r="M23" s="90">
        <f t="shared" si="19"/>
        <v>0</v>
      </c>
      <c r="N23" s="90">
        <f t="shared" si="19"/>
        <v>0</v>
      </c>
      <c r="O23" s="90">
        <f t="shared" si="19"/>
        <v>0</v>
      </c>
      <c r="P23" s="90">
        <f t="shared" si="19"/>
        <v>0</v>
      </c>
      <c r="Q23" s="90">
        <f t="shared" si="19"/>
        <v>0</v>
      </c>
      <c r="R23" s="90">
        <f t="shared" si="19"/>
        <v>0</v>
      </c>
      <c r="S23" s="90">
        <f t="shared" si="19"/>
        <v>0</v>
      </c>
      <c r="T23" s="90">
        <f t="shared" ref="T23:AI23" si="20">T20-T8</f>
        <v>0</v>
      </c>
      <c r="U23" s="90">
        <f t="shared" si="20"/>
        <v>0</v>
      </c>
      <c r="V23" s="90">
        <f t="shared" si="20"/>
        <v>0</v>
      </c>
      <c r="W23" s="90">
        <f t="shared" si="20"/>
        <v>0</v>
      </c>
      <c r="X23" s="90">
        <f t="shared" si="20"/>
        <v>0</v>
      </c>
      <c r="Y23" s="90">
        <f t="shared" si="20"/>
        <v>0</v>
      </c>
      <c r="Z23" s="90">
        <f t="shared" si="20"/>
        <v>0</v>
      </c>
      <c r="AA23" s="90">
        <f t="shared" si="20"/>
        <v>0</v>
      </c>
      <c r="AB23" s="90">
        <f t="shared" si="20"/>
        <v>0</v>
      </c>
      <c r="AC23" s="90">
        <f t="shared" si="20"/>
        <v>0</v>
      </c>
      <c r="AD23" s="90">
        <f t="shared" si="20"/>
        <v>0</v>
      </c>
      <c r="AE23" s="90">
        <f t="shared" si="20"/>
        <v>0</v>
      </c>
      <c r="AF23" s="90">
        <f t="shared" si="20"/>
        <v>0</v>
      </c>
      <c r="AG23" s="90">
        <f t="shared" si="20"/>
        <v>0</v>
      </c>
      <c r="AH23" s="90">
        <f t="shared" si="20"/>
        <v>0</v>
      </c>
      <c r="AI23" s="90">
        <f t="shared" si="20"/>
        <v>0</v>
      </c>
      <c r="AJ23" s="90">
        <f t="shared" ref="AJ23:AY23" si="21">AJ20-AJ8</f>
        <v>0</v>
      </c>
      <c r="AK23" s="90">
        <f t="shared" si="21"/>
        <v>0</v>
      </c>
      <c r="AL23" s="90">
        <f t="shared" si="21"/>
        <v>0</v>
      </c>
      <c r="AM23" s="90">
        <f t="shared" si="21"/>
        <v>0</v>
      </c>
      <c r="AN23" s="90">
        <f t="shared" si="21"/>
        <v>0</v>
      </c>
      <c r="AO23" s="90">
        <f t="shared" si="21"/>
        <v>0</v>
      </c>
      <c r="AP23" s="90">
        <f t="shared" si="21"/>
        <v>0</v>
      </c>
      <c r="AQ23" s="90">
        <f t="shared" si="21"/>
        <v>0</v>
      </c>
      <c r="AR23" s="90">
        <f t="shared" si="21"/>
        <v>0</v>
      </c>
      <c r="AS23" s="90">
        <f t="shared" si="21"/>
        <v>0</v>
      </c>
      <c r="AT23" s="90">
        <f t="shared" si="21"/>
        <v>0</v>
      </c>
      <c r="AU23" s="90">
        <f t="shared" si="21"/>
        <v>0</v>
      </c>
      <c r="AV23" s="90">
        <f t="shared" si="21"/>
        <v>0</v>
      </c>
      <c r="AW23" s="90">
        <f t="shared" si="21"/>
        <v>0</v>
      </c>
      <c r="AX23" s="90">
        <f t="shared" si="21"/>
        <v>0</v>
      </c>
      <c r="AY23" s="90">
        <f t="shared" si="21"/>
        <v>0</v>
      </c>
      <c r="AZ23" s="90">
        <f t="shared" ref="AZ23:BM23" si="22">AZ20-AZ8</f>
        <v>0</v>
      </c>
      <c r="BA23" s="90">
        <f t="shared" si="22"/>
        <v>0</v>
      </c>
      <c r="BB23" s="90">
        <f t="shared" si="22"/>
        <v>0</v>
      </c>
      <c r="BC23" s="90">
        <f t="shared" si="22"/>
        <v>0</v>
      </c>
      <c r="BD23" s="90">
        <f t="shared" si="22"/>
        <v>0</v>
      </c>
      <c r="BE23" s="90">
        <f t="shared" si="22"/>
        <v>0</v>
      </c>
      <c r="BF23" s="90">
        <f t="shared" si="22"/>
        <v>0</v>
      </c>
      <c r="BG23" s="90">
        <f t="shared" si="22"/>
        <v>0</v>
      </c>
      <c r="BH23" s="90">
        <f t="shared" si="22"/>
        <v>0</v>
      </c>
      <c r="BI23" s="90">
        <f t="shared" si="22"/>
        <v>0</v>
      </c>
      <c r="BJ23" s="90">
        <f t="shared" si="22"/>
        <v>0</v>
      </c>
      <c r="BK23" s="90">
        <f t="shared" si="22"/>
        <v>0</v>
      </c>
      <c r="BL23" s="90">
        <f t="shared" si="22"/>
        <v>0</v>
      </c>
      <c r="BM23" s="90">
        <f t="shared" si="22"/>
        <v>0</v>
      </c>
    </row>
    <row r="24" spans="1:121" x14ac:dyDescent="0.3">
      <c r="A24" s="71"/>
      <c r="B24" s="62"/>
      <c r="C24" s="18">
        <v>2</v>
      </c>
      <c r="D24" s="90">
        <f t="shared" ref="D24:S24" si="23">D21-D9</f>
        <v>0</v>
      </c>
      <c r="E24" s="90">
        <f t="shared" si="23"/>
        <v>0</v>
      </c>
      <c r="F24" s="90">
        <f t="shared" si="23"/>
        <v>0</v>
      </c>
      <c r="G24" s="90">
        <f t="shared" si="23"/>
        <v>0</v>
      </c>
      <c r="H24" s="90">
        <f t="shared" si="23"/>
        <v>0</v>
      </c>
      <c r="I24" s="90">
        <f t="shared" si="23"/>
        <v>0</v>
      </c>
      <c r="J24" s="90">
        <f t="shared" si="23"/>
        <v>0</v>
      </c>
      <c r="K24" s="90">
        <f t="shared" si="23"/>
        <v>0</v>
      </c>
      <c r="L24" s="90">
        <f t="shared" si="23"/>
        <v>0</v>
      </c>
      <c r="M24" s="90">
        <f t="shared" si="23"/>
        <v>0</v>
      </c>
      <c r="N24" s="90">
        <f t="shared" si="23"/>
        <v>0</v>
      </c>
      <c r="O24" s="90">
        <f t="shared" si="23"/>
        <v>0</v>
      </c>
      <c r="P24" s="90">
        <f t="shared" si="23"/>
        <v>0</v>
      </c>
      <c r="Q24" s="90">
        <f t="shared" si="23"/>
        <v>0</v>
      </c>
      <c r="R24" s="90">
        <f t="shared" si="23"/>
        <v>0</v>
      </c>
      <c r="S24" s="90">
        <f t="shared" si="23"/>
        <v>0</v>
      </c>
      <c r="T24" s="90">
        <f t="shared" ref="T24:AI24" si="24">T21-T9</f>
        <v>0</v>
      </c>
      <c r="U24" s="90">
        <f t="shared" si="24"/>
        <v>0</v>
      </c>
      <c r="V24" s="90">
        <f t="shared" si="24"/>
        <v>0</v>
      </c>
      <c r="W24" s="90">
        <f t="shared" si="24"/>
        <v>0</v>
      </c>
      <c r="X24" s="90">
        <f t="shared" si="24"/>
        <v>0</v>
      </c>
      <c r="Y24" s="90">
        <f t="shared" si="24"/>
        <v>0</v>
      </c>
      <c r="Z24" s="90">
        <f t="shared" si="24"/>
        <v>0</v>
      </c>
      <c r="AA24" s="90">
        <f t="shared" si="24"/>
        <v>0</v>
      </c>
      <c r="AB24" s="90">
        <f t="shared" si="24"/>
        <v>0</v>
      </c>
      <c r="AC24" s="90">
        <f t="shared" si="24"/>
        <v>0</v>
      </c>
      <c r="AD24" s="90">
        <f t="shared" si="24"/>
        <v>0</v>
      </c>
      <c r="AE24" s="90">
        <f t="shared" si="24"/>
        <v>0</v>
      </c>
      <c r="AF24" s="90">
        <f t="shared" si="24"/>
        <v>0</v>
      </c>
      <c r="AG24" s="90">
        <f t="shared" si="24"/>
        <v>0</v>
      </c>
      <c r="AH24" s="90">
        <f t="shared" si="24"/>
        <v>0</v>
      </c>
      <c r="AI24" s="90">
        <f t="shared" si="24"/>
        <v>0</v>
      </c>
      <c r="AJ24" s="90">
        <f t="shared" ref="AJ24:AY24" si="25">AJ21-AJ9</f>
        <v>0</v>
      </c>
      <c r="AK24" s="90">
        <f t="shared" si="25"/>
        <v>0</v>
      </c>
      <c r="AL24" s="90">
        <f t="shared" si="25"/>
        <v>0</v>
      </c>
      <c r="AM24" s="90">
        <f t="shared" si="25"/>
        <v>0</v>
      </c>
      <c r="AN24" s="90">
        <f t="shared" si="25"/>
        <v>0</v>
      </c>
      <c r="AO24" s="90">
        <f t="shared" si="25"/>
        <v>0</v>
      </c>
      <c r="AP24" s="90">
        <f t="shared" si="25"/>
        <v>0</v>
      </c>
      <c r="AQ24" s="90">
        <f t="shared" si="25"/>
        <v>0</v>
      </c>
      <c r="AR24" s="90">
        <f t="shared" si="25"/>
        <v>0</v>
      </c>
      <c r="AS24" s="90">
        <f t="shared" si="25"/>
        <v>0</v>
      </c>
      <c r="AT24" s="90">
        <f t="shared" si="25"/>
        <v>0</v>
      </c>
      <c r="AU24" s="90">
        <f t="shared" si="25"/>
        <v>0</v>
      </c>
      <c r="AV24" s="90">
        <f t="shared" si="25"/>
        <v>0</v>
      </c>
      <c r="AW24" s="90">
        <f t="shared" si="25"/>
        <v>0</v>
      </c>
      <c r="AX24" s="90">
        <f t="shared" si="25"/>
        <v>0</v>
      </c>
      <c r="AY24" s="90">
        <f t="shared" si="25"/>
        <v>0</v>
      </c>
      <c r="AZ24" s="90">
        <f t="shared" ref="AZ24:BM24" si="26">AZ21-AZ9</f>
        <v>0</v>
      </c>
      <c r="BA24" s="90">
        <f t="shared" si="26"/>
        <v>0</v>
      </c>
      <c r="BB24" s="90">
        <f t="shared" si="26"/>
        <v>0</v>
      </c>
      <c r="BC24" s="90">
        <f t="shared" si="26"/>
        <v>0</v>
      </c>
      <c r="BD24" s="90">
        <f t="shared" si="26"/>
        <v>0</v>
      </c>
      <c r="BE24" s="90">
        <f t="shared" si="26"/>
        <v>0</v>
      </c>
      <c r="BF24" s="90">
        <f t="shared" si="26"/>
        <v>0</v>
      </c>
      <c r="BG24" s="90">
        <f t="shared" si="26"/>
        <v>0</v>
      </c>
      <c r="BH24" s="90">
        <f t="shared" si="26"/>
        <v>0</v>
      </c>
      <c r="BI24" s="90">
        <f t="shared" si="26"/>
        <v>0</v>
      </c>
      <c r="BJ24" s="90">
        <f t="shared" si="26"/>
        <v>0</v>
      </c>
      <c r="BK24" s="90">
        <f t="shared" si="26"/>
        <v>0</v>
      </c>
      <c r="BL24" s="90">
        <f t="shared" si="26"/>
        <v>0</v>
      </c>
      <c r="BM24" s="90">
        <f t="shared" si="26"/>
        <v>0</v>
      </c>
    </row>
    <row r="25" spans="1:121" s="12" customFormat="1" ht="15" thickBot="1" x14ac:dyDescent="0.35">
      <c r="A25" s="72"/>
      <c r="B25" s="77"/>
      <c r="C25" s="24">
        <v>3</v>
      </c>
      <c r="D25" s="91">
        <f t="shared" ref="D25:S25" si="27">D22-D10</f>
        <v>0</v>
      </c>
      <c r="E25" s="91">
        <f t="shared" si="27"/>
        <v>0</v>
      </c>
      <c r="F25" s="91">
        <f t="shared" si="27"/>
        <v>0</v>
      </c>
      <c r="G25" s="91">
        <f t="shared" si="27"/>
        <v>0</v>
      </c>
      <c r="H25" s="91">
        <f t="shared" si="27"/>
        <v>0</v>
      </c>
      <c r="I25" s="91">
        <f t="shared" si="27"/>
        <v>0</v>
      </c>
      <c r="J25" s="91">
        <f t="shared" si="27"/>
        <v>0</v>
      </c>
      <c r="K25" s="91">
        <f t="shared" si="27"/>
        <v>0</v>
      </c>
      <c r="L25" s="91">
        <f t="shared" si="27"/>
        <v>0</v>
      </c>
      <c r="M25" s="91">
        <f t="shared" si="27"/>
        <v>0</v>
      </c>
      <c r="N25" s="91">
        <f t="shared" si="27"/>
        <v>0</v>
      </c>
      <c r="O25" s="91">
        <f t="shared" si="27"/>
        <v>0</v>
      </c>
      <c r="P25" s="91">
        <f t="shared" si="27"/>
        <v>0</v>
      </c>
      <c r="Q25" s="91">
        <f t="shared" si="27"/>
        <v>0</v>
      </c>
      <c r="R25" s="91">
        <f t="shared" si="27"/>
        <v>0</v>
      </c>
      <c r="S25" s="91">
        <f t="shared" si="27"/>
        <v>0</v>
      </c>
      <c r="T25" s="91">
        <f t="shared" ref="T25:AI25" si="28">T22-T10</f>
        <v>0</v>
      </c>
      <c r="U25" s="91">
        <f t="shared" si="28"/>
        <v>0</v>
      </c>
      <c r="V25" s="91">
        <f t="shared" si="28"/>
        <v>0</v>
      </c>
      <c r="W25" s="91">
        <f t="shared" si="28"/>
        <v>0</v>
      </c>
      <c r="X25" s="91">
        <f t="shared" si="28"/>
        <v>0</v>
      </c>
      <c r="Y25" s="91">
        <f t="shared" si="28"/>
        <v>0</v>
      </c>
      <c r="Z25" s="91">
        <f t="shared" si="28"/>
        <v>0</v>
      </c>
      <c r="AA25" s="91">
        <f t="shared" si="28"/>
        <v>0</v>
      </c>
      <c r="AB25" s="91">
        <f t="shared" si="28"/>
        <v>0</v>
      </c>
      <c r="AC25" s="91">
        <f t="shared" si="28"/>
        <v>0</v>
      </c>
      <c r="AD25" s="91">
        <f t="shared" si="28"/>
        <v>0</v>
      </c>
      <c r="AE25" s="91">
        <f t="shared" si="28"/>
        <v>0</v>
      </c>
      <c r="AF25" s="91">
        <f t="shared" si="28"/>
        <v>0</v>
      </c>
      <c r="AG25" s="91">
        <f t="shared" si="28"/>
        <v>0</v>
      </c>
      <c r="AH25" s="91">
        <f t="shared" si="28"/>
        <v>0</v>
      </c>
      <c r="AI25" s="91">
        <f t="shared" si="28"/>
        <v>0</v>
      </c>
      <c r="AJ25" s="91">
        <f t="shared" ref="AJ25:AY25" si="29">AJ22-AJ10</f>
        <v>0</v>
      </c>
      <c r="AK25" s="91">
        <f t="shared" si="29"/>
        <v>0</v>
      </c>
      <c r="AL25" s="91">
        <f t="shared" si="29"/>
        <v>0</v>
      </c>
      <c r="AM25" s="91">
        <f t="shared" si="29"/>
        <v>0</v>
      </c>
      <c r="AN25" s="91">
        <f t="shared" si="29"/>
        <v>0</v>
      </c>
      <c r="AO25" s="91">
        <f t="shared" si="29"/>
        <v>0</v>
      </c>
      <c r="AP25" s="91">
        <f t="shared" si="29"/>
        <v>0</v>
      </c>
      <c r="AQ25" s="91">
        <f t="shared" si="29"/>
        <v>0</v>
      </c>
      <c r="AR25" s="91">
        <f t="shared" si="29"/>
        <v>0</v>
      </c>
      <c r="AS25" s="91">
        <f t="shared" si="29"/>
        <v>0</v>
      </c>
      <c r="AT25" s="91">
        <f t="shared" si="29"/>
        <v>0</v>
      </c>
      <c r="AU25" s="91">
        <f t="shared" si="29"/>
        <v>0</v>
      </c>
      <c r="AV25" s="91">
        <f t="shared" si="29"/>
        <v>0</v>
      </c>
      <c r="AW25" s="91">
        <f t="shared" si="29"/>
        <v>0</v>
      </c>
      <c r="AX25" s="91">
        <f t="shared" si="29"/>
        <v>0</v>
      </c>
      <c r="AY25" s="91">
        <f t="shared" si="29"/>
        <v>0</v>
      </c>
      <c r="AZ25" s="91">
        <f t="shared" ref="AZ25:BM25" si="30">AZ22-AZ10</f>
        <v>0</v>
      </c>
      <c r="BA25" s="91">
        <f t="shared" si="30"/>
        <v>0</v>
      </c>
      <c r="BB25" s="91">
        <f t="shared" si="30"/>
        <v>0</v>
      </c>
      <c r="BC25" s="91">
        <f t="shared" si="30"/>
        <v>0</v>
      </c>
      <c r="BD25" s="91">
        <f t="shared" si="30"/>
        <v>0</v>
      </c>
      <c r="BE25" s="91">
        <f t="shared" si="30"/>
        <v>0</v>
      </c>
      <c r="BF25" s="91">
        <f t="shared" si="30"/>
        <v>0</v>
      </c>
      <c r="BG25" s="91">
        <f t="shared" si="30"/>
        <v>0</v>
      </c>
      <c r="BH25" s="91">
        <f t="shared" si="30"/>
        <v>0</v>
      </c>
      <c r="BI25" s="91">
        <f t="shared" si="30"/>
        <v>0</v>
      </c>
      <c r="BJ25" s="91">
        <f t="shared" si="30"/>
        <v>0</v>
      </c>
      <c r="BK25" s="91">
        <f t="shared" si="30"/>
        <v>0</v>
      </c>
      <c r="BL25" s="91">
        <f t="shared" si="30"/>
        <v>0</v>
      </c>
      <c r="BM25" s="91">
        <f t="shared" si="30"/>
        <v>0</v>
      </c>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row>
    <row r="26" spans="1:121" x14ac:dyDescent="0.3">
      <c r="A26" s="63" t="s">
        <v>26</v>
      </c>
      <c r="B26" s="73" t="s">
        <v>9</v>
      </c>
      <c r="C26" s="37">
        <v>1</v>
      </c>
      <c r="D26" s="96">
        <f t="shared" ref="D26:E28" si="31">IFERROR(D17*100/D11,0)</f>
        <v>0</v>
      </c>
      <c r="E26" s="96">
        <f t="shared" si="31"/>
        <v>0</v>
      </c>
      <c r="F26" s="96">
        <f t="shared" ref="F26:AK26" si="32">IFERROR(F17*100/F11,0)</f>
        <v>0</v>
      </c>
      <c r="G26" s="96">
        <f t="shared" si="32"/>
        <v>0</v>
      </c>
      <c r="H26" s="96">
        <f t="shared" si="32"/>
        <v>0</v>
      </c>
      <c r="I26" s="96">
        <f t="shared" si="32"/>
        <v>0</v>
      </c>
      <c r="J26" s="96">
        <f t="shared" si="32"/>
        <v>0</v>
      </c>
      <c r="K26" s="96">
        <f t="shared" si="32"/>
        <v>0</v>
      </c>
      <c r="L26" s="96">
        <f t="shared" si="32"/>
        <v>0</v>
      </c>
      <c r="M26" s="96">
        <f t="shared" si="32"/>
        <v>0</v>
      </c>
      <c r="N26" s="96">
        <f t="shared" si="32"/>
        <v>0</v>
      </c>
      <c r="O26" s="96">
        <f t="shared" si="32"/>
        <v>0</v>
      </c>
      <c r="P26" s="96">
        <f t="shared" si="32"/>
        <v>0</v>
      </c>
      <c r="Q26" s="96">
        <f t="shared" si="32"/>
        <v>0</v>
      </c>
      <c r="R26" s="96">
        <f t="shared" si="32"/>
        <v>0</v>
      </c>
      <c r="S26" s="96">
        <f t="shared" si="32"/>
        <v>0</v>
      </c>
      <c r="T26" s="96">
        <f t="shared" si="32"/>
        <v>0</v>
      </c>
      <c r="U26" s="96">
        <f t="shared" si="32"/>
        <v>0</v>
      </c>
      <c r="V26" s="96">
        <f t="shared" si="32"/>
        <v>0</v>
      </c>
      <c r="W26" s="96">
        <f t="shared" si="32"/>
        <v>0</v>
      </c>
      <c r="X26" s="96">
        <f t="shared" si="32"/>
        <v>0</v>
      </c>
      <c r="Y26" s="96">
        <f t="shared" si="32"/>
        <v>0</v>
      </c>
      <c r="Z26" s="96">
        <f t="shared" si="32"/>
        <v>0</v>
      </c>
      <c r="AA26" s="96">
        <f t="shared" si="32"/>
        <v>0</v>
      </c>
      <c r="AB26" s="96">
        <f t="shared" si="32"/>
        <v>0</v>
      </c>
      <c r="AC26" s="96">
        <f t="shared" si="32"/>
        <v>0</v>
      </c>
      <c r="AD26" s="96">
        <f t="shared" si="32"/>
        <v>0</v>
      </c>
      <c r="AE26" s="96">
        <f t="shared" si="32"/>
        <v>0</v>
      </c>
      <c r="AF26" s="96">
        <f t="shared" si="32"/>
        <v>0</v>
      </c>
      <c r="AG26" s="96">
        <f t="shared" si="32"/>
        <v>0</v>
      </c>
      <c r="AH26" s="96">
        <f t="shared" si="32"/>
        <v>0</v>
      </c>
      <c r="AI26" s="96">
        <f t="shared" si="32"/>
        <v>0</v>
      </c>
      <c r="AJ26" s="96">
        <f t="shared" si="32"/>
        <v>0</v>
      </c>
      <c r="AK26" s="96">
        <f t="shared" si="32"/>
        <v>0</v>
      </c>
      <c r="AL26" s="96">
        <f t="shared" ref="AL26:BM26" si="33">IFERROR(AL17*100/AL11,0)</f>
        <v>0</v>
      </c>
      <c r="AM26" s="96">
        <f t="shared" si="33"/>
        <v>0</v>
      </c>
      <c r="AN26" s="96">
        <f t="shared" si="33"/>
        <v>0</v>
      </c>
      <c r="AO26" s="96">
        <f t="shared" si="33"/>
        <v>0</v>
      </c>
      <c r="AP26" s="96">
        <f t="shared" si="33"/>
        <v>0</v>
      </c>
      <c r="AQ26" s="96">
        <f t="shared" si="33"/>
        <v>0</v>
      </c>
      <c r="AR26" s="96">
        <f t="shared" si="33"/>
        <v>0</v>
      </c>
      <c r="AS26" s="96">
        <f t="shared" si="33"/>
        <v>0</v>
      </c>
      <c r="AT26" s="96">
        <f t="shared" si="33"/>
        <v>0</v>
      </c>
      <c r="AU26" s="96">
        <f t="shared" si="33"/>
        <v>0</v>
      </c>
      <c r="AV26" s="96">
        <f t="shared" si="33"/>
        <v>0</v>
      </c>
      <c r="AW26" s="96">
        <f t="shared" si="33"/>
        <v>0</v>
      </c>
      <c r="AX26" s="96">
        <f t="shared" si="33"/>
        <v>0</v>
      </c>
      <c r="AY26" s="96">
        <f t="shared" si="33"/>
        <v>0</v>
      </c>
      <c r="AZ26" s="96">
        <f t="shared" si="33"/>
        <v>0</v>
      </c>
      <c r="BA26" s="96">
        <f t="shared" si="33"/>
        <v>0</v>
      </c>
      <c r="BB26" s="96">
        <f t="shared" si="33"/>
        <v>0</v>
      </c>
      <c r="BC26" s="96">
        <f t="shared" si="33"/>
        <v>0</v>
      </c>
      <c r="BD26" s="96">
        <f t="shared" si="33"/>
        <v>0</v>
      </c>
      <c r="BE26" s="96">
        <f t="shared" si="33"/>
        <v>0</v>
      </c>
      <c r="BF26" s="96">
        <f t="shared" si="33"/>
        <v>0</v>
      </c>
      <c r="BG26" s="96">
        <f t="shared" si="33"/>
        <v>0</v>
      </c>
      <c r="BH26" s="96">
        <f t="shared" si="33"/>
        <v>0</v>
      </c>
      <c r="BI26" s="96">
        <f t="shared" si="33"/>
        <v>0</v>
      </c>
      <c r="BJ26" s="96">
        <f t="shared" si="33"/>
        <v>0</v>
      </c>
      <c r="BK26" s="96">
        <f t="shared" si="33"/>
        <v>0</v>
      </c>
      <c r="BL26" s="96">
        <f t="shared" si="33"/>
        <v>0</v>
      </c>
      <c r="BM26" s="96">
        <f t="shared" si="33"/>
        <v>0</v>
      </c>
    </row>
    <row r="27" spans="1:121" x14ac:dyDescent="0.3">
      <c r="A27" s="66"/>
      <c r="B27" s="74"/>
      <c r="C27" s="34">
        <v>2</v>
      </c>
      <c r="D27" s="90">
        <f t="shared" si="31"/>
        <v>0</v>
      </c>
      <c r="E27" s="90">
        <f t="shared" si="31"/>
        <v>0</v>
      </c>
      <c r="F27" s="90">
        <f t="shared" ref="F27:G28" si="34">IFERROR(F18*100/F12,0)</f>
        <v>0</v>
      </c>
      <c r="G27" s="90">
        <f t="shared" si="34"/>
        <v>0</v>
      </c>
      <c r="H27" s="90">
        <f t="shared" ref="H27:AM27" si="35">IFERROR(H18*100/H12,0)</f>
        <v>0</v>
      </c>
      <c r="I27" s="90">
        <f t="shared" si="35"/>
        <v>0</v>
      </c>
      <c r="J27" s="90">
        <f t="shared" si="35"/>
        <v>0</v>
      </c>
      <c r="K27" s="90">
        <f t="shared" si="35"/>
        <v>0</v>
      </c>
      <c r="L27" s="90">
        <f t="shared" si="35"/>
        <v>0</v>
      </c>
      <c r="M27" s="90">
        <f t="shared" si="35"/>
        <v>0</v>
      </c>
      <c r="N27" s="90">
        <f t="shared" si="35"/>
        <v>0</v>
      </c>
      <c r="O27" s="90">
        <f t="shared" si="35"/>
        <v>0</v>
      </c>
      <c r="P27" s="90">
        <f t="shared" si="35"/>
        <v>0</v>
      </c>
      <c r="Q27" s="90">
        <f t="shared" si="35"/>
        <v>0</v>
      </c>
      <c r="R27" s="90">
        <f t="shared" si="35"/>
        <v>0</v>
      </c>
      <c r="S27" s="90">
        <f t="shared" si="35"/>
        <v>0</v>
      </c>
      <c r="T27" s="90">
        <f t="shared" si="35"/>
        <v>0</v>
      </c>
      <c r="U27" s="90">
        <f t="shared" si="35"/>
        <v>0</v>
      </c>
      <c r="V27" s="90">
        <f t="shared" si="35"/>
        <v>0</v>
      </c>
      <c r="W27" s="90">
        <f t="shared" si="35"/>
        <v>0</v>
      </c>
      <c r="X27" s="90">
        <f t="shared" si="35"/>
        <v>0</v>
      </c>
      <c r="Y27" s="90">
        <f t="shared" si="35"/>
        <v>0</v>
      </c>
      <c r="Z27" s="90">
        <f t="shared" si="35"/>
        <v>0</v>
      </c>
      <c r="AA27" s="90">
        <f t="shared" si="35"/>
        <v>0</v>
      </c>
      <c r="AB27" s="90">
        <f t="shared" si="35"/>
        <v>0</v>
      </c>
      <c r="AC27" s="90">
        <f t="shared" si="35"/>
        <v>0</v>
      </c>
      <c r="AD27" s="90">
        <f t="shared" si="35"/>
        <v>0</v>
      </c>
      <c r="AE27" s="90">
        <f t="shared" si="35"/>
        <v>0</v>
      </c>
      <c r="AF27" s="90">
        <f t="shared" si="35"/>
        <v>0</v>
      </c>
      <c r="AG27" s="90">
        <f t="shared" si="35"/>
        <v>0</v>
      </c>
      <c r="AH27" s="90">
        <f t="shared" si="35"/>
        <v>0</v>
      </c>
      <c r="AI27" s="90">
        <f t="shared" si="35"/>
        <v>0</v>
      </c>
      <c r="AJ27" s="90">
        <f t="shared" si="35"/>
        <v>0</v>
      </c>
      <c r="AK27" s="90">
        <f t="shared" si="35"/>
        <v>0</v>
      </c>
      <c r="AL27" s="90">
        <f t="shared" si="35"/>
        <v>0</v>
      </c>
      <c r="AM27" s="90">
        <f t="shared" si="35"/>
        <v>0</v>
      </c>
      <c r="AN27" s="90">
        <f t="shared" ref="AN27:BM27" si="36">IFERROR(AN18*100/AN12,0)</f>
        <v>0</v>
      </c>
      <c r="AO27" s="90">
        <f t="shared" si="36"/>
        <v>0</v>
      </c>
      <c r="AP27" s="90">
        <f t="shared" si="36"/>
        <v>0</v>
      </c>
      <c r="AQ27" s="90">
        <f t="shared" si="36"/>
        <v>0</v>
      </c>
      <c r="AR27" s="90">
        <f t="shared" si="36"/>
        <v>0</v>
      </c>
      <c r="AS27" s="90">
        <f t="shared" si="36"/>
        <v>0</v>
      </c>
      <c r="AT27" s="90">
        <f t="shared" si="36"/>
        <v>0</v>
      </c>
      <c r="AU27" s="90">
        <f t="shared" si="36"/>
        <v>0</v>
      </c>
      <c r="AV27" s="90">
        <f t="shared" si="36"/>
        <v>0</v>
      </c>
      <c r="AW27" s="90">
        <f t="shared" si="36"/>
        <v>0</v>
      </c>
      <c r="AX27" s="90">
        <f t="shared" si="36"/>
        <v>0</v>
      </c>
      <c r="AY27" s="90">
        <f t="shared" si="36"/>
        <v>0</v>
      </c>
      <c r="AZ27" s="90">
        <f t="shared" si="36"/>
        <v>0</v>
      </c>
      <c r="BA27" s="90">
        <f t="shared" si="36"/>
        <v>0</v>
      </c>
      <c r="BB27" s="90">
        <f t="shared" si="36"/>
        <v>0</v>
      </c>
      <c r="BC27" s="90">
        <f t="shared" si="36"/>
        <v>0</v>
      </c>
      <c r="BD27" s="90">
        <f t="shared" si="36"/>
        <v>0</v>
      </c>
      <c r="BE27" s="90">
        <f t="shared" si="36"/>
        <v>0</v>
      </c>
      <c r="BF27" s="90">
        <f t="shared" si="36"/>
        <v>0</v>
      </c>
      <c r="BG27" s="90">
        <f t="shared" si="36"/>
        <v>0</v>
      </c>
      <c r="BH27" s="90">
        <f t="shared" si="36"/>
        <v>0</v>
      </c>
      <c r="BI27" s="90">
        <f t="shared" si="36"/>
        <v>0</v>
      </c>
      <c r="BJ27" s="90">
        <f t="shared" si="36"/>
        <v>0</v>
      </c>
      <c r="BK27" s="90">
        <f t="shared" si="36"/>
        <v>0</v>
      </c>
      <c r="BL27" s="90">
        <f t="shared" si="36"/>
        <v>0</v>
      </c>
      <c r="BM27" s="90">
        <f t="shared" si="36"/>
        <v>0</v>
      </c>
    </row>
    <row r="28" spans="1:121" ht="15" thickBot="1" x14ac:dyDescent="0.35">
      <c r="A28" s="66"/>
      <c r="B28" s="74"/>
      <c r="C28" s="35">
        <v>3</v>
      </c>
      <c r="D28" s="91">
        <f t="shared" si="31"/>
        <v>0</v>
      </c>
      <c r="E28" s="91">
        <f t="shared" si="31"/>
        <v>0</v>
      </c>
      <c r="F28" s="91">
        <f t="shared" si="34"/>
        <v>0</v>
      </c>
      <c r="G28" s="91">
        <f t="shared" si="34"/>
        <v>0</v>
      </c>
      <c r="H28" s="91">
        <f t="shared" ref="H28:AM28" si="37">IFERROR(H19*100/H13,0)</f>
        <v>0</v>
      </c>
      <c r="I28" s="91">
        <f t="shared" si="37"/>
        <v>0</v>
      </c>
      <c r="J28" s="91">
        <f t="shared" si="37"/>
        <v>0</v>
      </c>
      <c r="K28" s="91">
        <f t="shared" si="37"/>
        <v>0</v>
      </c>
      <c r="L28" s="91">
        <f t="shared" si="37"/>
        <v>0</v>
      </c>
      <c r="M28" s="91">
        <f t="shared" si="37"/>
        <v>0</v>
      </c>
      <c r="N28" s="91">
        <f t="shared" si="37"/>
        <v>0</v>
      </c>
      <c r="O28" s="91">
        <f t="shared" si="37"/>
        <v>0</v>
      </c>
      <c r="P28" s="91">
        <f t="shared" si="37"/>
        <v>0</v>
      </c>
      <c r="Q28" s="91">
        <f t="shared" si="37"/>
        <v>0</v>
      </c>
      <c r="R28" s="91">
        <f t="shared" si="37"/>
        <v>0</v>
      </c>
      <c r="S28" s="91">
        <f t="shared" si="37"/>
        <v>0</v>
      </c>
      <c r="T28" s="91">
        <f t="shared" si="37"/>
        <v>0</v>
      </c>
      <c r="U28" s="91">
        <f t="shared" si="37"/>
        <v>0</v>
      </c>
      <c r="V28" s="91">
        <f t="shared" si="37"/>
        <v>0</v>
      </c>
      <c r="W28" s="91">
        <f t="shared" si="37"/>
        <v>0</v>
      </c>
      <c r="X28" s="91">
        <f t="shared" si="37"/>
        <v>0</v>
      </c>
      <c r="Y28" s="91">
        <f t="shared" si="37"/>
        <v>0</v>
      </c>
      <c r="Z28" s="91">
        <f t="shared" si="37"/>
        <v>0</v>
      </c>
      <c r="AA28" s="91">
        <f t="shared" si="37"/>
        <v>0</v>
      </c>
      <c r="AB28" s="91">
        <f t="shared" si="37"/>
        <v>0</v>
      </c>
      <c r="AC28" s="91">
        <f t="shared" si="37"/>
        <v>0</v>
      </c>
      <c r="AD28" s="91">
        <f t="shared" si="37"/>
        <v>0</v>
      </c>
      <c r="AE28" s="91">
        <f t="shared" si="37"/>
        <v>0</v>
      </c>
      <c r="AF28" s="91">
        <f t="shared" si="37"/>
        <v>0</v>
      </c>
      <c r="AG28" s="91">
        <f t="shared" si="37"/>
        <v>0</v>
      </c>
      <c r="AH28" s="91">
        <f t="shared" si="37"/>
        <v>0</v>
      </c>
      <c r="AI28" s="91">
        <f t="shared" si="37"/>
        <v>0</v>
      </c>
      <c r="AJ28" s="91">
        <f t="shared" si="37"/>
        <v>0</v>
      </c>
      <c r="AK28" s="91">
        <f t="shared" si="37"/>
        <v>0</v>
      </c>
      <c r="AL28" s="91">
        <f t="shared" si="37"/>
        <v>0</v>
      </c>
      <c r="AM28" s="91">
        <f t="shared" si="37"/>
        <v>0</v>
      </c>
      <c r="AN28" s="91">
        <f t="shared" ref="AN28:BM28" si="38">IFERROR(AN19*100/AN13,0)</f>
        <v>0</v>
      </c>
      <c r="AO28" s="91">
        <f t="shared" si="38"/>
        <v>0</v>
      </c>
      <c r="AP28" s="91">
        <f t="shared" si="38"/>
        <v>0</v>
      </c>
      <c r="AQ28" s="91">
        <f t="shared" si="38"/>
        <v>0</v>
      </c>
      <c r="AR28" s="91">
        <f t="shared" si="38"/>
        <v>0</v>
      </c>
      <c r="AS28" s="91">
        <f t="shared" si="38"/>
        <v>0</v>
      </c>
      <c r="AT28" s="91">
        <f t="shared" si="38"/>
        <v>0</v>
      </c>
      <c r="AU28" s="91">
        <f t="shared" si="38"/>
        <v>0</v>
      </c>
      <c r="AV28" s="91">
        <f t="shared" si="38"/>
        <v>0</v>
      </c>
      <c r="AW28" s="91">
        <f t="shared" si="38"/>
        <v>0</v>
      </c>
      <c r="AX28" s="91">
        <f t="shared" si="38"/>
        <v>0</v>
      </c>
      <c r="AY28" s="91">
        <f t="shared" si="38"/>
        <v>0</v>
      </c>
      <c r="AZ28" s="91">
        <f t="shared" si="38"/>
        <v>0</v>
      </c>
      <c r="BA28" s="91">
        <f t="shared" si="38"/>
        <v>0</v>
      </c>
      <c r="BB28" s="91">
        <f t="shared" si="38"/>
        <v>0</v>
      </c>
      <c r="BC28" s="91">
        <f t="shared" si="38"/>
        <v>0</v>
      </c>
      <c r="BD28" s="91">
        <f t="shared" si="38"/>
        <v>0</v>
      </c>
      <c r="BE28" s="91">
        <f t="shared" si="38"/>
        <v>0</v>
      </c>
      <c r="BF28" s="91">
        <f t="shared" si="38"/>
        <v>0</v>
      </c>
      <c r="BG28" s="91">
        <f t="shared" si="38"/>
        <v>0</v>
      </c>
      <c r="BH28" s="91">
        <f t="shared" si="38"/>
        <v>0</v>
      </c>
      <c r="BI28" s="91">
        <f t="shared" si="38"/>
        <v>0</v>
      </c>
      <c r="BJ28" s="91">
        <f t="shared" si="38"/>
        <v>0</v>
      </c>
      <c r="BK28" s="91">
        <f t="shared" si="38"/>
        <v>0</v>
      </c>
      <c r="BL28" s="91">
        <f t="shared" si="38"/>
        <v>0</v>
      </c>
      <c r="BM28" s="91">
        <f t="shared" si="38"/>
        <v>0</v>
      </c>
    </row>
    <row r="29" spans="1:121" ht="15" thickBot="1" x14ac:dyDescent="0.35">
      <c r="A29" s="66"/>
      <c r="B29" s="74"/>
      <c r="C29" s="27" t="s">
        <v>34</v>
      </c>
      <c r="D29" s="82">
        <f t="shared" ref="D29:E29" si="39">IF(COUNTIF(D26:D28,"&lt;&gt;0")=0,0,AVERAGEIF(D26:D28,"&lt;&gt;0"))</f>
        <v>0</v>
      </c>
      <c r="E29" s="82">
        <f t="shared" si="39"/>
        <v>0</v>
      </c>
      <c r="F29" s="82">
        <f t="shared" ref="F29" si="40">IF(COUNTIF(F26:F28,"&lt;&gt;0")=0,0,AVERAGEIF(F26:F28,"&lt;&gt;0"))</f>
        <v>0</v>
      </c>
      <c r="G29" s="82">
        <f t="shared" ref="G29" si="41">IF(COUNTIF(G26:G28,"&lt;&gt;0")=0,0,AVERAGEIF(G26:G28,"&lt;&gt;0"))</f>
        <v>0</v>
      </c>
      <c r="H29" s="82">
        <f t="shared" ref="H29" si="42">IF(COUNTIF(H26:H28,"&lt;&gt;0")=0,0,AVERAGEIF(H26:H28,"&lt;&gt;0"))</f>
        <v>0</v>
      </c>
      <c r="I29" s="82">
        <f t="shared" ref="I29" si="43">IF(COUNTIF(I26:I28,"&lt;&gt;0")=0,0,AVERAGEIF(I26:I28,"&lt;&gt;0"))</f>
        <v>0</v>
      </c>
      <c r="J29" s="82">
        <f t="shared" ref="J29" si="44">IF(COUNTIF(J26:J28,"&lt;&gt;0")=0,0,AVERAGEIF(J26:J28,"&lt;&gt;0"))</f>
        <v>0</v>
      </c>
      <c r="K29" s="82">
        <f t="shared" ref="K29" si="45">IF(COUNTIF(K26:K28,"&lt;&gt;0")=0,0,AVERAGEIF(K26:K28,"&lt;&gt;0"))</f>
        <v>0</v>
      </c>
      <c r="L29" s="82">
        <f t="shared" ref="L29" si="46">IF(COUNTIF(L26:L28,"&lt;&gt;0")=0,0,AVERAGEIF(L26:L28,"&lt;&gt;0"))</f>
        <v>0</v>
      </c>
      <c r="M29" s="82">
        <f t="shared" ref="M29" si="47">IF(COUNTIF(M26:M28,"&lt;&gt;0")=0,0,AVERAGEIF(M26:M28,"&lt;&gt;0"))</f>
        <v>0</v>
      </c>
      <c r="N29" s="82">
        <f t="shared" ref="N29" si="48">IF(COUNTIF(N26:N28,"&lt;&gt;0")=0,0,AVERAGEIF(N26:N28,"&lt;&gt;0"))</f>
        <v>0</v>
      </c>
      <c r="O29" s="82">
        <f t="shared" ref="O29" si="49">IF(COUNTIF(O26:O28,"&lt;&gt;0")=0,0,AVERAGEIF(O26:O28,"&lt;&gt;0"))</f>
        <v>0</v>
      </c>
      <c r="P29" s="82">
        <f t="shared" ref="P29" si="50">IF(COUNTIF(P26:P28,"&lt;&gt;0")=0,0,AVERAGEIF(P26:P28,"&lt;&gt;0"))</f>
        <v>0</v>
      </c>
      <c r="Q29" s="82">
        <f t="shared" ref="Q29" si="51">IF(COUNTIF(Q26:Q28,"&lt;&gt;0")=0,0,AVERAGEIF(Q26:Q28,"&lt;&gt;0"))</f>
        <v>0</v>
      </c>
      <c r="R29" s="82">
        <f t="shared" ref="R29" si="52">IF(COUNTIF(R26:R28,"&lt;&gt;0")=0,0,AVERAGEIF(R26:R28,"&lt;&gt;0"))</f>
        <v>0</v>
      </c>
      <c r="S29" s="82">
        <f t="shared" ref="S29" si="53">IF(COUNTIF(S26:S28,"&lt;&gt;0")=0,0,AVERAGEIF(S26:S28,"&lt;&gt;0"))</f>
        <v>0</v>
      </c>
      <c r="T29" s="82">
        <f t="shared" ref="T29" si="54">IF(COUNTIF(T26:T28,"&lt;&gt;0")=0,0,AVERAGEIF(T26:T28,"&lt;&gt;0"))</f>
        <v>0</v>
      </c>
      <c r="U29" s="82">
        <f t="shared" ref="U29" si="55">IF(COUNTIF(U26:U28,"&lt;&gt;0")=0,0,AVERAGEIF(U26:U28,"&lt;&gt;0"))</f>
        <v>0</v>
      </c>
      <c r="V29" s="82">
        <f t="shared" ref="V29" si="56">IF(COUNTIF(V26:V28,"&lt;&gt;0")=0,0,AVERAGEIF(V26:V28,"&lt;&gt;0"))</f>
        <v>0</v>
      </c>
      <c r="W29" s="82">
        <f t="shared" ref="W29" si="57">IF(COUNTIF(W26:W28,"&lt;&gt;0")=0,0,AVERAGEIF(W26:W28,"&lt;&gt;0"))</f>
        <v>0</v>
      </c>
      <c r="X29" s="82">
        <f t="shared" ref="X29" si="58">IF(COUNTIF(X26:X28,"&lt;&gt;0")=0,0,AVERAGEIF(X26:X28,"&lt;&gt;0"))</f>
        <v>0</v>
      </c>
      <c r="Y29" s="82">
        <f t="shared" ref="Y29" si="59">IF(COUNTIF(Y26:Y28,"&lt;&gt;0")=0,0,AVERAGEIF(Y26:Y28,"&lt;&gt;0"))</f>
        <v>0</v>
      </c>
      <c r="Z29" s="82">
        <f t="shared" ref="Z29" si="60">IF(COUNTIF(Z26:Z28,"&lt;&gt;0")=0,0,AVERAGEIF(Z26:Z28,"&lt;&gt;0"))</f>
        <v>0</v>
      </c>
      <c r="AA29" s="82">
        <f t="shared" ref="AA29" si="61">IF(COUNTIF(AA26:AA28,"&lt;&gt;0")=0,0,AVERAGEIF(AA26:AA28,"&lt;&gt;0"))</f>
        <v>0</v>
      </c>
      <c r="AB29" s="82">
        <f t="shared" ref="AB29" si="62">IF(COUNTIF(AB26:AB28,"&lt;&gt;0")=0,0,AVERAGEIF(AB26:AB28,"&lt;&gt;0"))</f>
        <v>0</v>
      </c>
      <c r="AC29" s="82">
        <f t="shared" ref="AC29" si="63">IF(COUNTIF(AC26:AC28,"&lt;&gt;0")=0,0,AVERAGEIF(AC26:AC28,"&lt;&gt;0"))</f>
        <v>0</v>
      </c>
      <c r="AD29" s="82">
        <f t="shared" ref="AD29" si="64">IF(COUNTIF(AD26:AD28,"&lt;&gt;0")=0,0,AVERAGEIF(AD26:AD28,"&lt;&gt;0"))</f>
        <v>0</v>
      </c>
      <c r="AE29" s="82">
        <f t="shared" ref="AE29" si="65">IF(COUNTIF(AE26:AE28,"&lt;&gt;0")=0,0,AVERAGEIF(AE26:AE28,"&lt;&gt;0"))</f>
        <v>0</v>
      </c>
      <c r="AF29" s="82">
        <f t="shared" ref="AF29" si="66">IF(COUNTIF(AF26:AF28,"&lt;&gt;0")=0,0,AVERAGEIF(AF26:AF28,"&lt;&gt;0"))</f>
        <v>0</v>
      </c>
      <c r="AG29" s="82">
        <f t="shared" ref="AG29" si="67">IF(COUNTIF(AG26:AG28,"&lt;&gt;0")=0,0,AVERAGEIF(AG26:AG28,"&lt;&gt;0"))</f>
        <v>0</v>
      </c>
      <c r="AH29" s="82">
        <f t="shared" ref="AH29" si="68">IF(COUNTIF(AH26:AH28,"&lt;&gt;0")=0,0,AVERAGEIF(AH26:AH28,"&lt;&gt;0"))</f>
        <v>0</v>
      </c>
      <c r="AI29" s="82">
        <f t="shared" ref="AI29" si="69">IF(COUNTIF(AI26:AI28,"&lt;&gt;0")=0,0,AVERAGEIF(AI26:AI28,"&lt;&gt;0"))</f>
        <v>0</v>
      </c>
      <c r="AJ29" s="82">
        <f t="shared" ref="AJ29" si="70">IF(COUNTIF(AJ26:AJ28,"&lt;&gt;0")=0,0,AVERAGEIF(AJ26:AJ28,"&lt;&gt;0"))</f>
        <v>0</v>
      </c>
      <c r="AK29" s="82">
        <f t="shared" ref="AK29" si="71">IF(COUNTIF(AK26:AK28,"&lt;&gt;0")=0,0,AVERAGEIF(AK26:AK28,"&lt;&gt;0"))</f>
        <v>0</v>
      </c>
      <c r="AL29" s="82">
        <f t="shared" ref="AL29" si="72">IF(COUNTIF(AL26:AL28,"&lt;&gt;0")=0,0,AVERAGEIF(AL26:AL28,"&lt;&gt;0"))</f>
        <v>0</v>
      </c>
      <c r="AM29" s="82">
        <f t="shared" ref="AM29" si="73">IF(COUNTIF(AM26:AM28,"&lt;&gt;0")=0,0,AVERAGEIF(AM26:AM28,"&lt;&gt;0"))</f>
        <v>0</v>
      </c>
      <c r="AN29" s="82">
        <f t="shared" ref="AN29" si="74">IF(COUNTIF(AN26:AN28,"&lt;&gt;0")=0,0,AVERAGEIF(AN26:AN28,"&lt;&gt;0"))</f>
        <v>0</v>
      </c>
      <c r="AO29" s="82">
        <f t="shared" ref="AO29" si="75">IF(COUNTIF(AO26:AO28,"&lt;&gt;0")=0,0,AVERAGEIF(AO26:AO28,"&lt;&gt;0"))</f>
        <v>0</v>
      </c>
      <c r="AP29" s="82">
        <f t="shared" ref="AP29" si="76">IF(COUNTIF(AP26:AP28,"&lt;&gt;0")=0,0,AVERAGEIF(AP26:AP28,"&lt;&gt;0"))</f>
        <v>0</v>
      </c>
      <c r="AQ29" s="82">
        <f t="shared" ref="AQ29" si="77">IF(COUNTIF(AQ26:AQ28,"&lt;&gt;0")=0,0,AVERAGEIF(AQ26:AQ28,"&lt;&gt;0"))</f>
        <v>0</v>
      </c>
      <c r="AR29" s="82">
        <f t="shared" ref="AR29" si="78">IF(COUNTIF(AR26:AR28,"&lt;&gt;0")=0,0,AVERAGEIF(AR26:AR28,"&lt;&gt;0"))</f>
        <v>0</v>
      </c>
      <c r="AS29" s="82">
        <f t="shared" ref="AS29" si="79">IF(COUNTIF(AS26:AS28,"&lt;&gt;0")=0,0,AVERAGEIF(AS26:AS28,"&lt;&gt;0"))</f>
        <v>0</v>
      </c>
      <c r="AT29" s="82">
        <f t="shared" ref="AT29" si="80">IF(COUNTIF(AT26:AT28,"&lt;&gt;0")=0,0,AVERAGEIF(AT26:AT28,"&lt;&gt;0"))</f>
        <v>0</v>
      </c>
      <c r="AU29" s="82">
        <f t="shared" ref="AU29" si="81">IF(COUNTIF(AU26:AU28,"&lt;&gt;0")=0,0,AVERAGEIF(AU26:AU28,"&lt;&gt;0"))</f>
        <v>0</v>
      </c>
      <c r="AV29" s="82">
        <f t="shared" ref="AV29" si="82">IF(COUNTIF(AV26:AV28,"&lt;&gt;0")=0,0,AVERAGEIF(AV26:AV28,"&lt;&gt;0"))</f>
        <v>0</v>
      </c>
      <c r="AW29" s="82">
        <f t="shared" ref="AW29" si="83">IF(COUNTIF(AW26:AW28,"&lt;&gt;0")=0,0,AVERAGEIF(AW26:AW28,"&lt;&gt;0"))</f>
        <v>0</v>
      </c>
      <c r="AX29" s="82">
        <f t="shared" ref="AX29" si="84">IF(COUNTIF(AX26:AX28,"&lt;&gt;0")=0,0,AVERAGEIF(AX26:AX28,"&lt;&gt;0"))</f>
        <v>0</v>
      </c>
      <c r="AY29" s="82">
        <f t="shared" ref="AY29" si="85">IF(COUNTIF(AY26:AY28,"&lt;&gt;0")=0,0,AVERAGEIF(AY26:AY28,"&lt;&gt;0"))</f>
        <v>0</v>
      </c>
      <c r="AZ29" s="82">
        <f t="shared" ref="AZ29" si="86">IF(COUNTIF(AZ26:AZ28,"&lt;&gt;0")=0,0,AVERAGEIF(AZ26:AZ28,"&lt;&gt;0"))</f>
        <v>0</v>
      </c>
      <c r="BA29" s="82">
        <f t="shared" ref="BA29" si="87">IF(COUNTIF(BA26:BA28,"&lt;&gt;0")=0,0,AVERAGEIF(BA26:BA28,"&lt;&gt;0"))</f>
        <v>0</v>
      </c>
      <c r="BB29" s="82">
        <f t="shared" ref="BB29" si="88">IF(COUNTIF(BB26:BB28,"&lt;&gt;0")=0,0,AVERAGEIF(BB26:BB28,"&lt;&gt;0"))</f>
        <v>0</v>
      </c>
      <c r="BC29" s="82">
        <f t="shared" ref="BC29" si="89">IF(COUNTIF(BC26:BC28,"&lt;&gt;0")=0,0,AVERAGEIF(BC26:BC28,"&lt;&gt;0"))</f>
        <v>0</v>
      </c>
      <c r="BD29" s="82">
        <f t="shared" ref="BD29" si="90">IF(COUNTIF(BD26:BD28,"&lt;&gt;0")=0,0,AVERAGEIF(BD26:BD28,"&lt;&gt;0"))</f>
        <v>0</v>
      </c>
      <c r="BE29" s="82">
        <f t="shared" ref="BE29" si="91">IF(COUNTIF(BE26:BE28,"&lt;&gt;0")=0,0,AVERAGEIF(BE26:BE28,"&lt;&gt;0"))</f>
        <v>0</v>
      </c>
      <c r="BF29" s="82">
        <f t="shared" ref="BF29" si="92">IF(COUNTIF(BF26:BF28,"&lt;&gt;0")=0,0,AVERAGEIF(BF26:BF28,"&lt;&gt;0"))</f>
        <v>0</v>
      </c>
      <c r="BG29" s="82">
        <f t="shared" ref="BG29" si="93">IF(COUNTIF(BG26:BG28,"&lt;&gt;0")=0,0,AVERAGEIF(BG26:BG28,"&lt;&gt;0"))</f>
        <v>0</v>
      </c>
      <c r="BH29" s="82">
        <f t="shared" ref="BH29" si="94">IF(COUNTIF(BH26:BH28,"&lt;&gt;0")=0,0,AVERAGEIF(BH26:BH28,"&lt;&gt;0"))</f>
        <v>0</v>
      </c>
      <c r="BI29" s="82">
        <f t="shared" ref="BI29" si="95">IF(COUNTIF(BI26:BI28,"&lt;&gt;0")=0,0,AVERAGEIF(BI26:BI28,"&lt;&gt;0"))</f>
        <v>0</v>
      </c>
      <c r="BJ29" s="82">
        <f t="shared" ref="BJ29" si="96">IF(COUNTIF(BJ26:BJ28,"&lt;&gt;0")=0,0,AVERAGEIF(BJ26:BJ28,"&lt;&gt;0"))</f>
        <v>0</v>
      </c>
      <c r="BK29" s="82">
        <f t="shared" ref="BK29" si="97">IF(COUNTIF(BK26:BK28,"&lt;&gt;0")=0,0,AVERAGEIF(BK26:BK28,"&lt;&gt;0"))</f>
        <v>0</v>
      </c>
      <c r="BL29" s="82">
        <f t="shared" ref="BL29" si="98">IF(COUNTIF(BL26:BL28,"&lt;&gt;0")=0,0,AVERAGEIF(BL26:BL28,"&lt;&gt;0"))</f>
        <v>0</v>
      </c>
      <c r="BM29" s="82">
        <f t="shared" ref="BM29" si="99">IF(COUNTIF(BM26:BM28,"&lt;&gt;0")=0,0,AVERAGEIF(BM26:BM28,"&lt;&gt;0"))</f>
        <v>0</v>
      </c>
    </row>
    <row r="30" spans="1:121" ht="15" thickBot="1" x14ac:dyDescent="0.35">
      <c r="A30" s="66"/>
      <c r="B30" s="74"/>
      <c r="C30" s="27" t="s">
        <v>34</v>
      </c>
      <c r="D30" s="84">
        <f>IF(COUNTIF(D29:E29,"&lt;&gt;0")=0,0,AVERAGEIF(D29:E29,"&lt;&gt;0"))</f>
        <v>0</v>
      </c>
      <c r="E30" s="85"/>
      <c r="F30" s="84">
        <f>IF(COUNTIF(F29:G29,"&lt;&gt;0")=0,0,AVERAGEIF(F29:G29,"&lt;&gt;0"))</f>
        <v>0</v>
      </c>
      <c r="G30" s="85"/>
      <c r="H30" s="84">
        <f>IF(COUNTIF(H29:I29,"&lt;&gt;0")=0,0,AVERAGEIF(H29:I29,"&lt;&gt;0"))</f>
        <v>0</v>
      </c>
      <c r="I30" s="85"/>
      <c r="J30" s="84">
        <f>IF(COUNTIF(J29:K29,"&lt;&gt;0")=0,0,AVERAGEIF(J29:K29,"&lt;&gt;0"))</f>
        <v>0</v>
      </c>
      <c r="K30" s="85"/>
      <c r="L30" s="84">
        <f>IF(COUNTIF(L29:M29,"&lt;&gt;0")=0,0,AVERAGEIF(L29:M29,"&lt;&gt;0"))</f>
        <v>0</v>
      </c>
      <c r="M30" s="85"/>
      <c r="N30" s="84">
        <f>IF(COUNTIF(N29:O29,"&lt;&gt;0")=0,0,AVERAGEIF(N29:O29,"&lt;&gt;0"))</f>
        <v>0</v>
      </c>
      <c r="O30" s="85"/>
      <c r="P30" s="84">
        <f>IF(COUNTIF(P29:Q29,"&lt;&gt;0")=0,0,AVERAGEIF(P29:Q29,"&lt;&gt;0"))</f>
        <v>0</v>
      </c>
      <c r="Q30" s="85"/>
      <c r="R30" s="84">
        <f>IF(COUNTIF(R29:S29,"&lt;&gt;0")=0,0,AVERAGEIF(R29:S29,"&lt;&gt;0"))</f>
        <v>0</v>
      </c>
      <c r="S30" s="85"/>
      <c r="T30" s="84">
        <f>IF(COUNTIF(T29:U29,"&lt;&gt;0")=0,0,AVERAGEIF(T29:U29,"&lt;&gt;0"))</f>
        <v>0</v>
      </c>
      <c r="U30" s="85"/>
      <c r="V30" s="84">
        <f>IF(COUNTIF(V29:W29,"&lt;&gt;0")=0,0,AVERAGEIF(V29:W29,"&lt;&gt;0"))</f>
        <v>0</v>
      </c>
      <c r="W30" s="85"/>
      <c r="X30" s="84">
        <f>IF(COUNTIF(X29:Y29,"&lt;&gt;0")=0,0,AVERAGEIF(X29:Y29,"&lt;&gt;0"))</f>
        <v>0</v>
      </c>
      <c r="Y30" s="85"/>
      <c r="Z30" s="84">
        <f>IF(COUNTIF(Z29:AA29,"&lt;&gt;0")=0,0,AVERAGEIF(Z29:AA29,"&lt;&gt;0"))</f>
        <v>0</v>
      </c>
      <c r="AA30" s="85"/>
      <c r="AB30" s="84">
        <f>IF(COUNTIF(AB29:AC29,"&lt;&gt;0")=0,0,AVERAGEIF(AB29:AC29,"&lt;&gt;0"))</f>
        <v>0</v>
      </c>
      <c r="AC30" s="85"/>
      <c r="AD30" s="84">
        <f>IF(COUNTIF(AD29:AE29,"&lt;&gt;0")=0,0,AVERAGEIF(AD29:AE29,"&lt;&gt;0"))</f>
        <v>0</v>
      </c>
      <c r="AE30" s="85"/>
      <c r="AF30" s="84">
        <f>IF(COUNTIF(AF29:AG29,"&lt;&gt;0")=0,0,AVERAGEIF(AF29:AG29,"&lt;&gt;0"))</f>
        <v>0</v>
      </c>
      <c r="AG30" s="85"/>
      <c r="AH30" s="84">
        <f>IF(COUNTIF(AH29:AI29,"&lt;&gt;0")=0,0,AVERAGEIF(AH29:AI29,"&lt;&gt;0"))</f>
        <v>0</v>
      </c>
      <c r="AI30" s="85"/>
      <c r="AJ30" s="84">
        <f>IF(COUNTIF(AJ29:AK29,"&lt;&gt;0")=0,0,AVERAGEIF(AJ29:AK29,"&lt;&gt;0"))</f>
        <v>0</v>
      </c>
      <c r="AK30" s="85"/>
      <c r="AL30" s="84">
        <f>IF(COUNTIF(AL29:AM29,"&lt;&gt;0")=0,0,AVERAGEIF(AL29:AM29,"&lt;&gt;0"))</f>
        <v>0</v>
      </c>
      <c r="AM30" s="85"/>
      <c r="AN30" s="84">
        <f>IF(COUNTIF(AN29:AO29,"&lt;&gt;0")=0,0,AVERAGEIF(AN29:AO29,"&lt;&gt;0"))</f>
        <v>0</v>
      </c>
      <c r="AO30" s="85"/>
      <c r="AP30" s="84">
        <f>IF(COUNTIF(AP29:AQ29,"&lt;&gt;0")=0,0,AVERAGEIF(AP29:AQ29,"&lt;&gt;0"))</f>
        <v>0</v>
      </c>
      <c r="AQ30" s="85"/>
      <c r="AR30" s="84">
        <f>IF(COUNTIF(AR29:AS29,"&lt;&gt;0")=0,0,AVERAGEIF(AR29:AS29,"&lt;&gt;0"))</f>
        <v>0</v>
      </c>
      <c r="AS30" s="85"/>
      <c r="AT30" s="84">
        <f>IF(COUNTIF(AT29:AU29,"&lt;&gt;0")=0,0,AVERAGEIF(AT29:AU29,"&lt;&gt;0"))</f>
        <v>0</v>
      </c>
      <c r="AU30" s="85"/>
      <c r="AV30" s="84">
        <f>IF(COUNTIF(AV29:AW29,"&lt;&gt;0")=0,0,AVERAGEIF(AV29:AW29,"&lt;&gt;0"))</f>
        <v>0</v>
      </c>
      <c r="AW30" s="85"/>
      <c r="AX30" s="84">
        <f>IF(COUNTIF(AX29:AY29,"&lt;&gt;0")=0,0,AVERAGEIF(AX29:AY29,"&lt;&gt;0"))</f>
        <v>0</v>
      </c>
      <c r="AY30" s="85"/>
      <c r="AZ30" s="84">
        <f>IF(COUNTIF(AZ29:BA29,"&lt;&gt;0")=0,0,AVERAGEIF(AZ29:BA29,"&lt;&gt;0"))</f>
        <v>0</v>
      </c>
      <c r="BA30" s="85"/>
      <c r="BB30" s="84">
        <f>IF(COUNTIF(BB29:BC29,"&lt;&gt;0")=0,0,AVERAGEIF(BB29:BC29,"&lt;&gt;0"))</f>
        <v>0</v>
      </c>
      <c r="BC30" s="85"/>
      <c r="BD30" s="84">
        <f>IF(COUNTIF(BD29:BE29,"&lt;&gt;0")=0,0,AVERAGEIF(BD29:BE29,"&lt;&gt;0"))</f>
        <v>0</v>
      </c>
      <c r="BE30" s="85"/>
      <c r="BF30" s="84">
        <f>IF(COUNTIF(BF29:BG29,"&lt;&gt;0")=0,0,AVERAGEIF(BF29:BG29,"&lt;&gt;0"))</f>
        <v>0</v>
      </c>
      <c r="BG30" s="85"/>
      <c r="BH30" s="84">
        <f>IF(COUNTIF(BH29:BI29,"&lt;&gt;0")=0,0,AVERAGEIF(BH29:BI29,"&lt;&gt;0"))</f>
        <v>0</v>
      </c>
      <c r="BI30" s="85"/>
      <c r="BJ30" s="84">
        <f>IF(COUNTIF(BJ29:BK29,"&lt;&gt;0")=0,0,AVERAGEIF(BJ29:BK29,"&lt;&gt;0"))</f>
        <v>0</v>
      </c>
      <c r="BK30" s="85"/>
      <c r="BL30" s="84">
        <f>IF(COUNTIF(BL29:BM29,"&lt;&gt;0")=0,0,AVERAGEIF(BL29:BM29,"&lt;&gt;0"))</f>
        <v>0</v>
      </c>
      <c r="BM30" s="85"/>
    </row>
    <row r="31" spans="1:121" s="9" customFormat="1" x14ac:dyDescent="0.3">
      <c r="A31" s="66"/>
      <c r="B31" s="74" t="s">
        <v>14</v>
      </c>
      <c r="C31" s="38">
        <v>1</v>
      </c>
      <c r="D31" s="96">
        <f t="shared" ref="D31:E31" si="100">IF(0.845*D17=0, 0, D23*100/(0.845*D17))</f>
        <v>0</v>
      </c>
      <c r="E31" s="96">
        <f t="shared" si="100"/>
        <v>0</v>
      </c>
      <c r="F31" s="96">
        <f t="shared" ref="F31:AK31" si="101">IF(0.845*F17=0, 0, F23*100/(0.845*F17))</f>
        <v>0</v>
      </c>
      <c r="G31" s="96">
        <f t="shared" si="101"/>
        <v>0</v>
      </c>
      <c r="H31" s="96">
        <f t="shared" si="101"/>
        <v>0</v>
      </c>
      <c r="I31" s="96">
        <f t="shared" si="101"/>
        <v>0</v>
      </c>
      <c r="J31" s="96">
        <f t="shared" si="101"/>
        <v>0</v>
      </c>
      <c r="K31" s="96">
        <f t="shared" si="101"/>
        <v>0</v>
      </c>
      <c r="L31" s="96">
        <f t="shared" si="101"/>
        <v>0</v>
      </c>
      <c r="M31" s="96">
        <f t="shared" si="101"/>
        <v>0</v>
      </c>
      <c r="N31" s="96">
        <f t="shared" si="101"/>
        <v>0</v>
      </c>
      <c r="O31" s="96">
        <f t="shared" si="101"/>
        <v>0</v>
      </c>
      <c r="P31" s="96">
        <f t="shared" si="101"/>
        <v>0</v>
      </c>
      <c r="Q31" s="96">
        <f t="shared" si="101"/>
        <v>0</v>
      </c>
      <c r="R31" s="96">
        <f t="shared" si="101"/>
        <v>0</v>
      </c>
      <c r="S31" s="96">
        <f t="shared" si="101"/>
        <v>0</v>
      </c>
      <c r="T31" s="96">
        <f t="shared" si="101"/>
        <v>0</v>
      </c>
      <c r="U31" s="96">
        <f t="shared" si="101"/>
        <v>0</v>
      </c>
      <c r="V31" s="96">
        <f t="shared" si="101"/>
        <v>0</v>
      </c>
      <c r="W31" s="96">
        <f t="shared" si="101"/>
        <v>0</v>
      </c>
      <c r="X31" s="96">
        <f t="shared" si="101"/>
        <v>0</v>
      </c>
      <c r="Y31" s="96">
        <f t="shared" si="101"/>
        <v>0</v>
      </c>
      <c r="Z31" s="96">
        <f t="shared" si="101"/>
        <v>0</v>
      </c>
      <c r="AA31" s="96">
        <f t="shared" si="101"/>
        <v>0</v>
      </c>
      <c r="AB31" s="96">
        <f t="shared" si="101"/>
        <v>0</v>
      </c>
      <c r="AC31" s="96">
        <f t="shared" si="101"/>
        <v>0</v>
      </c>
      <c r="AD31" s="96">
        <f t="shared" si="101"/>
        <v>0</v>
      </c>
      <c r="AE31" s="96">
        <f t="shared" si="101"/>
        <v>0</v>
      </c>
      <c r="AF31" s="96">
        <f t="shared" si="101"/>
        <v>0</v>
      </c>
      <c r="AG31" s="96">
        <f t="shared" si="101"/>
        <v>0</v>
      </c>
      <c r="AH31" s="96">
        <f t="shared" si="101"/>
        <v>0</v>
      </c>
      <c r="AI31" s="96">
        <f t="shared" si="101"/>
        <v>0</v>
      </c>
      <c r="AJ31" s="96">
        <f t="shared" si="101"/>
        <v>0</v>
      </c>
      <c r="AK31" s="96">
        <f t="shared" si="101"/>
        <v>0</v>
      </c>
      <c r="AL31" s="96">
        <f t="shared" ref="AL31:BM31" si="102">IF(0.845*AL17=0, 0, AL23*100/(0.845*AL17))</f>
        <v>0</v>
      </c>
      <c r="AM31" s="96">
        <f t="shared" si="102"/>
        <v>0</v>
      </c>
      <c r="AN31" s="96">
        <f t="shared" si="102"/>
        <v>0</v>
      </c>
      <c r="AO31" s="96">
        <f t="shared" si="102"/>
        <v>0</v>
      </c>
      <c r="AP31" s="96">
        <f t="shared" si="102"/>
        <v>0</v>
      </c>
      <c r="AQ31" s="96">
        <f t="shared" si="102"/>
        <v>0</v>
      </c>
      <c r="AR31" s="96">
        <f t="shared" si="102"/>
        <v>0</v>
      </c>
      <c r="AS31" s="96">
        <f t="shared" si="102"/>
        <v>0</v>
      </c>
      <c r="AT31" s="96">
        <f t="shared" si="102"/>
        <v>0</v>
      </c>
      <c r="AU31" s="96">
        <f t="shared" si="102"/>
        <v>0</v>
      </c>
      <c r="AV31" s="96">
        <f t="shared" si="102"/>
        <v>0</v>
      </c>
      <c r="AW31" s="96">
        <f t="shared" si="102"/>
        <v>0</v>
      </c>
      <c r="AX31" s="96">
        <f t="shared" si="102"/>
        <v>0</v>
      </c>
      <c r="AY31" s="96">
        <f t="shared" si="102"/>
        <v>0</v>
      </c>
      <c r="AZ31" s="96">
        <f t="shared" si="102"/>
        <v>0</v>
      </c>
      <c r="BA31" s="96">
        <f t="shared" si="102"/>
        <v>0</v>
      </c>
      <c r="BB31" s="96">
        <f t="shared" si="102"/>
        <v>0</v>
      </c>
      <c r="BC31" s="96">
        <f t="shared" si="102"/>
        <v>0</v>
      </c>
      <c r="BD31" s="96">
        <f t="shared" si="102"/>
        <v>0</v>
      </c>
      <c r="BE31" s="96">
        <f t="shared" si="102"/>
        <v>0</v>
      </c>
      <c r="BF31" s="96">
        <f t="shared" si="102"/>
        <v>0</v>
      </c>
      <c r="BG31" s="96">
        <f t="shared" si="102"/>
        <v>0</v>
      </c>
      <c r="BH31" s="96">
        <f t="shared" si="102"/>
        <v>0</v>
      </c>
      <c r="BI31" s="96">
        <f t="shared" si="102"/>
        <v>0</v>
      </c>
      <c r="BJ31" s="96">
        <f t="shared" si="102"/>
        <v>0</v>
      </c>
      <c r="BK31" s="96">
        <f t="shared" si="102"/>
        <v>0</v>
      </c>
      <c r="BL31" s="96">
        <f t="shared" si="102"/>
        <v>0</v>
      </c>
      <c r="BM31" s="96">
        <f t="shared" si="102"/>
        <v>0</v>
      </c>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row>
    <row r="32" spans="1:121" x14ac:dyDescent="0.3">
      <c r="A32" s="66"/>
      <c r="B32" s="74"/>
      <c r="C32" s="34">
        <v>2</v>
      </c>
      <c r="D32" s="90">
        <f t="shared" ref="D32:E32" si="103">IF(0.845*D18=0, 0, D24*100/(0.845*D18))</f>
        <v>0</v>
      </c>
      <c r="E32" s="90">
        <f t="shared" si="103"/>
        <v>0</v>
      </c>
      <c r="F32" s="90">
        <f t="shared" ref="F32:AK32" si="104">IF(0.845*F18=0, 0, F24*100/(0.845*F18))</f>
        <v>0</v>
      </c>
      <c r="G32" s="90">
        <f t="shared" si="104"/>
        <v>0</v>
      </c>
      <c r="H32" s="90">
        <f t="shared" si="104"/>
        <v>0</v>
      </c>
      <c r="I32" s="90">
        <f t="shared" si="104"/>
        <v>0</v>
      </c>
      <c r="J32" s="90">
        <f t="shared" si="104"/>
        <v>0</v>
      </c>
      <c r="K32" s="90">
        <f t="shared" si="104"/>
        <v>0</v>
      </c>
      <c r="L32" s="90">
        <f t="shared" si="104"/>
        <v>0</v>
      </c>
      <c r="M32" s="90">
        <f t="shared" si="104"/>
        <v>0</v>
      </c>
      <c r="N32" s="90">
        <f t="shared" si="104"/>
        <v>0</v>
      </c>
      <c r="O32" s="90">
        <f t="shared" si="104"/>
        <v>0</v>
      </c>
      <c r="P32" s="90">
        <f t="shared" si="104"/>
        <v>0</v>
      </c>
      <c r="Q32" s="90">
        <f t="shared" si="104"/>
        <v>0</v>
      </c>
      <c r="R32" s="90">
        <f t="shared" si="104"/>
        <v>0</v>
      </c>
      <c r="S32" s="90">
        <f t="shared" si="104"/>
        <v>0</v>
      </c>
      <c r="T32" s="90">
        <f t="shared" si="104"/>
        <v>0</v>
      </c>
      <c r="U32" s="90">
        <f t="shared" si="104"/>
        <v>0</v>
      </c>
      <c r="V32" s="90">
        <f t="shared" si="104"/>
        <v>0</v>
      </c>
      <c r="W32" s="90">
        <f t="shared" si="104"/>
        <v>0</v>
      </c>
      <c r="X32" s="90">
        <f t="shared" si="104"/>
        <v>0</v>
      </c>
      <c r="Y32" s="90">
        <f t="shared" si="104"/>
        <v>0</v>
      </c>
      <c r="Z32" s="90">
        <f t="shared" si="104"/>
        <v>0</v>
      </c>
      <c r="AA32" s="90">
        <f t="shared" si="104"/>
        <v>0</v>
      </c>
      <c r="AB32" s="90">
        <f t="shared" si="104"/>
        <v>0</v>
      </c>
      <c r="AC32" s="90">
        <f t="shared" si="104"/>
        <v>0</v>
      </c>
      <c r="AD32" s="90">
        <f t="shared" si="104"/>
        <v>0</v>
      </c>
      <c r="AE32" s="90">
        <f t="shared" si="104"/>
        <v>0</v>
      </c>
      <c r="AF32" s="90">
        <f t="shared" si="104"/>
        <v>0</v>
      </c>
      <c r="AG32" s="90">
        <f t="shared" si="104"/>
        <v>0</v>
      </c>
      <c r="AH32" s="90">
        <f t="shared" si="104"/>
        <v>0</v>
      </c>
      <c r="AI32" s="90">
        <f t="shared" si="104"/>
        <v>0</v>
      </c>
      <c r="AJ32" s="90">
        <f t="shared" si="104"/>
        <v>0</v>
      </c>
      <c r="AK32" s="90">
        <f t="shared" si="104"/>
        <v>0</v>
      </c>
      <c r="AL32" s="90">
        <f t="shared" ref="AL32:BM32" si="105">IF(0.845*AL18=0, 0, AL24*100/(0.845*AL18))</f>
        <v>0</v>
      </c>
      <c r="AM32" s="90">
        <f t="shared" si="105"/>
        <v>0</v>
      </c>
      <c r="AN32" s="90">
        <f t="shared" si="105"/>
        <v>0</v>
      </c>
      <c r="AO32" s="90">
        <f t="shared" si="105"/>
        <v>0</v>
      </c>
      <c r="AP32" s="90">
        <f t="shared" si="105"/>
        <v>0</v>
      </c>
      <c r="AQ32" s="90">
        <f t="shared" si="105"/>
        <v>0</v>
      </c>
      <c r="AR32" s="90">
        <f t="shared" si="105"/>
        <v>0</v>
      </c>
      <c r="AS32" s="90">
        <f t="shared" si="105"/>
        <v>0</v>
      </c>
      <c r="AT32" s="90">
        <f t="shared" si="105"/>
        <v>0</v>
      </c>
      <c r="AU32" s="90">
        <f t="shared" si="105"/>
        <v>0</v>
      </c>
      <c r="AV32" s="90">
        <f t="shared" si="105"/>
        <v>0</v>
      </c>
      <c r="AW32" s="90">
        <f t="shared" si="105"/>
        <v>0</v>
      </c>
      <c r="AX32" s="90">
        <f t="shared" si="105"/>
        <v>0</v>
      </c>
      <c r="AY32" s="90">
        <f t="shared" si="105"/>
        <v>0</v>
      </c>
      <c r="AZ32" s="90">
        <f t="shared" si="105"/>
        <v>0</v>
      </c>
      <c r="BA32" s="90">
        <f t="shared" si="105"/>
        <v>0</v>
      </c>
      <c r="BB32" s="90">
        <f t="shared" si="105"/>
        <v>0</v>
      </c>
      <c r="BC32" s="90">
        <f t="shared" si="105"/>
        <v>0</v>
      </c>
      <c r="BD32" s="90">
        <f t="shared" si="105"/>
        <v>0</v>
      </c>
      <c r="BE32" s="90">
        <f t="shared" si="105"/>
        <v>0</v>
      </c>
      <c r="BF32" s="90">
        <f t="shared" si="105"/>
        <v>0</v>
      </c>
      <c r="BG32" s="90">
        <f t="shared" si="105"/>
        <v>0</v>
      </c>
      <c r="BH32" s="90">
        <f t="shared" si="105"/>
        <v>0</v>
      </c>
      <c r="BI32" s="90">
        <f t="shared" si="105"/>
        <v>0</v>
      </c>
      <c r="BJ32" s="90">
        <f t="shared" si="105"/>
        <v>0</v>
      </c>
      <c r="BK32" s="90">
        <f t="shared" si="105"/>
        <v>0</v>
      </c>
      <c r="BL32" s="90">
        <f t="shared" si="105"/>
        <v>0</v>
      </c>
      <c r="BM32" s="90">
        <f t="shared" si="105"/>
        <v>0</v>
      </c>
    </row>
    <row r="33" spans="1:121" ht="15" thickBot="1" x14ac:dyDescent="0.35">
      <c r="A33" s="66"/>
      <c r="B33" s="74"/>
      <c r="C33" s="86">
        <v>3</v>
      </c>
      <c r="D33" s="91">
        <f t="shared" ref="D33:E33" si="106">IF(0.845*D19=0, 0, D25*100/(0.845*D19))</f>
        <v>0</v>
      </c>
      <c r="E33" s="91">
        <f t="shared" si="106"/>
        <v>0</v>
      </c>
      <c r="F33" s="91">
        <f t="shared" ref="F33:AK33" si="107">IF(0.845*F19=0, 0, F25*100/(0.845*F19))</f>
        <v>0</v>
      </c>
      <c r="G33" s="91">
        <f t="shared" si="107"/>
        <v>0</v>
      </c>
      <c r="H33" s="91">
        <f t="shared" si="107"/>
        <v>0</v>
      </c>
      <c r="I33" s="91">
        <f t="shared" si="107"/>
        <v>0</v>
      </c>
      <c r="J33" s="91">
        <f t="shared" si="107"/>
        <v>0</v>
      </c>
      <c r="K33" s="91">
        <f t="shared" si="107"/>
        <v>0</v>
      </c>
      <c r="L33" s="91">
        <f t="shared" si="107"/>
        <v>0</v>
      </c>
      <c r="M33" s="91">
        <f t="shared" si="107"/>
        <v>0</v>
      </c>
      <c r="N33" s="91">
        <f t="shared" si="107"/>
        <v>0</v>
      </c>
      <c r="O33" s="91">
        <f t="shared" si="107"/>
        <v>0</v>
      </c>
      <c r="P33" s="91">
        <f t="shared" si="107"/>
        <v>0</v>
      </c>
      <c r="Q33" s="91">
        <f t="shared" si="107"/>
        <v>0</v>
      </c>
      <c r="R33" s="91">
        <f t="shared" si="107"/>
        <v>0</v>
      </c>
      <c r="S33" s="91">
        <f t="shared" si="107"/>
        <v>0</v>
      </c>
      <c r="T33" s="91">
        <f t="shared" si="107"/>
        <v>0</v>
      </c>
      <c r="U33" s="91">
        <f t="shared" si="107"/>
        <v>0</v>
      </c>
      <c r="V33" s="91">
        <f t="shared" si="107"/>
        <v>0</v>
      </c>
      <c r="W33" s="91">
        <f t="shared" si="107"/>
        <v>0</v>
      </c>
      <c r="X33" s="91">
        <f t="shared" si="107"/>
        <v>0</v>
      </c>
      <c r="Y33" s="91">
        <f t="shared" si="107"/>
        <v>0</v>
      </c>
      <c r="Z33" s="91">
        <f t="shared" si="107"/>
        <v>0</v>
      </c>
      <c r="AA33" s="91">
        <f t="shared" si="107"/>
        <v>0</v>
      </c>
      <c r="AB33" s="91">
        <f t="shared" si="107"/>
        <v>0</v>
      </c>
      <c r="AC33" s="91">
        <f t="shared" si="107"/>
        <v>0</v>
      </c>
      <c r="AD33" s="91">
        <f t="shared" si="107"/>
        <v>0</v>
      </c>
      <c r="AE33" s="91">
        <f t="shared" si="107"/>
        <v>0</v>
      </c>
      <c r="AF33" s="91">
        <f t="shared" si="107"/>
        <v>0</v>
      </c>
      <c r="AG33" s="91">
        <f t="shared" si="107"/>
        <v>0</v>
      </c>
      <c r="AH33" s="91">
        <f t="shared" si="107"/>
        <v>0</v>
      </c>
      <c r="AI33" s="91">
        <f t="shared" si="107"/>
        <v>0</v>
      </c>
      <c r="AJ33" s="91">
        <f t="shared" si="107"/>
        <v>0</v>
      </c>
      <c r="AK33" s="91">
        <f t="shared" si="107"/>
        <v>0</v>
      </c>
      <c r="AL33" s="91">
        <f t="shared" ref="AL33:BM33" si="108">IF(0.845*AL19=0, 0, AL25*100/(0.845*AL19))</f>
        <v>0</v>
      </c>
      <c r="AM33" s="91">
        <f t="shared" si="108"/>
        <v>0</v>
      </c>
      <c r="AN33" s="91">
        <f t="shared" si="108"/>
        <v>0</v>
      </c>
      <c r="AO33" s="91">
        <f t="shared" si="108"/>
        <v>0</v>
      </c>
      <c r="AP33" s="91">
        <f t="shared" si="108"/>
        <v>0</v>
      </c>
      <c r="AQ33" s="91">
        <f t="shared" si="108"/>
        <v>0</v>
      </c>
      <c r="AR33" s="91">
        <f t="shared" si="108"/>
        <v>0</v>
      </c>
      <c r="AS33" s="91">
        <f t="shared" si="108"/>
        <v>0</v>
      </c>
      <c r="AT33" s="91">
        <f t="shared" si="108"/>
        <v>0</v>
      </c>
      <c r="AU33" s="91">
        <f t="shared" si="108"/>
        <v>0</v>
      </c>
      <c r="AV33" s="91">
        <f t="shared" si="108"/>
        <v>0</v>
      </c>
      <c r="AW33" s="91">
        <f t="shared" si="108"/>
        <v>0</v>
      </c>
      <c r="AX33" s="91">
        <f t="shared" si="108"/>
        <v>0</v>
      </c>
      <c r="AY33" s="91">
        <f t="shared" si="108"/>
        <v>0</v>
      </c>
      <c r="AZ33" s="91">
        <f t="shared" si="108"/>
        <v>0</v>
      </c>
      <c r="BA33" s="91">
        <f t="shared" si="108"/>
        <v>0</v>
      </c>
      <c r="BB33" s="91">
        <f t="shared" si="108"/>
        <v>0</v>
      </c>
      <c r="BC33" s="91">
        <f t="shared" si="108"/>
        <v>0</v>
      </c>
      <c r="BD33" s="91">
        <f t="shared" si="108"/>
        <v>0</v>
      </c>
      <c r="BE33" s="91">
        <f t="shared" si="108"/>
        <v>0</v>
      </c>
      <c r="BF33" s="91">
        <f t="shared" si="108"/>
        <v>0</v>
      </c>
      <c r="BG33" s="91">
        <f t="shared" si="108"/>
        <v>0</v>
      </c>
      <c r="BH33" s="91">
        <f t="shared" si="108"/>
        <v>0</v>
      </c>
      <c r="BI33" s="91">
        <f t="shared" si="108"/>
        <v>0</v>
      </c>
      <c r="BJ33" s="91">
        <f t="shared" si="108"/>
        <v>0</v>
      </c>
      <c r="BK33" s="91">
        <f t="shared" si="108"/>
        <v>0</v>
      </c>
      <c r="BL33" s="91">
        <f t="shared" si="108"/>
        <v>0</v>
      </c>
      <c r="BM33" s="91">
        <f t="shared" si="108"/>
        <v>0</v>
      </c>
    </row>
    <row r="34" spans="1:121" ht="15" thickBot="1" x14ac:dyDescent="0.35">
      <c r="A34" s="66"/>
      <c r="B34" s="74"/>
      <c r="C34" s="27" t="s">
        <v>34</v>
      </c>
      <c r="D34" s="82">
        <f t="shared" ref="D34:E34" si="109">IF(COUNTIF(D31:D33,"&lt;&gt;0")=0,0,AVERAGEIF(D31:D33,"&lt;&gt;0"))</f>
        <v>0</v>
      </c>
      <c r="E34" s="82">
        <f t="shared" si="109"/>
        <v>0</v>
      </c>
      <c r="F34" s="82">
        <f t="shared" ref="F34" si="110">IF(COUNTIF(F31:F33,"&lt;&gt;0")=0,0,AVERAGEIF(F31:F33,"&lt;&gt;0"))</f>
        <v>0</v>
      </c>
      <c r="G34" s="82">
        <f t="shared" ref="G34" si="111">IF(COUNTIF(G31:G33,"&lt;&gt;0")=0,0,AVERAGEIF(G31:G33,"&lt;&gt;0"))</f>
        <v>0</v>
      </c>
      <c r="H34" s="82">
        <f t="shared" ref="H34" si="112">IF(COUNTIF(H31:H33,"&lt;&gt;0")=0,0,AVERAGEIF(H31:H33,"&lt;&gt;0"))</f>
        <v>0</v>
      </c>
      <c r="I34" s="82">
        <f t="shared" ref="I34" si="113">IF(COUNTIF(I31:I33,"&lt;&gt;0")=0,0,AVERAGEIF(I31:I33,"&lt;&gt;0"))</f>
        <v>0</v>
      </c>
      <c r="J34" s="82">
        <f t="shared" ref="J34" si="114">IF(COUNTIF(J31:J33,"&lt;&gt;0")=0,0,AVERAGEIF(J31:J33,"&lt;&gt;0"))</f>
        <v>0</v>
      </c>
      <c r="K34" s="82">
        <f t="shared" ref="K34" si="115">IF(COUNTIF(K31:K33,"&lt;&gt;0")=0,0,AVERAGEIF(K31:K33,"&lt;&gt;0"))</f>
        <v>0</v>
      </c>
      <c r="L34" s="82">
        <f t="shared" ref="L34" si="116">IF(COUNTIF(L31:L33,"&lt;&gt;0")=0,0,AVERAGEIF(L31:L33,"&lt;&gt;0"))</f>
        <v>0</v>
      </c>
      <c r="M34" s="82">
        <f t="shared" ref="M34" si="117">IF(COUNTIF(M31:M33,"&lt;&gt;0")=0,0,AVERAGEIF(M31:M33,"&lt;&gt;0"))</f>
        <v>0</v>
      </c>
      <c r="N34" s="82">
        <f t="shared" ref="N34" si="118">IF(COUNTIF(N31:N33,"&lt;&gt;0")=0,0,AVERAGEIF(N31:N33,"&lt;&gt;0"))</f>
        <v>0</v>
      </c>
      <c r="O34" s="82">
        <f t="shared" ref="O34" si="119">IF(COUNTIF(O31:O33,"&lt;&gt;0")=0,0,AVERAGEIF(O31:O33,"&lt;&gt;0"))</f>
        <v>0</v>
      </c>
      <c r="P34" s="82">
        <f t="shared" ref="P34" si="120">IF(COUNTIF(P31:P33,"&lt;&gt;0")=0,0,AVERAGEIF(P31:P33,"&lt;&gt;0"))</f>
        <v>0</v>
      </c>
      <c r="Q34" s="82">
        <f t="shared" ref="Q34" si="121">IF(COUNTIF(Q31:Q33,"&lt;&gt;0")=0,0,AVERAGEIF(Q31:Q33,"&lt;&gt;0"))</f>
        <v>0</v>
      </c>
      <c r="R34" s="82">
        <f t="shared" ref="R34" si="122">IF(COUNTIF(R31:R33,"&lt;&gt;0")=0,0,AVERAGEIF(R31:R33,"&lt;&gt;0"))</f>
        <v>0</v>
      </c>
      <c r="S34" s="82">
        <f t="shared" ref="S34" si="123">IF(COUNTIF(S31:S33,"&lt;&gt;0")=0,0,AVERAGEIF(S31:S33,"&lt;&gt;0"))</f>
        <v>0</v>
      </c>
      <c r="T34" s="82">
        <f t="shared" ref="T34" si="124">IF(COUNTIF(T31:T33,"&lt;&gt;0")=0,0,AVERAGEIF(T31:T33,"&lt;&gt;0"))</f>
        <v>0</v>
      </c>
      <c r="U34" s="82">
        <f t="shared" ref="U34" si="125">IF(COUNTIF(U31:U33,"&lt;&gt;0")=0,0,AVERAGEIF(U31:U33,"&lt;&gt;0"))</f>
        <v>0</v>
      </c>
      <c r="V34" s="82">
        <f t="shared" ref="V34" si="126">IF(COUNTIF(V31:V33,"&lt;&gt;0")=0,0,AVERAGEIF(V31:V33,"&lt;&gt;0"))</f>
        <v>0</v>
      </c>
      <c r="W34" s="82">
        <f t="shared" ref="W34" si="127">IF(COUNTIF(W31:W33,"&lt;&gt;0")=0,0,AVERAGEIF(W31:W33,"&lt;&gt;0"))</f>
        <v>0</v>
      </c>
      <c r="X34" s="82">
        <f t="shared" ref="X34" si="128">IF(COUNTIF(X31:X33,"&lt;&gt;0")=0,0,AVERAGEIF(X31:X33,"&lt;&gt;0"))</f>
        <v>0</v>
      </c>
      <c r="Y34" s="82">
        <f t="shared" ref="Y34" si="129">IF(COUNTIF(Y31:Y33,"&lt;&gt;0")=0,0,AVERAGEIF(Y31:Y33,"&lt;&gt;0"))</f>
        <v>0</v>
      </c>
      <c r="Z34" s="82">
        <f t="shared" ref="Z34" si="130">IF(COUNTIF(Z31:Z33,"&lt;&gt;0")=0,0,AVERAGEIF(Z31:Z33,"&lt;&gt;0"))</f>
        <v>0</v>
      </c>
      <c r="AA34" s="82">
        <f t="shared" ref="AA34" si="131">IF(COUNTIF(AA31:AA33,"&lt;&gt;0")=0,0,AVERAGEIF(AA31:AA33,"&lt;&gt;0"))</f>
        <v>0</v>
      </c>
      <c r="AB34" s="82">
        <f t="shared" ref="AB34" si="132">IF(COUNTIF(AB31:AB33,"&lt;&gt;0")=0,0,AVERAGEIF(AB31:AB33,"&lt;&gt;0"))</f>
        <v>0</v>
      </c>
      <c r="AC34" s="82">
        <f t="shared" ref="AC34" si="133">IF(COUNTIF(AC31:AC33,"&lt;&gt;0")=0,0,AVERAGEIF(AC31:AC33,"&lt;&gt;0"))</f>
        <v>0</v>
      </c>
      <c r="AD34" s="82">
        <f t="shared" ref="AD34" si="134">IF(COUNTIF(AD31:AD33,"&lt;&gt;0")=0,0,AVERAGEIF(AD31:AD33,"&lt;&gt;0"))</f>
        <v>0</v>
      </c>
      <c r="AE34" s="82">
        <f t="shared" ref="AE34" si="135">IF(COUNTIF(AE31:AE33,"&lt;&gt;0")=0,0,AVERAGEIF(AE31:AE33,"&lt;&gt;0"))</f>
        <v>0</v>
      </c>
      <c r="AF34" s="82">
        <f t="shared" ref="AF34" si="136">IF(COUNTIF(AF31:AF33,"&lt;&gt;0")=0,0,AVERAGEIF(AF31:AF33,"&lt;&gt;0"))</f>
        <v>0</v>
      </c>
      <c r="AG34" s="82">
        <f t="shared" ref="AG34" si="137">IF(COUNTIF(AG31:AG33,"&lt;&gt;0")=0,0,AVERAGEIF(AG31:AG33,"&lt;&gt;0"))</f>
        <v>0</v>
      </c>
      <c r="AH34" s="82">
        <f t="shared" ref="AH34" si="138">IF(COUNTIF(AH31:AH33,"&lt;&gt;0")=0,0,AVERAGEIF(AH31:AH33,"&lt;&gt;0"))</f>
        <v>0</v>
      </c>
      <c r="AI34" s="82">
        <f t="shared" ref="AI34" si="139">IF(COUNTIF(AI31:AI33,"&lt;&gt;0")=0,0,AVERAGEIF(AI31:AI33,"&lt;&gt;0"))</f>
        <v>0</v>
      </c>
      <c r="AJ34" s="82">
        <f t="shared" ref="AJ34" si="140">IF(COUNTIF(AJ31:AJ33,"&lt;&gt;0")=0,0,AVERAGEIF(AJ31:AJ33,"&lt;&gt;0"))</f>
        <v>0</v>
      </c>
      <c r="AK34" s="82">
        <f t="shared" ref="AK34" si="141">IF(COUNTIF(AK31:AK33,"&lt;&gt;0")=0,0,AVERAGEIF(AK31:AK33,"&lt;&gt;0"))</f>
        <v>0</v>
      </c>
      <c r="AL34" s="82">
        <f t="shared" ref="AL34" si="142">IF(COUNTIF(AL31:AL33,"&lt;&gt;0")=0,0,AVERAGEIF(AL31:AL33,"&lt;&gt;0"))</f>
        <v>0</v>
      </c>
      <c r="AM34" s="82">
        <f t="shared" ref="AM34" si="143">IF(COUNTIF(AM31:AM33,"&lt;&gt;0")=0,0,AVERAGEIF(AM31:AM33,"&lt;&gt;0"))</f>
        <v>0</v>
      </c>
      <c r="AN34" s="82">
        <f t="shared" ref="AN34" si="144">IF(COUNTIF(AN31:AN33,"&lt;&gt;0")=0,0,AVERAGEIF(AN31:AN33,"&lt;&gt;0"))</f>
        <v>0</v>
      </c>
      <c r="AO34" s="82">
        <f t="shared" ref="AO34" si="145">IF(COUNTIF(AO31:AO33,"&lt;&gt;0")=0,0,AVERAGEIF(AO31:AO33,"&lt;&gt;0"))</f>
        <v>0</v>
      </c>
      <c r="AP34" s="82">
        <f t="shared" ref="AP34" si="146">IF(COUNTIF(AP31:AP33,"&lt;&gt;0")=0,0,AVERAGEIF(AP31:AP33,"&lt;&gt;0"))</f>
        <v>0</v>
      </c>
      <c r="AQ34" s="82">
        <f t="shared" ref="AQ34" si="147">IF(COUNTIF(AQ31:AQ33,"&lt;&gt;0")=0,0,AVERAGEIF(AQ31:AQ33,"&lt;&gt;0"))</f>
        <v>0</v>
      </c>
      <c r="AR34" s="82">
        <f t="shared" ref="AR34" si="148">IF(COUNTIF(AR31:AR33,"&lt;&gt;0")=0,0,AVERAGEIF(AR31:AR33,"&lt;&gt;0"))</f>
        <v>0</v>
      </c>
      <c r="AS34" s="82">
        <f t="shared" ref="AS34" si="149">IF(COUNTIF(AS31:AS33,"&lt;&gt;0")=0,0,AVERAGEIF(AS31:AS33,"&lt;&gt;0"))</f>
        <v>0</v>
      </c>
      <c r="AT34" s="82">
        <f t="shared" ref="AT34" si="150">IF(COUNTIF(AT31:AT33,"&lt;&gt;0")=0,0,AVERAGEIF(AT31:AT33,"&lt;&gt;0"))</f>
        <v>0</v>
      </c>
      <c r="AU34" s="82">
        <f t="shared" ref="AU34" si="151">IF(COUNTIF(AU31:AU33,"&lt;&gt;0")=0,0,AVERAGEIF(AU31:AU33,"&lt;&gt;0"))</f>
        <v>0</v>
      </c>
      <c r="AV34" s="82">
        <f t="shared" ref="AV34" si="152">IF(COUNTIF(AV31:AV33,"&lt;&gt;0")=0,0,AVERAGEIF(AV31:AV33,"&lt;&gt;0"))</f>
        <v>0</v>
      </c>
      <c r="AW34" s="82">
        <f t="shared" ref="AW34" si="153">IF(COUNTIF(AW31:AW33,"&lt;&gt;0")=0,0,AVERAGEIF(AW31:AW33,"&lt;&gt;0"))</f>
        <v>0</v>
      </c>
      <c r="AX34" s="82">
        <f t="shared" ref="AX34" si="154">IF(COUNTIF(AX31:AX33,"&lt;&gt;0")=0,0,AVERAGEIF(AX31:AX33,"&lt;&gt;0"))</f>
        <v>0</v>
      </c>
      <c r="AY34" s="82">
        <f t="shared" ref="AY34" si="155">IF(COUNTIF(AY31:AY33,"&lt;&gt;0")=0,0,AVERAGEIF(AY31:AY33,"&lt;&gt;0"))</f>
        <v>0</v>
      </c>
      <c r="AZ34" s="82">
        <f t="shared" ref="AZ34" si="156">IF(COUNTIF(AZ31:AZ33,"&lt;&gt;0")=0,0,AVERAGEIF(AZ31:AZ33,"&lt;&gt;0"))</f>
        <v>0</v>
      </c>
      <c r="BA34" s="82">
        <f t="shared" ref="BA34" si="157">IF(COUNTIF(BA31:BA33,"&lt;&gt;0")=0,0,AVERAGEIF(BA31:BA33,"&lt;&gt;0"))</f>
        <v>0</v>
      </c>
      <c r="BB34" s="82">
        <f t="shared" ref="BB34" si="158">IF(COUNTIF(BB31:BB33,"&lt;&gt;0")=0,0,AVERAGEIF(BB31:BB33,"&lt;&gt;0"))</f>
        <v>0</v>
      </c>
      <c r="BC34" s="82">
        <f t="shared" ref="BC34" si="159">IF(COUNTIF(BC31:BC33,"&lt;&gt;0")=0,0,AVERAGEIF(BC31:BC33,"&lt;&gt;0"))</f>
        <v>0</v>
      </c>
      <c r="BD34" s="82">
        <f t="shared" ref="BD34" si="160">IF(COUNTIF(BD31:BD33,"&lt;&gt;0")=0,0,AVERAGEIF(BD31:BD33,"&lt;&gt;0"))</f>
        <v>0</v>
      </c>
      <c r="BE34" s="82">
        <f t="shared" ref="BE34" si="161">IF(COUNTIF(BE31:BE33,"&lt;&gt;0")=0,0,AVERAGEIF(BE31:BE33,"&lt;&gt;0"))</f>
        <v>0</v>
      </c>
      <c r="BF34" s="82">
        <f t="shared" ref="BF34" si="162">IF(COUNTIF(BF31:BF33,"&lt;&gt;0")=0,0,AVERAGEIF(BF31:BF33,"&lt;&gt;0"))</f>
        <v>0</v>
      </c>
      <c r="BG34" s="82">
        <f t="shared" ref="BG34" si="163">IF(COUNTIF(BG31:BG33,"&lt;&gt;0")=0,0,AVERAGEIF(BG31:BG33,"&lt;&gt;0"))</f>
        <v>0</v>
      </c>
      <c r="BH34" s="82">
        <f t="shared" ref="BH34" si="164">IF(COUNTIF(BH31:BH33,"&lt;&gt;0")=0,0,AVERAGEIF(BH31:BH33,"&lt;&gt;0"))</f>
        <v>0</v>
      </c>
      <c r="BI34" s="82">
        <f t="shared" ref="BI34" si="165">IF(COUNTIF(BI31:BI33,"&lt;&gt;0")=0,0,AVERAGEIF(BI31:BI33,"&lt;&gt;0"))</f>
        <v>0</v>
      </c>
      <c r="BJ34" s="82">
        <f t="shared" ref="BJ34" si="166">IF(COUNTIF(BJ31:BJ33,"&lt;&gt;0")=0,0,AVERAGEIF(BJ31:BJ33,"&lt;&gt;0"))</f>
        <v>0</v>
      </c>
      <c r="BK34" s="82">
        <f t="shared" ref="BK34" si="167">IF(COUNTIF(BK31:BK33,"&lt;&gt;0")=0,0,AVERAGEIF(BK31:BK33,"&lt;&gt;0"))</f>
        <v>0</v>
      </c>
      <c r="BL34" s="82">
        <f t="shared" ref="BL34" si="168">IF(COUNTIF(BL31:BL33,"&lt;&gt;0")=0,0,AVERAGEIF(BL31:BL33,"&lt;&gt;0"))</f>
        <v>0</v>
      </c>
      <c r="BM34" s="82">
        <f t="shared" ref="BM34" si="169">IF(COUNTIF(BM31:BM33,"&lt;&gt;0")=0,0,AVERAGEIF(BM31:BM33,"&lt;&gt;0"))</f>
        <v>0</v>
      </c>
    </row>
    <row r="35" spans="1:121" x14ac:dyDescent="0.3">
      <c r="A35" s="66"/>
      <c r="B35" s="74" t="s">
        <v>15</v>
      </c>
      <c r="C35" s="38">
        <v>1</v>
      </c>
      <c r="D35" s="96">
        <f t="shared" ref="D35:S35" si="170">D31/(100-D31)</f>
        <v>0</v>
      </c>
      <c r="E35" s="43">
        <f t="shared" si="170"/>
        <v>0</v>
      </c>
      <c r="F35" s="33">
        <f t="shared" si="170"/>
        <v>0</v>
      </c>
      <c r="G35" s="43">
        <f t="shared" si="170"/>
        <v>0</v>
      </c>
      <c r="H35" s="33">
        <f t="shared" si="170"/>
        <v>0</v>
      </c>
      <c r="I35" s="43">
        <f t="shared" si="170"/>
        <v>0</v>
      </c>
      <c r="J35" s="33">
        <f t="shared" si="170"/>
        <v>0</v>
      </c>
      <c r="K35" s="43">
        <f t="shared" si="170"/>
        <v>0</v>
      </c>
      <c r="L35" s="33">
        <f t="shared" si="170"/>
        <v>0</v>
      </c>
      <c r="M35" s="43">
        <f t="shared" si="170"/>
        <v>0</v>
      </c>
      <c r="N35" s="33">
        <f t="shared" si="170"/>
        <v>0</v>
      </c>
      <c r="O35" s="43">
        <f t="shared" si="170"/>
        <v>0</v>
      </c>
      <c r="P35" s="33">
        <f t="shared" si="170"/>
        <v>0</v>
      </c>
      <c r="Q35" s="43">
        <f t="shared" si="170"/>
        <v>0</v>
      </c>
      <c r="R35" s="33">
        <f t="shared" si="170"/>
        <v>0</v>
      </c>
      <c r="S35" s="43">
        <f t="shared" si="170"/>
        <v>0</v>
      </c>
      <c r="T35" s="33">
        <f t="shared" ref="T35:AI35" si="171">T31/(100-T31)</f>
        <v>0</v>
      </c>
      <c r="U35" s="43">
        <f t="shared" si="171"/>
        <v>0</v>
      </c>
      <c r="V35" s="33">
        <f t="shared" si="171"/>
        <v>0</v>
      </c>
      <c r="W35" s="43">
        <f t="shared" si="171"/>
        <v>0</v>
      </c>
      <c r="X35" s="33">
        <f t="shared" si="171"/>
        <v>0</v>
      </c>
      <c r="Y35" s="43">
        <f t="shared" si="171"/>
        <v>0</v>
      </c>
      <c r="Z35" s="33">
        <f t="shared" si="171"/>
        <v>0</v>
      </c>
      <c r="AA35" s="43">
        <f t="shared" si="171"/>
        <v>0</v>
      </c>
      <c r="AB35" s="33">
        <f t="shared" si="171"/>
        <v>0</v>
      </c>
      <c r="AC35" s="43">
        <f t="shared" si="171"/>
        <v>0</v>
      </c>
      <c r="AD35" s="33">
        <f t="shared" si="171"/>
        <v>0</v>
      </c>
      <c r="AE35" s="43">
        <f t="shared" si="171"/>
        <v>0</v>
      </c>
      <c r="AF35" s="33">
        <f t="shared" si="171"/>
        <v>0</v>
      </c>
      <c r="AG35" s="43">
        <f t="shared" si="171"/>
        <v>0</v>
      </c>
      <c r="AH35" s="33">
        <f t="shared" si="171"/>
        <v>0</v>
      </c>
      <c r="AI35" s="43">
        <f t="shared" si="171"/>
        <v>0</v>
      </c>
      <c r="AJ35" s="33">
        <f t="shared" ref="AJ35:AY35" si="172">AJ31/(100-AJ31)</f>
        <v>0</v>
      </c>
      <c r="AK35" s="43">
        <f t="shared" si="172"/>
        <v>0</v>
      </c>
      <c r="AL35" s="33">
        <f t="shared" si="172"/>
        <v>0</v>
      </c>
      <c r="AM35" s="43">
        <f t="shared" si="172"/>
        <v>0</v>
      </c>
      <c r="AN35" s="33">
        <f t="shared" si="172"/>
        <v>0</v>
      </c>
      <c r="AO35" s="43">
        <f t="shared" si="172"/>
        <v>0</v>
      </c>
      <c r="AP35" s="33">
        <f t="shared" si="172"/>
        <v>0</v>
      </c>
      <c r="AQ35" s="43">
        <f t="shared" si="172"/>
        <v>0</v>
      </c>
      <c r="AR35" s="33">
        <f t="shared" si="172"/>
        <v>0</v>
      </c>
      <c r="AS35" s="43">
        <f t="shared" si="172"/>
        <v>0</v>
      </c>
      <c r="AT35" s="33">
        <f t="shared" si="172"/>
        <v>0</v>
      </c>
      <c r="AU35" s="43">
        <f t="shared" si="172"/>
        <v>0</v>
      </c>
      <c r="AV35" s="33">
        <f t="shared" si="172"/>
        <v>0</v>
      </c>
      <c r="AW35" s="43">
        <f t="shared" si="172"/>
        <v>0</v>
      </c>
      <c r="AX35" s="33">
        <f t="shared" si="172"/>
        <v>0</v>
      </c>
      <c r="AY35" s="43">
        <f t="shared" si="172"/>
        <v>0</v>
      </c>
      <c r="AZ35" s="33">
        <f t="shared" ref="AZ35:BM35" si="173">AZ31/(100-AZ31)</f>
        <v>0</v>
      </c>
      <c r="BA35" s="43">
        <f t="shared" si="173"/>
        <v>0</v>
      </c>
      <c r="BB35" s="33">
        <f t="shared" si="173"/>
        <v>0</v>
      </c>
      <c r="BC35" s="43">
        <f t="shared" si="173"/>
        <v>0</v>
      </c>
      <c r="BD35" s="33">
        <f t="shared" si="173"/>
        <v>0</v>
      </c>
      <c r="BE35" s="43">
        <f t="shared" si="173"/>
        <v>0</v>
      </c>
      <c r="BF35" s="33">
        <f t="shared" si="173"/>
        <v>0</v>
      </c>
      <c r="BG35" s="43">
        <f t="shared" si="173"/>
        <v>0</v>
      </c>
      <c r="BH35" s="33">
        <f t="shared" si="173"/>
        <v>0</v>
      </c>
      <c r="BI35" s="43">
        <f t="shared" si="173"/>
        <v>0</v>
      </c>
      <c r="BJ35" s="33">
        <f t="shared" si="173"/>
        <v>0</v>
      </c>
      <c r="BK35" s="43">
        <f t="shared" si="173"/>
        <v>0</v>
      </c>
      <c r="BL35" s="33">
        <f t="shared" si="173"/>
        <v>0</v>
      </c>
      <c r="BM35" s="43">
        <f t="shared" si="173"/>
        <v>0</v>
      </c>
    </row>
    <row r="36" spans="1:121" x14ac:dyDescent="0.3">
      <c r="A36" s="66"/>
      <c r="B36" s="74"/>
      <c r="C36" s="34">
        <v>2</v>
      </c>
      <c r="D36" s="90">
        <f t="shared" ref="D36:S36" si="174">D32/(100-D32)</f>
        <v>0</v>
      </c>
      <c r="E36" s="42">
        <f t="shared" si="174"/>
        <v>0</v>
      </c>
      <c r="F36" s="32">
        <f t="shared" si="174"/>
        <v>0</v>
      </c>
      <c r="G36" s="42">
        <f t="shared" si="174"/>
        <v>0</v>
      </c>
      <c r="H36" s="32">
        <f t="shared" si="174"/>
        <v>0</v>
      </c>
      <c r="I36" s="42">
        <f t="shared" si="174"/>
        <v>0</v>
      </c>
      <c r="J36" s="32">
        <f t="shared" si="174"/>
        <v>0</v>
      </c>
      <c r="K36" s="42">
        <f t="shared" si="174"/>
        <v>0</v>
      </c>
      <c r="L36" s="32">
        <f t="shared" si="174"/>
        <v>0</v>
      </c>
      <c r="M36" s="42">
        <f t="shared" si="174"/>
        <v>0</v>
      </c>
      <c r="N36" s="32">
        <f t="shared" si="174"/>
        <v>0</v>
      </c>
      <c r="O36" s="42">
        <f t="shared" si="174"/>
        <v>0</v>
      </c>
      <c r="P36" s="32">
        <f t="shared" si="174"/>
        <v>0</v>
      </c>
      <c r="Q36" s="42">
        <f t="shared" si="174"/>
        <v>0</v>
      </c>
      <c r="R36" s="32">
        <f t="shared" si="174"/>
        <v>0</v>
      </c>
      <c r="S36" s="42">
        <f t="shared" si="174"/>
        <v>0</v>
      </c>
      <c r="T36" s="32">
        <f t="shared" ref="T36:AI36" si="175">T32/(100-T32)</f>
        <v>0</v>
      </c>
      <c r="U36" s="42">
        <f t="shared" si="175"/>
        <v>0</v>
      </c>
      <c r="V36" s="32">
        <f t="shared" si="175"/>
        <v>0</v>
      </c>
      <c r="W36" s="42">
        <f t="shared" si="175"/>
        <v>0</v>
      </c>
      <c r="X36" s="32">
        <f t="shared" si="175"/>
        <v>0</v>
      </c>
      <c r="Y36" s="42">
        <f t="shared" si="175"/>
        <v>0</v>
      </c>
      <c r="Z36" s="32">
        <f t="shared" si="175"/>
        <v>0</v>
      </c>
      <c r="AA36" s="42">
        <f t="shared" si="175"/>
        <v>0</v>
      </c>
      <c r="AB36" s="32">
        <f t="shared" si="175"/>
        <v>0</v>
      </c>
      <c r="AC36" s="42">
        <f t="shared" si="175"/>
        <v>0</v>
      </c>
      <c r="AD36" s="32">
        <f t="shared" si="175"/>
        <v>0</v>
      </c>
      <c r="AE36" s="42">
        <f t="shared" si="175"/>
        <v>0</v>
      </c>
      <c r="AF36" s="32">
        <f t="shared" si="175"/>
        <v>0</v>
      </c>
      <c r="AG36" s="42">
        <f t="shared" si="175"/>
        <v>0</v>
      </c>
      <c r="AH36" s="32">
        <f t="shared" si="175"/>
        <v>0</v>
      </c>
      <c r="AI36" s="42">
        <f t="shared" si="175"/>
        <v>0</v>
      </c>
      <c r="AJ36" s="32">
        <f t="shared" ref="AJ36:AY36" si="176">AJ32/(100-AJ32)</f>
        <v>0</v>
      </c>
      <c r="AK36" s="42">
        <f t="shared" si="176"/>
        <v>0</v>
      </c>
      <c r="AL36" s="32">
        <f t="shared" si="176"/>
        <v>0</v>
      </c>
      <c r="AM36" s="42">
        <f t="shared" si="176"/>
        <v>0</v>
      </c>
      <c r="AN36" s="32">
        <f t="shared" si="176"/>
        <v>0</v>
      </c>
      <c r="AO36" s="42">
        <f t="shared" si="176"/>
        <v>0</v>
      </c>
      <c r="AP36" s="32">
        <f t="shared" si="176"/>
        <v>0</v>
      </c>
      <c r="AQ36" s="42">
        <f t="shared" si="176"/>
        <v>0</v>
      </c>
      <c r="AR36" s="32">
        <f t="shared" si="176"/>
        <v>0</v>
      </c>
      <c r="AS36" s="42">
        <f t="shared" si="176"/>
        <v>0</v>
      </c>
      <c r="AT36" s="32">
        <f t="shared" si="176"/>
        <v>0</v>
      </c>
      <c r="AU36" s="42">
        <f t="shared" si="176"/>
        <v>0</v>
      </c>
      <c r="AV36" s="32">
        <f t="shared" si="176"/>
        <v>0</v>
      </c>
      <c r="AW36" s="42">
        <f t="shared" si="176"/>
        <v>0</v>
      </c>
      <c r="AX36" s="32">
        <f t="shared" si="176"/>
        <v>0</v>
      </c>
      <c r="AY36" s="42">
        <f t="shared" si="176"/>
        <v>0</v>
      </c>
      <c r="AZ36" s="32">
        <f t="shared" ref="AZ36:BM36" si="177">AZ32/(100-AZ32)</f>
        <v>0</v>
      </c>
      <c r="BA36" s="42">
        <f t="shared" si="177"/>
        <v>0</v>
      </c>
      <c r="BB36" s="32">
        <f t="shared" si="177"/>
        <v>0</v>
      </c>
      <c r="BC36" s="42">
        <f t="shared" si="177"/>
        <v>0</v>
      </c>
      <c r="BD36" s="32">
        <f t="shared" si="177"/>
        <v>0</v>
      </c>
      <c r="BE36" s="42">
        <f t="shared" si="177"/>
        <v>0</v>
      </c>
      <c r="BF36" s="32">
        <f t="shared" si="177"/>
        <v>0</v>
      </c>
      <c r="BG36" s="42">
        <f t="shared" si="177"/>
        <v>0</v>
      </c>
      <c r="BH36" s="32">
        <f t="shared" si="177"/>
        <v>0</v>
      </c>
      <c r="BI36" s="42">
        <f t="shared" si="177"/>
        <v>0</v>
      </c>
      <c r="BJ36" s="32">
        <f t="shared" si="177"/>
        <v>0</v>
      </c>
      <c r="BK36" s="42">
        <f t="shared" si="177"/>
        <v>0</v>
      </c>
      <c r="BL36" s="32">
        <f t="shared" si="177"/>
        <v>0</v>
      </c>
      <c r="BM36" s="42">
        <f t="shared" si="177"/>
        <v>0</v>
      </c>
    </row>
    <row r="37" spans="1:121" s="12" customFormat="1" ht="15" thickBot="1" x14ac:dyDescent="0.35">
      <c r="A37" s="66"/>
      <c r="B37" s="74"/>
      <c r="C37" s="35">
        <v>3</v>
      </c>
      <c r="D37" s="91">
        <f>D33/(100-D33)</f>
        <v>0</v>
      </c>
      <c r="E37" s="83">
        <f t="shared" ref="E37:AJ37" si="178">E33/(100-E33)</f>
        <v>0</v>
      </c>
      <c r="F37" s="81">
        <f t="shared" si="178"/>
        <v>0</v>
      </c>
      <c r="G37" s="83">
        <f t="shared" si="178"/>
        <v>0</v>
      </c>
      <c r="H37" s="81">
        <f t="shared" si="178"/>
        <v>0</v>
      </c>
      <c r="I37" s="83">
        <f t="shared" si="178"/>
        <v>0</v>
      </c>
      <c r="J37" s="81">
        <f t="shared" si="178"/>
        <v>0</v>
      </c>
      <c r="K37" s="83">
        <f t="shared" si="178"/>
        <v>0</v>
      </c>
      <c r="L37" s="81">
        <f t="shared" si="178"/>
        <v>0</v>
      </c>
      <c r="M37" s="83">
        <f t="shared" si="178"/>
        <v>0</v>
      </c>
      <c r="N37" s="81">
        <f t="shared" si="178"/>
        <v>0</v>
      </c>
      <c r="O37" s="83">
        <f t="shared" si="178"/>
        <v>0</v>
      </c>
      <c r="P37" s="81">
        <f t="shared" si="178"/>
        <v>0</v>
      </c>
      <c r="Q37" s="83">
        <f t="shared" si="178"/>
        <v>0</v>
      </c>
      <c r="R37" s="81">
        <f t="shared" si="178"/>
        <v>0</v>
      </c>
      <c r="S37" s="83">
        <f t="shared" si="178"/>
        <v>0</v>
      </c>
      <c r="T37" s="81">
        <f t="shared" si="178"/>
        <v>0</v>
      </c>
      <c r="U37" s="83">
        <f t="shared" si="178"/>
        <v>0</v>
      </c>
      <c r="V37" s="81">
        <f t="shared" si="178"/>
        <v>0</v>
      </c>
      <c r="W37" s="83">
        <f t="shared" si="178"/>
        <v>0</v>
      </c>
      <c r="X37" s="81">
        <f t="shared" si="178"/>
        <v>0</v>
      </c>
      <c r="Y37" s="83">
        <f t="shared" si="178"/>
        <v>0</v>
      </c>
      <c r="Z37" s="81">
        <f t="shared" si="178"/>
        <v>0</v>
      </c>
      <c r="AA37" s="83">
        <f t="shared" si="178"/>
        <v>0</v>
      </c>
      <c r="AB37" s="81">
        <f t="shared" si="178"/>
        <v>0</v>
      </c>
      <c r="AC37" s="83">
        <f t="shared" si="178"/>
        <v>0</v>
      </c>
      <c r="AD37" s="81">
        <f t="shared" si="178"/>
        <v>0</v>
      </c>
      <c r="AE37" s="83">
        <f t="shared" si="178"/>
        <v>0</v>
      </c>
      <c r="AF37" s="81">
        <f t="shared" si="178"/>
        <v>0</v>
      </c>
      <c r="AG37" s="83">
        <f t="shared" si="178"/>
        <v>0</v>
      </c>
      <c r="AH37" s="81">
        <f t="shared" si="178"/>
        <v>0</v>
      </c>
      <c r="AI37" s="83">
        <f t="shared" si="178"/>
        <v>0</v>
      </c>
      <c r="AJ37" s="81">
        <f t="shared" si="178"/>
        <v>0</v>
      </c>
      <c r="AK37" s="83">
        <f t="shared" ref="AK37:BM37" si="179">AK33/(100-AK33)</f>
        <v>0</v>
      </c>
      <c r="AL37" s="81">
        <f t="shared" si="179"/>
        <v>0</v>
      </c>
      <c r="AM37" s="83">
        <f t="shared" si="179"/>
        <v>0</v>
      </c>
      <c r="AN37" s="81">
        <f t="shared" si="179"/>
        <v>0</v>
      </c>
      <c r="AO37" s="83">
        <f t="shared" si="179"/>
        <v>0</v>
      </c>
      <c r="AP37" s="81">
        <f t="shared" si="179"/>
        <v>0</v>
      </c>
      <c r="AQ37" s="83">
        <f t="shared" si="179"/>
        <v>0</v>
      </c>
      <c r="AR37" s="81">
        <f t="shared" si="179"/>
        <v>0</v>
      </c>
      <c r="AS37" s="83">
        <f t="shared" si="179"/>
        <v>0</v>
      </c>
      <c r="AT37" s="81">
        <f t="shared" si="179"/>
        <v>0</v>
      </c>
      <c r="AU37" s="83">
        <f t="shared" si="179"/>
        <v>0</v>
      </c>
      <c r="AV37" s="81">
        <f t="shared" si="179"/>
        <v>0</v>
      </c>
      <c r="AW37" s="83">
        <f t="shared" si="179"/>
        <v>0</v>
      </c>
      <c r="AX37" s="81">
        <f t="shared" si="179"/>
        <v>0</v>
      </c>
      <c r="AY37" s="83">
        <f t="shared" si="179"/>
        <v>0</v>
      </c>
      <c r="AZ37" s="81">
        <f t="shared" si="179"/>
        <v>0</v>
      </c>
      <c r="BA37" s="83">
        <f t="shared" si="179"/>
        <v>0</v>
      </c>
      <c r="BB37" s="81">
        <f t="shared" si="179"/>
        <v>0</v>
      </c>
      <c r="BC37" s="83">
        <f t="shared" si="179"/>
        <v>0</v>
      </c>
      <c r="BD37" s="81">
        <f t="shared" si="179"/>
        <v>0</v>
      </c>
      <c r="BE37" s="83">
        <f t="shared" si="179"/>
        <v>0</v>
      </c>
      <c r="BF37" s="81">
        <f t="shared" si="179"/>
        <v>0</v>
      </c>
      <c r="BG37" s="83">
        <f t="shared" si="179"/>
        <v>0</v>
      </c>
      <c r="BH37" s="81">
        <f t="shared" si="179"/>
        <v>0</v>
      </c>
      <c r="BI37" s="83">
        <f t="shared" si="179"/>
        <v>0</v>
      </c>
      <c r="BJ37" s="81">
        <f t="shared" si="179"/>
        <v>0</v>
      </c>
      <c r="BK37" s="83">
        <f t="shared" si="179"/>
        <v>0</v>
      </c>
      <c r="BL37" s="81">
        <f t="shared" si="179"/>
        <v>0</v>
      </c>
      <c r="BM37" s="83">
        <f t="shared" si="179"/>
        <v>0</v>
      </c>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row>
    <row r="38" spans="1:121" ht="15" thickBot="1" x14ac:dyDescent="0.35">
      <c r="A38" s="67"/>
      <c r="B38" s="75"/>
      <c r="C38" s="17" t="s">
        <v>34</v>
      </c>
      <c r="D38" s="82">
        <f t="shared" ref="D38" si="180">IF(COUNTIF(D35:D37,"&lt;&gt;0")=0,0,AVERAGEIF(D35:D37,"&lt;&gt;0"))</f>
        <v>0</v>
      </c>
      <c r="E38" s="82">
        <f t="shared" ref="E38" si="181">IF(COUNTIF(E35:E37,"&lt;&gt;0")=0,0,AVERAGEIF(E35:E37,"&lt;&gt;0"))</f>
        <v>0</v>
      </c>
      <c r="F38" s="82">
        <f t="shared" ref="F38" si="182">IF(COUNTIF(F35:F37,"&lt;&gt;0")=0,0,AVERAGEIF(F35:F37,"&lt;&gt;0"))</f>
        <v>0</v>
      </c>
      <c r="G38" s="82">
        <f t="shared" ref="G38" si="183">IF(COUNTIF(G35:G37,"&lt;&gt;0")=0,0,AVERAGEIF(G35:G37,"&lt;&gt;0"))</f>
        <v>0</v>
      </c>
      <c r="H38" s="82">
        <f t="shared" ref="H38" si="184">IF(COUNTIF(H35:H37,"&lt;&gt;0")=0,0,AVERAGEIF(H35:H37,"&lt;&gt;0"))</f>
        <v>0</v>
      </c>
      <c r="I38" s="82">
        <f t="shared" ref="I38" si="185">IF(COUNTIF(I35:I37,"&lt;&gt;0")=0,0,AVERAGEIF(I35:I37,"&lt;&gt;0"))</f>
        <v>0</v>
      </c>
      <c r="J38" s="82">
        <f t="shared" ref="J38" si="186">IF(COUNTIF(J35:J37,"&lt;&gt;0")=0,0,AVERAGEIF(J35:J37,"&lt;&gt;0"))</f>
        <v>0</v>
      </c>
      <c r="K38" s="82">
        <f t="shared" ref="K38" si="187">IF(COUNTIF(K35:K37,"&lt;&gt;0")=0,0,AVERAGEIF(K35:K37,"&lt;&gt;0"))</f>
        <v>0</v>
      </c>
      <c r="L38" s="82">
        <f t="shared" ref="L38" si="188">IF(COUNTIF(L35:L37,"&lt;&gt;0")=0,0,AVERAGEIF(L35:L37,"&lt;&gt;0"))</f>
        <v>0</v>
      </c>
      <c r="M38" s="82">
        <f t="shared" ref="M38" si="189">IF(COUNTIF(M35:M37,"&lt;&gt;0")=0,0,AVERAGEIF(M35:M37,"&lt;&gt;0"))</f>
        <v>0</v>
      </c>
      <c r="N38" s="82">
        <f t="shared" ref="N38" si="190">IF(COUNTIF(N35:N37,"&lt;&gt;0")=0,0,AVERAGEIF(N35:N37,"&lt;&gt;0"))</f>
        <v>0</v>
      </c>
      <c r="O38" s="82">
        <f t="shared" ref="O38" si="191">IF(COUNTIF(O35:O37,"&lt;&gt;0")=0,0,AVERAGEIF(O35:O37,"&lt;&gt;0"))</f>
        <v>0</v>
      </c>
      <c r="P38" s="82">
        <f t="shared" ref="P38" si="192">IF(COUNTIF(P35:P37,"&lt;&gt;0")=0,0,AVERAGEIF(P35:P37,"&lt;&gt;0"))</f>
        <v>0</v>
      </c>
      <c r="Q38" s="82">
        <f t="shared" ref="Q38" si="193">IF(COUNTIF(Q35:Q37,"&lt;&gt;0")=0,0,AVERAGEIF(Q35:Q37,"&lt;&gt;0"))</f>
        <v>0</v>
      </c>
      <c r="R38" s="82">
        <f t="shared" ref="R38" si="194">IF(COUNTIF(R35:R37,"&lt;&gt;0")=0,0,AVERAGEIF(R35:R37,"&lt;&gt;0"))</f>
        <v>0</v>
      </c>
      <c r="S38" s="82">
        <f t="shared" ref="S38" si="195">IF(COUNTIF(S35:S37,"&lt;&gt;0")=0,0,AVERAGEIF(S35:S37,"&lt;&gt;0"))</f>
        <v>0</v>
      </c>
      <c r="T38" s="82">
        <f t="shared" ref="T38" si="196">IF(COUNTIF(T35:T37,"&lt;&gt;0")=0,0,AVERAGEIF(T35:T37,"&lt;&gt;0"))</f>
        <v>0</v>
      </c>
      <c r="U38" s="82">
        <f t="shared" ref="U38" si="197">IF(COUNTIF(U35:U37,"&lt;&gt;0")=0,0,AVERAGEIF(U35:U37,"&lt;&gt;0"))</f>
        <v>0</v>
      </c>
      <c r="V38" s="82">
        <f t="shared" ref="V38" si="198">IF(COUNTIF(V35:V37,"&lt;&gt;0")=0,0,AVERAGEIF(V35:V37,"&lt;&gt;0"))</f>
        <v>0</v>
      </c>
      <c r="W38" s="82">
        <f t="shared" ref="W38" si="199">IF(COUNTIF(W35:W37,"&lt;&gt;0")=0,0,AVERAGEIF(W35:W37,"&lt;&gt;0"))</f>
        <v>0</v>
      </c>
      <c r="X38" s="82">
        <f t="shared" ref="X38" si="200">IF(COUNTIF(X35:X37,"&lt;&gt;0")=0,0,AVERAGEIF(X35:X37,"&lt;&gt;0"))</f>
        <v>0</v>
      </c>
      <c r="Y38" s="82">
        <f t="shared" ref="Y38" si="201">IF(COUNTIF(Y35:Y37,"&lt;&gt;0")=0,0,AVERAGEIF(Y35:Y37,"&lt;&gt;0"))</f>
        <v>0</v>
      </c>
      <c r="Z38" s="82">
        <f t="shared" ref="Z38" si="202">IF(COUNTIF(Z35:Z37,"&lt;&gt;0")=0,0,AVERAGEIF(Z35:Z37,"&lt;&gt;0"))</f>
        <v>0</v>
      </c>
      <c r="AA38" s="82">
        <f t="shared" ref="AA38" si="203">IF(COUNTIF(AA35:AA37,"&lt;&gt;0")=0,0,AVERAGEIF(AA35:AA37,"&lt;&gt;0"))</f>
        <v>0</v>
      </c>
      <c r="AB38" s="82">
        <f t="shared" ref="AB38" si="204">IF(COUNTIF(AB35:AB37,"&lt;&gt;0")=0,0,AVERAGEIF(AB35:AB37,"&lt;&gt;0"))</f>
        <v>0</v>
      </c>
      <c r="AC38" s="82">
        <f t="shared" ref="AC38" si="205">IF(COUNTIF(AC35:AC37,"&lt;&gt;0")=0,0,AVERAGEIF(AC35:AC37,"&lt;&gt;0"))</f>
        <v>0</v>
      </c>
      <c r="AD38" s="82">
        <f t="shared" ref="AD38" si="206">IF(COUNTIF(AD35:AD37,"&lt;&gt;0")=0,0,AVERAGEIF(AD35:AD37,"&lt;&gt;0"))</f>
        <v>0</v>
      </c>
      <c r="AE38" s="82">
        <f t="shared" ref="AE38" si="207">IF(COUNTIF(AE35:AE37,"&lt;&gt;0")=0,0,AVERAGEIF(AE35:AE37,"&lt;&gt;0"))</f>
        <v>0</v>
      </c>
      <c r="AF38" s="82">
        <f t="shared" ref="AF38" si="208">IF(COUNTIF(AF35:AF37,"&lt;&gt;0")=0,0,AVERAGEIF(AF35:AF37,"&lt;&gt;0"))</f>
        <v>0</v>
      </c>
      <c r="AG38" s="82">
        <f t="shared" ref="AG38" si="209">IF(COUNTIF(AG35:AG37,"&lt;&gt;0")=0,0,AVERAGEIF(AG35:AG37,"&lt;&gt;0"))</f>
        <v>0</v>
      </c>
      <c r="AH38" s="82">
        <f t="shared" ref="AH38" si="210">IF(COUNTIF(AH35:AH37,"&lt;&gt;0")=0,0,AVERAGEIF(AH35:AH37,"&lt;&gt;0"))</f>
        <v>0</v>
      </c>
      <c r="AI38" s="82">
        <f t="shared" ref="AI38" si="211">IF(COUNTIF(AI35:AI37,"&lt;&gt;0")=0,0,AVERAGEIF(AI35:AI37,"&lt;&gt;0"))</f>
        <v>0</v>
      </c>
      <c r="AJ38" s="82">
        <f t="shared" ref="AJ38" si="212">IF(COUNTIF(AJ35:AJ37,"&lt;&gt;0")=0,0,AVERAGEIF(AJ35:AJ37,"&lt;&gt;0"))</f>
        <v>0</v>
      </c>
      <c r="AK38" s="82">
        <f t="shared" ref="AK38" si="213">IF(COUNTIF(AK35:AK37,"&lt;&gt;0")=0,0,AVERAGEIF(AK35:AK37,"&lt;&gt;0"))</f>
        <v>0</v>
      </c>
      <c r="AL38" s="82">
        <f t="shared" ref="AL38" si="214">IF(COUNTIF(AL35:AL37,"&lt;&gt;0")=0,0,AVERAGEIF(AL35:AL37,"&lt;&gt;0"))</f>
        <v>0</v>
      </c>
      <c r="AM38" s="82">
        <f t="shared" ref="AM38" si="215">IF(COUNTIF(AM35:AM37,"&lt;&gt;0")=0,0,AVERAGEIF(AM35:AM37,"&lt;&gt;0"))</f>
        <v>0</v>
      </c>
      <c r="AN38" s="82">
        <f t="shared" ref="AN38" si="216">IF(COUNTIF(AN35:AN37,"&lt;&gt;0")=0,0,AVERAGEIF(AN35:AN37,"&lt;&gt;0"))</f>
        <v>0</v>
      </c>
      <c r="AO38" s="82">
        <f t="shared" ref="AO38" si="217">IF(COUNTIF(AO35:AO37,"&lt;&gt;0")=0,0,AVERAGEIF(AO35:AO37,"&lt;&gt;0"))</f>
        <v>0</v>
      </c>
      <c r="AP38" s="82">
        <f t="shared" ref="AP38" si="218">IF(COUNTIF(AP35:AP37,"&lt;&gt;0")=0,0,AVERAGEIF(AP35:AP37,"&lt;&gt;0"))</f>
        <v>0</v>
      </c>
      <c r="AQ38" s="82">
        <f t="shared" ref="AQ38" si="219">IF(COUNTIF(AQ35:AQ37,"&lt;&gt;0")=0,0,AVERAGEIF(AQ35:AQ37,"&lt;&gt;0"))</f>
        <v>0</v>
      </c>
      <c r="AR38" s="82">
        <f t="shared" ref="AR38" si="220">IF(COUNTIF(AR35:AR37,"&lt;&gt;0")=0,0,AVERAGEIF(AR35:AR37,"&lt;&gt;0"))</f>
        <v>0</v>
      </c>
      <c r="AS38" s="82">
        <f t="shared" ref="AS38" si="221">IF(COUNTIF(AS35:AS37,"&lt;&gt;0")=0,0,AVERAGEIF(AS35:AS37,"&lt;&gt;0"))</f>
        <v>0</v>
      </c>
      <c r="AT38" s="82">
        <f t="shared" ref="AT38" si="222">IF(COUNTIF(AT35:AT37,"&lt;&gt;0")=0,0,AVERAGEIF(AT35:AT37,"&lt;&gt;0"))</f>
        <v>0</v>
      </c>
      <c r="AU38" s="82">
        <f t="shared" ref="AU38" si="223">IF(COUNTIF(AU35:AU37,"&lt;&gt;0")=0,0,AVERAGEIF(AU35:AU37,"&lt;&gt;0"))</f>
        <v>0</v>
      </c>
      <c r="AV38" s="82">
        <f t="shared" ref="AV38" si="224">IF(COUNTIF(AV35:AV37,"&lt;&gt;0")=0,0,AVERAGEIF(AV35:AV37,"&lt;&gt;0"))</f>
        <v>0</v>
      </c>
      <c r="AW38" s="82">
        <f t="shared" ref="AW38" si="225">IF(COUNTIF(AW35:AW37,"&lt;&gt;0")=0,0,AVERAGEIF(AW35:AW37,"&lt;&gt;0"))</f>
        <v>0</v>
      </c>
      <c r="AX38" s="82">
        <f t="shared" ref="AX38" si="226">IF(COUNTIF(AX35:AX37,"&lt;&gt;0")=0,0,AVERAGEIF(AX35:AX37,"&lt;&gt;0"))</f>
        <v>0</v>
      </c>
      <c r="AY38" s="82">
        <f t="shared" ref="AY38" si="227">IF(COUNTIF(AY35:AY37,"&lt;&gt;0")=0,0,AVERAGEIF(AY35:AY37,"&lt;&gt;0"))</f>
        <v>0</v>
      </c>
      <c r="AZ38" s="82">
        <f t="shared" ref="AZ38" si="228">IF(COUNTIF(AZ35:AZ37,"&lt;&gt;0")=0,0,AVERAGEIF(AZ35:AZ37,"&lt;&gt;0"))</f>
        <v>0</v>
      </c>
      <c r="BA38" s="82">
        <f t="shared" ref="BA38" si="229">IF(COUNTIF(BA35:BA37,"&lt;&gt;0")=0,0,AVERAGEIF(BA35:BA37,"&lt;&gt;0"))</f>
        <v>0</v>
      </c>
      <c r="BB38" s="82">
        <f t="shared" ref="BB38" si="230">IF(COUNTIF(BB35:BB37,"&lt;&gt;0")=0,0,AVERAGEIF(BB35:BB37,"&lt;&gt;0"))</f>
        <v>0</v>
      </c>
      <c r="BC38" s="82">
        <f t="shared" ref="BC38" si="231">IF(COUNTIF(BC35:BC37,"&lt;&gt;0")=0,0,AVERAGEIF(BC35:BC37,"&lt;&gt;0"))</f>
        <v>0</v>
      </c>
      <c r="BD38" s="82">
        <f t="shared" ref="BD38" si="232">IF(COUNTIF(BD35:BD37,"&lt;&gt;0")=0,0,AVERAGEIF(BD35:BD37,"&lt;&gt;0"))</f>
        <v>0</v>
      </c>
      <c r="BE38" s="82">
        <f t="shared" ref="BE38" si="233">IF(COUNTIF(BE35:BE37,"&lt;&gt;0")=0,0,AVERAGEIF(BE35:BE37,"&lt;&gt;0"))</f>
        <v>0</v>
      </c>
      <c r="BF38" s="82">
        <f t="shared" ref="BF38" si="234">IF(COUNTIF(BF35:BF37,"&lt;&gt;0")=0,0,AVERAGEIF(BF35:BF37,"&lt;&gt;0"))</f>
        <v>0</v>
      </c>
      <c r="BG38" s="82">
        <f t="shared" ref="BG38" si="235">IF(COUNTIF(BG35:BG37,"&lt;&gt;0")=0,0,AVERAGEIF(BG35:BG37,"&lt;&gt;0"))</f>
        <v>0</v>
      </c>
      <c r="BH38" s="82">
        <f t="shared" ref="BH38" si="236">IF(COUNTIF(BH35:BH37,"&lt;&gt;0")=0,0,AVERAGEIF(BH35:BH37,"&lt;&gt;0"))</f>
        <v>0</v>
      </c>
      <c r="BI38" s="82">
        <f t="shared" ref="BI38" si="237">IF(COUNTIF(BI35:BI37,"&lt;&gt;0")=0,0,AVERAGEIF(BI35:BI37,"&lt;&gt;0"))</f>
        <v>0</v>
      </c>
      <c r="BJ38" s="82">
        <f t="shared" ref="BJ38" si="238">IF(COUNTIF(BJ35:BJ37,"&lt;&gt;0")=0,0,AVERAGEIF(BJ35:BJ37,"&lt;&gt;0"))</f>
        <v>0</v>
      </c>
      <c r="BK38" s="82">
        <f t="shared" ref="BK38" si="239">IF(COUNTIF(BK35:BK37,"&lt;&gt;0")=0,0,AVERAGEIF(BK35:BK37,"&lt;&gt;0"))</f>
        <v>0</v>
      </c>
      <c r="BL38" s="82">
        <f t="shared" ref="BL38" si="240">IF(COUNTIF(BL35:BL37,"&lt;&gt;0")=0,0,AVERAGEIF(BL35:BL37,"&lt;&gt;0"))</f>
        <v>0</v>
      </c>
      <c r="BM38" s="82">
        <f t="shared" ref="BM38" si="241">IF(COUNTIF(BM35:BM37,"&lt;&gt;0")=0,0,AVERAGEIF(BM35:BM37,"&lt;&gt;0"))</f>
        <v>0</v>
      </c>
    </row>
    <row r="39" spans="1:121" s="9" customFormat="1" ht="28.8" x14ac:dyDescent="0.3">
      <c r="A39" s="68" t="s">
        <v>16</v>
      </c>
      <c r="B39" s="36" t="s">
        <v>17</v>
      </c>
      <c r="C39" s="3"/>
      <c r="D39" s="19"/>
      <c r="E39" s="40"/>
      <c r="F39" s="13"/>
      <c r="G39" s="20"/>
      <c r="H39" s="13"/>
      <c r="I39" s="20"/>
      <c r="J39" s="13"/>
      <c r="K39" s="20"/>
      <c r="L39" s="13"/>
      <c r="M39" s="20"/>
      <c r="N39" s="13"/>
      <c r="O39" s="40"/>
      <c r="P39" s="13"/>
      <c r="Q39" s="20"/>
      <c r="R39" s="13"/>
      <c r="S39" s="20"/>
      <c r="T39" s="13"/>
      <c r="U39" s="20"/>
      <c r="V39" s="13"/>
      <c r="W39" s="20"/>
      <c r="X39" s="19"/>
      <c r="Y39" s="20"/>
      <c r="Z39" s="13"/>
      <c r="AA39" s="20"/>
      <c r="AB39" s="13"/>
      <c r="AC39" s="20"/>
      <c r="AD39" s="13"/>
      <c r="AE39" s="20"/>
      <c r="AF39" s="19"/>
      <c r="AG39" s="20"/>
      <c r="AH39" s="13"/>
      <c r="AI39" s="20"/>
      <c r="AJ39" s="13"/>
      <c r="AK39" s="20"/>
      <c r="AL39" s="13"/>
      <c r="AM39" s="20"/>
      <c r="AN39" s="13"/>
      <c r="AO39" s="20"/>
      <c r="AP39" s="13"/>
      <c r="AQ39" s="20"/>
      <c r="AR39" s="13"/>
      <c r="AS39" s="20"/>
      <c r="AT39" s="13"/>
      <c r="AU39" s="20"/>
      <c r="AV39" s="19"/>
      <c r="AW39" s="20"/>
      <c r="AX39" s="13"/>
      <c r="AY39" s="20"/>
      <c r="AZ39" s="13"/>
      <c r="BA39" s="20"/>
      <c r="BB39" s="13"/>
      <c r="BC39" s="20"/>
      <c r="BD39" s="13"/>
      <c r="BE39" s="20"/>
      <c r="BF39" s="19"/>
      <c r="BG39" s="20"/>
      <c r="BH39" s="13"/>
      <c r="BI39" s="20"/>
      <c r="BJ39" s="19"/>
      <c r="BK39" s="20"/>
      <c r="BL39" s="13"/>
      <c r="BM39" s="20"/>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row>
    <row r="40" spans="1:121" s="12" customFormat="1" ht="15" thickBot="1" x14ac:dyDescent="0.35">
      <c r="A40" s="69"/>
      <c r="B40" s="24" t="s">
        <v>18</v>
      </c>
      <c r="C40" s="4"/>
      <c r="D40" s="11"/>
      <c r="E40" s="24"/>
      <c r="F40" s="15"/>
      <c r="G40" s="22"/>
      <c r="H40" s="15"/>
      <c r="I40" s="22"/>
      <c r="J40" s="15"/>
      <c r="K40" s="22"/>
      <c r="L40" s="15"/>
      <c r="M40" s="22"/>
      <c r="N40" s="15"/>
      <c r="O40" s="24"/>
      <c r="P40" s="15"/>
      <c r="Q40" s="22"/>
      <c r="R40" s="15"/>
      <c r="S40" s="22"/>
      <c r="T40" s="15"/>
      <c r="U40" s="22"/>
      <c r="V40" s="15"/>
      <c r="W40" s="22"/>
      <c r="X40" s="11"/>
      <c r="Y40" s="22"/>
      <c r="Z40" s="15"/>
      <c r="AA40" s="22"/>
      <c r="AB40" s="15"/>
      <c r="AC40" s="22"/>
      <c r="AD40" s="15"/>
      <c r="AE40" s="22"/>
      <c r="AF40" s="11"/>
      <c r="AG40" s="22"/>
      <c r="AH40" s="15"/>
      <c r="AI40" s="22"/>
      <c r="AJ40" s="15"/>
      <c r="AK40" s="22"/>
      <c r="AL40" s="15"/>
      <c r="AM40" s="22"/>
      <c r="AN40" s="15"/>
      <c r="AO40" s="22"/>
      <c r="AP40" s="15"/>
      <c r="AQ40" s="22"/>
      <c r="AR40" s="15"/>
      <c r="AS40" s="22"/>
      <c r="AT40" s="15"/>
      <c r="AU40" s="22"/>
      <c r="AV40" s="11"/>
      <c r="AW40" s="22"/>
      <c r="AX40" s="15"/>
      <c r="AY40" s="22"/>
      <c r="AZ40" s="15"/>
      <c r="BA40" s="22"/>
      <c r="BB40" s="15"/>
      <c r="BC40" s="22"/>
      <c r="BD40" s="15"/>
      <c r="BE40" s="22"/>
      <c r="BF40" s="11"/>
      <c r="BG40" s="22"/>
      <c r="BH40" s="15"/>
      <c r="BI40" s="22"/>
      <c r="BJ40" s="11"/>
      <c r="BK40" s="22"/>
      <c r="BL40" s="15"/>
      <c r="BM40" s="22"/>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row>
    <row r="41" spans="1:121" s="9" customFormat="1" ht="28.8" x14ac:dyDescent="0.3">
      <c r="A41" s="70" t="s">
        <v>19</v>
      </c>
      <c r="B41" s="23" t="s">
        <v>20</v>
      </c>
      <c r="C41" s="3"/>
      <c r="D41" s="19"/>
      <c r="E41" s="40"/>
      <c r="F41" s="13"/>
      <c r="G41" s="20"/>
      <c r="H41" s="13"/>
      <c r="I41" s="20"/>
      <c r="J41" s="13"/>
      <c r="K41" s="20"/>
      <c r="L41" s="13"/>
      <c r="M41" s="20"/>
      <c r="N41" s="13"/>
      <c r="O41" s="40"/>
      <c r="P41" s="13"/>
      <c r="Q41" s="20"/>
      <c r="R41" s="13"/>
      <c r="S41" s="20"/>
      <c r="T41" s="13"/>
      <c r="U41" s="20"/>
      <c r="V41" s="13"/>
      <c r="W41" s="20"/>
      <c r="X41" s="19"/>
      <c r="Y41" s="20"/>
      <c r="Z41" s="13"/>
      <c r="AA41" s="20"/>
      <c r="AB41" s="13"/>
      <c r="AC41" s="20"/>
      <c r="AD41" s="13"/>
      <c r="AE41" s="20"/>
      <c r="AF41" s="19"/>
      <c r="AG41" s="20"/>
      <c r="AH41" s="13"/>
      <c r="AI41" s="20"/>
      <c r="AJ41" s="13"/>
      <c r="AK41" s="20"/>
      <c r="AL41" s="13"/>
      <c r="AM41" s="20"/>
      <c r="AN41" s="13"/>
      <c r="AO41" s="20"/>
      <c r="AP41" s="13"/>
      <c r="AQ41" s="20"/>
      <c r="AR41" s="13"/>
      <c r="AS41" s="20"/>
      <c r="AT41" s="13"/>
      <c r="AU41" s="20"/>
      <c r="AV41" s="19"/>
      <c r="AW41" s="20"/>
      <c r="AX41" s="13"/>
      <c r="AY41" s="20"/>
      <c r="AZ41" s="13"/>
      <c r="BA41" s="20"/>
      <c r="BB41" s="13"/>
      <c r="BC41" s="20"/>
      <c r="BD41" s="13"/>
      <c r="BE41" s="20"/>
      <c r="BF41" s="19"/>
      <c r="BG41" s="20"/>
      <c r="BH41" s="13"/>
      <c r="BI41" s="20"/>
      <c r="BJ41" s="19"/>
      <c r="BK41" s="20"/>
      <c r="BL41" s="13"/>
      <c r="BM41" s="20"/>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row>
    <row r="42" spans="1:121" ht="28.8" x14ac:dyDescent="0.3">
      <c r="A42" s="71"/>
      <c r="B42" s="25" t="s">
        <v>21</v>
      </c>
      <c r="C42" s="16"/>
      <c r="D42" s="10"/>
      <c r="E42" s="18"/>
      <c r="F42" s="14"/>
      <c r="G42" s="21"/>
      <c r="H42" s="14"/>
      <c r="I42" s="21"/>
      <c r="J42" s="14"/>
      <c r="K42" s="21"/>
      <c r="L42" s="14"/>
      <c r="M42" s="21"/>
      <c r="N42" s="14"/>
      <c r="O42" s="18"/>
      <c r="P42" s="14"/>
      <c r="Q42" s="21"/>
      <c r="R42" s="14"/>
      <c r="S42" s="21"/>
      <c r="T42" s="14"/>
      <c r="U42" s="21"/>
      <c r="V42" s="14"/>
      <c r="W42" s="21"/>
      <c r="X42" s="10"/>
      <c r="Y42" s="21"/>
      <c r="Z42" s="14"/>
      <c r="AA42" s="21"/>
      <c r="AB42" s="14"/>
      <c r="AC42" s="21"/>
      <c r="AD42" s="14"/>
      <c r="AE42" s="21"/>
      <c r="AF42" s="10"/>
      <c r="AG42" s="21"/>
      <c r="AH42" s="14"/>
      <c r="AI42" s="21"/>
      <c r="AJ42" s="14"/>
      <c r="AK42" s="21"/>
      <c r="AL42" s="14"/>
      <c r="AM42" s="21"/>
      <c r="AN42" s="14"/>
      <c r="AO42" s="21"/>
      <c r="AP42" s="14"/>
      <c r="AQ42" s="21"/>
      <c r="AR42" s="14"/>
      <c r="AS42" s="21"/>
      <c r="AT42" s="14"/>
      <c r="AU42" s="21"/>
      <c r="AV42" s="10"/>
      <c r="AW42" s="21"/>
      <c r="AX42" s="14"/>
      <c r="AY42" s="21"/>
      <c r="AZ42" s="14"/>
      <c r="BA42" s="21"/>
      <c r="BB42" s="14"/>
      <c r="BC42" s="21"/>
      <c r="BD42" s="14"/>
      <c r="BE42" s="21"/>
      <c r="BF42" s="10"/>
      <c r="BG42" s="21"/>
      <c r="BH42" s="14"/>
      <c r="BI42" s="21"/>
      <c r="BJ42" s="10"/>
      <c r="BK42" s="21"/>
      <c r="BL42" s="14"/>
      <c r="BM42" s="21"/>
    </row>
    <row r="43" spans="1:121" x14ac:dyDescent="0.3">
      <c r="A43" s="71"/>
      <c r="B43" s="18" t="s">
        <v>22</v>
      </c>
      <c r="C43" s="16"/>
      <c r="D43" s="10"/>
      <c r="E43" s="18"/>
      <c r="F43" s="14"/>
      <c r="G43" s="21"/>
      <c r="H43" s="14"/>
      <c r="I43" s="21"/>
      <c r="J43" s="14"/>
      <c r="K43" s="21"/>
      <c r="L43" s="14"/>
      <c r="M43" s="21"/>
      <c r="N43" s="14"/>
      <c r="O43" s="18"/>
      <c r="P43" s="14"/>
      <c r="Q43" s="21"/>
      <c r="R43" s="14"/>
      <c r="S43" s="21"/>
      <c r="T43" s="14"/>
      <c r="U43" s="21"/>
      <c r="V43" s="14"/>
      <c r="W43" s="21"/>
      <c r="X43" s="10"/>
      <c r="Y43" s="21"/>
      <c r="Z43" s="14"/>
      <c r="AA43" s="21"/>
      <c r="AB43" s="14"/>
      <c r="AC43" s="21"/>
      <c r="AD43" s="14"/>
      <c r="AE43" s="21"/>
      <c r="AF43" s="10"/>
      <c r="AG43" s="21"/>
      <c r="AH43" s="14"/>
      <c r="AI43" s="21"/>
      <c r="AJ43" s="14"/>
      <c r="AK43" s="21"/>
      <c r="AL43" s="14"/>
      <c r="AM43" s="21"/>
      <c r="AN43" s="14"/>
      <c r="AO43" s="21"/>
      <c r="AP43" s="14"/>
      <c r="AQ43" s="21"/>
      <c r="AR43" s="14"/>
      <c r="AS43" s="21"/>
      <c r="AT43" s="14"/>
      <c r="AU43" s="21"/>
      <c r="AV43" s="10"/>
      <c r="AW43" s="21"/>
      <c r="AX43" s="14"/>
      <c r="AY43" s="21"/>
      <c r="AZ43" s="14"/>
      <c r="BA43" s="21"/>
      <c r="BB43" s="14"/>
      <c r="BC43" s="21"/>
      <c r="BD43" s="14"/>
      <c r="BE43" s="21"/>
      <c r="BF43" s="10"/>
      <c r="BG43" s="21"/>
      <c r="BH43" s="14"/>
      <c r="BI43" s="21"/>
      <c r="BJ43" s="10"/>
      <c r="BK43" s="21"/>
      <c r="BL43" s="14"/>
      <c r="BM43" s="21"/>
    </row>
    <row r="44" spans="1:121" s="12" customFormat="1" ht="15" thickBot="1" x14ac:dyDescent="0.35">
      <c r="A44" s="72"/>
      <c r="B44" s="24" t="s">
        <v>23</v>
      </c>
      <c r="C44" s="4"/>
      <c r="D44" s="11"/>
      <c r="E44" s="24"/>
      <c r="F44" s="15"/>
      <c r="G44" s="22"/>
      <c r="H44" s="15"/>
      <c r="I44" s="22"/>
      <c r="J44" s="15"/>
      <c r="K44" s="22"/>
      <c r="L44" s="15"/>
      <c r="M44" s="22"/>
      <c r="N44" s="15"/>
      <c r="O44" s="24"/>
      <c r="P44" s="15"/>
      <c r="Q44" s="22"/>
      <c r="R44" s="15"/>
      <c r="S44" s="22"/>
      <c r="T44" s="15"/>
      <c r="U44" s="22"/>
      <c r="V44" s="15"/>
      <c r="W44" s="22"/>
      <c r="X44" s="11"/>
      <c r="Y44" s="22"/>
      <c r="Z44" s="15"/>
      <c r="AA44" s="22"/>
      <c r="AB44" s="15"/>
      <c r="AC44" s="22"/>
      <c r="AD44" s="15"/>
      <c r="AE44" s="22"/>
      <c r="AF44" s="11"/>
      <c r="AG44" s="22"/>
      <c r="AH44" s="15"/>
      <c r="AI44" s="22"/>
      <c r="AJ44" s="15"/>
      <c r="AK44" s="22"/>
      <c r="AL44" s="15"/>
      <c r="AM44" s="22"/>
      <c r="AN44" s="15"/>
      <c r="AO44" s="22"/>
      <c r="AP44" s="15"/>
      <c r="AQ44" s="22"/>
      <c r="AR44" s="15"/>
      <c r="AS44" s="22"/>
      <c r="AT44" s="15"/>
      <c r="AU44" s="22"/>
      <c r="AV44" s="11"/>
      <c r="AW44" s="22"/>
      <c r="AX44" s="15"/>
      <c r="AY44" s="22"/>
      <c r="AZ44" s="15"/>
      <c r="BA44" s="22"/>
      <c r="BB44" s="15"/>
      <c r="BC44" s="22"/>
      <c r="BD44" s="15"/>
      <c r="BE44" s="22"/>
      <c r="BF44" s="11"/>
      <c r="BG44" s="22"/>
      <c r="BH44" s="15"/>
      <c r="BI44" s="22"/>
      <c r="BJ44" s="11"/>
      <c r="BK44" s="22"/>
      <c r="BL44" s="15"/>
      <c r="BM44" s="22"/>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row>
    <row r="50" spans="1:4" ht="30.75" customHeight="1" x14ac:dyDescent="0.3">
      <c r="D50" s="57"/>
    </row>
    <row r="51" spans="1:4" x14ac:dyDescent="0.3">
      <c r="D51" s="57"/>
    </row>
    <row r="54" spans="1:4" x14ac:dyDescent="0.3">
      <c r="A54" s="47"/>
      <c r="B54" s="47"/>
      <c r="C54" s="47"/>
    </row>
    <row r="55" spans="1:4" x14ac:dyDescent="0.3">
      <c r="A55" s="47"/>
      <c r="B55" s="47"/>
      <c r="C55" s="47"/>
    </row>
    <row r="56" spans="1:4" x14ac:dyDescent="0.3">
      <c r="A56" s="47"/>
      <c r="B56" s="47"/>
      <c r="C56" s="47"/>
    </row>
  </sheetData>
  <sheetProtection algorithmName="SHA-512" hashValue="ftE4J3jbjHY0yFYywI7OyZ0GBRRchGbHjGTX71dKcOXwCrNyH+MCK9wLP2f7i0f2W6+w9S2R715SVBov/Aj7yw==" saltValue="PN6dIzzOEhIiKavIyrT87w==" spinCount="100000" sheet="1" objects="1" scenarios="1"/>
  <mergeCells count="87">
    <mergeCell ref="AD30:AE30"/>
    <mergeCell ref="AF30:AG30"/>
    <mergeCell ref="BH30:BI30"/>
    <mergeCell ref="BJ30:BK30"/>
    <mergeCell ref="BL30:BM30"/>
    <mergeCell ref="AL30:AM30"/>
    <mergeCell ref="AN30:AO30"/>
    <mergeCell ref="AP30:AQ30"/>
    <mergeCell ref="AR30:AS30"/>
    <mergeCell ref="AT30:AU30"/>
    <mergeCell ref="AV30:AW30"/>
    <mergeCell ref="AX30:AY30"/>
    <mergeCell ref="AZ30:BA30"/>
    <mergeCell ref="BB30:BC30"/>
    <mergeCell ref="AH30:AI30"/>
    <mergeCell ref="AJ30:AK30"/>
    <mergeCell ref="BD30:BE30"/>
    <mergeCell ref="BF30:BG30"/>
    <mergeCell ref="F30:G30"/>
    <mergeCell ref="H30:I30"/>
    <mergeCell ref="J30:K30"/>
    <mergeCell ref="L30:M30"/>
    <mergeCell ref="N30:O30"/>
    <mergeCell ref="P30:Q30"/>
    <mergeCell ref="R30:S30"/>
    <mergeCell ref="T30:U30"/>
    <mergeCell ref="V30:W30"/>
    <mergeCell ref="X30:Y30"/>
    <mergeCell ref="Z30:AA30"/>
    <mergeCell ref="AB30:AC30"/>
    <mergeCell ref="A39:A40"/>
    <mergeCell ref="A41:A44"/>
    <mergeCell ref="A8:A13"/>
    <mergeCell ref="B17:B19"/>
    <mergeCell ref="A14:A19"/>
    <mergeCell ref="B20:B22"/>
    <mergeCell ref="A20:A25"/>
    <mergeCell ref="B23:B25"/>
    <mergeCell ref="B8:B10"/>
    <mergeCell ref="B14:B16"/>
    <mergeCell ref="B11:B13"/>
    <mergeCell ref="B31:B34"/>
    <mergeCell ref="B26:B30"/>
    <mergeCell ref="B35:B38"/>
    <mergeCell ref="D30:E30"/>
    <mergeCell ref="A26:A38"/>
    <mergeCell ref="F4:G4"/>
    <mergeCell ref="H4:I4"/>
    <mergeCell ref="J4:K4"/>
    <mergeCell ref="D4:E4"/>
    <mergeCell ref="AL4:AM4"/>
    <mergeCell ref="P4:Q4"/>
    <mergeCell ref="R4:S4"/>
    <mergeCell ref="T4:U4"/>
    <mergeCell ref="V4:W4"/>
    <mergeCell ref="X4:Y4"/>
    <mergeCell ref="Z4:AA4"/>
    <mergeCell ref="AD4:AE4"/>
    <mergeCell ref="AF4:AG4"/>
    <mergeCell ref="AB4:AC4"/>
    <mergeCell ref="L4:M4"/>
    <mergeCell ref="N4:O4"/>
    <mergeCell ref="AH4:AI4"/>
    <mergeCell ref="AJ4:AK4"/>
    <mergeCell ref="BJ4:BK4"/>
    <mergeCell ref="AN4:AO4"/>
    <mergeCell ref="AP4:AQ4"/>
    <mergeCell ref="AR4:AS4"/>
    <mergeCell ref="AT4:AU4"/>
    <mergeCell ref="AV4:AW4"/>
    <mergeCell ref="AX4:AY4"/>
    <mergeCell ref="A54:C54"/>
    <mergeCell ref="A55:C55"/>
    <mergeCell ref="A56:C56"/>
    <mergeCell ref="A1:C1"/>
    <mergeCell ref="D1:BM1"/>
    <mergeCell ref="E2:BM2"/>
    <mergeCell ref="D50:D51"/>
    <mergeCell ref="E3:BM3"/>
    <mergeCell ref="BL4:BM4"/>
    <mergeCell ref="A5:A6"/>
    <mergeCell ref="B5:B6"/>
    <mergeCell ref="AZ4:BA4"/>
    <mergeCell ref="BB4:BC4"/>
    <mergeCell ref="BD4:BE4"/>
    <mergeCell ref="BF4:BG4"/>
    <mergeCell ref="BH4:BI4"/>
  </mergeCells>
  <phoneticPr fontId="1" type="noConversion"/>
  <conditionalFormatting sqref="D30 F30 H30 J30 L30 N30 P30 R30 T30 V30 X30 Z30 AB30 AD30 AF30 AH30 AJ30 AL30 AN30 AP30 AR30 AT30 AV30 AX30 AZ30 BB30 BD30 BF30 BH30 BJ30 BL30 D26:BM29">
    <cfRule type="expression" dxfId="2" priority="4">
      <formula>OR(D26&lt;17,D26&gt;21)</formula>
    </cfRule>
  </conditionalFormatting>
  <conditionalFormatting sqref="D35:BM37">
    <cfRule type="expression" dxfId="1" priority="3">
      <formula>OR(D35&lt;0.12,D35&gt;0.26)</formula>
    </cfRule>
  </conditionalFormatting>
  <conditionalFormatting sqref="D38:BM38">
    <cfRule type="expression" dxfId="0" priority="1">
      <formula>OR(D38&lt;0.12,D38&gt;0.25)</formula>
    </cfRule>
  </conditionalFormatting>
  <dataValidations count="1">
    <dataValidation type="list" allowBlank="1" showInputMessage="1" showErrorMessage="1" sqref="D3" xr:uid="{C64AB1CC-F331-43C8-9B61-E7B54355C020}">
      <formula1>"Jan, Feb, Mar, Apr, May, Jun, Jul, Aug, Sep, Oct, Nov, Dec"</formula1>
    </dataValidation>
  </dataValidations>
  <pageMargins left="0.7" right="0.7" top="0.75" bottom="0.75" header="0.3" footer="0.3"/>
  <pageSetup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E693B-8F86-4C84-BE40-B21E3C1A8EB0}">
  <dimension ref="A1"/>
  <sheetViews>
    <sheetView topLeftCell="A4" workbookViewId="0">
      <selection activeCell="Q24" sqref="Q24"/>
    </sheetView>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 Input</vt:lpstr>
      <vt:lpstr>Charts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Gary.Dennison</dc:creator>
  <cp:lastModifiedBy>Megan Rumble</cp:lastModifiedBy>
  <dcterms:created xsi:type="dcterms:W3CDTF">2023-02-28T16:04:45Z</dcterms:created>
  <dcterms:modified xsi:type="dcterms:W3CDTF">2023-05-25T13:18:38Z</dcterms:modified>
</cp:coreProperties>
</file>