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8.0 Production\8.2 Forms\8.2.1 Plant 1\8.2.1.3 Inspection and Testing Forms and Labels\8.2.1.3.34 GLDC\"/>
    </mc:Choice>
  </mc:AlternateContent>
  <xr:revisionPtr revIDLastSave="0" documentId="13_ncr:1_{C02740CD-DD4D-40AE-B396-19579C3334BD}" xr6:coauthVersionLast="47" xr6:coauthVersionMax="47" xr10:uidLastSave="{00000000-0000-0000-0000-000000000000}"/>
  <bookViews>
    <workbookView xWindow="-120" yWindow="-120" windowWidth="29040" windowHeight="15720" xr2:uid="{755EFBF2-712E-4A6F-9A32-53B75ABD21EA}"/>
  </bookViews>
  <sheets>
    <sheet name="Tesla Daily Tracker New" sheetId="2" r:id="rId1"/>
    <sheet name="Tesla Daily Tracker OLD  (2)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C10" i="2"/>
  <c r="C11" i="2" s="1"/>
  <c r="B10" i="2"/>
  <c r="L10" i="2" s="1"/>
  <c r="L9" i="2"/>
  <c r="L8" i="2"/>
  <c r="L7" i="2"/>
  <c r="L6" i="2"/>
  <c r="L5" i="2"/>
  <c r="L4" i="2"/>
  <c r="L3" i="2"/>
  <c r="K11" i="2"/>
  <c r="J11" i="2"/>
  <c r="I11" i="2"/>
  <c r="H11" i="2"/>
  <c r="G11" i="2"/>
  <c r="F11" i="2"/>
  <c r="E11" i="2"/>
  <c r="D11" i="2"/>
  <c r="B11" i="2" l="1"/>
  <c r="D6" i="2" l="1"/>
  <c r="K38" i="3"/>
  <c r="F34" i="3" a="1"/>
  <c r="F34" i="3" s="1"/>
  <c r="F31" i="3" a="1"/>
  <c r="F31" i="3" s="1"/>
  <c r="F28" i="3" a="1"/>
  <c r="M29" i="3" s="1"/>
  <c r="F25" i="3" a="1"/>
  <c r="M26" i="3" s="1"/>
  <c r="L19" i="3"/>
  <c r="K11" i="3"/>
  <c r="J11" i="3"/>
  <c r="I11" i="3"/>
  <c r="I19" i="3" s="1"/>
  <c r="G11" i="3"/>
  <c r="G19" i="3" s="1"/>
  <c r="E11" i="3"/>
  <c r="E19" i="3" s="1"/>
  <c r="D11" i="3"/>
  <c r="D19" i="3" s="1"/>
  <c r="C10" i="3"/>
  <c r="C11" i="3" s="1"/>
  <c r="B10" i="3"/>
  <c r="L10" i="3" s="1"/>
  <c r="L9" i="3"/>
  <c r="L8" i="3"/>
  <c r="J7" i="3"/>
  <c r="I7" i="3"/>
  <c r="F7" i="3"/>
  <c r="L7" i="3" s="1"/>
  <c r="L6" i="3"/>
  <c r="I6" i="3"/>
  <c r="F6" i="3"/>
  <c r="I5" i="3"/>
  <c r="H5" i="3"/>
  <c r="F5" i="3"/>
  <c r="L5" i="3" s="1"/>
  <c r="L4" i="3"/>
  <c r="L11" i="3" s="1"/>
  <c r="I4" i="3"/>
  <c r="H4" i="3"/>
  <c r="H11" i="3" s="1"/>
  <c r="H19" i="3" s="1"/>
  <c r="F4" i="3"/>
  <c r="F11" i="3" s="1"/>
  <c r="F19" i="3" s="1"/>
  <c r="L3" i="3"/>
  <c r="I3" i="3"/>
  <c r="I7" i="2"/>
  <c r="H4" i="2"/>
  <c r="H5" i="2"/>
  <c r="I6" i="2"/>
  <c r="F6" i="2"/>
  <c r="F7" i="2"/>
  <c r="K38" i="2"/>
  <c r="F5" i="2"/>
  <c r="F4" i="2"/>
  <c r="F25" i="3" l="1"/>
  <c r="B11" i="3"/>
  <c r="B19" i="3" s="1"/>
  <c r="J19" i="3" s="1"/>
  <c r="M19" i="3" s="1"/>
  <c r="M20" i="3" s="1"/>
  <c r="I26" i="3"/>
  <c r="K26" i="3"/>
  <c r="F28" i="3"/>
  <c r="K29" i="3"/>
  <c r="F31" i="2" a="1"/>
  <c r="F31" i="2" s="1"/>
  <c r="F34" i="2" a="1"/>
  <c r="F34" i="2" s="1"/>
  <c r="I5" i="2"/>
  <c r="I4" i="2"/>
  <c r="L19" i="2"/>
  <c r="F28" i="2" l="1" a="1"/>
  <c r="F25" i="2" a="1"/>
  <c r="F28" i="2"/>
  <c r="M29" i="2"/>
  <c r="K29" i="2"/>
  <c r="F25" i="2"/>
  <c r="K26" i="2"/>
  <c r="M26" i="2"/>
  <c r="I26" i="2"/>
  <c r="I3" i="2"/>
  <c r="L11" i="2" l="1"/>
  <c r="I19" i="2"/>
  <c r="H19" i="2"/>
  <c r="B19" i="2"/>
  <c r="D19" i="2"/>
  <c r="E19" i="2"/>
  <c r="F19" i="2"/>
  <c r="G19" i="2" l="1"/>
  <c r="J19" i="2" s="1"/>
  <c r="M19" i="2" s="1"/>
  <c r="M2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<sst xmlns="http://schemas.openxmlformats.org/spreadsheetml/2006/main" count="82" uniqueCount="40">
  <si>
    <t>Lot #</t>
  </si>
  <si>
    <t>TOTALS</t>
  </si>
  <si>
    <t>RAW REJECTED
 ( SHARPS + OTHER )</t>
  </si>
  <si>
    <t>ECOATED INSPECTED 
NEEDS TAPE TEST</t>
  </si>
  <si>
    <t>FINISHED 
GOOD</t>
  </si>
  <si>
    <t>ECOATED REJECTED
 ( SHARPS + OTHER )</t>
  </si>
  <si>
    <t>ECOATED NEEDS 
FULL INSPECTION &amp;
 TAPE TEST</t>
  </si>
  <si>
    <t>PROCESS STATE IN PRODUCTION</t>
  </si>
  <si>
    <t>TOTAL LOT#</t>
  </si>
  <si>
    <t>Priority</t>
  </si>
  <si>
    <t xml:space="preserve">E-Coated material, separate into 3 categories, can be shipped as is, needs repair and to bad to rework </t>
  </si>
  <si>
    <t xml:space="preserve">All pre inspected needs tape full. </t>
  </si>
  <si>
    <t xml:space="preserve">E-Coated, needs inspection and tape pull test. </t>
  </si>
  <si>
    <t>FINISHED GOOD PARTIAL</t>
  </si>
  <si>
    <t>RAW - OK</t>
  </si>
  <si>
    <t>DESTROYED TESTING</t>
  </si>
  <si>
    <t>REJECTED ADHESION 
FAILURE</t>
  </si>
  <si>
    <t>STANDARD - REJECTED MATERIAL</t>
  </si>
  <si>
    <t>P1</t>
  </si>
  <si>
    <t>P2</t>
  </si>
  <si>
    <t>P3</t>
  </si>
  <si>
    <t>8.25.2025</t>
  </si>
  <si>
    <t>Shipped</t>
  </si>
  <si>
    <t>Total</t>
  </si>
  <si>
    <t>Change CW 35</t>
  </si>
  <si>
    <t>Pending</t>
  </si>
  <si>
    <t>ok</t>
  </si>
  <si>
    <t>8.29.2025</t>
  </si>
  <si>
    <t>Fal Tape</t>
  </si>
  <si>
    <t>Fail</t>
  </si>
  <si>
    <t>ECOATED 
PENDING INSPECTION</t>
  </si>
  <si>
    <t>F1</t>
  </si>
  <si>
    <t>OK</t>
  </si>
  <si>
    <t>63 PCS MISSING</t>
  </si>
  <si>
    <t>112 PCS OK ? Not sure where inventory came from</t>
  </si>
  <si>
    <t>56 PCS OK ? Not sure where inventory came from</t>
  </si>
  <si>
    <t>Raw material processing.</t>
  </si>
  <si>
    <t>P4</t>
  </si>
  <si>
    <t>SELECT NOTES DO NOT SHARE!</t>
  </si>
  <si>
    <t>9.5.2025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</si>
</sst>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10" fillId="7" borderId="0" applyNumberFormat="0" applyBorder="0" applyAlignment="0" applyProtection="0"/>
    <xf numFmtId="9" fontId="13" fillId="0" borderId="0" applyFont="0" applyFill="0" applyBorder="0" applyAlignment="0" applyProtection="0"/>
    <xf numFmtId="0" fontId="5" fillId="9" borderId="33" applyNumberFormat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4" borderId="2" xfId="3" applyFont="1" applyBorder="1" applyAlignment="1">
      <alignment horizontal="center" vertical="center"/>
    </xf>
    <xf numFmtId="0" fontId="7" fillId="3" borderId="2" xfId="2" applyFont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3" xfId="3" applyFont="1" applyBorder="1" applyAlignment="1">
      <alignment horizontal="center" vertical="center" textRotation="90" wrapText="1"/>
    </xf>
    <xf numFmtId="0" fontId="5" fillId="5" borderId="3" xfId="4" applyFont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2" fillId="3" borderId="7" xfId="2" applyBorder="1" applyAlignment="1">
      <alignment horizontal="center" vertical="center"/>
    </xf>
    <xf numFmtId="0" fontId="9" fillId="6" borderId="4" xfId="5" applyFont="1" applyBorder="1" applyAlignment="1">
      <alignment horizontal="center" vertical="center"/>
    </xf>
    <xf numFmtId="0" fontId="10" fillId="7" borderId="3" xfId="6" applyBorder="1" applyAlignment="1">
      <alignment horizontal="center" vertical="center" textRotation="90" wrapText="1"/>
    </xf>
    <xf numFmtId="0" fontId="10" fillId="7" borderId="4" xfId="6" applyBorder="1" applyAlignment="1">
      <alignment horizontal="center" vertical="center"/>
    </xf>
    <xf numFmtId="0" fontId="10" fillId="7" borderId="6" xfId="6" applyBorder="1" applyAlignment="1">
      <alignment horizontal="center" vertical="center"/>
    </xf>
    <xf numFmtId="0" fontId="10" fillId="7" borderId="2" xfId="6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0" fillId="7" borderId="8" xfId="6" applyBorder="1" applyAlignment="1">
      <alignment horizontal="center" vertical="center"/>
    </xf>
    <xf numFmtId="0" fontId="10" fillId="7" borderId="9" xfId="6" applyBorder="1" applyAlignment="1">
      <alignment horizontal="center" vertical="center"/>
    </xf>
    <xf numFmtId="0" fontId="10" fillId="7" borderId="10" xfId="6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2" fillId="3" borderId="12" xfId="2" applyBorder="1" applyAlignment="1">
      <alignment horizontal="center" vertical="center"/>
    </xf>
    <xf numFmtId="0" fontId="1" fillId="2" borderId="13" xfId="1" applyBorder="1" applyAlignment="1">
      <alignment horizontal="center" vertical="center"/>
    </xf>
    <xf numFmtId="0" fontId="1" fillId="2" borderId="14" xfId="1" applyBorder="1" applyAlignment="1">
      <alignment horizontal="center" vertical="center"/>
    </xf>
    <xf numFmtId="0" fontId="1" fillId="2" borderId="15" xfId="1" applyBorder="1" applyAlignment="1">
      <alignment horizontal="left" vertical="center" wrapText="1"/>
    </xf>
    <xf numFmtId="0" fontId="10" fillId="7" borderId="16" xfId="6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10" fillId="7" borderId="18" xfId="6" applyBorder="1" applyAlignment="1">
      <alignment horizontal="center" vertical="center"/>
    </xf>
    <xf numFmtId="0" fontId="10" fillId="7" borderId="19" xfId="6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/>
    </xf>
    <xf numFmtId="0" fontId="1" fillId="2" borderId="22" xfId="1" applyBorder="1" applyAlignment="1">
      <alignment horizontal="center" vertical="center"/>
    </xf>
    <xf numFmtId="0" fontId="2" fillId="3" borderId="23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12" fillId="4" borderId="3" xfId="3" applyFont="1" applyBorder="1" applyAlignment="1">
      <alignment horizontal="center" vertical="center" textRotation="90" wrapText="1"/>
    </xf>
    <xf numFmtId="0" fontId="4" fillId="6" borderId="0" xfId="5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6" borderId="28" xfId="5" applyBorder="1" applyAlignment="1">
      <alignment horizontal="center" vertical="center"/>
    </xf>
    <xf numFmtId="0" fontId="4" fillId="6" borderId="0" xfId="5" applyBorder="1" applyAlignment="1">
      <alignment horizontal="center" vertical="center"/>
    </xf>
    <xf numFmtId="0" fontId="4" fillId="6" borderId="29" xfId="5" applyBorder="1" applyAlignment="1">
      <alignment horizontal="center" vertical="center"/>
    </xf>
    <xf numFmtId="0" fontId="4" fillId="6" borderId="30" xfId="5" applyBorder="1" applyAlignment="1">
      <alignment horizontal="center" vertical="center"/>
    </xf>
    <xf numFmtId="0" fontId="4" fillId="6" borderId="31" xfId="5" applyBorder="1" applyAlignment="1">
      <alignment horizontal="center" vertical="center"/>
    </xf>
    <xf numFmtId="0" fontId="4" fillId="6" borderId="32" xfId="5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9" borderId="34" xfId="8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5" fillId="4" borderId="21" xfId="3" applyFont="1" applyBorder="1" applyAlignment="1">
      <alignment horizontal="center" vertical="center"/>
    </xf>
    <xf numFmtId="0" fontId="5" fillId="4" borderId="24" xfId="3" applyFont="1" applyBorder="1" applyAlignment="1">
      <alignment horizontal="center" vertical="center"/>
    </xf>
    <xf numFmtId="0" fontId="5" fillId="4" borderId="22" xfId="3" applyFont="1" applyBorder="1" applyAlignment="1">
      <alignment horizontal="center" vertical="center"/>
    </xf>
    <xf numFmtId="0" fontId="10" fillId="7" borderId="21" xfId="6" applyBorder="1" applyAlignment="1">
      <alignment horizontal="center" vertical="center"/>
    </xf>
    <xf numFmtId="0" fontId="10" fillId="7" borderId="22" xfId="6" applyBorder="1" applyAlignment="1">
      <alignment horizontal="center" vertical="center"/>
    </xf>
  </cellXfs>
  <cellStyles count="9">
    <cellStyle name="Accent1" xfId="3" builtinId="29"/>
    <cellStyle name="Accent3" xfId="4" builtinId="37"/>
    <cellStyle name="Bad" xfId="6" builtinId="27"/>
    <cellStyle name="Check Cell" xfId="8" builtinId="23"/>
    <cellStyle name="Good" xfId="1" builtinId="26"/>
    <cellStyle name="Input" xfId="2" builtinId="20"/>
    <cellStyle name="Neutral" xfId="5" builtinId="28"/>
    <cellStyle name="Normal" xfId="0" builtinId="0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B40-0ADC-490D-A691-CBDFC026E87E}">
  <sheetPr>
    <pageSetUpPr fitToPage="1"/>
  </sheetPr>
  <dimension ref="A1:Q38"/>
  <sheetViews>
    <sheetView tabSelected="1" zoomScaleNormal="100" workbookViewId="0">
      <selection activeCell="H45" sqref="H45"/>
    </sheetView>
  </sheetViews>
  <sheetFormatPr defaultColWidth="9.140625" defaultRowHeight="15" x14ac:dyDescent="0.25"/>
  <cols>
    <col min="1" max="1" width="27.7109375" style="9" customWidth="1"/>
    <col min="2" max="11" width="11.140625" style="9" customWidth="1"/>
    <col min="12" max="14" width="9.140625" style="1"/>
    <col min="15" max="15" width="93.28515625" style="1" customWidth="1"/>
    <col min="16" max="16" width="1.85546875" style="1" customWidth="1"/>
    <col min="17" max="17" width="51.42578125" style="1" customWidth="1"/>
    <col min="18" max="16384" width="9.140625" style="1"/>
  </cols>
  <sheetData>
    <row r="1" spans="1:17" ht="15.75" thickBot="1" x14ac:dyDescent="0.3">
      <c r="B1" s="65" t="s">
        <v>7</v>
      </c>
      <c r="C1" s="66"/>
      <c r="D1" s="66"/>
      <c r="E1" s="66"/>
      <c r="F1" s="66"/>
      <c r="G1" s="66"/>
      <c r="H1" s="66"/>
      <c r="I1" s="66"/>
      <c r="J1" s="66"/>
      <c r="K1" s="67"/>
    </row>
    <row r="2" spans="1:17" s="2" customFormat="1" ht="140.25" customHeight="1" thickBot="1" x14ac:dyDescent="0.3">
      <c r="A2" s="39" t="s">
        <v>0</v>
      </c>
      <c r="B2" s="10" t="s">
        <v>14</v>
      </c>
      <c r="C2" s="10" t="s">
        <v>30</v>
      </c>
      <c r="D2" s="10" t="s">
        <v>2</v>
      </c>
      <c r="E2" s="10" t="s">
        <v>5</v>
      </c>
      <c r="F2" s="10" t="s">
        <v>6</v>
      </c>
      <c r="G2" s="10" t="s">
        <v>3</v>
      </c>
      <c r="H2" s="17" t="s">
        <v>16</v>
      </c>
      <c r="I2" s="17" t="s">
        <v>17</v>
      </c>
      <c r="J2" s="11" t="s">
        <v>4</v>
      </c>
      <c r="K2" s="11" t="s">
        <v>13</v>
      </c>
      <c r="L2" s="10" t="s">
        <v>8</v>
      </c>
    </row>
    <row r="3" spans="1:17" ht="16.5" thickTop="1" thickBot="1" x14ac:dyDescent="0.3">
      <c r="A3" s="13">
        <v>99474</v>
      </c>
      <c r="B3" s="12"/>
      <c r="C3" s="12"/>
      <c r="D3" s="12"/>
      <c r="E3" s="12"/>
      <c r="F3" s="12"/>
      <c r="G3" s="13"/>
      <c r="H3" s="18"/>
      <c r="I3" s="18">
        <f>53+111</f>
        <v>164</v>
      </c>
      <c r="J3" s="13"/>
      <c r="K3" s="13"/>
      <c r="L3" s="26">
        <f t="shared" ref="L3:L10" si="0">SUM(B3:K3)</f>
        <v>164</v>
      </c>
      <c r="M3" s="27" t="s">
        <v>9</v>
      </c>
      <c r="N3" s="28">
        <v>1</v>
      </c>
      <c r="O3" s="29" t="s">
        <v>11</v>
      </c>
      <c r="P3" s="59"/>
      <c r="Q3" s="60" t="s">
        <v>38</v>
      </c>
    </row>
    <row r="4" spans="1:17" ht="16.5" customHeight="1" x14ac:dyDescent="0.25">
      <c r="A4" s="16">
        <v>99611</v>
      </c>
      <c r="B4" s="12"/>
      <c r="C4" s="12"/>
      <c r="D4" s="12"/>
      <c r="E4" s="12">
        <v>134</v>
      </c>
      <c r="F4" s="12">
        <f>412-18-1-121-12-12-97-23-56</f>
        <v>72</v>
      </c>
      <c r="G4" s="13"/>
      <c r="H4" s="18">
        <f>70+1+12+23</f>
        <v>106</v>
      </c>
      <c r="I4" s="18">
        <f>69+18+12</f>
        <v>99</v>
      </c>
      <c r="J4" s="13"/>
      <c r="K4" s="13"/>
      <c r="L4" s="26">
        <f t="shared" si="0"/>
        <v>411</v>
      </c>
      <c r="M4" s="30" t="s">
        <v>9</v>
      </c>
      <c r="N4" s="22">
        <v>2</v>
      </c>
      <c r="O4" s="31" t="s">
        <v>36</v>
      </c>
      <c r="P4" s="59"/>
      <c r="Q4" s="61" t="s">
        <v>35</v>
      </c>
    </row>
    <row r="5" spans="1:17" ht="16.5" customHeight="1" x14ac:dyDescent="0.25">
      <c r="A5" s="16">
        <v>99663</v>
      </c>
      <c r="B5" s="12"/>
      <c r="C5" s="12"/>
      <c r="D5" s="12"/>
      <c r="E5" s="12">
        <v>78</v>
      </c>
      <c r="F5" s="12">
        <f>533-28-4-57-28-5-17-28-84-11-56-56</f>
        <v>159</v>
      </c>
      <c r="G5" s="13"/>
      <c r="H5" s="18">
        <f>78+4+28+5+17+28+84+11</f>
        <v>255</v>
      </c>
      <c r="I5" s="18">
        <f>88+28</f>
        <v>116</v>
      </c>
      <c r="J5" s="13"/>
      <c r="K5" s="13"/>
      <c r="L5" s="26">
        <f t="shared" si="0"/>
        <v>608</v>
      </c>
      <c r="M5" s="30" t="s">
        <v>9</v>
      </c>
      <c r="N5" s="22">
        <v>3</v>
      </c>
      <c r="O5" s="31" t="s">
        <v>10</v>
      </c>
      <c r="P5" s="59"/>
      <c r="Q5" s="62" t="s">
        <v>34</v>
      </c>
    </row>
    <row r="6" spans="1:17" ht="15.75" thickBot="1" x14ac:dyDescent="0.3">
      <c r="A6" s="3">
        <v>99707</v>
      </c>
      <c r="B6" s="12"/>
      <c r="C6" s="12"/>
      <c r="D6" s="12">
        <f>93-9</f>
        <v>84</v>
      </c>
      <c r="E6" s="12"/>
      <c r="F6" s="12">
        <f>162-2-3-24-25-19-6-3</f>
        <v>80</v>
      </c>
      <c r="G6" s="13"/>
      <c r="H6" s="18"/>
      <c r="I6" s="18">
        <f>5+3+6</f>
        <v>14</v>
      </c>
      <c r="J6" s="13"/>
      <c r="K6" s="13"/>
      <c r="L6" s="15">
        <f t="shared" si="0"/>
        <v>178</v>
      </c>
      <c r="M6" s="32" t="s">
        <v>9</v>
      </c>
      <c r="N6" s="33">
        <v>4</v>
      </c>
      <c r="O6" s="34" t="s">
        <v>12</v>
      </c>
      <c r="P6" s="59"/>
      <c r="Q6" s="63"/>
    </row>
    <row r="7" spans="1:17" x14ac:dyDescent="0.25">
      <c r="A7" s="3">
        <v>99746</v>
      </c>
      <c r="B7" s="12"/>
      <c r="C7" s="12"/>
      <c r="D7" s="12"/>
      <c r="E7" s="12">
        <v>131</v>
      </c>
      <c r="F7" s="12">
        <f>126-17-76-7</f>
        <v>26</v>
      </c>
      <c r="G7" s="13"/>
      <c r="H7" s="18"/>
      <c r="I7" s="18">
        <f>17+7+2+5+5+7+11+43+59+27</f>
        <v>183</v>
      </c>
      <c r="J7" s="13"/>
      <c r="K7" s="13"/>
      <c r="L7" s="15">
        <f t="shared" si="0"/>
        <v>340</v>
      </c>
      <c r="Q7" s="62" t="s">
        <v>33</v>
      </c>
    </row>
    <row r="8" spans="1:17" x14ac:dyDescent="0.25">
      <c r="A8" s="13" t="s">
        <v>15</v>
      </c>
      <c r="B8" s="3"/>
      <c r="C8" s="3"/>
      <c r="D8" s="3"/>
      <c r="E8" s="3"/>
      <c r="F8" s="3"/>
      <c r="G8" s="13"/>
      <c r="H8" s="18"/>
      <c r="I8" s="18">
        <v>140</v>
      </c>
      <c r="J8" s="13"/>
      <c r="K8" s="13"/>
      <c r="L8" s="15">
        <f t="shared" si="0"/>
        <v>140</v>
      </c>
      <c r="Q8" s="63"/>
    </row>
    <row r="9" spans="1:17" x14ac:dyDescent="0.25">
      <c r="A9" s="13">
        <v>99722</v>
      </c>
      <c r="B9" s="3"/>
      <c r="C9" s="3"/>
      <c r="D9" s="3"/>
      <c r="E9" s="3"/>
      <c r="F9" s="3"/>
      <c r="G9" s="13"/>
      <c r="H9" s="18"/>
      <c r="I9" s="18">
        <v>16</v>
      </c>
      <c r="J9" s="13"/>
      <c r="K9" s="13"/>
      <c r="L9" s="15">
        <f t="shared" si="0"/>
        <v>16</v>
      </c>
      <c r="Q9" s="63"/>
    </row>
    <row r="10" spans="1:17" ht="15.75" thickBot="1" x14ac:dyDescent="0.3">
      <c r="A10" s="4">
        <v>99818</v>
      </c>
      <c r="B10" s="5">
        <f>1344-336-672</f>
        <v>336</v>
      </c>
      <c r="C10" s="5">
        <f>157+672-171-52</f>
        <v>606</v>
      </c>
      <c r="D10" s="5"/>
      <c r="E10" s="5"/>
      <c r="F10" s="5"/>
      <c r="G10" s="14"/>
      <c r="H10" s="19"/>
      <c r="I10" s="19">
        <f>18+21+52</f>
        <v>91</v>
      </c>
      <c r="J10" s="14">
        <v>171</v>
      </c>
      <c r="K10" s="14"/>
      <c r="L10" s="37">
        <f t="shared" si="0"/>
        <v>1204</v>
      </c>
      <c r="Q10" s="63"/>
    </row>
    <row r="11" spans="1:17" ht="32.25" customHeight="1" thickBot="1" x14ac:dyDescent="0.3">
      <c r="A11" s="6" t="s">
        <v>1</v>
      </c>
      <c r="B11" s="7">
        <f t="shared" ref="B11:L11" si="1">SUM(B3:B10)</f>
        <v>336</v>
      </c>
      <c r="C11" s="7">
        <f t="shared" si="1"/>
        <v>606</v>
      </c>
      <c r="D11" s="7">
        <f t="shared" si="1"/>
        <v>84</v>
      </c>
      <c r="E11" s="7">
        <f t="shared" si="1"/>
        <v>343</v>
      </c>
      <c r="F11" s="7">
        <f t="shared" si="1"/>
        <v>337</v>
      </c>
      <c r="G11" s="8">
        <f t="shared" si="1"/>
        <v>0</v>
      </c>
      <c r="H11" s="20">
        <f t="shared" si="1"/>
        <v>361</v>
      </c>
      <c r="I11" s="20">
        <f t="shared" si="1"/>
        <v>823</v>
      </c>
      <c r="J11" s="8">
        <f t="shared" si="1"/>
        <v>171</v>
      </c>
      <c r="K11" s="8">
        <f t="shared" si="1"/>
        <v>0</v>
      </c>
      <c r="L11" s="38">
        <f t="shared" si="1"/>
        <v>3061</v>
      </c>
      <c r="Q11" s="64"/>
    </row>
    <row r="12" spans="1:17" ht="5.25" customHeight="1" thickBot="1" x14ac:dyDescent="0.3"/>
    <row r="13" spans="1:17" ht="15.75" thickBot="1" x14ac:dyDescent="0.3">
      <c r="B13" s="68" t="s">
        <v>19</v>
      </c>
      <c r="C13" s="69"/>
      <c r="E13" s="23" t="s">
        <v>20</v>
      </c>
      <c r="F13" s="24" t="s">
        <v>37</v>
      </c>
      <c r="G13" s="25" t="s">
        <v>18</v>
      </c>
      <c r="J13" s="21">
        <v>784</v>
      </c>
      <c r="K13" s="35" t="s">
        <v>21</v>
      </c>
      <c r="L13" s="36" t="s">
        <v>22</v>
      </c>
    </row>
    <row r="14" spans="1:17" ht="15.75" thickBot="1" x14ac:dyDescent="0.3">
      <c r="J14" s="21">
        <v>896</v>
      </c>
      <c r="K14" s="35" t="s">
        <v>27</v>
      </c>
      <c r="L14" s="36" t="s">
        <v>22</v>
      </c>
    </row>
    <row r="15" spans="1:17" ht="15.75" thickBot="1" x14ac:dyDescent="0.3">
      <c r="J15" s="21">
        <v>672</v>
      </c>
      <c r="K15" s="35" t="s">
        <v>39</v>
      </c>
      <c r="L15" s="36" t="s">
        <v>22</v>
      </c>
    </row>
    <row r="16" spans="1:17" ht="15.75" thickBot="1" x14ac:dyDescent="0.3">
      <c r="J16" s="21">
        <v>0</v>
      </c>
      <c r="K16" s="35"/>
      <c r="L16" s="36" t="s">
        <v>25</v>
      </c>
    </row>
    <row r="17" spans="1:15" hidden="1" x14ac:dyDescent="0.25">
      <c r="J17" s="9" t="s">
        <v>23</v>
      </c>
    </row>
    <row r="18" spans="1:15" hidden="1" x14ac:dyDescent="0.25">
      <c r="B18" s="9">
        <v>684</v>
      </c>
      <c r="D18" s="9">
        <v>93</v>
      </c>
      <c r="E18" s="9">
        <v>343</v>
      </c>
      <c r="F18" s="9">
        <v>1547</v>
      </c>
      <c r="G18" s="9">
        <v>0</v>
      </c>
      <c r="H18" s="9">
        <v>103</v>
      </c>
      <c r="I18" s="9">
        <v>426</v>
      </c>
      <c r="L18" s="1">
        <v>280</v>
      </c>
      <c r="M18" s="1">
        <v>5</v>
      </c>
    </row>
    <row r="19" spans="1:15" hidden="1" x14ac:dyDescent="0.25">
      <c r="A19" s="9" t="s">
        <v>24</v>
      </c>
      <c r="B19" s="9">
        <f>B11-B18</f>
        <v>-348</v>
      </c>
      <c r="D19" s="9">
        <f>D11-D18</f>
        <v>-9</v>
      </c>
      <c r="E19" s="9">
        <f>E11-E18</f>
        <v>0</v>
      </c>
      <c r="F19" s="9">
        <f>F18-F11</f>
        <v>1210</v>
      </c>
      <c r="G19" s="9">
        <f>G11-G18</f>
        <v>0</v>
      </c>
      <c r="H19" s="9">
        <f>H11-H18</f>
        <v>258</v>
      </c>
      <c r="I19" s="9">
        <f>I11-I18</f>
        <v>397</v>
      </c>
      <c r="J19" s="9">
        <f>SUM(B19:I19)</f>
        <v>1508</v>
      </c>
      <c r="L19" s="1">
        <f>L18*M18</f>
        <v>1400</v>
      </c>
      <c r="M19" s="1">
        <f>J19</f>
        <v>1508</v>
      </c>
    </row>
    <row r="20" spans="1:15" hidden="1" x14ac:dyDescent="0.25">
      <c r="M20" s="41">
        <f>M19/L19</f>
        <v>1.0771428571428572</v>
      </c>
    </row>
    <row r="21" spans="1:15" hidden="1" x14ac:dyDescent="0.25"/>
    <row r="22" spans="1:15" ht="15.75" hidden="1" thickBot="1" x14ac:dyDescent="0.3"/>
    <row r="23" spans="1:15" hidden="1" x14ac:dyDescent="0.25">
      <c r="K23" s="44" t="s">
        <v>28</v>
      </c>
      <c r="L23" s="45" t="s">
        <v>29</v>
      </c>
      <c r="M23" s="46" t="s">
        <v>26</v>
      </c>
    </row>
    <row r="24" spans="1:15" hidden="1" x14ac:dyDescent="0.25">
      <c r="E24" s="42">
        <v>611</v>
      </c>
      <c r="F24" s="42">
        <v>0</v>
      </c>
      <c r="G24" s="42">
        <v>0</v>
      </c>
      <c r="H24" s="42">
        <v>134</v>
      </c>
      <c r="I24" s="42">
        <v>151</v>
      </c>
      <c r="J24" s="42">
        <v>0</v>
      </c>
      <c r="K24" s="47">
        <v>83</v>
      </c>
      <c r="L24" s="43">
        <v>99</v>
      </c>
      <c r="M24" s="48">
        <v>531</v>
      </c>
      <c r="N24" s="43"/>
    </row>
    <row r="25" spans="1:15" hidden="1" x14ac:dyDescent="0.25">
      <c r="F25" s="9" cm="1">
        <f t="array" ref="F25:O25">B4:K4</f>
        <v>0</v>
      </c>
      <c r="G25" s="9">
        <v>0</v>
      </c>
      <c r="H25" s="9">
        <v>0</v>
      </c>
      <c r="I25" s="9">
        <v>134</v>
      </c>
      <c r="J25" s="9">
        <v>72</v>
      </c>
      <c r="K25" s="49">
        <v>0</v>
      </c>
      <c r="L25" s="1">
        <v>106</v>
      </c>
      <c r="M25" s="50">
        <v>99</v>
      </c>
      <c r="N25" s="1">
        <v>0</v>
      </c>
      <c r="O25" s="1">
        <v>0</v>
      </c>
    </row>
    <row r="26" spans="1:15" hidden="1" x14ac:dyDescent="0.25">
      <c r="E26" s="40"/>
      <c r="F26" s="40"/>
      <c r="G26" s="40"/>
      <c r="H26" s="40"/>
      <c r="I26" s="40">
        <f>I24-I25</f>
        <v>17</v>
      </c>
      <c r="J26" s="40"/>
      <c r="K26" s="51">
        <f>K25-K24</f>
        <v>-83</v>
      </c>
      <c r="L26" s="52">
        <v>0</v>
      </c>
      <c r="M26" s="53">
        <f>M25-M24</f>
        <v>-432</v>
      </c>
      <c r="N26" s="40"/>
    </row>
    <row r="27" spans="1:15" hidden="1" x14ac:dyDescent="0.25">
      <c r="E27" s="42">
        <v>663</v>
      </c>
      <c r="F27" s="42">
        <v>0</v>
      </c>
      <c r="G27" s="42">
        <v>0</v>
      </c>
      <c r="H27" s="42">
        <v>78</v>
      </c>
      <c r="I27" s="42">
        <v>444</v>
      </c>
      <c r="J27" s="42">
        <v>0</v>
      </c>
      <c r="K27" s="47">
        <v>82</v>
      </c>
      <c r="L27" s="43">
        <v>116</v>
      </c>
      <c r="M27" s="48">
        <v>57</v>
      </c>
      <c r="N27" s="43"/>
    </row>
    <row r="28" spans="1:15" hidden="1" x14ac:dyDescent="0.25">
      <c r="F28" s="9" cm="1">
        <f t="array" ref="F28:O28">B5:K5</f>
        <v>0</v>
      </c>
      <c r="G28" s="9">
        <v>0</v>
      </c>
      <c r="H28" s="9">
        <v>0</v>
      </c>
      <c r="I28" s="9">
        <v>78</v>
      </c>
      <c r="J28" s="9">
        <v>159</v>
      </c>
      <c r="K28" s="49">
        <v>0</v>
      </c>
      <c r="L28" s="9">
        <v>255</v>
      </c>
      <c r="M28" s="50">
        <v>116</v>
      </c>
      <c r="N28" s="1">
        <v>0</v>
      </c>
      <c r="O28" s="1">
        <v>0</v>
      </c>
    </row>
    <row r="29" spans="1:15" hidden="1" x14ac:dyDescent="0.25">
      <c r="E29" s="40"/>
      <c r="F29" s="40"/>
      <c r="G29" s="40"/>
      <c r="H29" s="40"/>
      <c r="I29" s="40"/>
      <c r="J29" s="40"/>
      <c r="K29" s="51">
        <f>K28-K27</f>
        <v>-82</v>
      </c>
      <c r="L29" s="52"/>
      <c r="M29" s="53">
        <f>M28-M27</f>
        <v>59</v>
      </c>
      <c r="N29" s="40"/>
    </row>
    <row r="30" spans="1:15" hidden="1" x14ac:dyDescent="0.25">
      <c r="E30" s="42">
        <v>707</v>
      </c>
      <c r="F30" s="42">
        <v>0</v>
      </c>
      <c r="G30" s="42">
        <v>93</v>
      </c>
      <c r="H30" s="42">
        <v>0</v>
      </c>
      <c r="I30" s="42">
        <v>162</v>
      </c>
      <c r="J30" s="42">
        <v>0</v>
      </c>
      <c r="K30" s="47">
        <v>0</v>
      </c>
      <c r="L30" s="42">
        <v>0</v>
      </c>
      <c r="M30" s="48">
        <v>0</v>
      </c>
      <c r="N30" s="43"/>
    </row>
    <row r="31" spans="1:15" hidden="1" x14ac:dyDescent="0.25">
      <c r="F31" s="9" cm="1">
        <f t="array" ref="F31:O31">B6:K6</f>
        <v>0</v>
      </c>
      <c r="G31" s="9">
        <v>0</v>
      </c>
      <c r="H31" s="9">
        <v>84</v>
      </c>
      <c r="I31" s="9">
        <v>0</v>
      </c>
      <c r="J31" s="9">
        <v>80</v>
      </c>
      <c r="K31" s="49">
        <v>0</v>
      </c>
      <c r="L31" s="1">
        <v>0</v>
      </c>
      <c r="M31" s="50">
        <v>14</v>
      </c>
      <c r="N31" s="1">
        <v>0</v>
      </c>
      <c r="O31" s="1">
        <v>0</v>
      </c>
    </row>
    <row r="32" spans="1:15" hidden="1" x14ac:dyDescent="0.25">
      <c r="E32" s="40"/>
      <c r="F32" s="40"/>
      <c r="G32" s="40"/>
      <c r="H32" s="40"/>
      <c r="I32" s="40"/>
      <c r="J32" s="40"/>
      <c r="K32" s="51"/>
      <c r="L32" s="52">
        <v>5</v>
      </c>
      <c r="M32" s="53">
        <v>49</v>
      </c>
      <c r="N32" s="40"/>
    </row>
    <row r="33" spans="5:15" hidden="1" x14ac:dyDescent="0.25">
      <c r="E33" s="42">
        <v>746</v>
      </c>
      <c r="F33" s="42">
        <v>684</v>
      </c>
      <c r="G33" s="42">
        <v>0</v>
      </c>
      <c r="H33" s="42">
        <v>131</v>
      </c>
      <c r="I33" s="42">
        <v>33</v>
      </c>
      <c r="J33" s="42">
        <v>0</v>
      </c>
      <c r="K33" s="47">
        <v>0</v>
      </c>
      <c r="L33" s="43">
        <v>17</v>
      </c>
      <c r="M33" s="48">
        <v>91</v>
      </c>
      <c r="N33" s="43"/>
    </row>
    <row r="34" spans="5:15" hidden="1" x14ac:dyDescent="0.25">
      <c r="F34" s="9" cm="1">
        <f t="array" ref="F34:O34">B7:K7</f>
        <v>0</v>
      </c>
      <c r="G34" s="9">
        <v>0</v>
      </c>
      <c r="H34" s="9">
        <v>0</v>
      </c>
      <c r="I34" s="9">
        <v>131</v>
      </c>
      <c r="J34" s="9">
        <v>26</v>
      </c>
      <c r="K34" s="49">
        <v>0</v>
      </c>
      <c r="L34" s="1">
        <v>0</v>
      </c>
      <c r="M34" s="50">
        <v>183</v>
      </c>
      <c r="N34" s="1">
        <v>0</v>
      </c>
      <c r="O34" s="1">
        <v>0</v>
      </c>
    </row>
    <row r="35" spans="5:15" ht="15.75" hidden="1" thickBot="1" x14ac:dyDescent="0.3">
      <c r="E35" s="40"/>
      <c r="F35" s="40"/>
      <c r="G35" s="40"/>
      <c r="H35" s="40"/>
      <c r="I35" s="40"/>
      <c r="J35" s="40"/>
      <c r="K35" s="54"/>
      <c r="L35" s="55">
        <v>0</v>
      </c>
      <c r="M35" s="56">
        <v>0</v>
      </c>
      <c r="N35" s="40"/>
    </row>
    <row r="36" spans="5:15" hidden="1" x14ac:dyDescent="0.25"/>
    <row r="37" spans="5:15" hidden="1" x14ac:dyDescent="0.25"/>
    <row r="38" spans="5:15" hidden="1" x14ac:dyDescent="0.25">
      <c r="K38" s="9">
        <f>16*56</f>
        <v>896</v>
      </c>
    </row>
  </sheetData>
  <mergeCells count="2">
    <mergeCell ref="B1:K1"/>
    <mergeCell ref="B13:C13"/>
  </mergeCells>
  <phoneticPr fontId="11" type="noConversion"/>
  <pageMargins left="0.7" right="0.7" top="0.75" bottom="0.75" header="0.3" footer="0.3"/>
  <pageSetup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3FDE-6571-452C-9867-A1DC09A31B6F}">
  <sheetPr>
    <pageSetUpPr fitToPage="1"/>
  </sheetPr>
  <dimension ref="A1:P44"/>
  <sheetViews>
    <sheetView zoomScaleNormal="100" workbookViewId="0">
      <selection activeCell="D47" sqref="D47"/>
    </sheetView>
  </sheetViews>
  <sheetFormatPr defaultColWidth="9.140625" defaultRowHeight="15" x14ac:dyDescent="0.25"/>
  <cols>
    <col min="1" max="1" width="27.7109375" style="9" customWidth="1"/>
    <col min="2" max="11" width="11.140625" style="9" customWidth="1"/>
    <col min="12" max="14" width="9.140625" style="1"/>
    <col min="15" max="15" width="93.28515625" style="1" customWidth="1"/>
    <col min="16" max="16384" width="9.140625" style="1"/>
  </cols>
  <sheetData>
    <row r="1" spans="1:16" ht="15.75" thickBot="1" x14ac:dyDescent="0.3">
      <c r="B1" s="65" t="s">
        <v>7</v>
      </c>
      <c r="C1" s="66"/>
      <c r="D1" s="66"/>
      <c r="E1" s="66"/>
      <c r="F1" s="66"/>
      <c r="G1" s="66"/>
      <c r="H1" s="66"/>
      <c r="I1" s="66"/>
      <c r="J1" s="66"/>
      <c r="K1" s="67"/>
    </row>
    <row r="2" spans="1:16" s="2" customFormat="1" ht="140.25" customHeight="1" thickBot="1" x14ac:dyDescent="0.3">
      <c r="A2" s="39" t="s">
        <v>0</v>
      </c>
      <c r="B2" s="10" t="s">
        <v>14</v>
      </c>
      <c r="C2" s="10" t="s">
        <v>30</v>
      </c>
      <c r="D2" s="10" t="s">
        <v>2</v>
      </c>
      <c r="E2" s="10" t="s">
        <v>5</v>
      </c>
      <c r="F2" s="10" t="s">
        <v>6</v>
      </c>
      <c r="G2" s="10" t="s">
        <v>3</v>
      </c>
      <c r="H2" s="17" t="s">
        <v>16</v>
      </c>
      <c r="I2" s="17" t="s">
        <v>17</v>
      </c>
      <c r="J2" s="11" t="s">
        <v>4</v>
      </c>
      <c r="K2" s="11" t="s">
        <v>13</v>
      </c>
      <c r="L2" s="10" t="s">
        <v>8</v>
      </c>
    </row>
    <row r="3" spans="1:16" x14ac:dyDescent="0.25">
      <c r="A3" s="13">
        <v>99474</v>
      </c>
      <c r="B3" s="12"/>
      <c r="C3" s="12"/>
      <c r="D3" s="12"/>
      <c r="E3" s="12"/>
      <c r="F3" s="12"/>
      <c r="G3" s="13"/>
      <c r="H3" s="18"/>
      <c r="I3" s="18">
        <f>53+111</f>
        <v>164</v>
      </c>
      <c r="J3" s="13"/>
      <c r="K3" s="13"/>
      <c r="L3" s="26">
        <f t="shared" ref="L3:L10" si="0">SUM(B3:K3)</f>
        <v>164</v>
      </c>
      <c r="M3" s="27" t="s">
        <v>9</v>
      </c>
      <c r="N3" s="28">
        <v>1</v>
      </c>
      <c r="O3" s="29" t="s">
        <v>11</v>
      </c>
    </row>
    <row r="4" spans="1:16" ht="16.5" customHeight="1" x14ac:dyDescent="0.25">
      <c r="A4" s="16">
        <v>99611</v>
      </c>
      <c r="B4" s="12"/>
      <c r="C4" s="12"/>
      <c r="D4" s="12"/>
      <c r="E4" s="12">
        <v>134</v>
      </c>
      <c r="F4" s="12">
        <f>412-18-1-121-12-12-97-23-56</f>
        <v>72</v>
      </c>
      <c r="G4" s="13"/>
      <c r="H4" s="18">
        <f>70+1+12+23</f>
        <v>106</v>
      </c>
      <c r="I4" s="18">
        <f>69+18+12</f>
        <v>99</v>
      </c>
      <c r="J4" s="13"/>
      <c r="K4" s="13"/>
      <c r="L4" s="26">
        <f t="shared" si="0"/>
        <v>411</v>
      </c>
      <c r="M4" s="30" t="s">
        <v>9</v>
      </c>
      <c r="N4" s="22">
        <v>2</v>
      </c>
      <c r="O4" s="31" t="s">
        <v>10</v>
      </c>
      <c r="P4" s="58" t="s">
        <v>35</v>
      </c>
    </row>
    <row r="5" spans="1:16" ht="16.5" customHeight="1" thickBot="1" x14ac:dyDescent="0.3">
      <c r="A5" s="16">
        <v>99663</v>
      </c>
      <c r="B5" s="12"/>
      <c r="C5" s="12"/>
      <c r="D5" s="12"/>
      <c r="E5" s="12">
        <v>78</v>
      </c>
      <c r="F5" s="12">
        <f>533-28-4-57-28-5-17-28-84-11-56-56</f>
        <v>159</v>
      </c>
      <c r="G5" s="13"/>
      <c r="H5" s="18">
        <f>78+4+28+5+17+28+84+11</f>
        <v>255</v>
      </c>
      <c r="I5" s="18">
        <f>88+28</f>
        <v>116</v>
      </c>
      <c r="J5" s="13"/>
      <c r="K5" s="13"/>
      <c r="L5" s="26">
        <f t="shared" si="0"/>
        <v>608</v>
      </c>
      <c r="M5" s="32" t="s">
        <v>9</v>
      </c>
      <c r="N5" s="33">
        <v>3</v>
      </c>
      <c r="O5" s="34" t="s">
        <v>12</v>
      </c>
      <c r="P5" s="58" t="s">
        <v>34</v>
      </c>
    </row>
    <row r="6" spans="1:16" x14ac:dyDescent="0.25">
      <c r="A6" s="3">
        <v>99707</v>
      </c>
      <c r="B6" s="12"/>
      <c r="C6" s="12"/>
      <c r="D6" s="12">
        <v>93</v>
      </c>
      <c r="E6" s="12"/>
      <c r="F6" s="12">
        <f>162-2-3-24-25-19-6-3</f>
        <v>80</v>
      </c>
      <c r="G6" s="13"/>
      <c r="H6" s="18"/>
      <c r="I6" s="18">
        <f>5+3+6</f>
        <v>14</v>
      </c>
      <c r="J6" s="13">
        <v>19</v>
      </c>
      <c r="K6" s="13"/>
      <c r="L6" s="15">
        <f t="shared" si="0"/>
        <v>206</v>
      </c>
    </row>
    <row r="7" spans="1:16" x14ac:dyDescent="0.25">
      <c r="A7" s="3">
        <v>99746</v>
      </c>
      <c r="B7" s="12"/>
      <c r="C7" s="57">
        <v>63</v>
      </c>
      <c r="D7" s="12"/>
      <c r="E7" s="12">
        <v>131</v>
      </c>
      <c r="F7" s="12">
        <f>126-17-76-7</f>
        <v>26</v>
      </c>
      <c r="G7" s="13"/>
      <c r="H7" s="18"/>
      <c r="I7" s="18">
        <f>17+7+2+5+5+7+11+43+59+27</f>
        <v>183</v>
      </c>
      <c r="J7" s="13">
        <f>16+21+17+184+109+113</f>
        <v>460</v>
      </c>
      <c r="K7" s="13"/>
      <c r="L7" s="15">
        <f t="shared" si="0"/>
        <v>863</v>
      </c>
      <c r="P7" s="58" t="s">
        <v>33</v>
      </c>
    </row>
    <row r="8" spans="1:16" x14ac:dyDescent="0.25">
      <c r="A8" s="13" t="s">
        <v>15</v>
      </c>
      <c r="B8" s="3"/>
      <c r="C8" s="3"/>
      <c r="D8" s="3"/>
      <c r="E8" s="3"/>
      <c r="F8" s="3"/>
      <c r="G8" s="13"/>
      <c r="H8" s="18"/>
      <c r="I8" s="18">
        <v>140</v>
      </c>
      <c r="J8" s="13"/>
      <c r="K8" s="13"/>
      <c r="L8" s="15">
        <f t="shared" ref="L8" si="1">SUM(B8:K8)</f>
        <v>140</v>
      </c>
    </row>
    <row r="9" spans="1:16" x14ac:dyDescent="0.25">
      <c r="A9" s="13">
        <v>99722</v>
      </c>
      <c r="B9" s="3"/>
      <c r="C9" s="3"/>
      <c r="D9" s="3"/>
      <c r="E9" s="3"/>
      <c r="F9" s="3"/>
      <c r="G9" s="13"/>
      <c r="H9" s="18"/>
      <c r="I9" s="18">
        <v>16</v>
      </c>
      <c r="J9" s="13">
        <v>68</v>
      </c>
      <c r="K9" s="13"/>
      <c r="L9" s="15">
        <f t="shared" si="0"/>
        <v>84</v>
      </c>
    </row>
    <row r="10" spans="1:16" ht="15.75" thickBot="1" x14ac:dyDescent="0.3">
      <c r="A10" s="4">
        <v>99818</v>
      </c>
      <c r="B10" s="5">
        <f>1344-336</f>
        <v>1008</v>
      </c>
      <c r="C10" s="5">
        <f>336-66-18</f>
        <v>252</v>
      </c>
      <c r="D10" s="5"/>
      <c r="E10" s="5"/>
      <c r="F10" s="5"/>
      <c r="G10" s="14"/>
      <c r="H10" s="19"/>
      <c r="I10" s="19">
        <v>18</v>
      </c>
      <c r="J10" s="14">
        <v>66</v>
      </c>
      <c r="K10" s="14"/>
      <c r="L10" s="37">
        <f t="shared" si="0"/>
        <v>1344</v>
      </c>
    </row>
    <row r="11" spans="1:16" ht="32.25" customHeight="1" thickBot="1" x14ac:dyDescent="0.3">
      <c r="A11" s="6" t="s">
        <v>1</v>
      </c>
      <c r="B11" s="7">
        <f t="shared" ref="B11:G11" si="2">SUM(B3:B10)</f>
        <v>1008</v>
      </c>
      <c r="C11" s="7">
        <f>SUM(C4:C10)</f>
        <v>315</v>
      </c>
      <c r="D11" s="7">
        <f t="shared" si="2"/>
        <v>93</v>
      </c>
      <c r="E11" s="7">
        <f t="shared" si="2"/>
        <v>343</v>
      </c>
      <c r="F11" s="7">
        <f t="shared" si="2"/>
        <v>337</v>
      </c>
      <c r="G11" s="8">
        <f t="shared" si="2"/>
        <v>0</v>
      </c>
      <c r="H11" s="20">
        <f>SUM(H3:H10)</f>
        <v>361</v>
      </c>
      <c r="I11" s="20">
        <f>SUM(I3:I10)</f>
        <v>750</v>
      </c>
      <c r="J11" s="8">
        <f>SUM(J3:J10)</f>
        <v>613</v>
      </c>
      <c r="K11" s="8">
        <f>SUM(K3:K10)</f>
        <v>0</v>
      </c>
      <c r="L11" s="38">
        <f>SUM(L3:L10)</f>
        <v>3820</v>
      </c>
    </row>
    <row r="12" spans="1:16" ht="5.25" customHeight="1" thickBot="1" x14ac:dyDescent="0.3"/>
    <row r="13" spans="1:16" ht="15.75" thickBot="1" x14ac:dyDescent="0.3">
      <c r="E13" s="23" t="s">
        <v>19</v>
      </c>
      <c r="F13" s="24" t="s">
        <v>20</v>
      </c>
      <c r="G13" s="25" t="s">
        <v>18</v>
      </c>
      <c r="J13" s="21">
        <v>784</v>
      </c>
      <c r="K13" s="35" t="s">
        <v>21</v>
      </c>
      <c r="L13" s="36" t="s">
        <v>22</v>
      </c>
    </row>
    <row r="14" spans="1:16" ht="15.75" thickBot="1" x14ac:dyDescent="0.3">
      <c r="J14" s="21">
        <v>896</v>
      </c>
      <c r="K14" s="35" t="s">
        <v>27</v>
      </c>
      <c r="L14" s="36" t="s">
        <v>22</v>
      </c>
    </row>
    <row r="15" spans="1:16" ht="15.75" thickBot="1" x14ac:dyDescent="0.3">
      <c r="J15" s="21">
        <v>0</v>
      </c>
      <c r="K15" s="35"/>
      <c r="L15" s="36" t="s">
        <v>25</v>
      </c>
    </row>
    <row r="17" spans="1:15" hidden="1" x14ac:dyDescent="0.25">
      <c r="J17" s="9" t="s">
        <v>23</v>
      </c>
    </row>
    <row r="18" spans="1:15" hidden="1" x14ac:dyDescent="0.25">
      <c r="B18" s="9">
        <v>684</v>
      </c>
      <c r="D18" s="9">
        <v>93</v>
      </c>
      <c r="E18" s="9">
        <v>343</v>
      </c>
      <c r="F18" s="9">
        <v>1547</v>
      </c>
      <c r="G18" s="9">
        <v>0</v>
      </c>
      <c r="H18" s="9">
        <v>103</v>
      </c>
      <c r="I18" s="9">
        <v>426</v>
      </c>
      <c r="L18" s="1">
        <v>280</v>
      </c>
      <c r="M18" s="1">
        <v>5</v>
      </c>
    </row>
    <row r="19" spans="1:15" hidden="1" x14ac:dyDescent="0.25">
      <c r="A19" s="9" t="s">
        <v>24</v>
      </c>
      <c r="B19" s="9">
        <f>B11-B18</f>
        <v>324</v>
      </c>
      <c r="D19" s="9">
        <f>D11-D18</f>
        <v>0</v>
      </c>
      <c r="E19" s="9">
        <f>E11-E18</f>
        <v>0</v>
      </c>
      <c r="F19" s="9">
        <f>F18-F11</f>
        <v>1210</v>
      </c>
      <c r="G19" s="9">
        <f>G11-G18</f>
        <v>0</v>
      </c>
      <c r="H19" s="9">
        <f>H11-H18</f>
        <v>258</v>
      </c>
      <c r="I19" s="9">
        <f>I11-I18</f>
        <v>324</v>
      </c>
      <c r="J19" s="9">
        <f>SUM(B19:I19)</f>
        <v>2116</v>
      </c>
      <c r="L19" s="1">
        <f>L18*M18</f>
        <v>1400</v>
      </c>
      <c r="M19" s="1">
        <f>J19</f>
        <v>2116</v>
      </c>
    </row>
    <row r="20" spans="1:15" hidden="1" x14ac:dyDescent="0.25">
      <c r="M20" s="41">
        <f>M19/L19</f>
        <v>1.5114285714285713</v>
      </c>
    </row>
    <row r="21" spans="1:15" hidden="1" x14ac:dyDescent="0.25"/>
    <row r="22" spans="1:15" hidden="1" x14ac:dyDescent="0.25"/>
    <row r="23" spans="1:15" hidden="1" x14ac:dyDescent="0.25">
      <c r="K23" s="44" t="s">
        <v>28</v>
      </c>
      <c r="L23" s="45" t="s">
        <v>29</v>
      </c>
      <c r="M23" s="46" t="s">
        <v>26</v>
      </c>
    </row>
    <row r="24" spans="1:15" hidden="1" x14ac:dyDescent="0.25">
      <c r="E24" s="42">
        <v>611</v>
      </c>
      <c r="F24" s="42">
        <v>0</v>
      </c>
      <c r="G24" s="42">
        <v>0</v>
      </c>
      <c r="H24" s="42">
        <v>134</v>
      </c>
      <c r="I24" s="42">
        <v>151</v>
      </c>
      <c r="J24" s="42">
        <v>0</v>
      </c>
      <c r="K24" s="47">
        <v>83</v>
      </c>
      <c r="L24" s="43">
        <v>99</v>
      </c>
      <c r="M24" s="48">
        <v>531</v>
      </c>
      <c r="N24" s="43"/>
    </row>
    <row r="25" spans="1:15" hidden="1" x14ac:dyDescent="0.25">
      <c r="F25" s="9" cm="1">
        <f t="array" ref="F25:O25">B4:K4</f>
        <v>0</v>
      </c>
      <c r="G25" s="9">
        <v>0</v>
      </c>
      <c r="H25" s="9">
        <v>0</v>
      </c>
      <c r="I25" s="9">
        <v>134</v>
      </c>
      <c r="J25" s="9">
        <v>72</v>
      </c>
      <c r="K25" s="49">
        <v>0</v>
      </c>
      <c r="L25" s="1">
        <v>106</v>
      </c>
      <c r="M25" s="50">
        <v>99</v>
      </c>
      <c r="N25" s="1">
        <v>0</v>
      </c>
      <c r="O25" s="1">
        <v>0</v>
      </c>
    </row>
    <row r="26" spans="1:15" hidden="1" x14ac:dyDescent="0.25">
      <c r="E26" s="40"/>
      <c r="F26" s="40"/>
      <c r="G26" s="40"/>
      <c r="H26" s="40"/>
      <c r="I26" s="40">
        <f>I24-I25</f>
        <v>17</v>
      </c>
      <c r="J26" s="40"/>
      <c r="K26" s="51">
        <f>K25-K24</f>
        <v>-83</v>
      </c>
      <c r="L26" s="52">
        <v>0</v>
      </c>
      <c r="M26" s="53">
        <f>M25-M24</f>
        <v>-432</v>
      </c>
      <c r="N26" s="40"/>
    </row>
    <row r="27" spans="1:15" hidden="1" x14ac:dyDescent="0.25">
      <c r="E27" s="42">
        <v>663</v>
      </c>
      <c r="F27" s="42">
        <v>0</v>
      </c>
      <c r="G27" s="42">
        <v>0</v>
      </c>
      <c r="H27" s="42">
        <v>78</v>
      </c>
      <c r="I27" s="42">
        <v>444</v>
      </c>
      <c r="J27" s="42">
        <v>0</v>
      </c>
      <c r="K27" s="47">
        <v>82</v>
      </c>
      <c r="L27" s="43">
        <v>116</v>
      </c>
      <c r="M27" s="48">
        <v>57</v>
      </c>
      <c r="N27" s="43"/>
    </row>
    <row r="28" spans="1:15" hidden="1" x14ac:dyDescent="0.25">
      <c r="F28" s="9" cm="1">
        <f t="array" ref="F28:O28">B5:K5</f>
        <v>0</v>
      </c>
      <c r="G28" s="9">
        <v>0</v>
      </c>
      <c r="H28" s="9">
        <v>0</v>
      </c>
      <c r="I28" s="9">
        <v>78</v>
      </c>
      <c r="J28" s="9">
        <v>159</v>
      </c>
      <c r="K28" s="49">
        <v>0</v>
      </c>
      <c r="L28" s="9">
        <v>255</v>
      </c>
      <c r="M28" s="50">
        <v>116</v>
      </c>
      <c r="N28" s="1">
        <v>0</v>
      </c>
      <c r="O28" s="1">
        <v>0</v>
      </c>
    </row>
    <row r="29" spans="1:15" hidden="1" x14ac:dyDescent="0.25">
      <c r="E29" s="40"/>
      <c r="F29" s="40"/>
      <c r="G29" s="40"/>
      <c r="H29" s="40"/>
      <c r="I29" s="40"/>
      <c r="J29" s="40"/>
      <c r="K29" s="51">
        <f>K28-K27</f>
        <v>-82</v>
      </c>
      <c r="L29" s="52"/>
      <c r="M29" s="53">
        <f>M28-M27</f>
        <v>59</v>
      </c>
      <c r="N29" s="40"/>
    </row>
    <row r="30" spans="1:15" hidden="1" x14ac:dyDescent="0.25">
      <c r="E30" s="42">
        <v>707</v>
      </c>
      <c r="F30" s="42">
        <v>0</v>
      </c>
      <c r="G30" s="42">
        <v>93</v>
      </c>
      <c r="H30" s="42">
        <v>0</v>
      </c>
      <c r="I30" s="42">
        <v>162</v>
      </c>
      <c r="J30" s="42">
        <v>0</v>
      </c>
      <c r="K30" s="47">
        <v>0</v>
      </c>
      <c r="L30" s="42">
        <v>0</v>
      </c>
      <c r="M30" s="48">
        <v>0</v>
      </c>
      <c r="N30" s="43"/>
    </row>
    <row r="31" spans="1:15" hidden="1" x14ac:dyDescent="0.25">
      <c r="F31" s="9" cm="1">
        <f t="array" ref="F31:O31">B6:K6</f>
        <v>0</v>
      </c>
      <c r="G31" s="9">
        <v>0</v>
      </c>
      <c r="H31" s="9">
        <v>93</v>
      </c>
      <c r="I31" s="9">
        <v>0</v>
      </c>
      <c r="J31" s="9">
        <v>80</v>
      </c>
      <c r="K31" s="49">
        <v>0</v>
      </c>
      <c r="L31" s="1">
        <v>0</v>
      </c>
      <c r="M31" s="50">
        <v>14</v>
      </c>
      <c r="N31" s="1">
        <v>19</v>
      </c>
      <c r="O31" s="1">
        <v>0</v>
      </c>
    </row>
    <row r="32" spans="1:15" hidden="1" x14ac:dyDescent="0.25">
      <c r="E32" s="40"/>
      <c r="F32" s="40"/>
      <c r="G32" s="40"/>
      <c r="H32" s="40"/>
      <c r="I32" s="40"/>
      <c r="J32" s="40"/>
      <c r="K32" s="51"/>
      <c r="L32" s="52">
        <v>5</v>
      </c>
      <c r="M32" s="53">
        <v>49</v>
      </c>
      <c r="N32" s="40"/>
    </row>
    <row r="33" spans="4:15" hidden="1" x14ac:dyDescent="0.25">
      <c r="E33" s="42">
        <v>746</v>
      </c>
      <c r="F33" s="42">
        <v>684</v>
      </c>
      <c r="G33" s="42">
        <v>0</v>
      </c>
      <c r="H33" s="42">
        <v>131</v>
      </c>
      <c r="I33" s="42">
        <v>33</v>
      </c>
      <c r="J33" s="42">
        <v>0</v>
      </c>
      <c r="K33" s="47">
        <v>0</v>
      </c>
      <c r="L33" s="43">
        <v>17</v>
      </c>
      <c r="M33" s="48">
        <v>91</v>
      </c>
      <c r="N33" s="43"/>
    </row>
    <row r="34" spans="4:15" hidden="1" x14ac:dyDescent="0.25">
      <c r="F34" s="9" cm="1">
        <f t="array" ref="F34:O34">B7:K7</f>
        <v>0</v>
      </c>
      <c r="G34" s="9">
        <v>63</v>
      </c>
      <c r="H34" s="9">
        <v>0</v>
      </c>
      <c r="I34" s="9">
        <v>131</v>
      </c>
      <c r="J34" s="9">
        <v>26</v>
      </c>
      <c r="K34" s="49">
        <v>0</v>
      </c>
      <c r="L34" s="1">
        <v>0</v>
      </c>
      <c r="M34" s="50">
        <v>183</v>
      </c>
      <c r="N34" s="1">
        <v>460</v>
      </c>
      <c r="O34" s="1">
        <v>0</v>
      </c>
    </row>
    <row r="35" spans="4:15" ht="15.75" hidden="1" thickBot="1" x14ac:dyDescent="0.3">
      <c r="E35" s="40"/>
      <c r="F35" s="40"/>
      <c r="G35" s="40"/>
      <c r="H35" s="40"/>
      <c r="I35" s="40"/>
      <c r="J35" s="40"/>
      <c r="K35" s="54"/>
      <c r="L35" s="55">
        <v>0</v>
      </c>
      <c r="M35" s="56">
        <v>0</v>
      </c>
      <c r="N35" s="40"/>
    </row>
    <row r="36" spans="4:15" hidden="1" x14ac:dyDescent="0.25"/>
    <row r="37" spans="4:15" hidden="1" x14ac:dyDescent="0.25"/>
    <row r="38" spans="4:15" hidden="1" x14ac:dyDescent="0.25">
      <c r="K38" s="9">
        <f>16*56</f>
        <v>896</v>
      </c>
    </row>
    <row r="41" spans="4:15" x14ac:dyDescent="0.25">
      <c r="E41" s="9" t="s">
        <v>31</v>
      </c>
      <c r="F41" s="9" t="s">
        <v>32</v>
      </c>
    </row>
    <row r="42" spans="4:15" x14ac:dyDescent="0.25">
      <c r="D42" s="9">
        <v>746</v>
      </c>
      <c r="E42" s="9">
        <v>59</v>
      </c>
      <c r="F42" s="9">
        <v>109</v>
      </c>
    </row>
    <row r="43" spans="4:15" x14ac:dyDescent="0.25">
      <c r="E43" s="9">
        <v>27</v>
      </c>
      <c r="F43" s="9">
        <v>113</v>
      </c>
    </row>
    <row r="44" spans="4:15" x14ac:dyDescent="0.25">
      <c r="D44" s="9">
        <v>99818</v>
      </c>
      <c r="E44" s="9">
        <v>18</v>
      </c>
      <c r="F44" s="9">
        <v>66</v>
      </c>
    </row>
  </sheetData>
  <mergeCells count="1">
    <mergeCell ref="B1:K1"/>
  </mergeCells>
  <pageMargins left="0.7" right="0.7" top="0.75" bottom="0.75" header="0.3" footer="0.3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Tesla Daily Tracker New</vt:lpstr>
      <vt:lpstr>Tesla Daily Tracker OLD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Mike Palaszynski</cp:lastModifiedBy>
  <cp:lastPrinted>2025-08-28T11:08:25Z</cp:lastPrinted>
  <dcterms:created xsi:type="dcterms:W3CDTF">2025-08-15T17:11:43Z</dcterms:created>
  <dcterms:modified xsi:type="dcterms:W3CDTF">2025-09-09T13:48:39Z</dcterms:modified>
</cp:coreProperties>
</file>